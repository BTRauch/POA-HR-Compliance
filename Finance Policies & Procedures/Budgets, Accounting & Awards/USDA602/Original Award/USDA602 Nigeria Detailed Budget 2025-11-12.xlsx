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partnersnet107.sharepoint.com/sites/FA/Organizational FA/Finance Policies &amp; Procedures/Budgets, Accounting &amp; Awards/USDA602/Original Award/"/>
    </mc:Choice>
  </mc:AlternateContent>
  <xr:revisionPtr revIDLastSave="0" documentId="13_ncr:1_{9386355C-3759-423B-8792-2A013D7B43F9}" xr6:coauthVersionLast="47" xr6:coauthVersionMax="47" xr10:uidLastSave="{00000000-0000-0000-0000-000000000000}"/>
  <bookViews>
    <workbookView xWindow="9762" yWindow="0" windowWidth="13278" windowHeight="11970" tabRatio="842" firstSheet="6" activeTab="8" xr2:uid="{00000000-000D-0000-FFFF-FFFF00000000}"/>
  </bookViews>
  <sheets>
    <sheet name="USDA Budget Summary" sheetId="28" r:id="rId1"/>
    <sheet name="Detailed Budget" sheetId="42" r:id="rId2"/>
    <sheet name="Admin" sheetId="43" r:id="rId3"/>
    <sheet name="Activity 1" sheetId="44" r:id="rId4"/>
    <sheet name="Activity 2" sheetId="45" r:id="rId5"/>
    <sheet name="Activity 3" sheetId="46" r:id="rId6"/>
    <sheet name="CABI Sub Budget" sheetId="48" r:id="rId7"/>
    <sheet name="USSEC Sub Budget" sheetId="47" r:id="rId8"/>
    <sheet name="Program Budget" sheetId="4" r:id="rId9"/>
    <sheet name="Indirect Calculations" sheetId="41" state="hidden" r:id="rId10"/>
    <sheet name="LOE Breakdown by Year" sheetId="30" state="hidden" r:id="rId11"/>
    <sheet name="Personnel &amp; LOE Summary" sheetId="39" state="hidden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</externalReferences>
  <definedNames>
    <definedName name="\A" localSheetId="6">#REF!</definedName>
    <definedName name="\A" localSheetId="7">#REF!</definedName>
    <definedName name="\A">#REF!</definedName>
    <definedName name="\P" localSheetId="6">#REF!</definedName>
    <definedName name="\P" localSheetId="7">#REF!</definedName>
    <definedName name="\P">#REF!</definedName>
    <definedName name="\S" localSheetId="6">#REF!</definedName>
    <definedName name="\S" localSheetId="7">#REF!</definedName>
    <definedName name="\S">#REF!</definedName>
    <definedName name="_" localSheetId="6" hidden="1">[1]IPA!#REF!</definedName>
    <definedName name="_" localSheetId="7" hidden="1">[1]IPA!#REF!</definedName>
    <definedName name="_" hidden="1">[1]IPA!#REF!</definedName>
    <definedName name="__" localSheetId="6" hidden="1">[2]IPA!#REF!</definedName>
    <definedName name="__" localSheetId="7" hidden="1">[2]IPA!#REF!</definedName>
    <definedName name="__" hidden="1">[2]IPA!#REF!</definedName>
    <definedName name="___" localSheetId="6" hidden="1">[1]IPA!#REF!</definedName>
    <definedName name="___" localSheetId="7" hidden="1">[1]IPA!#REF!</definedName>
    <definedName name="___" hidden="1">[1]IPA!#REF!</definedName>
    <definedName name="_______sho1" localSheetId="6">'[3]Detailed Budget-SAVE'!#REF!</definedName>
    <definedName name="_______sho1" localSheetId="7">'[3]Detailed Budget-SAVE'!#REF!</definedName>
    <definedName name="_______sho1">'[3]Detailed Budget-SAVE'!#REF!</definedName>
    <definedName name="__1_0__123Grap" localSheetId="3" hidden="1">#REF!</definedName>
    <definedName name="__1_0__123Grap" localSheetId="4" hidden="1">#REF!</definedName>
    <definedName name="__1_0__123Grap" localSheetId="5" hidden="1">#REF!</definedName>
    <definedName name="__1_0__123Grap" localSheetId="2" hidden="1">#REF!</definedName>
    <definedName name="__1_0__123Grap" localSheetId="6" hidden="1">#REF!</definedName>
    <definedName name="__1_0__123Grap" localSheetId="1" hidden="1">#REF!</definedName>
    <definedName name="__1_0__123Grap" localSheetId="7" hidden="1">#REF!</definedName>
    <definedName name="__1_0__123Grap" hidden="1">#REF!</definedName>
    <definedName name="__123Graph_A" localSheetId="6" hidden="1">[2]IPA!#REF!</definedName>
    <definedName name="__123Graph_A" localSheetId="7" hidden="1">[2]IPA!#REF!</definedName>
    <definedName name="__123Graph_A" hidden="1">[2]IPA!#REF!</definedName>
    <definedName name="__123Graph_B" localSheetId="6" hidden="1">[2]IPA!#REF!</definedName>
    <definedName name="__123Graph_B" localSheetId="7" hidden="1">[2]IPA!#REF!</definedName>
    <definedName name="__123Graph_B" hidden="1">[2]IPA!#REF!</definedName>
    <definedName name="__123Graph_C" localSheetId="6" hidden="1">[2]IPA!#REF!</definedName>
    <definedName name="__123Graph_C" localSheetId="7" hidden="1">[2]IPA!#REF!</definedName>
    <definedName name="__123Graph_C" hidden="1">[2]IPA!#REF!</definedName>
    <definedName name="__2DAI_1">#N/A</definedName>
    <definedName name="__3FEE">#N/A</definedName>
    <definedName name="__AFP1">#N/A</definedName>
    <definedName name="__AFP2">#N/A</definedName>
    <definedName name="__AFP3">#N/A</definedName>
    <definedName name="__AFP4">#N/A</definedName>
    <definedName name="__AMP1">#N/A</definedName>
    <definedName name="__AMP2">#N/A</definedName>
    <definedName name="__AMP3">#N/A</definedName>
    <definedName name="__AMP4">#N/A</definedName>
    <definedName name="__B" localSheetId="6" hidden="1">[2]IPA!#REF!</definedName>
    <definedName name="__B" localSheetId="7" hidden="1">[2]IPA!#REF!</definedName>
    <definedName name="__B" hidden="1">[2]IPA!#REF!</definedName>
    <definedName name="__C" hidden="1">[2]IPA!#REF!</definedName>
    <definedName name="__DAI4">#N/A</definedName>
    <definedName name="__EES1">#N/A</definedName>
    <definedName name="__EES2">#N/A</definedName>
    <definedName name="__EES3">#N/A</definedName>
    <definedName name="__EES4">#N/A</definedName>
    <definedName name="__EXT1">#N/A</definedName>
    <definedName name="__EXT2">#N/A</definedName>
    <definedName name="__EXT3">#N/A</definedName>
    <definedName name="__EXT4">#N/A</definedName>
    <definedName name="__FCP1">#N/A</definedName>
    <definedName name="__FCP2">#N/A</definedName>
    <definedName name="__FCP3">#N/A</definedName>
    <definedName name="__FCP4">#N/A</definedName>
    <definedName name="__FRI1">#N/A</definedName>
    <definedName name="__FRI4">#N/A</definedName>
    <definedName name="__HRA1">#N/A</definedName>
    <definedName name="__HRA2">#N/A</definedName>
    <definedName name="__HRA3">#N/A</definedName>
    <definedName name="__HRA4">#N/A</definedName>
    <definedName name="__inf1">#REF!</definedName>
    <definedName name="__KEY2" localSheetId="3" hidden="1">#REF!</definedName>
    <definedName name="__KEY2" localSheetId="4" hidden="1">#REF!</definedName>
    <definedName name="__KEY2" localSheetId="5" hidden="1">#REF!</definedName>
    <definedName name="__KEY2" localSheetId="2" hidden="1">#REF!</definedName>
    <definedName name="__KEY2" localSheetId="6" hidden="1">#REF!</definedName>
    <definedName name="__KEY2" localSheetId="1" hidden="1">#REF!</definedName>
    <definedName name="__KEY2" localSheetId="7" hidden="1">#REF!</definedName>
    <definedName name="__KEY2" hidden="1">#REF!</definedName>
    <definedName name="__LT4">[4]Parameters!$B$40</definedName>
    <definedName name="__ODC1">#N/A</definedName>
    <definedName name="__ODC2">#N/A</definedName>
    <definedName name="__POL1">#N/A</definedName>
    <definedName name="__POL2">#N/A</definedName>
    <definedName name="__POL3">#N/A</definedName>
    <definedName name="__POL4">#N/A</definedName>
    <definedName name="__TOT1">#N/A</definedName>
    <definedName name="__TOT2">#N/A</definedName>
    <definedName name="__TRV1">#N/A</definedName>
    <definedName name="__TRV2">#N/A</definedName>
    <definedName name="_060">#REF!</definedName>
    <definedName name="_1_0__123Grap" localSheetId="3" hidden="1">#REF!</definedName>
    <definedName name="_1_0__123Grap" localSheetId="4" hidden="1">#REF!</definedName>
    <definedName name="_1_0__123Grap" localSheetId="5" hidden="1">#REF!</definedName>
    <definedName name="_1_0__123Grap" localSheetId="2" hidden="1">#REF!</definedName>
    <definedName name="_1_0__123Grap" localSheetId="6" hidden="1">#REF!</definedName>
    <definedName name="_1_0__123Grap" localSheetId="1" hidden="1">#REF!</definedName>
    <definedName name="_1_0__123Grap" localSheetId="7" hidden="1">#REF!</definedName>
    <definedName name="_1_0__123Grap" hidden="1">#REF!</definedName>
    <definedName name="_1_1">#REF!</definedName>
    <definedName name="_13th_and_14th_month">[5]Parameters!$D$62</definedName>
    <definedName name="_2__123Graph_ACHART_3" hidden="1">[6]Rates!$C$3:$P$3</definedName>
    <definedName name="_2_0__123Grap" hidden="1">#REF!</definedName>
    <definedName name="_2_1034">#REF!</definedName>
    <definedName name="_2DAI_1">#N/A</definedName>
    <definedName name="_3_0__123Grap" hidden="1">#REF!</definedName>
    <definedName name="_3_1440">#REF!</definedName>
    <definedName name="_3FEE">#N/A</definedName>
    <definedName name="_4__123Graph_BCHART_3" hidden="1">[6]Rates!$C$4:$P$4</definedName>
    <definedName name="_4_0__123Grap" hidden="1">#REF!</definedName>
    <definedName name="_4_2">#REF!</definedName>
    <definedName name="_5_3">#REF!</definedName>
    <definedName name="_6__123Graph_XCHART_3" hidden="1">[6]Rates!$C$2:$P$2</definedName>
    <definedName name="_8_0__123Grap" hidden="1">#REF!</definedName>
    <definedName name="_AFP1">#N/A</definedName>
    <definedName name="_AFP2">#N/A</definedName>
    <definedName name="_AFP3">#N/A</definedName>
    <definedName name="_AFP4">#N/A</definedName>
    <definedName name="_AMP1">#N/A</definedName>
    <definedName name="_AMP2">#N/A</definedName>
    <definedName name="_AMP3">#N/A</definedName>
    <definedName name="_AMP4">#N/A</definedName>
    <definedName name="_DAI4">#N/A</definedName>
    <definedName name="_EES1">#N/A</definedName>
    <definedName name="_EES2">#N/A</definedName>
    <definedName name="_EES3">#N/A</definedName>
    <definedName name="_EES4">#N/A</definedName>
    <definedName name="_EXT1">#N/A</definedName>
    <definedName name="_EXT2">#N/A</definedName>
    <definedName name="_EXT3">#N/A</definedName>
    <definedName name="_EXT4">#N/A</definedName>
    <definedName name="_FCP1">#N/A</definedName>
    <definedName name="_FCP2">#N/A</definedName>
    <definedName name="_FCP3">#N/A</definedName>
    <definedName name="_FCP4">#N/A</definedName>
    <definedName name="_FRI1">#N/A</definedName>
    <definedName name="_FRI4">#N/A</definedName>
    <definedName name="_hos1">[7]Parameters!$A$433</definedName>
    <definedName name="_hos10">[7]Parameters!$A$442</definedName>
    <definedName name="_hos11">[7]Parameters!$A$443</definedName>
    <definedName name="_hos12">[7]Parameters!$A$444</definedName>
    <definedName name="_hos13">[7]Parameters!$A$445</definedName>
    <definedName name="_hos14">[7]Parameters!$A$446</definedName>
    <definedName name="_hos15">[7]Parameters!$A$447</definedName>
    <definedName name="_hos16">[7]Parameters!$A$448</definedName>
    <definedName name="_hos17">[7]Parameters!$A$449</definedName>
    <definedName name="_hos18">[7]Parameters!$A$450</definedName>
    <definedName name="_hos19">[7]Parameters!$A$451</definedName>
    <definedName name="_hos2">[7]Parameters!$A$434</definedName>
    <definedName name="_hos20">[7]Parameters!$A$452</definedName>
    <definedName name="_hos21">[7]Parameters!$A$453</definedName>
    <definedName name="_hos3">[7]Parameters!$A$435</definedName>
    <definedName name="_hos4">[7]Parameters!$A$436</definedName>
    <definedName name="_hos5">[7]Parameters!$A$437</definedName>
    <definedName name="_hos6">[7]Parameters!$A$438</definedName>
    <definedName name="_hos7">[7]Parameters!$A$439</definedName>
    <definedName name="_hos8">[7]Parameters!$A$440</definedName>
    <definedName name="_hos9">[7]Parameters!$A$441</definedName>
    <definedName name="_HRA1">#N/A</definedName>
    <definedName name="_HRA2">#N/A</definedName>
    <definedName name="_HRA3">#N/A</definedName>
    <definedName name="_HRA4">#N/A</definedName>
    <definedName name="_inf1">#REF!</definedName>
    <definedName name="_Key1" localSheetId="3" hidden="1">#REF!</definedName>
    <definedName name="_Key1" localSheetId="4" hidden="1">#REF!</definedName>
    <definedName name="_Key1" localSheetId="5" hidden="1">#REF!</definedName>
    <definedName name="_Key1" localSheetId="2" hidden="1">#REF!</definedName>
    <definedName name="_Key1" localSheetId="6" hidden="1">#REF!</definedName>
    <definedName name="_Key1" localSheetId="1" hidden="1">#REF!</definedName>
    <definedName name="_Key1" localSheetId="7" hidden="1">#REF!</definedName>
    <definedName name="_Key1" hidden="1">#REF!</definedName>
    <definedName name="_key2" hidden="1">#REF!</definedName>
    <definedName name="_ldfkjañsdl" hidden="1">'[8]sample labor calc'!#REF!</definedName>
    <definedName name="_LT4">[4]Parameters!$B$40</definedName>
    <definedName name="_no1" localSheetId="3" hidden="1">{#N/A,#N/A,FALSE,"ManLoading"}</definedName>
    <definedName name="_no1" localSheetId="4" hidden="1">{#N/A,#N/A,FALSE,"ManLoading"}</definedName>
    <definedName name="_no1" localSheetId="5" hidden="1">{#N/A,#N/A,FALSE,"ManLoading"}</definedName>
    <definedName name="_no1" localSheetId="2" hidden="1">{#N/A,#N/A,FALSE,"ManLoading"}</definedName>
    <definedName name="_no1" localSheetId="6" hidden="1">{#N/A,#N/A,FALSE,"ManLoading"}</definedName>
    <definedName name="_no1" localSheetId="7" hidden="1">{#N/A,#N/A,FALSE,"ManLoading"}</definedName>
    <definedName name="_no1" hidden="1">{#N/A,#N/A,FALSE,"ManLoading"}</definedName>
    <definedName name="_odc1" localSheetId="3" hidden="1">{#N/A,#N/A,FALSE,"ManLoading"}</definedName>
    <definedName name="_odc1" localSheetId="4" hidden="1">{#N/A,#N/A,FALSE,"ManLoading"}</definedName>
    <definedName name="_odc1" localSheetId="5" hidden="1">{#N/A,#N/A,FALSE,"ManLoading"}</definedName>
    <definedName name="_odc1" localSheetId="2" hidden="1">{#N/A,#N/A,FALSE,"ManLoading"}</definedName>
    <definedName name="_odc1" localSheetId="6" hidden="1">{#N/A,#N/A,FALSE,"ManLoading"}</definedName>
    <definedName name="_odc1" localSheetId="1" hidden="1">{#N/A,#N/A,FALSE,"ManLoading"}</definedName>
    <definedName name="_odc1" localSheetId="7" hidden="1">{#N/A,#N/A,FALSE,"ManLoading"}</definedName>
    <definedName name="_odc1" hidden="1">{#N/A,#N/A,FALSE,"ManLoading"}</definedName>
    <definedName name="_odc2" localSheetId="3" hidden="1">{#N/A,#N/A,FALSE,"ManLoading"}</definedName>
    <definedName name="_odc2" localSheetId="4" hidden="1">{#N/A,#N/A,FALSE,"ManLoading"}</definedName>
    <definedName name="_odc2" localSheetId="5" hidden="1">{#N/A,#N/A,FALSE,"ManLoading"}</definedName>
    <definedName name="_odc2" localSheetId="2" hidden="1">{#N/A,#N/A,FALSE,"ManLoading"}</definedName>
    <definedName name="_odc2" localSheetId="6" hidden="1">{#N/A,#N/A,FALSE,"ManLoading"}</definedName>
    <definedName name="_odc2" localSheetId="1" hidden="1">{#N/A,#N/A,FALSE,"ManLoading"}</definedName>
    <definedName name="_odc2" localSheetId="7" hidden="1">{#N/A,#N/A,FALSE,"ManLoading"}</definedName>
    <definedName name="_odc2" hidden="1">{#N/A,#N/A,FALSE,"ManLoading"}</definedName>
    <definedName name="_Order1" hidden="1">255</definedName>
    <definedName name="_Order2" hidden="1">255</definedName>
    <definedName name="_POL1">#N/A</definedName>
    <definedName name="_POL2">#N/A</definedName>
    <definedName name="_POL3">#N/A</definedName>
    <definedName name="_POL4">#N/A</definedName>
    <definedName name="_sho1">'[3]Detailed Budget-SAVE'!#REF!</definedName>
    <definedName name="_Sort" localSheetId="3" hidden="1">#REF!</definedName>
    <definedName name="_Sort" localSheetId="4" hidden="1">#REF!</definedName>
    <definedName name="_Sort" localSheetId="5" hidden="1">#REF!</definedName>
    <definedName name="_Sort" localSheetId="2" hidden="1">#REF!</definedName>
    <definedName name="_Sort" localSheetId="6" hidden="1">#REF!</definedName>
    <definedName name="_Sort" localSheetId="1" hidden="1">#REF!</definedName>
    <definedName name="_Sort" localSheetId="7" hidden="1">#REF!</definedName>
    <definedName name="_Sort" hidden="1">#REF!</definedName>
    <definedName name="_sort1" localSheetId="3" hidden="1">#REF!</definedName>
    <definedName name="_sort1" localSheetId="4" hidden="1">#REF!</definedName>
    <definedName name="_sort1" localSheetId="5" hidden="1">#REF!</definedName>
    <definedName name="_sort1" localSheetId="2" hidden="1">#REF!</definedName>
    <definedName name="_sort1" localSheetId="6" hidden="1">#REF!</definedName>
    <definedName name="_sort1" localSheetId="1" hidden="1">#REF!</definedName>
    <definedName name="_sort1" localSheetId="7" hidden="1">#REF!</definedName>
    <definedName name="_sort1" hidden="1">#REF!</definedName>
    <definedName name="_sub10">[7]Parameters!$H$26</definedName>
    <definedName name="_tcn1">[7]Parameters!$A$117</definedName>
    <definedName name="_tcn10">[7]Parameters!$A$126</definedName>
    <definedName name="_tcn2">[7]Parameters!$A$118</definedName>
    <definedName name="_tcn3">[7]Parameters!$A$119</definedName>
    <definedName name="_tcn4">[7]Parameters!$A$120</definedName>
    <definedName name="_tcn5">[7]Parameters!$A$121</definedName>
    <definedName name="_tcn6">[7]Parameters!$A$122</definedName>
    <definedName name="_tcn7">[7]Parameters!$A$123</definedName>
    <definedName name="_tcn8">[7]Parameters!$A$124</definedName>
    <definedName name="_tcn9">[7]Parameters!$A$125</definedName>
    <definedName name="_TOT1">#N/A</definedName>
    <definedName name="_TOT2">#N/A</definedName>
    <definedName name="_TRV1">#N/A</definedName>
    <definedName name="_TRV2">#N/A</definedName>
    <definedName name="_us1">[7]Parameters!$A$39</definedName>
    <definedName name="_us10">[7]Parameters!$A$48</definedName>
    <definedName name="_us11">[7]Parameters!$A$49</definedName>
    <definedName name="_us12">[7]Parameters!$A$50</definedName>
    <definedName name="_us13">[7]Parameters!$A$51</definedName>
    <definedName name="_us14">[7]Parameters!$A$52</definedName>
    <definedName name="_us15">[7]Parameters!$A$53</definedName>
    <definedName name="_us16">[7]Parameters!$A$54</definedName>
    <definedName name="_us17">[7]Parameters!$A$55</definedName>
    <definedName name="_us18">[7]Parameters!$A$56</definedName>
    <definedName name="_us19">[7]Parameters!$A$57</definedName>
    <definedName name="_us2">[7]Parameters!$A$40</definedName>
    <definedName name="_us20">[7]Parameters!$A$58</definedName>
    <definedName name="_us21">[7]Parameters!$A$59</definedName>
    <definedName name="_us22">[7]Parameters!$A$60</definedName>
    <definedName name="_us23">[7]Parameters!$A$61</definedName>
    <definedName name="_us24">[7]Parameters!$A$62</definedName>
    <definedName name="_us25">[7]Parameters!$A$63</definedName>
    <definedName name="_us26">[7]Parameters!$A$64</definedName>
    <definedName name="_us27">[7]Parameters!$A$65</definedName>
    <definedName name="_us28">[7]Parameters!$A$66</definedName>
    <definedName name="_us29">[7]Parameters!$A$67</definedName>
    <definedName name="_us3">[7]Parameters!$A$41</definedName>
    <definedName name="_us30">[7]Parameters!$A$68</definedName>
    <definedName name="_us31">[7]Parameters!$A$69</definedName>
    <definedName name="_us32">[7]Parameters!$A$70</definedName>
    <definedName name="_us33">[7]Parameters!$A$71</definedName>
    <definedName name="_us34">[7]Parameters!$A$72</definedName>
    <definedName name="_us35">[7]Parameters!$A$73</definedName>
    <definedName name="_us36">[7]Parameters!$A$74</definedName>
    <definedName name="_us37">[7]Parameters!$A$75</definedName>
    <definedName name="_us38">[7]Parameters!$A$76</definedName>
    <definedName name="_us39">[7]Parameters!$A$77</definedName>
    <definedName name="_us4">[7]Parameters!$A$42</definedName>
    <definedName name="_us40">[7]Parameters!$A$78</definedName>
    <definedName name="_us41">[7]Parameters!$A$79</definedName>
    <definedName name="_us42">[7]Parameters!$A$80</definedName>
    <definedName name="_us43">[7]Parameters!$A$81</definedName>
    <definedName name="_us44">[7]Parameters!$A$82</definedName>
    <definedName name="_us45">[7]Parameters!$A$83</definedName>
    <definedName name="_us46">[7]Parameters!$A$84</definedName>
    <definedName name="_us47">[7]Parameters!$A$85</definedName>
    <definedName name="_us48">[7]Parameters!$A$86</definedName>
    <definedName name="_us49">[7]Parameters!$A$87</definedName>
    <definedName name="_us5">[7]Parameters!$A$43</definedName>
    <definedName name="_us50">[7]Parameters!$A$88</definedName>
    <definedName name="_us51">[7]Parameters!$A$89</definedName>
    <definedName name="_us52">[7]Parameters!$A$90</definedName>
    <definedName name="_us53">[7]Parameters!$A$91</definedName>
    <definedName name="_us54">[7]Parameters!$A$92</definedName>
    <definedName name="_us55">[7]Parameters!$A$93</definedName>
    <definedName name="_us56">[7]Parameters!$A$94</definedName>
    <definedName name="_us57">[7]Parameters!$A$95</definedName>
    <definedName name="_us58">[7]Parameters!$A$96</definedName>
    <definedName name="_us59">[7]Parameters!$A$97</definedName>
    <definedName name="_us6">[7]Parameters!$A$44</definedName>
    <definedName name="_us60">[7]Parameters!$A$98</definedName>
    <definedName name="_us61">[7]Parameters!$A$99</definedName>
    <definedName name="_us62">[7]Parameters!$A$100</definedName>
    <definedName name="_us63">[7]Parameters!$A$101</definedName>
    <definedName name="_us64">[7]Parameters!$A$102</definedName>
    <definedName name="_us65">[7]Parameters!$A$103</definedName>
    <definedName name="_us66">[7]Parameters!$A$104</definedName>
    <definedName name="_us67">[7]Parameters!$A$105</definedName>
    <definedName name="_us68">[7]Parameters!$A$106</definedName>
    <definedName name="_us69">[7]Parameters!$A$107</definedName>
    <definedName name="_us7">[7]Parameters!$A$45</definedName>
    <definedName name="_us70">[7]Parameters!$A$108</definedName>
    <definedName name="_us71">[7]Parameters!$A$109</definedName>
    <definedName name="_us72">[7]Parameters!$A$110</definedName>
    <definedName name="_us73">[7]Parameters!$A$111</definedName>
    <definedName name="_us74">[7]Parameters!$A$112</definedName>
    <definedName name="_us75">[7]Parameters!$A$113</definedName>
    <definedName name="_us8">[7]Parameters!$A$46</definedName>
    <definedName name="_us9">[7]Parameters!$A$47</definedName>
    <definedName name="a" localSheetId="6">'[9]PO 484CR'!#REF!</definedName>
    <definedName name="a" localSheetId="7">'[9]PO 484CR'!#REF!</definedName>
    <definedName name="a">'[10]PO 484CR'!#REF!</definedName>
    <definedName name="Abbiz51">[11]RATES!#REF!</definedName>
    <definedName name="Abbiz52">[11]RATES!#REF!</definedName>
    <definedName name="ABT">#N/A</definedName>
    <definedName name="ACC">[12]Sheet2!$B$2:$C$496</definedName>
    <definedName name="Access_Button" hidden="1">"FIGBUS_FIGBUS_List"</definedName>
    <definedName name="AccessDatabase" hidden="1">"W:\WPFILES\GB759\EXCEL\FIGBUS.mdb"</definedName>
    <definedName name="ACT">#N/A</definedName>
    <definedName name="adf" localSheetId="3" hidden="1">{"PAGE1",#N/A,FALSE,"CPFFMSTR";"PAGE2",#N/A,FALSE,"CPFFMSTR"}</definedName>
    <definedName name="adf" localSheetId="4" hidden="1">{"PAGE1",#N/A,FALSE,"CPFFMSTR";"PAGE2",#N/A,FALSE,"CPFFMSTR"}</definedName>
    <definedName name="adf" localSheetId="5" hidden="1">{"PAGE1",#N/A,FALSE,"CPFFMSTR";"PAGE2",#N/A,FALSE,"CPFFMSTR"}</definedName>
    <definedName name="adf" localSheetId="2" hidden="1">{"PAGE1",#N/A,FALSE,"CPFFMSTR";"PAGE2",#N/A,FALSE,"CPFFMSTR"}</definedName>
    <definedName name="adf" localSheetId="6" hidden="1">{"PAGE1",#N/A,FALSE,"CPFFMSTR";"PAGE2",#N/A,FALSE,"CPFFMSTR"}</definedName>
    <definedName name="adf" localSheetId="1" hidden="1">{"PAGE1",#N/A,FALSE,"CPFFMSTR";"PAGE2",#N/A,FALSE,"CPFFMSTR"}</definedName>
    <definedName name="adf" localSheetId="7" hidden="1">{"PAGE1",#N/A,FALSE,"CPFFMSTR";"PAGE2",#N/A,FALSE,"CPFFMSTR"}</definedName>
    <definedName name="adf" hidden="1">{"PAGE1",#N/A,FALSE,"CPFFMSTR";"PAGE2",#N/A,FALSE,"CPFFMSTR"}</definedName>
    <definedName name="adfsdaf" localSheetId="3" hidden="1">{"PAGE1",#N/A,FALSE,"CPFFMSTR";"PAGE2",#N/A,FALSE,"CPFFMSTR"}</definedName>
    <definedName name="adfsdaf" localSheetId="4" hidden="1">{"PAGE1",#N/A,FALSE,"CPFFMSTR";"PAGE2",#N/A,FALSE,"CPFFMSTR"}</definedName>
    <definedName name="adfsdaf" localSheetId="5" hidden="1">{"PAGE1",#N/A,FALSE,"CPFFMSTR";"PAGE2",#N/A,FALSE,"CPFFMSTR"}</definedName>
    <definedName name="adfsdaf" localSheetId="2" hidden="1">{"PAGE1",#N/A,FALSE,"CPFFMSTR";"PAGE2",#N/A,FALSE,"CPFFMSTR"}</definedName>
    <definedName name="adfsdaf" localSheetId="6" hidden="1">{"PAGE1",#N/A,FALSE,"CPFFMSTR";"PAGE2",#N/A,FALSE,"CPFFMSTR"}</definedName>
    <definedName name="adfsdaf" localSheetId="1" hidden="1">{"PAGE1",#N/A,FALSE,"CPFFMSTR";"PAGE2",#N/A,FALSE,"CPFFMSTR"}</definedName>
    <definedName name="adfsdaf" localSheetId="7" hidden="1">{"PAGE1",#N/A,FALSE,"CPFFMSTR";"PAGE2",#N/A,FALSE,"CPFFMSTR"}</definedName>
    <definedName name="adfsdaf" hidden="1">{"PAGE1",#N/A,FALSE,"CPFFMSTR";"PAGE2",#N/A,FALSE,"CPFFMSTR"}</definedName>
    <definedName name="aer" localSheetId="3" hidden="1">{"PAGE1",#N/A,FALSE,"CPFFMSTR";"PAGE2",#N/A,FALSE,"CPFFMSTR"}</definedName>
    <definedName name="aer" localSheetId="4" hidden="1">{"PAGE1",#N/A,FALSE,"CPFFMSTR";"PAGE2",#N/A,FALSE,"CPFFMSTR"}</definedName>
    <definedName name="aer" localSheetId="5" hidden="1">{"PAGE1",#N/A,FALSE,"CPFFMSTR";"PAGE2",#N/A,FALSE,"CPFFMSTR"}</definedName>
    <definedName name="aer" localSheetId="2" hidden="1">{"PAGE1",#N/A,FALSE,"CPFFMSTR";"PAGE2",#N/A,FALSE,"CPFFMSTR"}</definedName>
    <definedName name="aer" localSheetId="6" hidden="1">{"PAGE1",#N/A,FALSE,"CPFFMSTR";"PAGE2",#N/A,FALSE,"CPFFMSTR"}</definedName>
    <definedName name="aer" localSheetId="1" hidden="1">{"PAGE1",#N/A,FALSE,"CPFFMSTR";"PAGE2",#N/A,FALSE,"CPFFMSTR"}</definedName>
    <definedName name="aer" localSheetId="7" hidden="1">{"PAGE1",#N/A,FALSE,"CPFFMSTR";"PAGE2",#N/A,FALSE,"CPFFMSTR"}</definedName>
    <definedName name="aer" hidden="1">{"PAGE1",#N/A,FALSE,"CPFFMSTR";"PAGE2",#N/A,FALSE,"CPFFMSTR"}</definedName>
    <definedName name="aer3e" localSheetId="3" hidden="1">{"PAGE1",#N/A,FALSE,"CPFFMSTR";"PAGE2",#N/A,FALSE,"CPFFMSTR"}</definedName>
    <definedName name="aer3e" localSheetId="4" hidden="1">{"PAGE1",#N/A,FALSE,"CPFFMSTR";"PAGE2",#N/A,FALSE,"CPFFMSTR"}</definedName>
    <definedName name="aer3e" localSheetId="5" hidden="1">{"PAGE1",#N/A,FALSE,"CPFFMSTR";"PAGE2",#N/A,FALSE,"CPFFMSTR"}</definedName>
    <definedName name="aer3e" localSheetId="2" hidden="1">{"PAGE1",#N/A,FALSE,"CPFFMSTR";"PAGE2",#N/A,FALSE,"CPFFMSTR"}</definedName>
    <definedName name="aer3e" localSheetId="6" hidden="1">{"PAGE1",#N/A,FALSE,"CPFFMSTR";"PAGE2",#N/A,FALSE,"CPFFMSTR"}</definedName>
    <definedName name="aer3e" localSheetId="1" hidden="1">{"PAGE1",#N/A,FALSE,"CPFFMSTR";"PAGE2",#N/A,FALSE,"CPFFMSTR"}</definedName>
    <definedName name="aer3e" localSheetId="7" hidden="1">{"PAGE1",#N/A,FALSE,"CPFFMSTR";"PAGE2",#N/A,FALSE,"CPFFMSTR"}</definedName>
    <definedName name="aer3e" hidden="1">{"PAGE1",#N/A,FALSE,"CPFFMSTR";"PAGE2",#N/A,FALSE,"CPFFMSTR"}</definedName>
    <definedName name="aere" localSheetId="3" hidden="1">{"PAGE1",#N/A,FALSE,"CPFFMSTR";"PAGE2",#N/A,FALSE,"CPFFMSTR"}</definedName>
    <definedName name="aere" localSheetId="4" hidden="1">{"PAGE1",#N/A,FALSE,"CPFFMSTR";"PAGE2",#N/A,FALSE,"CPFFMSTR"}</definedName>
    <definedName name="aere" localSheetId="5" hidden="1">{"PAGE1",#N/A,FALSE,"CPFFMSTR";"PAGE2",#N/A,FALSE,"CPFFMSTR"}</definedName>
    <definedName name="aere" localSheetId="2" hidden="1">{"PAGE1",#N/A,FALSE,"CPFFMSTR";"PAGE2",#N/A,FALSE,"CPFFMSTR"}</definedName>
    <definedName name="aere" localSheetId="6" hidden="1">{"PAGE1",#N/A,FALSE,"CPFFMSTR";"PAGE2",#N/A,FALSE,"CPFFMSTR"}</definedName>
    <definedName name="aere" localSheetId="1" hidden="1">{"PAGE1",#N/A,FALSE,"CPFFMSTR";"PAGE2",#N/A,FALSE,"CPFFMSTR"}</definedName>
    <definedName name="aere" localSheetId="7" hidden="1">{"PAGE1",#N/A,FALSE,"CPFFMSTR";"PAGE2",#N/A,FALSE,"CPFFMSTR"}</definedName>
    <definedName name="aere" hidden="1">{"PAGE1",#N/A,FALSE,"CPFFMSTR";"PAGE2",#N/A,FALSE,"CPFFMSTR"}</definedName>
    <definedName name="aesre" localSheetId="3" hidden="1">{"PAGE1",#N/A,FALSE,"CPFFMSTR";"PAGE2",#N/A,FALSE,"CPFFMSTR"}</definedName>
    <definedName name="aesre" localSheetId="4" hidden="1">{"PAGE1",#N/A,FALSE,"CPFFMSTR";"PAGE2",#N/A,FALSE,"CPFFMSTR"}</definedName>
    <definedName name="aesre" localSheetId="5" hidden="1">{"PAGE1",#N/A,FALSE,"CPFFMSTR";"PAGE2",#N/A,FALSE,"CPFFMSTR"}</definedName>
    <definedName name="aesre" localSheetId="2" hidden="1">{"PAGE1",#N/A,FALSE,"CPFFMSTR";"PAGE2",#N/A,FALSE,"CPFFMSTR"}</definedName>
    <definedName name="aesre" localSheetId="6" hidden="1">{"PAGE1",#N/A,FALSE,"CPFFMSTR";"PAGE2",#N/A,FALSE,"CPFFMSTR"}</definedName>
    <definedName name="aesre" localSheetId="1" hidden="1">{"PAGE1",#N/A,FALSE,"CPFFMSTR";"PAGE2",#N/A,FALSE,"CPFFMSTR"}</definedName>
    <definedName name="aesre" localSheetId="7" hidden="1">{"PAGE1",#N/A,FALSE,"CPFFMSTR";"PAGE2",#N/A,FALSE,"CPFFMSTR"}</definedName>
    <definedName name="aesre" hidden="1">{"PAGE1",#N/A,FALSE,"CPFFMSTR";"PAGE2",#N/A,FALSE,"CPFFMSTR"}</definedName>
    <definedName name="Agbiz11">[11]RATES!#REF!</definedName>
    <definedName name="Agbiz12">[11]RATES!#REF!</definedName>
    <definedName name="Agbiz13">[11]RATES!#REF!</definedName>
    <definedName name="Agbiz41">[11]RATES!#REF!</definedName>
    <definedName name="Agbiz42">[11]RATES!#REF!</definedName>
    <definedName name="Agbiz43">[11]RATES!#REF!</definedName>
    <definedName name="Agbiz51">[11]RATES!#REF!</definedName>
    <definedName name="Agbiz52">[11]RATES!#REF!</definedName>
    <definedName name="Agbiz53">[11]RATES!#REF!</definedName>
    <definedName name="AGCOSTS">#REF!</definedName>
    <definedName name="aidmax">[5]Parameters!$D$9</definedName>
    <definedName name="Airfare_Consultants">#REF!</definedName>
    <definedName name="Airfare_Homeleave">#REF!</definedName>
    <definedName name="airshipment">[13]Sheet1!$C$41</definedName>
    <definedName name="ALL">#REF!</definedName>
    <definedName name="Allowances">'[14]INPUTS Year 1'!$A$96:$A$96</definedName>
    <definedName name="ANAL">#REF!</definedName>
    <definedName name="Appointments">IF(LEN([15]calcs!$C$7:$N$43),COUNTIFS([15]!tblAppointments[DATE],[15]calcs!$C$7:$N$43,[15]!tblAppointments[DATE],"&gt;0"),0)</definedName>
    <definedName name="asd" hidden="1">[2]IPA!#REF!</definedName>
    <definedName name="asdf" localSheetId="3" hidden="1">{"PAGE1",#N/A,FALSE,"CPFFMSTR";"PAGE2",#N/A,FALSE,"CPFFMSTR"}</definedName>
    <definedName name="asdf" localSheetId="4" hidden="1">{"PAGE1",#N/A,FALSE,"CPFFMSTR";"PAGE2",#N/A,FALSE,"CPFFMSTR"}</definedName>
    <definedName name="asdf" localSheetId="5" hidden="1">{"PAGE1",#N/A,FALSE,"CPFFMSTR";"PAGE2",#N/A,FALSE,"CPFFMSTR"}</definedName>
    <definedName name="asdf" localSheetId="2" hidden="1">{"PAGE1",#N/A,FALSE,"CPFFMSTR";"PAGE2",#N/A,FALSE,"CPFFMSTR"}</definedName>
    <definedName name="asdf" localSheetId="6" hidden="1">{"PAGE1",#N/A,FALSE,"CPFFMSTR";"PAGE2",#N/A,FALSE,"CPFFMSTR"}</definedName>
    <definedName name="asdf" localSheetId="1" hidden="1">{"PAGE1",#N/A,FALSE,"CPFFMSTR";"PAGE2",#N/A,FALSE,"CPFFMSTR"}</definedName>
    <definedName name="asdf" localSheetId="7" hidden="1">{"PAGE1",#N/A,FALSE,"CPFFMSTR";"PAGE2",#N/A,FALSE,"CPFFMSTR"}</definedName>
    <definedName name="asdf" hidden="1">{"PAGE1",#N/A,FALSE,"CPFFMSTR";"PAGE2",#N/A,FALSE,"CPFFMSTR"}</definedName>
    <definedName name="asf">#REF!</definedName>
    <definedName name="ASI_Dec_1">#REF!</definedName>
    <definedName name="ASI_Dec_2">#REF!</definedName>
    <definedName name="ASI_Dec_3">#REF!</definedName>
    <definedName name="ASI_Dec_4">#REF!</definedName>
    <definedName name="ASI_Dec_5">#REF!</definedName>
    <definedName name="ASI_May_1">#REF!</definedName>
    <definedName name="ASI_May_2">#REF!</definedName>
    <definedName name="ASI_May_3">#REF!</definedName>
    <definedName name="ASI_May_4">#REF!</definedName>
    <definedName name="ASI_May_5">#REF!</definedName>
    <definedName name="ASI_Nov_1">#REF!</definedName>
    <definedName name="ASI_Nov_2">#REF!</definedName>
    <definedName name="ASI_nov_3">#REF!</definedName>
    <definedName name="ASI_Nov_4">#REF!</definedName>
    <definedName name="ASI_Nov_5">#REF!</definedName>
    <definedName name="ASU">#N/A</definedName>
    <definedName name="awardfee">#REF!</definedName>
    <definedName name="AWI_FACTOR_OPTION_YR1">[16]INDIRECTS!#REF!</definedName>
    <definedName name="AWI_FACTOR_OPTION_YR2">[16]INDIRECTS!#REF!</definedName>
    <definedName name="AWI_FACTOR_OPTION_YR3">[16]INDIRECTS!#REF!</definedName>
    <definedName name="AWI_FACTOR_OPTION_YR4">[16]INDIRECTS!#REF!</definedName>
    <definedName name="AWI_FACTOR_TABLE">[16]INDIRECTS!#REF!</definedName>
    <definedName name="AWU_FACTOR_OPTION_YR1B">[16]INDIRECTS!#REF!</definedName>
    <definedName name="bank_transfer">#REF!</definedName>
    <definedName name="BASA">#REF!</definedName>
    <definedName name="BASA1">#REF!</definedName>
    <definedName name="basefee">#REF!</definedName>
    <definedName name="BI">[17]Assumptions!$H$12</definedName>
    <definedName name="big">#REF!</definedName>
    <definedName name="bkodc">[13]Sheet1!$C$32</definedName>
    <definedName name="BRANTRAV">#REF!</definedName>
    <definedName name="budget">#REF!</definedName>
    <definedName name="Budget_years">#REF!</definedName>
    <definedName name="bver" localSheetId="3" hidden="1">{"PAGE1",#N/A,FALSE,"CPFFMSTR";"PAGE2",#N/A,FALSE,"CPFFMSTR"}</definedName>
    <definedName name="bver" localSheetId="4" hidden="1">{"PAGE1",#N/A,FALSE,"CPFFMSTR";"PAGE2",#N/A,FALSE,"CPFFMSTR"}</definedName>
    <definedName name="bver" localSheetId="5" hidden="1">{"PAGE1",#N/A,FALSE,"CPFFMSTR";"PAGE2",#N/A,FALSE,"CPFFMSTR"}</definedName>
    <definedName name="bver" localSheetId="2" hidden="1">{"PAGE1",#N/A,FALSE,"CPFFMSTR";"PAGE2",#N/A,FALSE,"CPFFMSTR"}</definedName>
    <definedName name="bver" localSheetId="6" hidden="1">{"PAGE1",#N/A,FALSE,"CPFFMSTR";"PAGE2",#N/A,FALSE,"CPFFMSTR"}</definedName>
    <definedName name="bver" localSheetId="1" hidden="1">{"PAGE1",#N/A,FALSE,"CPFFMSTR";"PAGE2",#N/A,FALSE,"CPFFMSTR"}</definedName>
    <definedName name="bver" localSheetId="7" hidden="1">{"PAGE1",#N/A,FALSE,"CPFFMSTR";"PAGE2",#N/A,FALSE,"CPFFMSTR"}</definedName>
    <definedName name="bver" hidden="1">{"PAGE1",#N/A,FALSE,"CPFFMSTR";"PAGE2",#N/A,FALSE,"CPFFMSTR"}</definedName>
    <definedName name="capital">[18]Parameters!$B$35</definedName>
    <definedName name="Cash_Table">'[19]Cash Receipt by Project'!$A:$EA</definedName>
    <definedName name="CCN">#N/A</definedName>
    <definedName name="CCN_Disount">#REF!</definedName>
    <definedName name="CGHY" localSheetId="3" hidden="1">{"PAGE1",#N/A,FALSE,"CPFFMSTR";"PAGE2",#N/A,FALSE,"CPFFMSTR"}</definedName>
    <definedName name="CGHY" localSheetId="4" hidden="1">{"PAGE1",#N/A,FALSE,"CPFFMSTR";"PAGE2",#N/A,FALSE,"CPFFMSTR"}</definedName>
    <definedName name="CGHY" localSheetId="5" hidden="1">{"PAGE1",#N/A,FALSE,"CPFFMSTR";"PAGE2",#N/A,FALSE,"CPFFMSTR"}</definedName>
    <definedName name="CGHY" localSheetId="2" hidden="1">{"PAGE1",#N/A,FALSE,"CPFFMSTR";"PAGE2",#N/A,FALSE,"CPFFMSTR"}</definedName>
    <definedName name="CGHY" localSheetId="6" hidden="1">{"PAGE1",#N/A,FALSE,"CPFFMSTR";"PAGE2",#N/A,FALSE,"CPFFMSTR"}</definedName>
    <definedName name="CGHY" localSheetId="1" hidden="1">{"PAGE1",#N/A,FALSE,"CPFFMSTR";"PAGE2",#N/A,FALSE,"CPFFMSTR"}</definedName>
    <definedName name="CGHY" localSheetId="7" hidden="1">{"PAGE1",#N/A,FALSE,"CPFFMSTR";"PAGE2",#N/A,FALSE,"CPFFMSTR"}</definedName>
    <definedName name="CGHY" hidden="1">{"PAGE1",#N/A,FALSE,"CPFFMSTR";"PAGE2",#N/A,FALSE,"CPFFMSTR"}</definedName>
    <definedName name="Chart_of_accounts">#REF!</definedName>
    <definedName name="ci">[5]Parameters!$B$2</definedName>
    <definedName name="CII">[13]Sheet1!$C$13</definedName>
    <definedName name="CLASS">[20]Classes!$B$2:$C$29</definedName>
    <definedName name="clin1">[7]Parameters!$B$10</definedName>
    <definedName name="clin1base">#REF!</definedName>
    <definedName name="clin1factor">'[5]CLIN factor'!$E$73</definedName>
    <definedName name="clin1oy1">#REF!</definedName>
    <definedName name="clin1oy2">#REF!</definedName>
    <definedName name="clin1oy3">#REF!</definedName>
    <definedName name="clin1oy4">#REF!</definedName>
    <definedName name="clin2">[7]Parameters!$B$11</definedName>
    <definedName name="clin2base">#REF!</definedName>
    <definedName name="clin2factor">'[5]CLIN factor'!$H$73</definedName>
    <definedName name="clin2oy1">#REF!</definedName>
    <definedName name="clin2oy2">#REF!</definedName>
    <definedName name="clin2oy3">#REF!</definedName>
    <definedName name="clin2oy4">#REF!</definedName>
    <definedName name="clin3">[7]Parameters!$B$12</definedName>
    <definedName name="clin3base">#REF!</definedName>
    <definedName name="clin3factor">'[5]CLIN factor'!$K$73</definedName>
    <definedName name="clin3oy1">#REF!</definedName>
    <definedName name="clin3oy2">#REF!</definedName>
    <definedName name="clin3oy3">#REF!</definedName>
    <definedName name="clin3oy4">#REF!</definedName>
    <definedName name="clin4">[7]Parameters!$B$13</definedName>
    <definedName name="clin5">[7]Parameters!$B$14</definedName>
    <definedName name="CoLA">'[21]Payroll August '!#REF!</definedName>
    <definedName name="comm">[5]Parameters!#REF!</definedName>
    <definedName name="Composite_Indirect_Rates_Year_1">[16]INDIRECTS!$T$3:$Y$15</definedName>
    <definedName name="Composite_Indirect_Rates_Year_2">[16]INDIRECTS!#REF!</definedName>
    <definedName name="Composite_Indirect_Rates_Year_3">[16]INDIRECTS!#REF!</definedName>
    <definedName name="Composite_Indirect_Rates_Year_4">[16]INDIRECTS!#REF!</definedName>
    <definedName name="Composite_Indirect_Rates_Year_5">[16]INDIRECTS!#REF!</definedName>
    <definedName name="COMSO" localSheetId="3" hidden="1">{#N/A,#N/A,FALSE,"Proposal"}</definedName>
    <definedName name="COMSO" localSheetId="4" hidden="1">{#N/A,#N/A,FALSE,"Proposal"}</definedName>
    <definedName name="COMSO" localSheetId="5" hidden="1">{#N/A,#N/A,FALSE,"Proposal"}</definedName>
    <definedName name="COMSO" localSheetId="2" hidden="1">{#N/A,#N/A,FALSE,"Proposal"}</definedName>
    <definedName name="COMSO" localSheetId="6" hidden="1">{#N/A,#N/A,FALSE,"Proposal"}</definedName>
    <definedName name="COMSO" localSheetId="7" hidden="1">{#N/A,#N/A,FALSE,"Proposal"}</definedName>
    <definedName name="COMSO" hidden="1">{#N/A,#N/A,FALSE,"Proposal"}</definedName>
    <definedName name="confperdiem">#REF!</definedName>
    <definedName name="Connscenario">'[22]Summary Budget'!$O$12:$V$12</definedName>
    <definedName name="Connscenariodata">'[22]Summary Budget'!$O$12:$V$13</definedName>
    <definedName name="Cons">[11]RATES!#REF!</definedName>
    <definedName name="ConsolidatedOld">#REF!</definedName>
    <definedName name="CONST">#REF!</definedName>
    <definedName name="CONSULT">#N/A</definedName>
    <definedName name="consumables">[13]Sheet1!$C$42</definedName>
    <definedName name="COOPERATIVE_LEAGUE_OF_THE_USA">#REF!</definedName>
    <definedName name="coptrip">[5]Parameters!$D$27</definedName>
    <definedName name="coptriplength">[5]Parameters!$D$28</definedName>
    <definedName name="Cost_Elements">[16]INDIRECTS!$T$2:$Y$2</definedName>
    <definedName name="COSTS">#N/A</definedName>
    <definedName name="COUNTRY">#N/A</definedName>
    <definedName name="countryinf">#REF!</definedName>
    <definedName name="cts">[5]Parameters!$D$63</definedName>
    <definedName name="currency2">#REF!</definedName>
    <definedName name="CurrencyCode">#REF!</definedName>
    <definedName name="Cut">#REF!</definedName>
    <definedName name="DAI">#N/A</definedName>
    <definedName name="daiInd">1.4*1.5*1.09</definedName>
    <definedName name="danger">[7]Parameters!$B$522</definedName>
    <definedName name="dangerpay">[5]Parameters!$D$57</definedName>
    <definedName name="Dartotalpd">[18]Parameters!$B$29</definedName>
    <definedName name="DATA">#REF!</definedName>
    <definedName name="_xlnm.Database">#REF!</definedName>
    <definedName name="dataI3R">#REF!</definedName>
    <definedName name="Date">#REF!</definedName>
    <definedName name="Days">[11]RATES!#REF!</definedName>
    <definedName name="daysinKabul">[7]Parameters!$B$512</definedName>
    <definedName name="daysinPeshawar">[7]Parameters!$B$514</definedName>
    <definedName name="daysinTravel">[7]Parameters!$B$515</definedName>
    <definedName name="daysoutKabul">[7]Parameters!$B$513</definedName>
    <definedName name="dayspertrip">#REF!</definedName>
    <definedName name="dba">[5]Parameters!$D$16</definedName>
    <definedName name="ddd" localSheetId="6">'[23]Data-in process'!$C$2:$K$60</definedName>
    <definedName name="ddd" localSheetId="7">'[23]Data-in process'!$C$2:$K$60</definedName>
    <definedName name="ddd">'[24]Data-in process'!$C$2:$K$60</definedName>
    <definedName name="dereje">'[3]Detailed Budget-SAVE'!#REF!</definedName>
    <definedName name="Dereje_123">#REF!</definedName>
    <definedName name="DETAIL">#REF!</definedName>
    <definedName name="DFTY" localSheetId="3" hidden="1">{"PAGE1",#N/A,FALSE,"CPFFMSTR";"PAGE2",#N/A,FALSE,"CPFFMSTR"}</definedName>
    <definedName name="DFTY" localSheetId="4" hidden="1">{"PAGE1",#N/A,FALSE,"CPFFMSTR";"PAGE2",#N/A,FALSE,"CPFFMSTR"}</definedName>
    <definedName name="DFTY" localSheetId="5" hidden="1">{"PAGE1",#N/A,FALSE,"CPFFMSTR";"PAGE2",#N/A,FALSE,"CPFFMSTR"}</definedName>
    <definedName name="DFTY" localSheetId="2" hidden="1">{"PAGE1",#N/A,FALSE,"CPFFMSTR";"PAGE2",#N/A,FALSE,"CPFFMSTR"}</definedName>
    <definedName name="DFTY" localSheetId="6" hidden="1">{"PAGE1",#N/A,FALSE,"CPFFMSTR";"PAGE2",#N/A,FALSE,"CPFFMSTR"}</definedName>
    <definedName name="DFTY" localSheetId="1" hidden="1">{"PAGE1",#N/A,FALSE,"CPFFMSTR";"PAGE2",#N/A,FALSE,"CPFFMSTR"}</definedName>
    <definedName name="DFTY" localSheetId="7" hidden="1">{"PAGE1",#N/A,FALSE,"CPFFMSTR";"PAGE2",#N/A,FALSE,"CPFFMSTR"}</definedName>
    <definedName name="DFTY" hidden="1">{"PAGE1",#N/A,FALSE,"CPFFMSTR";"PAGE2",#N/A,FALSE,"CPFFMSTR"}</definedName>
    <definedName name="differential">[25]formulas!#REF!</definedName>
    <definedName name="Dinominator">#REF!</definedName>
    <definedName name="discCCN">0.77</definedName>
    <definedName name="discCCNLT">(1-0)</definedName>
    <definedName name="discCCNst">(1-0.75)</definedName>
    <definedName name="discExpat">0.15</definedName>
    <definedName name="DON">#N/A</definedName>
    <definedName name="dpt">#REF!</definedName>
    <definedName name="dsfa" localSheetId="3" hidden="1">{"PAGE1",#N/A,FALSE,"CPFFMSTR";"PAGE2",#N/A,FALSE,"CPFFMSTR"}</definedName>
    <definedName name="dsfa" localSheetId="4" hidden="1">{"PAGE1",#N/A,FALSE,"CPFFMSTR";"PAGE2",#N/A,FALSE,"CPFFMSTR"}</definedName>
    <definedName name="dsfa" localSheetId="5" hidden="1">{"PAGE1",#N/A,FALSE,"CPFFMSTR";"PAGE2",#N/A,FALSE,"CPFFMSTR"}</definedName>
    <definedName name="dsfa" localSheetId="2" hidden="1">{"PAGE1",#N/A,FALSE,"CPFFMSTR";"PAGE2",#N/A,FALSE,"CPFFMSTR"}</definedName>
    <definedName name="dsfa" localSheetId="6" hidden="1">{"PAGE1",#N/A,FALSE,"CPFFMSTR";"PAGE2",#N/A,FALSE,"CPFFMSTR"}</definedName>
    <definedName name="dsfa" localSheetId="1" hidden="1">{"PAGE1",#N/A,FALSE,"CPFFMSTR";"PAGE2",#N/A,FALSE,"CPFFMSTR"}</definedName>
    <definedName name="dsfa" localSheetId="7" hidden="1">{"PAGE1",#N/A,FALSE,"CPFFMSTR";"PAGE2",#N/A,FALSE,"CPFFMSTR"}</definedName>
    <definedName name="dsfa" hidden="1">{"PAGE1",#N/A,FALSE,"CPFFMSTR";"PAGE2",#N/A,FALSE,"CPFFMSTR"}</definedName>
    <definedName name="dtys" localSheetId="3" hidden="1">{"PAGE1",#N/A,FALSE,"CPFFMSTR";"PAGE2",#N/A,FALSE,"CPFFMSTR"}</definedName>
    <definedName name="dtys" localSheetId="4" hidden="1">{"PAGE1",#N/A,FALSE,"CPFFMSTR";"PAGE2",#N/A,FALSE,"CPFFMSTR"}</definedName>
    <definedName name="dtys" localSheetId="5" hidden="1">{"PAGE1",#N/A,FALSE,"CPFFMSTR";"PAGE2",#N/A,FALSE,"CPFFMSTR"}</definedName>
    <definedName name="dtys" localSheetId="2" hidden="1">{"PAGE1",#N/A,FALSE,"CPFFMSTR";"PAGE2",#N/A,FALSE,"CPFFMSTR"}</definedName>
    <definedName name="dtys" localSheetId="6" hidden="1">{"PAGE1",#N/A,FALSE,"CPFFMSTR";"PAGE2",#N/A,FALSE,"CPFFMSTR"}</definedName>
    <definedName name="dtys" localSheetId="1" hidden="1">{"PAGE1",#N/A,FALSE,"CPFFMSTR";"PAGE2",#N/A,FALSE,"CPFFMSTR"}</definedName>
    <definedName name="dtys" localSheetId="7" hidden="1">{"PAGE1",#N/A,FALSE,"CPFFMSTR";"PAGE2",#N/A,FALSE,"CPFFMSTR"}</definedName>
    <definedName name="dtys" hidden="1">{"PAGE1",#N/A,FALSE,"CPFFMSTR";"PAGE2",#N/A,FALSE,"CPFFMSTR"}</definedName>
    <definedName name="eafo" localSheetId="3" hidden="1">{"ACC_Cars_125K_PA",#N/A,FALSE,"ACC Cars Co1 125K ";"ACC_Cars_125K_Prop",#N/A,FALSE,"ACC Cars Co1 125K "}</definedName>
    <definedName name="eafo" localSheetId="4" hidden="1">{"ACC_Cars_125K_PA",#N/A,FALSE,"ACC Cars Co1 125K ";"ACC_Cars_125K_Prop",#N/A,FALSE,"ACC Cars Co1 125K "}</definedName>
    <definedName name="eafo" localSheetId="5" hidden="1">{"ACC_Cars_125K_PA",#N/A,FALSE,"ACC Cars Co1 125K ";"ACC_Cars_125K_Prop",#N/A,FALSE,"ACC Cars Co1 125K "}</definedName>
    <definedName name="eafo" localSheetId="2" hidden="1">{"ACC_Cars_125K_PA",#N/A,FALSE,"ACC Cars Co1 125K ";"ACC_Cars_125K_Prop",#N/A,FALSE,"ACC Cars Co1 125K "}</definedName>
    <definedName name="eafo" localSheetId="6" hidden="1">{"ACC_Cars_125K_PA",#N/A,FALSE,"ACC Cars Co1 125K ";"ACC_Cars_125K_Prop",#N/A,FALSE,"ACC Cars Co1 125K "}</definedName>
    <definedName name="eafo" localSheetId="1" hidden="1">{"ACC_Cars_125K_PA",#N/A,FALSE,"ACC Cars Co1 125K ";"ACC_Cars_125K_Prop",#N/A,FALSE,"ACC Cars Co1 125K "}</definedName>
    <definedName name="eafo" localSheetId="7" hidden="1">{"ACC_Cars_125K_PA",#N/A,FALSE,"ACC Cars Co1 125K ";"ACC_Cars_125K_Prop",#N/A,FALSE,"ACC Cars Co1 125K "}</definedName>
    <definedName name="eafo" hidden="1">{"ACC_Cars_125K_PA",#N/A,FALSE,"ACC Cars Co1 125K ";"ACC_Cars_125K_Prop",#N/A,FALSE,"ACC Cars Co1 125K "}</definedName>
    <definedName name="eafo1" localSheetId="3" hidden="1">{"ACC_Cars_400K_PA",#N/A,FALSE,"ACC Cars Co1 400K";"ACC_Cars_400K_Prop",#N/A,FALSE,"ACC Cars Co1 400K"}</definedName>
    <definedName name="eafo1" localSheetId="4" hidden="1">{"ACC_Cars_400K_PA",#N/A,FALSE,"ACC Cars Co1 400K";"ACC_Cars_400K_Prop",#N/A,FALSE,"ACC Cars Co1 400K"}</definedName>
    <definedName name="eafo1" localSheetId="5" hidden="1">{"ACC_Cars_400K_PA",#N/A,FALSE,"ACC Cars Co1 400K";"ACC_Cars_400K_Prop",#N/A,FALSE,"ACC Cars Co1 400K"}</definedName>
    <definedName name="eafo1" localSheetId="2" hidden="1">{"ACC_Cars_400K_PA",#N/A,FALSE,"ACC Cars Co1 400K";"ACC_Cars_400K_Prop",#N/A,FALSE,"ACC Cars Co1 400K"}</definedName>
    <definedName name="eafo1" localSheetId="6" hidden="1">{"ACC_Cars_400K_PA",#N/A,FALSE,"ACC Cars Co1 400K";"ACC_Cars_400K_Prop",#N/A,FALSE,"ACC Cars Co1 400K"}</definedName>
    <definedName name="eafo1" localSheetId="1" hidden="1">{"ACC_Cars_400K_PA",#N/A,FALSE,"ACC Cars Co1 400K";"ACC_Cars_400K_Prop",#N/A,FALSE,"ACC Cars Co1 400K"}</definedName>
    <definedName name="eafo1" localSheetId="7" hidden="1">{"ACC_Cars_400K_PA",#N/A,FALSE,"ACC Cars Co1 400K";"ACC_Cars_400K_Prop",#N/A,FALSE,"ACC Cars Co1 400K"}</definedName>
    <definedName name="eafo1" hidden="1">{"ACC_Cars_400K_PA",#N/A,FALSE,"ACC Cars Co1 400K";"ACC_Cars_400K_Prop",#N/A,FALSE,"ACC Cars Co1 400K"}</definedName>
    <definedName name="eafo10" localSheetId="3" hidden="1">{"PearsonCo1_Prop",#N/A,FALSE,"Pearsons Task Co1";"PearsonCo1_PA",#N/A,FALSE,"Pearsons Task Co1"}</definedName>
    <definedName name="eafo10" localSheetId="4" hidden="1">{"PearsonCo1_Prop",#N/A,FALSE,"Pearsons Task Co1";"PearsonCo1_PA",#N/A,FALSE,"Pearsons Task Co1"}</definedName>
    <definedName name="eafo10" localSheetId="5" hidden="1">{"PearsonCo1_Prop",#N/A,FALSE,"Pearsons Task Co1";"PearsonCo1_PA",#N/A,FALSE,"Pearsons Task Co1"}</definedName>
    <definedName name="eafo10" localSheetId="2" hidden="1">{"PearsonCo1_Prop",#N/A,FALSE,"Pearsons Task Co1";"PearsonCo1_PA",#N/A,FALSE,"Pearsons Task Co1"}</definedName>
    <definedName name="eafo10" localSheetId="6" hidden="1">{"PearsonCo1_Prop",#N/A,FALSE,"Pearsons Task Co1";"PearsonCo1_PA",#N/A,FALSE,"Pearsons Task Co1"}</definedName>
    <definedName name="eafo10" localSheetId="1" hidden="1">{"PearsonCo1_Prop",#N/A,FALSE,"Pearsons Task Co1";"PearsonCo1_PA",#N/A,FALSE,"Pearsons Task Co1"}</definedName>
    <definedName name="eafo10" localSheetId="7" hidden="1">{"PearsonCo1_Prop",#N/A,FALSE,"Pearsons Task Co1";"PearsonCo1_PA",#N/A,FALSE,"Pearsons Task Co1"}</definedName>
    <definedName name="eafo10" hidden="1">{"PearsonCo1_Prop",#N/A,FALSE,"Pearsons Task Co1";"PearsonCo1_PA",#N/A,FALSE,"Pearsons Task Co1"}</definedName>
    <definedName name="eafo11" localSheetId="3" hidden="1">{"PearsonCo5_Prop",#N/A,FALSE,"Pearsons Task Co5";"PearsonCo5_PA",#N/A,FALSE,"Pearsons Task Co5"}</definedName>
    <definedName name="eafo11" localSheetId="4" hidden="1">{"PearsonCo5_Prop",#N/A,FALSE,"Pearsons Task Co5";"PearsonCo5_PA",#N/A,FALSE,"Pearsons Task Co5"}</definedName>
    <definedName name="eafo11" localSheetId="5" hidden="1">{"PearsonCo5_Prop",#N/A,FALSE,"Pearsons Task Co5";"PearsonCo5_PA",#N/A,FALSE,"Pearsons Task Co5"}</definedName>
    <definedName name="eafo11" localSheetId="2" hidden="1">{"PearsonCo5_Prop",#N/A,FALSE,"Pearsons Task Co5";"PearsonCo5_PA",#N/A,FALSE,"Pearsons Task Co5"}</definedName>
    <definedName name="eafo11" localSheetId="6" hidden="1">{"PearsonCo5_Prop",#N/A,FALSE,"Pearsons Task Co5";"PearsonCo5_PA",#N/A,FALSE,"Pearsons Task Co5"}</definedName>
    <definedName name="eafo11" localSheetId="1" hidden="1">{"PearsonCo5_Prop",#N/A,FALSE,"Pearsons Task Co5";"PearsonCo5_PA",#N/A,FALSE,"Pearsons Task Co5"}</definedName>
    <definedName name="eafo11" localSheetId="7" hidden="1">{"PearsonCo5_Prop",#N/A,FALSE,"Pearsons Task Co5";"PearsonCo5_PA",#N/A,FALSE,"Pearsons Task Co5"}</definedName>
    <definedName name="eafo11" hidden="1">{"PearsonCo5_Prop",#N/A,FALSE,"Pearsons Task Co5";"PearsonCo5_PA",#N/A,FALSE,"Pearsons Task Co5"}</definedName>
    <definedName name="eafo12" localSheetId="3" hidden="1">{"Seal Team J6 Sum",#N/A,FALSE,"Seal Team Summary";"Seal Team J6",#N/A,FALSE,"Seal Team ";"Seal Team ODC J6",#N/A,FALSE,"Seal Team ODCs";"Seal Team Trvl J6",#N/A,FALSE," Seal Team Trvl"}</definedName>
    <definedName name="eafo12" localSheetId="4" hidden="1">{"Seal Team J6 Sum",#N/A,FALSE,"Seal Team Summary";"Seal Team J6",#N/A,FALSE,"Seal Team ";"Seal Team ODC J6",#N/A,FALSE,"Seal Team ODCs";"Seal Team Trvl J6",#N/A,FALSE," Seal Team Trvl"}</definedName>
    <definedName name="eafo12" localSheetId="5" hidden="1">{"Seal Team J6 Sum",#N/A,FALSE,"Seal Team Summary";"Seal Team J6",#N/A,FALSE,"Seal Team ";"Seal Team ODC J6",#N/A,FALSE,"Seal Team ODCs";"Seal Team Trvl J6",#N/A,FALSE," Seal Team Trvl"}</definedName>
    <definedName name="eafo12" localSheetId="2" hidden="1">{"Seal Team J6 Sum",#N/A,FALSE,"Seal Team Summary";"Seal Team J6",#N/A,FALSE,"Seal Team ";"Seal Team ODC J6",#N/A,FALSE,"Seal Team ODCs";"Seal Team Trvl J6",#N/A,FALSE," Seal Team Trvl"}</definedName>
    <definedName name="eafo12" localSheetId="6" hidden="1">{"Seal Team J6 Sum",#N/A,FALSE,"Seal Team Summary";"Seal Team J6",#N/A,FALSE,"Seal Team ";"Seal Team ODC J6",#N/A,FALSE,"Seal Team ODCs";"Seal Team Trvl J6",#N/A,FALSE," Seal Team Trvl"}</definedName>
    <definedName name="eafo12" localSheetId="1" hidden="1">{"Seal Team J6 Sum",#N/A,FALSE,"Seal Team Summary";"Seal Team J6",#N/A,FALSE,"Seal Team ";"Seal Team ODC J6",#N/A,FALSE,"Seal Team ODCs";"Seal Team Trvl J6",#N/A,FALSE," Seal Team Trvl"}</definedName>
    <definedName name="eafo12" localSheetId="7" hidden="1">{"Seal Team J6 Sum",#N/A,FALSE,"Seal Team Summary";"Seal Team J6",#N/A,FALSE,"Seal Team ";"Seal Team ODC J6",#N/A,FALSE,"Seal Team ODCs";"Seal Team Trvl J6",#N/A,FALSE," Seal Team Trvl"}</definedName>
    <definedName name="eafo12" hidden="1">{"Seal Team J6 Sum",#N/A,FALSE,"Seal Team Summary";"Seal Team J6",#N/A,FALSE,"Seal Team ";"Seal Team ODC J6",#N/A,FALSE,"Seal Team ODCs";"Seal Team Trvl J6",#N/A,FALSE," Seal Team Trvl"}</definedName>
    <definedName name="eafo15" localSheetId="3" hidden="1">{"ACC_Cars_125K_PA",#N/A,FALSE,"ACC Cars Co1 125K ";"ACC_Cars_125K_Prop",#N/A,FALSE,"ACC Cars Co1 125K "}</definedName>
    <definedName name="eafo15" localSheetId="4" hidden="1">{"ACC_Cars_125K_PA",#N/A,FALSE,"ACC Cars Co1 125K ";"ACC_Cars_125K_Prop",#N/A,FALSE,"ACC Cars Co1 125K "}</definedName>
    <definedName name="eafo15" localSheetId="5" hidden="1">{"ACC_Cars_125K_PA",#N/A,FALSE,"ACC Cars Co1 125K ";"ACC_Cars_125K_Prop",#N/A,FALSE,"ACC Cars Co1 125K "}</definedName>
    <definedName name="eafo15" localSheetId="2" hidden="1">{"ACC_Cars_125K_PA",#N/A,FALSE,"ACC Cars Co1 125K ";"ACC_Cars_125K_Prop",#N/A,FALSE,"ACC Cars Co1 125K "}</definedName>
    <definedName name="eafo15" localSheetId="6" hidden="1">{"ACC_Cars_125K_PA",#N/A,FALSE,"ACC Cars Co1 125K ";"ACC_Cars_125K_Prop",#N/A,FALSE,"ACC Cars Co1 125K "}</definedName>
    <definedName name="eafo15" localSheetId="1" hidden="1">{"ACC_Cars_125K_PA",#N/A,FALSE,"ACC Cars Co1 125K ";"ACC_Cars_125K_Prop",#N/A,FALSE,"ACC Cars Co1 125K "}</definedName>
    <definedName name="eafo15" localSheetId="7" hidden="1">{"ACC_Cars_125K_PA",#N/A,FALSE,"ACC Cars Co1 125K ";"ACC_Cars_125K_Prop",#N/A,FALSE,"ACC Cars Co1 125K "}</definedName>
    <definedName name="eafo15" hidden="1">{"ACC_Cars_125K_PA",#N/A,FALSE,"ACC Cars Co1 125K ";"ACC_Cars_125K_Prop",#N/A,FALSE,"ACC Cars Co1 125K "}</definedName>
    <definedName name="eafo16" localSheetId="3" hidden="1">{"ACC_Cars_400K_PA",#N/A,FALSE,"ACC Cars Co1 400K";"ACC_Cars_400K_Prop",#N/A,FALSE,"ACC Cars Co1 400K"}</definedName>
    <definedName name="eafo16" localSheetId="4" hidden="1">{"ACC_Cars_400K_PA",#N/A,FALSE,"ACC Cars Co1 400K";"ACC_Cars_400K_Prop",#N/A,FALSE,"ACC Cars Co1 400K"}</definedName>
    <definedName name="eafo16" localSheetId="5" hidden="1">{"ACC_Cars_400K_PA",#N/A,FALSE,"ACC Cars Co1 400K";"ACC_Cars_400K_Prop",#N/A,FALSE,"ACC Cars Co1 400K"}</definedName>
    <definedName name="eafo16" localSheetId="2" hidden="1">{"ACC_Cars_400K_PA",#N/A,FALSE,"ACC Cars Co1 400K";"ACC_Cars_400K_Prop",#N/A,FALSE,"ACC Cars Co1 400K"}</definedName>
    <definedName name="eafo16" localSheetId="6" hidden="1">{"ACC_Cars_400K_PA",#N/A,FALSE,"ACC Cars Co1 400K";"ACC_Cars_400K_Prop",#N/A,FALSE,"ACC Cars Co1 400K"}</definedName>
    <definedName name="eafo16" localSheetId="1" hidden="1">{"ACC_Cars_400K_PA",#N/A,FALSE,"ACC Cars Co1 400K";"ACC_Cars_400K_Prop",#N/A,FALSE,"ACC Cars Co1 400K"}</definedName>
    <definedName name="eafo16" localSheetId="7" hidden="1">{"ACC_Cars_400K_PA",#N/A,FALSE,"ACC Cars Co1 400K";"ACC_Cars_400K_Prop",#N/A,FALSE,"ACC Cars Co1 400K"}</definedName>
    <definedName name="eafo16" hidden="1">{"ACC_Cars_400K_PA",#N/A,FALSE,"ACC Cars Co1 400K";"ACC_Cars_400K_Prop",#N/A,FALSE,"ACC Cars Co1 400K"}</definedName>
    <definedName name="eafo17" localSheetId="3" hidden="1">{"PAGE1",#N/A,FALSE,"ACC_CARS Travel 125K";"PAGE2",#N/A,FALSE,"ACC_CARS Travel 125K"}</definedName>
    <definedName name="eafo17" localSheetId="4" hidden="1">{"PAGE1",#N/A,FALSE,"ACC_CARS Travel 125K";"PAGE2",#N/A,FALSE,"ACC_CARS Travel 125K"}</definedName>
    <definedName name="eafo17" localSheetId="5" hidden="1">{"PAGE1",#N/A,FALSE,"ACC_CARS Travel 125K";"PAGE2",#N/A,FALSE,"ACC_CARS Travel 125K"}</definedName>
    <definedName name="eafo17" localSheetId="2" hidden="1">{"PAGE1",#N/A,FALSE,"ACC_CARS Travel 125K";"PAGE2",#N/A,FALSE,"ACC_CARS Travel 125K"}</definedName>
    <definedName name="eafo17" localSheetId="6" hidden="1">{"PAGE1",#N/A,FALSE,"ACC_CARS Travel 125K";"PAGE2",#N/A,FALSE,"ACC_CARS Travel 125K"}</definedName>
    <definedName name="eafo17" localSheetId="1" hidden="1">{"PAGE1",#N/A,FALSE,"ACC_CARS Travel 125K";"PAGE2",#N/A,FALSE,"ACC_CARS Travel 125K"}</definedName>
    <definedName name="eafo17" localSheetId="7" hidden="1">{"PAGE1",#N/A,FALSE,"ACC_CARS Travel 125K";"PAGE2",#N/A,FALSE,"ACC_CARS Travel 125K"}</definedName>
    <definedName name="eafo17" hidden="1">{"PAGE1",#N/A,FALSE,"ACC_CARS Travel 125K";"PAGE2",#N/A,FALSE,"ACC_CARS Travel 125K"}</definedName>
    <definedName name="eafo18" localSheetId="3" hidden="1">{"Page1",#N/A,FALSE,"ACC_CARS Travel 400K";"Page2",#N/A,FALSE,"ACC_CARS Travel 400K"}</definedName>
    <definedName name="eafo18" localSheetId="4" hidden="1">{"Page1",#N/A,FALSE,"ACC_CARS Travel 400K";"Page2",#N/A,FALSE,"ACC_CARS Travel 400K"}</definedName>
    <definedName name="eafo18" localSheetId="5" hidden="1">{"Page1",#N/A,FALSE,"ACC_CARS Travel 400K";"Page2",#N/A,FALSE,"ACC_CARS Travel 400K"}</definedName>
    <definedName name="eafo18" localSheetId="2" hidden="1">{"Page1",#N/A,FALSE,"ACC_CARS Travel 400K";"Page2",#N/A,FALSE,"ACC_CARS Travel 400K"}</definedName>
    <definedName name="eafo18" localSheetId="6" hidden="1">{"Page1",#N/A,FALSE,"ACC_CARS Travel 400K";"Page2",#N/A,FALSE,"ACC_CARS Travel 400K"}</definedName>
    <definedName name="eafo18" localSheetId="1" hidden="1">{"Page1",#N/A,FALSE,"ACC_CARS Travel 400K";"Page2",#N/A,FALSE,"ACC_CARS Travel 400K"}</definedName>
    <definedName name="eafo18" localSheetId="7" hidden="1">{"Page1",#N/A,FALSE,"ACC_CARS Travel 400K";"Page2",#N/A,FALSE,"ACC_CARS Travel 400K"}</definedName>
    <definedName name="eafo18" hidden="1">{"Page1",#N/A,FALSE,"ACC_CARS Travel 400K";"Page2",#N/A,FALSE,"ACC_CARS Travel 400K"}</definedName>
    <definedName name="eafo19" localSheetId="3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eafo19" localSheetId="4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eafo19" localSheetId="5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eafo19" localSheetId="2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eafo19" localSheetId="6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eafo19" localSheetId="1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eafo19" localSheetId="7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eafo19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eafo2" localSheetId="3" hidden="1">{"PAGE1",#N/A,FALSE,"ACC_CARS Travel 125K";"PAGE2",#N/A,FALSE,"ACC_CARS Travel 125K"}</definedName>
    <definedName name="eafo2" localSheetId="4" hidden="1">{"PAGE1",#N/A,FALSE,"ACC_CARS Travel 125K";"PAGE2",#N/A,FALSE,"ACC_CARS Travel 125K"}</definedName>
    <definedName name="eafo2" localSheetId="5" hidden="1">{"PAGE1",#N/A,FALSE,"ACC_CARS Travel 125K";"PAGE2",#N/A,FALSE,"ACC_CARS Travel 125K"}</definedName>
    <definedName name="eafo2" localSheetId="2" hidden="1">{"PAGE1",#N/A,FALSE,"ACC_CARS Travel 125K";"PAGE2",#N/A,FALSE,"ACC_CARS Travel 125K"}</definedName>
    <definedName name="eafo2" localSheetId="6" hidden="1">{"PAGE1",#N/A,FALSE,"ACC_CARS Travel 125K";"PAGE2",#N/A,FALSE,"ACC_CARS Travel 125K"}</definedName>
    <definedName name="eafo2" localSheetId="1" hidden="1">{"PAGE1",#N/A,FALSE,"ACC_CARS Travel 125K";"PAGE2",#N/A,FALSE,"ACC_CARS Travel 125K"}</definedName>
    <definedName name="eafo2" localSheetId="7" hidden="1">{"PAGE1",#N/A,FALSE,"ACC_CARS Travel 125K";"PAGE2",#N/A,FALSE,"ACC_CARS Travel 125K"}</definedName>
    <definedName name="eafo2" hidden="1">{"PAGE1",#N/A,FALSE,"ACC_CARS Travel 125K";"PAGE2",#N/A,FALSE,"ACC_CARS Travel 125K"}</definedName>
    <definedName name="eafo20" localSheetId="3" hidden="1">{"DolanCo1_PA",#N/A,FALSE,"Tina Dolan";"DolanCo1_Prop",#N/A,FALSE,"Tina Dolan"}</definedName>
    <definedName name="eafo20" localSheetId="4" hidden="1">{"DolanCo1_PA",#N/A,FALSE,"Tina Dolan";"DolanCo1_Prop",#N/A,FALSE,"Tina Dolan"}</definedName>
    <definedName name="eafo20" localSheetId="5" hidden="1">{"DolanCo1_PA",#N/A,FALSE,"Tina Dolan";"DolanCo1_Prop",#N/A,FALSE,"Tina Dolan"}</definedName>
    <definedName name="eafo20" localSheetId="2" hidden="1">{"DolanCo1_PA",#N/A,FALSE,"Tina Dolan";"DolanCo1_Prop",#N/A,FALSE,"Tina Dolan"}</definedName>
    <definedName name="eafo20" localSheetId="6" hidden="1">{"DolanCo1_PA",#N/A,FALSE,"Tina Dolan";"DolanCo1_Prop",#N/A,FALSE,"Tina Dolan"}</definedName>
    <definedName name="eafo20" localSheetId="1" hidden="1">{"DolanCo1_PA",#N/A,FALSE,"Tina Dolan";"DolanCo1_Prop",#N/A,FALSE,"Tina Dolan"}</definedName>
    <definedName name="eafo20" localSheetId="7" hidden="1">{"DolanCo1_PA",#N/A,FALSE,"Tina Dolan";"DolanCo1_Prop",#N/A,FALSE,"Tina Dolan"}</definedName>
    <definedName name="eafo20" hidden="1">{"DolanCo1_PA",#N/A,FALSE,"Tina Dolan";"DolanCo1_Prop",#N/A,FALSE,"Tina Dolan"}</definedName>
    <definedName name="eafo21" localSheetId="3" hidden="1">{"Prop_350K",#N/A,FALSE,"Ebron-350K";"PA_350K",#N/A,FALSE,"Ebron-350K";"Ebron350KTrvl",#N/A,FALSE,"Ebrons Travel 350k"}</definedName>
    <definedName name="eafo21" localSheetId="4" hidden="1">{"Prop_350K",#N/A,FALSE,"Ebron-350K";"PA_350K",#N/A,FALSE,"Ebron-350K";"Ebron350KTrvl",#N/A,FALSE,"Ebrons Travel 350k"}</definedName>
    <definedName name="eafo21" localSheetId="5" hidden="1">{"Prop_350K",#N/A,FALSE,"Ebron-350K";"PA_350K",#N/A,FALSE,"Ebron-350K";"Ebron350KTrvl",#N/A,FALSE,"Ebrons Travel 350k"}</definedName>
    <definedName name="eafo21" localSheetId="2" hidden="1">{"Prop_350K",#N/A,FALSE,"Ebron-350K";"PA_350K",#N/A,FALSE,"Ebron-350K";"Ebron350KTrvl",#N/A,FALSE,"Ebrons Travel 350k"}</definedName>
    <definedName name="eafo21" localSheetId="6" hidden="1">{"Prop_350K",#N/A,FALSE,"Ebron-350K";"PA_350K",#N/A,FALSE,"Ebron-350K";"Ebron350KTrvl",#N/A,FALSE,"Ebrons Travel 350k"}</definedName>
    <definedName name="eafo21" localSheetId="1" hidden="1">{"Prop_350K",#N/A,FALSE,"Ebron-350K";"PA_350K",#N/A,FALSE,"Ebron-350K";"Ebron350KTrvl",#N/A,FALSE,"Ebrons Travel 350k"}</definedName>
    <definedName name="eafo21" localSheetId="7" hidden="1">{"Prop_350K",#N/A,FALSE,"Ebron-350K";"PA_350K",#N/A,FALSE,"Ebron-350K";"Ebron350KTrvl",#N/A,FALSE,"Ebrons Travel 350k"}</definedName>
    <definedName name="eafo21" hidden="1">{"Prop_350K",#N/A,FALSE,"Ebron-350K";"PA_350K",#N/A,FALSE,"Ebron-350K";"Ebron350KTrvl",#N/A,FALSE,"Ebrons Travel 350k"}</definedName>
    <definedName name="eafo22" localSheetId="3" hidden="1">{"EbronCo1_PA",#N/A,FALSE,"Ebrons Task Co1";"EbronCo1_Prop",#N/A,FALSE,"Ebrons Task Co1";"Ebron316KTrvl",#N/A,FALSE,"Ebrons Travel 316k"}</definedName>
    <definedName name="eafo22" localSheetId="4" hidden="1">{"EbronCo1_PA",#N/A,FALSE,"Ebrons Task Co1";"EbronCo1_Prop",#N/A,FALSE,"Ebrons Task Co1";"Ebron316KTrvl",#N/A,FALSE,"Ebrons Travel 316k"}</definedName>
    <definedName name="eafo22" localSheetId="5" hidden="1">{"EbronCo1_PA",#N/A,FALSE,"Ebrons Task Co1";"EbronCo1_Prop",#N/A,FALSE,"Ebrons Task Co1";"Ebron316KTrvl",#N/A,FALSE,"Ebrons Travel 316k"}</definedName>
    <definedName name="eafo22" localSheetId="2" hidden="1">{"EbronCo1_PA",#N/A,FALSE,"Ebrons Task Co1";"EbronCo1_Prop",#N/A,FALSE,"Ebrons Task Co1";"Ebron316KTrvl",#N/A,FALSE,"Ebrons Travel 316k"}</definedName>
    <definedName name="eafo22" localSheetId="6" hidden="1">{"EbronCo1_PA",#N/A,FALSE,"Ebrons Task Co1";"EbronCo1_Prop",#N/A,FALSE,"Ebrons Task Co1";"Ebron316KTrvl",#N/A,FALSE,"Ebrons Travel 316k"}</definedName>
    <definedName name="eafo22" localSheetId="1" hidden="1">{"EbronCo1_PA",#N/A,FALSE,"Ebrons Task Co1";"EbronCo1_Prop",#N/A,FALSE,"Ebrons Task Co1";"Ebron316KTrvl",#N/A,FALSE,"Ebrons Travel 316k"}</definedName>
    <definedName name="eafo22" localSheetId="7" hidden="1">{"EbronCo1_PA",#N/A,FALSE,"Ebrons Task Co1";"EbronCo1_Prop",#N/A,FALSE,"Ebrons Task Co1";"Ebron316KTrvl",#N/A,FALSE,"Ebrons Travel 316k"}</definedName>
    <definedName name="eafo22" hidden="1">{"EbronCo1_PA",#N/A,FALSE,"Ebrons Task Co1";"EbronCo1_Prop",#N/A,FALSE,"Ebrons Task Co1";"Ebron316KTrvl",#N/A,FALSE,"Ebrons Travel 316k"}</definedName>
    <definedName name="eafo23" localSheetId="3" hidden="1">{"EbronCo5_PA",#N/A,FALSE,"Ebrons Task Co5";"EbronCo5_Prop",#N/A,FALSE,"Ebrons Task Co5"}</definedName>
    <definedName name="eafo23" localSheetId="4" hidden="1">{"EbronCo5_PA",#N/A,FALSE,"Ebrons Task Co5";"EbronCo5_Prop",#N/A,FALSE,"Ebrons Task Co5"}</definedName>
    <definedName name="eafo23" localSheetId="5" hidden="1">{"EbronCo5_PA",#N/A,FALSE,"Ebrons Task Co5";"EbronCo5_Prop",#N/A,FALSE,"Ebrons Task Co5"}</definedName>
    <definedName name="eafo23" localSheetId="2" hidden="1">{"EbronCo5_PA",#N/A,FALSE,"Ebrons Task Co5";"EbronCo5_Prop",#N/A,FALSE,"Ebrons Task Co5"}</definedName>
    <definedName name="eafo23" localSheetId="6" hidden="1">{"EbronCo5_PA",#N/A,FALSE,"Ebrons Task Co5";"EbronCo5_Prop",#N/A,FALSE,"Ebrons Task Co5"}</definedName>
    <definedName name="eafo23" localSheetId="1" hidden="1">{"EbronCo5_PA",#N/A,FALSE,"Ebrons Task Co5";"EbronCo5_Prop",#N/A,FALSE,"Ebrons Task Co5"}</definedName>
    <definedName name="eafo23" localSheetId="7" hidden="1">{"EbronCo5_PA",#N/A,FALSE,"Ebrons Task Co5";"EbronCo5_Prop",#N/A,FALSE,"Ebrons Task Co5"}</definedName>
    <definedName name="eafo23" hidden="1">{"EbronCo5_PA",#N/A,FALSE,"Ebrons Task Co5";"EbronCo5_Prop",#N/A,FALSE,"Ebrons Task Co5"}</definedName>
    <definedName name="eafo24" localSheetId="3" hidden="1">{"JDISS_Co1",#N/A,FALSE,"JDISS_Co1";"JDISSCo1_PA",#N/A,FALSE,"JDISS_Co1"}</definedName>
    <definedName name="eafo24" localSheetId="4" hidden="1">{"JDISS_Co1",#N/A,FALSE,"JDISS_Co1";"JDISSCo1_PA",#N/A,FALSE,"JDISS_Co1"}</definedName>
    <definedName name="eafo24" localSheetId="5" hidden="1">{"JDISS_Co1",#N/A,FALSE,"JDISS_Co1";"JDISSCo1_PA",#N/A,FALSE,"JDISS_Co1"}</definedName>
    <definedName name="eafo24" localSheetId="2" hidden="1">{"JDISS_Co1",#N/A,FALSE,"JDISS_Co1";"JDISSCo1_PA",#N/A,FALSE,"JDISS_Co1"}</definedName>
    <definedName name="eafo24" localSheetId="6" hidden="1">{"JDISS_Co1",#N/A,FALSE,"JDISS_Co1";"JDISSCo1_PA",#N/A,FALSE,"JDISS_Co1"}</definedName>
    <definedName name="eafo24" localSheetId="1" hidden="1">{"JDISS_Co1",#N/A,FALSE,"JDISS_Co1";"JDISSCo1_PA",#N/A,FALSE,"JDISS_Co1"}</definedName>
    <definedName name="eafo24" localSheetId="7" hidden="1">{"JDISS_Co1",#N/A,FALSE,"JDISS_Co1";"JDISSCo1_PA",#N/A,FALSE,"JDISS_Co1"}</definedName>
    <definedName name="eafo24" hidden="1">{"JDISS_Co1",#N/A,FALSE,"JDISS_Co1";"JDISSCo1_PA",#N/A,FALSE,"JDISS_Co1"}</definedName>
    <definedName name="eafo26" localSheetId="3" hidden="1">{"PearsonCo5_Prop",#N/A,FALSE,"Pearsons Task Co5";"PearsonCo5_PA",#N/A,FALSE,"Pearsons Task Co5"}</definedName>
    <definedName name="eafo26" localSheetId="4" hidden="1">{"PearsonCo5_Prop",#N/A,FALSE,"Pearsons Task Co5";"PearsonCo5_PA",#N/A,FALSE,"Pearsons Task Co5"}</definedName>
    <definedName name="eafo26" localSheetId="5" hidden="1">{"PearsonCo5_Prop",#N/A,FALSE,"Pearsons Task Co5";"PearsonCo5_PA",#N/A,FALSE,"Pearsons Task Co5"}</definedName>
    <definedName name="eafo26" localSheetId="2" hidden="1">{"PearsonCo5_Prop",#N/A,FALSE,"Pearsons Task Co5";"PearsonCo5_PA",#N/A,FALSE,"Pearsons Task Co5"}</definedName>
    <definedName name="eafo26" localSheetId="6" hidden="1">{"PearsonCo5_Prop",#N/A,FALSE,"Pearsons Task Co5";"PearsonCo5_PA",#N/A,FALSE,"Pearsons Task Co5"}</definedName>
    <definedName name="eafo26" localSheetId="1" hidden="1">{"PearsonCo5_Prop",#N/A,FALSE,"Pearsons Task Co5";"PearsonCo5_PA",#N/A,FALSE,"Pearsons Task Co5"}</definedName>
    <definedName name="eafo26" localSheetId="7" hidden="1">{"PearsonCo5_Prop",#N/A,FALSE,"Pearsons Task Co5";"PearsonCo5_PA",#N/A,FALSE,"Pearsons Task Co5"}</definedName>
    <definedName name="eafo26" hidden="1">{"PearsonCo5_Prop",#N/A,FALSE,"Pearsons Task Co5";"PearsonCo5_PA",#N/A,FALSE,"Pearsons Task Co5"}</definedName>
    <definedName name="eafo27" localSheetId="3" hidden="1">{"Seal Team J6 Sum",#N/A,FALSE,"Seal Team Summary";"Seal Team J6",#N/A,FALSE,"Seal Team ";"Seal Team ODC J6",#N/A,FALSE,"Seal Team ODCs";"Seal Team Trvl J6",#N/A,FALSE," Seal Team Trvl"}</definedName>
    <definedName name="eafo27" localSheetId="4" hidden="1">{"Seal Team J6 Sum",#N/A,FALSE,"Seal Team Summary";"Seal Team J6",#N/A,FALSE,"Seal Team ";"Seal Team ODC J6",#N/A,FALSE,"Seal Team ODCs";"Seal Team Trvl J6",#N/A,FALSE," Seal Team Trvl"}</definedName>
    <definedName name="eafo27" localSheetId="5" hidden="1">{"Seal Team J6 Sum",#N/A,FALSE,"Seal Team Summary";"Seal Team J6",#N/A,FALSE,"Seal Team ";"Seal Team ODC J6",#N/A,FALSE,"Seal Team ODCs";"Seal Team Trvl J6",#N/A,FALSE," Seal Team Trvl"}</definedName>
    <definedName name="eafo27" localSheetId="2" hidden="1">{"Seal Team J6 Sum",#N/A,FALSE,"Seal Team Summary";"Seal Team J6",#N/A,FALSE,"Seal Team ";"Seal Team ODC J6",#N/A,FALSE,"Seal Team ODCs";"Seal Team Trvl J6",#N/A,FALSE," Seal Team Trvl"}</definedName>
    <definedName name="eafo27" localSheetId="6" hidden="1">{"Seal Team J6 Sum",#N/A,FALSE,"Seal Team Summary";"Seal Team J6",#N/A,FALSE,"Seal Team ";"Seal Team ODC J6",#N/A,FALSE,"Seal Team ODCs";"Seal Team Trvl J6",#N/A,FALSE," Seal Team Trvl"}</definedName>
    <definedName name="eafo27" localSheetId="1" hidden="1">{"Seal Team J6 Sum",#N/A,FALSE,"Seal Team Summary";"Seal Team J6",#N/A,FALSE,"Seal Team ";"Seal Team ODC J6",#N/A,FALSE,"Seal Team ODCs";"Seal Team Trvl J6",#N/A,FALSE," Seal Team Trvl"}</definedName>
    <definedName name="eafo27" localSheetId="7" hidden="1">{"Seal Team J6 Sum",#N/A,FALSE,"Seal Team Summary";"Seal Team J6",#N/A,FALSE,"Seal Team ";"Seal Team ODC J6",#N/A,FALSE,"Seal Team ODCs";"Seal Team Trvl J6",#N/A,FALSE," Seal Team Trvl"}</definedName>
    <definedName name="eafo27" hidden="1">{"Seal Team J6 Sum",#N/A,FALSE,"Seal Team Summary";"Seal Team J6",#N/A,FALSE,"Seal Team ";"Seal Team ODC J6",#N/A,FALSE,"Seal Team ODCs";"Seal Team Trvl J6",#N/A,FALSE," Seal Team Trvl"}</definedName>
    <definedName name="eafo3" localSheetId="3" hidden="1">{"Page1",#N/A,FALSE,"ACC_CARS Travel 400K";"Page2",#N/A,FALSE,"ACC_CARS Travel 400K"}</definedName>
    <definedName name="eafo3" localSheetId="4" hidden="1">{"Page1",#N/A,FALSE,"ACC_CARS Travel 400K";"Page2",#N/A,FALSE,"ACC_CARS Travel 400K"}</definedName>
    <definedName name="eafo3" localSheetId="5" hidden="1">{"Page1",#N/A,FALSE,"ACC_CARS Travel 400K";"Page2",#N/A,FALSE,"ACC_CARS Travel 400K"}</definedName>
    <definedName name="eafo3" localSheetId="2" hidden="1">{"Page1",#N/A,FALSE,"ACC_CARS Travel 400K";"Page2",#N/A,FALSE,"ACC_CARS Travel 400K"}</definedName>
    <definedName name="eafo3" localSheetId="6" hidden="1">{"Page1",#N/A,FALSE,"ACC_CARS Travel 400K";"Page2",#N/A,FALSE,"ACC_CARS Travel 400K"}</definedName>
    <definedName name="eafo3" localSheetId="1" hidden="1">{"Page1",#N/A,FALSE,"ACC_CARS Travel 400K";"Page2",#N/A,FALSE,"ACC_CARS Travel 400K"}</definedName>
    <definedName name="eafo3" localSheetId="7" hidden="1">{"Page1",#N/A,FALSE,"ACC_CARS Travel 400K";"Page2",#N/A,FALSE,"ACC_CARS Travel 400K"}</definedName>
    <definedName name="eafo3" hidden="1">{"Page1",#N/A,FALSE,"ACC_CARS Travel 400K";"Page2",#N/A,FALSE,"ACC_CARS Travel 400K"}</definedName>
    <definedName name="eafo4" localSheetId="3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eafo4" localSheetId="4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eafo4" localSheetId="5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eafo4" localSheetId="2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eafo4" localSheetId="6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eafo4" localSheetId="1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eafo4" localSheetId="7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eafo4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eafo5" localSheetId="3" hidden="1">{"DolanCo1_PA",#N/A,FALSE,"Tina Dolan";"DolanCo1_Prop",#N/A,FALSE,"Tina Dolan"}</definedName>
    <definedName name="eafo5" localSheetId="4" hidden="1">{"DolanCo1_PA",#N/A,FALSE,"Tina Dolan";"DolanCo1_Prop",#N/A,FALSE,"Tina Dolan"}</definedName>
    <definedName name="eafo5" localSheetId="5" hidden="1">{"DolanCo1_PA",#N/A,FALSE,"Tina Dolan";"DolanCo1_Prop",#N/A,FALSE,"Tina Dolan"}</definedName>
    <definedName name="eafo5" localSheetId="2" hidden="1">{"DolanCo1_PA",#N/A,FALSE,"Tina Dolan";"DolanCo1_Prop",#N/A,FALSE,"Tina Dolan"}</definedName>
    <definedName name="eafo5" localSheetId="6" hidden="1">{"DolanCo1_PA",#N/A,FALSE,"Tina Dolan";"DolanCo1_Prop",#N/A,FALSE,"Tina Dolan"}</definedName>
    <definedName name="eafo5" localSheetId="1" hidden="1">{"DolanCo1_PA",#N/A,FALSE,"Tina Dolan";"DolanCo1_Prop",#N/A,FALSE,"Tina Dolan"}</definedName>
    <definedName name="eafo5" localSheetId="7" hidden="1">{"DolanCo1_PA",#N/A,FALSE,"Tina Dolan";"DolanCo1_Prop",#N/A,FALSE,"Tina Dolan"}</definedName>
    <definedName name="eafo5" hidden="1">{"DolanCo1_PA",#N/A,FALSE,"Tina Dolan";"DolanCo1_Prop",#N/A,FALSE,"Tina Dolan"}</definedName>
    <definedName name="eafo6" localSheetId="3" hidden="1">{"Prop_350K",#N/A,FALSE,"Ebron-350K";"PA_350K",#N/A,FALSE,"Ebron-350K";"Ebron350KTrvl",#N/A,FALSE,"Ebrons Travel 350k"}</definedName>
    <definedName name="eafo6" localSheetId="4" hidden="1">{"Prop_350K",#N/A,FALSE,"Ebron-350K";"PA_350K",#N/A,FALSE,"Ebron-350K";"Ebron350KTrvl",#N/A,FALSE,"Ebrons Travel 350k"}</definedName>
    <definedName name="eafo6" localSheetId="5" hidden="1">{"Prop_350K",#N/A,FALSE,"Ebron-350K";"PA_350K",#N/A,FALSE,"Ebron-350K";"Ebron350KTrvl",#N/A,FALSE,"Ebrons Travel 350k"}</definedName>
    <definedName name="eafo6" localSheetId="2" hidden="1">{"Prop_350K",#N/A,FALSE,"Ebron-350K";"PA_350K",#N/A,FALSE,"Ebron-350K";"Ebron350KTrvl",#N/A,FALSE,"Ebrons Travel 350k"}</definedName>
    <definedName name="eafo6" localSheetId="6" hidden="1">{"Prop_350K",#N/A,FALSE,"Ebron-350K";"PA_350K",#N/A,FALSE,"Ebron-350K";"Ebron350KTrvl",#N/A,FALSE,"Ebrons Travel 350k"}</definedName>
    <definedName name="eafo6" localSheetId="1" hidden="1">{"Prop_350K",#N/A,FALSE,"Ebron-350K";"PA_350K",#N/A,FALSE,"Ebron-350K";"Ebron350KTrvl",#N/A,FALSE,"Ebrons Travel 350k"}</definedName>
    <definedName name="eafo6" localSheetId="7" hidden="1">{"Prop_350K",#N/A,FALSE,"Ebron-350K";"PA_350K",#N/A,FALSE,"Ebron-350K";"Ebron350KTrvl",#N/A,FALSE,"Ebrons Travel 350k"}</definedName>
    <definedName name="eafo6" hidden="1">{"Prop_350K",#N/A,FALSE,"Ebron-350K";"PA_350K",#N/A,FALSE,"Ebron-350K";"Ebron350KTrvl",#N/A,FALSE,"Ebrons Travel 350k"}</definedName>
    <definedName name="eafo7" localSheetId="3" hidden="1">{"EbronCo1_PA",#N/A,FALSE,"Ebrons Task Co1";"EbronCo1_Prop",#N/A,FALSE,"Ebrons Task Co1";"Ebron316KTrvl",#N/A,FALSE,"Ebrons Travel 316k"}</definedName>
    <definedName name="eafo7" localSheetId="4" hidden="1">{"EbronCo1_PA",#N/A,FALSE,"Ebrons Task Co1";"EbronCo1_Prop",#N/A,FALSE,"Ebrons Task Co1";"Ebron316KTrvl",#N/A,FALSE,"Ebrons Travel 316k"}</definedName>
    <definedName name="eafo7" localSheetId="5" hidden="1">{"EbronCo1_PA",#N/A,FALSE,"Ebrons Task Co1";"EbronCo1_Prop",#N/A,FALSE,"Ebrons Task Co1";"Ebron316KTrvl",#N/A,FALSE,"Ebrons Travel 316k"}</definedName>
    <definedName name="eafo7" localSheetId="2" hidden="1">{"EbronCo1_PA",#N/A,FALSE,"Ebrons Task Co1";"EbronCo1_Prop",#N/A,FALSE,"Ebrons Task Co1";"Ebron316KTrvl",#N/A,FALSE,"Ebrons Travel 316k"}</definedName>
    <definedName name="eafo7" localSheetId="6" hidden="1">{"EbronCo1_PA",#N/A,FALSE,"Ebrons Task Co1";"EbronCo1_Prop",#N/A,FALSE,"Ebrons Task Co1";"Ebron316KTrvl",#N/A,FALSE,"Ebrons Travel 316k"}</definedName>
    <definedName name="eafo7" localSheetId="1" hidden="1">{"EbronCo1_PA",#N/A,FALSE,"Ebrons Task Co1";"EbronCo1_Prop",#N/A,FALSE,"Ebrons Task Co1";"Ebron316KTrvl",#N/A,FALSE,"Ebrons Travel 316k"}</definedName>
    <definedName name="eafo7" localSheetId="7" hidden="1">{"EbronCo1_PA",#N/A,FALSE,"Ebrons Task Co1";"EbronCo1_Prop",#N/A,FALSE,"Ebrons Task Co1";"Ebron316KTrvl",#N/A,FALSE,"Ebrons Travel 316k"}</definedName>
    <definedName name="eafo7" hidden="1">{"EbronCo1_PA",#N/A,FALSE,"Ebrons Task Co1";"EbronCo1_Prop",#N/A,FALSE,"Ebrons Task Co1";"Ebron316KTrvl",#N/A,FALSE,"Ebrons Travel 316k"}</definedName>
    <definedName name="eafo8" localSheetId="3" hidden="1">{"EbronCo5_PA",#N/A,FALSE,"Ebrons Task Co5";"EbronCo5_Prop",#N/A,FALSE,"Ebrons Task Co5"}</definedName>
    <definedName name="eafo8" localSheetId="4" hidden="1">{"EbronCo5_PA",#N/A,FALSE,"Ebrons Task Co5";"EbronCo5_Prop",#N/A,FALSE,"Ebrons Task Co5"}</definedName>
    <definedName name="eafo8" localSheetId="5" hidden="1">{"EbronCo5_PA",#N/A,FALSE,"Ebrons Task Co5";"EbronCo5_Prop",#N/A,FALSE,"Ebrons Task Co5"}</definedName>
    <definedName name="eafo8" localSheetId="2" hidden="1">{"EbronCo5_PA",#N/A,FALSE,"Ebrons Task Co5";"EbronCo5_Prop",#N/A,FALSE,"Ebrons Task Co5"}</definedName>
    <definedName name="eafo8" localSheetId="6" hidden="1">{"EbronCo5_PA",#N/A,FALSE,"Ebrons Task Co5";"EbronCo5_Prop",#N/A,FALSE,"Ebrons Task Co5"}</definedName>
    <definedName name="eafo8" localSheetId="1" hidden="1">{"EbronCo5_PA",#N/A,FALSE,"Ebrons Task Co5";"EbronCo5_Prop",#N/A,FALSE,"Ebrons Task Co5"}</definedName>
    <definedName name="eafo8" localSheetId="7" hidden="1">{"EbronCo5_PA",#N/A,FALSE,"Ebrons Task Co5";"EbronCo5_Prop",#N/A,FALSE,"Ebrons Task Co5"}</definedName>
    <definedName name="eafo8" hidden="1">{"EbronCo5_PA",#N/A,FALSE,"Ebrons Task Co5";"EbronCo5_Prop",#N/A,FALSE,"Ebrons Task Co5"}</definedName>
    <definedName name="eafo9" localSheetId="3" hidden="1">{"JDISS_Co1",#N/A,FALSE,"JDISS_Co1";"JDISSCo1_PA",#N/A,FALSE,"JDISS_Co1"}</definedName>
    <definedName name="eafo9" localSheetId="4" hidden="1">{"JDISS_Co1",#N/A,FALSE,"JDISS_Co1";"JDISSCo1_PA",#N/A,FALSE,"JDISS_Co1"}</definedName>
    <definedName name="eafo9" localSheetId="5" hidden="1">{"JDISS_Co1",#N/A,FALSE,"JDISS_Co1";"JDISSCo1_PA",#N/A,FALSE,"JDISS_Co1"}</definedName>
    <definedName name="eafo9" localSheetId="2" hidden="1">{"JDISS_Co1",#N/A,FALSE,"JDISS_Co1";"JDISSCo1_PA",#N/A,FALSE,"JDISS_Co1"}</definedName>
    <definedName name="eafo9" localSheetId="6" hidden="1">{"JDISS_Co1",#N/A,FALSE,"JDISS_Co1";"JDISSCo1_PA",#N/A,FALSE,"JDISS_Co1"}</definedName>
    <definedName name="eafo9" localSheetId="1" hidden="1">{"JDISS_Co1",#N/A,FALSE,"JDISS_Co1";"JDISSCo1_PA",#N/A,FALSE,"JDISS_Co1"}</definedName>
    <definedName name="eafo9" localSheetId="7" hidden="1">{"JDISS_Co1",#N/A,FALSE,"JDISS_Co1";"JDISSCo1_PA",#N/A,FALSE,"JDISS_Co1"}</definedName>
    <definedName name="eafo9" hidden="1">{"JDISS_Co1",#N/A,FALSE,"JDISS_Co1";"JDISSCo1_PA",#N/A,FALSE,"JDISS_Co1"}</definedName>
    <definedName name="earo25" localSheetId="3" hidden="1">{"PearsonCo1_Prop",#N/A,FALSE,"Pearsons Task Co1";"PearsonCo1_PA",#N/A,FALSE,"Pearsons Task Co1"}</definedName>
    <definedName name="earo25" localSheetId="4" hidden="1">{"PearsonCo1_Prop",#N/A,FALSE,"Pearsons Task Co1";"PearsonCo1_PA",#N/A,FALSE,"Pearsons Task Co1"}</definedName>
    <definedName name="earo25" localSheetId="5" hidden="1">{"PearsonCo1_Prop",#N/A,FALSE,"Pearsons Task Co1";"PearsonCo1_PA",#N/A,FALSE,"Pearsons Task Co1"}</definedName>
    <definedName name="earo25" localSheetId="2" hidden="1">{"PearsonCo1_Prop",#N/A,FALSE,"Pearsons Task Co1";"PearsonCo1_PA",#N/A,FALSE,"Pearsons Task Co1"}</definedName>
    <definedName name="earo25" localSheetId="6" hidden="1">{"PearsonCo1_Prop",#N/A,FALSE,"Pearsons Task Co1";"PearsonCo1_PA",#N/A,FALSE,"Pearsons Task Co1"}</definedName>
    <definedName name="earo25" localSheetId="1" hidden="1">{"PearsonCo1_Prop",#N/A,FALSE,"Pearsons Task Co1";"PearsonCo1_PA",#N/A,FALSE,"Pearsons Task Co1"}</definedName>
    <definedName name="earo25" localSheetId="7" hidden="1">{"PearsonCo1_Prop",#N/A,FALSE,"Pearsons Task Co1";"PearsonCo1_PA",#N/A,FALSE,"Pearsons Task Co1"}</definedName>
    <definedName name="earo25" hidden="1">{"PearsonCo1_Prop",#N/A,FALSE,"Pearsons Task Co1";"PearsonCo1_PA",#N/A,FALSE,"Pearsons Task Co1"}</definedName>
    <definedName name="ed6_8">[7]Parameters!$B$526</definedName>
    <definedName name="ed9_12">[7]Parameters!$B$527</definedName>
    <definedName name="edk_5">[7]Parameters!$B$525</definedName>
    <definedName name="EETYPE">#REF!</definedName>
    <definedName name="EEwithAmounts">#REF!</definedName>
    <definedName name="EMPLOYEECURRENTSTATUS">#REF!</definedName>
    <definedName name="END">#N/A</definedName>
    <definedName name="eras" localSheetId="3" hidden="1">{"PAGE1",#N/A,FALSE,"CPFFMSTR";"PAGE2",#N/A,FALSE,"CPFFMSTR"}</definedName>
    <definedName name="eras" localSheetId="4" hidden="1">{"PAGE1",#N/A,FALSE,"CPFFMSTR";"PAGE2",#N/A,FALSE,"CPFFMSTR"}</definedName>
    <definedName name="eras" localSheetId="5" hidden="1">{"PAGE1",#N/A,FALSE,"CPFFMSTR";"PAGE2",#N/A,FALSE,"CPFFMSTR"}</definedName>
    <definedName name="eras" localSheetId="2" hidden="1">{"PAGE1",#N/A,FALSE,"CPFFMSTR";"PAGE2",#N/A,FALSE,"CPFFMSTR"}</definedName>
    <definedName name="eras" localSheetId="6" hidden="1">{"PAGE1",#N/A,FALSE,"CPFFMSTR";"PAGE2",#N/A,FALSE,"CPFFMSTR"}</definedName>
    <definedName name="eras" localSheetId="1" hidden="1">{"PAGE1",#N/A,FALSE,"CPFFMSTR";"PAGE2",#N/A,FALSE,"CPFFMSTR"}</definedName>
    <definedName name="eras" localSheetId="7" hidden="1">{"PAGE1",#N/A,FALSE,"CPFFMSTR";"PAGE2",#N/A,FALSE,"CPFFMSTR"}</definedName>
    <definedName name="eras" hidden="1">{"PAGE1",#N/A,FALSE,"CPFFMSTR";"PAGE2",#N/A,FALSE,"CPFFMSTR"}</definedName>
    <definedName name="erwe" localSheetId="3" hidden="1">{"PAGE1",#N/A,FALSE,"CPFFMSTR";"PAGE2",#N/A,FALSE,"CPFFMSTR"}</definedName>
    <definedName name="erwe" localSheetId="4" hidden="1">{"PAGE1",#N/A,FALSE,"CPFFMSTR";"PAGE2",#N/A,FALSE,"CPFFMSTR"}</definedName>
    <definedName name="erwe" localSheetId="5" hidden="1">{"PAGE1",#N/A,FALSE,"CPFFMSTR";"PAGE2",#N/A,FALSE,"CPFFMSTR"}</definedName>
    <definedName name="erwe" localSheetId="2" hidden="1">{"PAGE1",#N/A,FALSE,"CPFFMSTR";"PAGE2",#N/A,FALSE,"CPFFMSTR"}</definedName>
    <definedName name="erwe" localSheetId="6" hidden="1">{"PAGE1",#N/A,FALSE,"CPFFMSTR";"PAGE2",#N/A,FALSE,"CPFFMSTR"}</definedName>
    <definedName name="erwe" localSheetId="1" hidden="1">{"PAGE1",#N/A,FALSE,"CPFFMSTR";"PAGE2",#N/A,FALSE,"CPFFMSTR"}</definedName>
    <definedName name="erwe" localSheetId="7" hidden="1">{"PAGE1",#N/A,FALSE,"CPFFMSTR";"PAGE2",#N/A,FALSE,"CPFFMSTR"}</definedName>
    <definedName name="erwe" hidden="1">{"PAGE1",#N/A,FALSE,"CPFFMSTR";"PAGE2",#N/A,FALSE,"CPFFMSTR"}</definedName>
    <definedName name="esc">0.035</definedName>
    <definedName name="ETHNICID">#REF!</definedName>
    <definedName name="EXC">#REF!</definedName>
    <definedName name="exch">[5]Parameters!$D$19</definedName>
    <definedName name="Exchange">#REF!</definedName>
    <definedName name="ExchangeRate">#REF!</definedName>
    <definedName name="Expat_Discount">#REF!</definedName>
    <definedName name="Expat_Fringe">#REF!</definedName>
    <definedName name="expatsalinc">[13]Sheet1!$C$7</definedName>
    <definedName name="expatsttasal">[13]Sheet1!$C$29</definedName>
    <definedName name="Expense">'[26]Drp Down Menu lists '!$B$1:$B$10</definedName>
    <definedName name="fasdf" localSheetId="3" hidden="1">{"PAGE1",#N/A,FALSE,"CPFFMSTR";"PAGE2",#N/A,FALSE,"CPFFMSTR"}</definedName>
    <definedName name="fasdf" localSheetId="4" hidden="1">{"PAGE1",#N/A,FALSE,"CPFFMSTR";"PAGE2",#N/A,FALSE,"CPFFMSTR"}</definedName>
    <definedName name="fasdf" localSheetId="5" hidden="1">{"PAGE1",#N/A,FALSE,"CPFFMSTR";"PAGE2",#N/A,FALSE,"CPFFMSTR"}</definedName>
    <definedName name="fasdf" localSheetId="2" hidden="1">{"PAGE1",#N/A,FALSE,"CPFFMSTR";"PAGE2",#N/A,FALSE,"CPFFMSTR"}</definedName>
    <definedName name="fasdf" localSheetId="6" hidden="1">{"PAGE1",#N/A,FALSE,"CPFFMSTR";"PAGE2",#N/A,FALSE,"CPFFMSTR"}</definedName>
    <definedName name="fasdf" localSheetId="1" hidden="1">{"PAGE1",#N/A,FALSE,"CPFFMSTR";"PAGE2",#N/A,FALSE,"CPFFMSTR"}</definedName>
    <definedName name="fasdf" localSheetId="7" hidden="1">{"PAGE1",#N/A,FALSE,"CPFFMSTR";"PAGE2",#N/A,FALSE,"CPFFMSTR"}</definedName>
    <definedName name="fasdf" hidden="1">{"PAGE1",#N/A,FALSE,"CPFFMSTR";"PAGE2",#N/A,FALSE,"CPFFMSTR"}</definedName>
    <definedName name="fasfas" hidden="1">[2]IPA!#REF!</definedName>
    <definedName name="FB">#REF!</definedName>
    <definedName name="FB_T">#REF!</definedName>
    <definedName name="FCCM_GA">#REF!</definedName>
    <definedName name="FCCM_lab">#REF!</definedName>
    <definedName name="FCCM_MSE">#REF!</definedName>
    <definedName name="FCCM_Office">#REF!</definedName>
    <definedName name="FCCM_OfficeOther">#REF!</definedName>
    <definedName name="fdfdf" hidden="1">#REF!</definedName>
    <definedName name="fdfdfdfddfdfdfdf">#REF!</definedName>
    <definedName name="fdfdfdfdf">#REF!</definedName>
    <definedName name="fdfdfdfdfd" hidden="1">#REF!</definedName>
    <definedName name="FDRs">#REF!</definedName>
    <definedName name="FEDEX">#REF!</definedName>
    <definedName name="fee">[5]Parameters!$D$15</definedName>
    <definedName name="FGH" localSheetId="3" hidden="1">{"PAGE1",#N/A,FALSE,"CPFFMSTR";"PAGE2",#N/A,FALSE,"CPFFMSTR"}</definedName>
    <definedName name="FGH" localSheetId="4" hidden="1">{"PAGE1",#N/A,FALSE,"CPFFMSTR";"PAGE2",#N/A,FALSE,"CPFFMSTR"}</definedName>
    <definedName name="FGH" localSheetId="5" hidden="1">{"PAGE1",#N/A,FALSE,"CPFFMSTR";"PAGE2",#N/A,FALSE,"CPFFMSTR"}</definedName>
    <definedName name="FGH" localSheetId="2" hidden="1">{"PAGE1",#N/A,FALSE,"CPFFMSTR";"PAGE2",#N/A,FALSE,"CPFFMSTR"}</definedName>
    <definedName name="FGH" localSheetId="6" hidden="1">{"PAGE1",#N/A,FALSE,"CPFFMSTR";"PAGE2",#N/A,FALSE,"CPFFMSTR"}</definedName>
    <definedName name="FGH" localSheetId="1" hidden="1">{"PAGE1",#N/A,FALSE,"CPFFMSTR";"PAGE2",#N/A,FALSE,"CPFFMSTR"}</definedName>
    <definedName name="FGH" localSheetId="7" hidden="1">{"PAGE1",#N/A,FALSE,"CPFFMSTR";"PAGE2",#N/A,FALSE,"CPFFMSTR"}</definedName>
    <definedName name="FGH" hidden="1">{"PAGE1",#N/A,FALSE,"CPFFMSTR";"PAGE2",#N/A,FALSE,"CPFFMSTR"}</definedName>
    <definedName name="field_fringe">#REF!</definedName>
    <definedName name="fieldfringe">#REF!</definedName>
    <definedName name="Firms">#REF!</definedName>
    <definedName name="Fixed_Fee">#REF!</definedName>
    <definedName name="FMI">#N/A</definedName>
    <definedName name="fo">[27]Training!$N$3</definedName>
    <definedName name="fooh">[5]Parameters!$D$13</definedName>
    <definedName name="FORM">#REF!</definedName>
    <definedName name="FORM1">#REF!</definedName>
    <definedName name="FORM3">#REF!</definedName>
    <definedName name="FPMSA">#N/A</definedName>
    <definedName name="fr">[5]Parameters!$D$10</definedName>
    <definedName name="fringe">0.405</definedName>
    <definedName name="fringedir">[7]Parameters!$B$488</definedName>
    <definedName name="fsnmax">[5]Parameters!#REF!</definedName>
    <definedName name="FTE_All">#REF!</definedName>
    <definedName name="FTE_M">#REF!</definedName>
    <definedName name="FTE_Y">#REF!</definedName>
    <definedName name="FTE_Year1">#REF!</definedName>
    <definedName name="FTE_Year2">#REF!</definedName>
    <definedName name="FTE_Year3">#REF!</definedName>
    <definedName name="FTE_Year4">#REF!</definedName>
    <definedName name="FTE_Year5">#REF!</definedName>
    <definedName name="Full_time_Regular_Query">#REF!</definedName>
    <definedName name="FULLORPARTTIME">#REF!</definedName>
    <definedName name="g_a">#REF!</definedName>
    <definedName name="ga">[5]Parameters!$D$14</definedName>
    <definedName name="GandA_by_firm">#REF!</definedName>
    <definedName name="gandamult">[28]formulas!$B$6</definedName>
    <definedName name="GENDER">#REF!</definedName>
    <definedName name="ghghghtghg" hidden="1">#REF!</definedName>
    <definedName name="GR">'[20]Tx-Acc'!$D$2:$E$483</definedName>
    <definedName name="Grand_Total">'[29]Schedule Items-Labor'!#REF!</definedName>
    <definedName name="grantfee">0.02</definedName>
    <definedName name="GRP">#REF!</definedName>
    <definedName name="GSDFG" localSheetId="3" hidden="1">{"PAGE1",#N/A,FALSE,"CPFFMSTR";"PAGE2",#N/A,FALSE,"CPFFMSTR"}</definedName>
    <definedName name="GSDFG" localSheetId="4" hidden="1">{"PAGE1",#N/A,FALSE,"CPFFMSTR";"PAGE2",#N/A,FALSE,"CPFFMSTR"}</definedName>
    <definedName name="GSDFG" localSheetId="5" hidden="1">{"PAGE1",#N/A,FALSE,"CPFFMSTR";"PAGE2",#N/A,FALSE,"CPFFMSTR"}</definedName>
    <definedName name="GSDFG" localSheetId="2" hidden="1">{"PAGE1",#N/A,FALSE,"CPFFMSTR";"PAGE2",#N/A,FALSE,"CPFFMSTR"}</definedName>
    <definedName name="GSDFG" localSheetId="6" hidden="1">{"PAGE1",#N/A,FALSE,"CPFFMSTR";"PAGE2",#N/A,FALSE,"CPFFMSTR"}</definedName>
    <definedName name="GSDFG" localSheetId="1" hidden="1">{"PAGE1",#N/A,FALSE,"CPFFMSTR";"PAGE2",#N/A,FALSE,"CPFFMSTR"}</definedName>
    <definedName name="GSDFG" localSheetId="7" hidden="1">{"PAGE1",#N/A,FALSE,"CPFFMSTR";"PAGE2",#N/A,FALSE,"CPFFMSTR"}</definedName>
    <definedName name="GSDFG" hidden="1">{"PAGE1",#N/A,FALSE,"CPFFMSTR";"PAGE2",#N/A,FALSE,"CPFFMSTR"}</definedName>
    <definedName name="guard">[13]Sheet1!$C$46</definedName>
    <definedName name="guatemala">#REF!</definedName>
    <definedName name="HEAD">#REF!</definedName>
    <definedName name="heading">#N/A</definedName>
    <definedName name="health_insurance">[5]Parameters!$D$60</definedName>
    <definedName name="HGJ" localSheetId="3" hidden="1">{"PAGE1",#N/A,FALSE,"CPFFMSTR";"PAGE2",#N/A,FALSE,"CPFFMSTR"}</definedName>
    <definedName name="HGJ" localSheetId="4" hidden="1">{"PAGE1",#N/A,FALSE,"CPFFMSTR";"PAGE2",#N/A,FALSE,"CPFFMSTR"}</definedName>
    <definedName name="HGJ" localSheetId="5" hidden="1">{"PAGE1",#N/A,FALSE,"CPFFMSTR";"PAGE2",#N/A,FALSE,"CPFFMSTR"}</definedName>
    <definedName name="HGJ" localSheetId="2" hidden="1">{"PAGE1",#N/A,FALSE,"CPFFMSTR";"PAGE2",#N/A,FALSE,"CPFFMSTR"}</definedName>
    <definedName name="HGJ" localSheetId="6" hidden="1">{"PAGE1",#N/A,FALSE,"CPFFMSTR";"PAGE2",#N/A,FALSE,"CPFFMSTR"}</definedName>
    <definedName name="HGJ" localSheetId="1" hidden="1">{"PAGE1",#N/A,FALSE,"CPFFMSTR";"PAGE2",#N/A,FALSE,"CPFFMSTR"}</definedName>
    <definedName name="HGJ" localSheetId="7" hidden="1">{"PAGE1",#N/A,FALSE,"CPFFMSTR";"PAGE2",#N/A,FALSE,"CPFFMSTR"}</definedName>
    <definedName name="HGJ" hidden="1">{"PAGE1",#N/A,FALSE,"CPFFMSTR";"PAGE2",#N/A,FALSE,"CPFFMSTR"}</definedName>
    <definedName name="hhehandling">[13]Sheet1!$C$40</definedName>
    <definedName name="hheorigin">[13]Sheet1!$C$39</definedName>
    <definedName name="hheshipment">[13]Sheet1!$C$37</definedName>
    <definedName name="hhestorage">[13]Sheet1!$C$38</definedName>
    <definedName name="HIID1">#N/A</definedName>
    <definedName name="HIID4">#N/A</definedName>
    <definedName name="HISTORY">#REF!</definedName>
    <definedName name="ho">[7]Parameters!$A$431</definedName>
    <definedName name="hofa">[5]Parameters!#REF!</definedName>
    <definedName name="Hola" hidden="1">'[8]sample labor calc'!#REF!</definedName>
    <definedName name="hooh">[5]Parameters!$D$12</definedName>
    <definedName name="Horas">#REF!</definedName>
    <definedName name="hos10co">[7]Parameters!$G$442</definedName>
    <definedName name="hos10name">[7]Parameters!$C$442</definedName>
    <definedName name="hos10sal1">[7]Parameters!$E$442</definedName>
    <definedName name="hos1co">[7]Parameters!$G$433</definedName>
    <definedName name="hos1name">[7]Parameters!$C$433</definedName>
    <definedName name="hos1sal1">[7]Parameters!$E$433</definedName>
    <definedName name="hos2co">[7]Parameters!$G$434</definedName>
    <definedName name="hos2name">[7]Parameters!$C$434</definedName>
    <definedName name="hos2sal1">[7]Parameters!$E$434</definedName>
    <definedName name="hos3co">[7]Parameters!$G$435</definedName>
    <definedName name="hos3name">[7]Parameters!$C$435</definedName>
    <definedName name="hos3sal1">[7]Parameters!$E$435</definedName>
    <definedName name="hos4co">[7]Parameters!$G$436</definedName>
    <definedName name="hos4name">[7]Parameters!$C$436</definedName>
    <definedName name="hos4sal1">[7]Parameters!$E$436</definedName>
    <definedName name="hos5co">[7]Parameters!$G$437</definedName>
    <definedName name="hos5name">[7]Parameters!$C$437</definedName>
    <definedName name="hos5sal1">[7]Parameters!$E$437</definedName>
    <definedName name="hos6co">[7]Parameters!$G$438</definedName>
    <definedName name="hos6name">[7]Parameters!$C$438</definedName>
    <definedName name="hos6sal1">[7]Parameters!$E$438</definedName>
    <definedName name="hos7co">[7]Parameters!$G$439</definedName>
    <definedName name="hos7name">[7]Parameters!$C$439</definedName>
    <definedName name="hos7sal1">[7]Parameters!$E$439</definedName>
    <definedName name="hos8co">[7]Parameters!$G$440</definedName>
    <definedName name="hos8name">[7]Parameters!$C$440</definedName>
    <definedName name="hos8sal1">[7]Parameters!$E$440</definedName>
    <definedName name="hos9co">[7]Parameters!$G$441</definedName>
    <definedName name="hos9name">[7]Parameters!$C$441</definedName>
    <definedName name="hos9sal1">[7]Parameters!$E$441</definedName>
    <definedName name="hosco11">[7]Parameters!$G$443</definedName>
    <definedName name="hosco12">[7]Parameters!$G$444</definedName>
    <definedName name="hosco13">[7]Parameters!$G$445</definedName>
    <definedName name="hosco14">[7]Parameters!$G$446</definedName>
    <definedName name="hosco15">[7]Parameters!$G$447</definedName>
    <definedName name="hosco16">[7]Parameters!$G$448</definedName>
    <definedName name="hosco17">[7]Parameters!$G$449</definedName>
    <definedName name="hosco18">[7]Parameters!$G$450</definedName>
    <definedName name="hosco19">[7]Parameters!$G$451</definedName>
    <definedName name="hosco20">[7]Parameters!$G$452</definedName>
    <definedName name="hosco21">[7]Parameters!$G$453</definedName>
    <definedName name="hosjob1">[7]Parameters!$I$433</definedName>
    <definedName name="hosjob10">[7]Parameters!$I$442</definedName>
    <definedName name="hosjob2">[7]Parameters!$I$434</definedName>
    <definedName name="hosjob3">[7]Parameters!$I$435</definedName>
    <definedName name="hosjob4">[7]Parameters!$I$436</definedName>
    <definedName name="hosjob5">[7]Parameters!$I$437</definedName>
    <definedName name="hosjob6">[7]Parameters!$I$438</definedName>
    <definedName name="hosjob7">[7]Parameters!$I$439</definedName>
    <definedName name="hosjob8">[7]Parameters!$I$440</definedName>
    <definedName name="hosjob9">[7]Parameters!$I$441</definedName>
    <definedName name="hosname11">[7]Parameters!$C$443</definedName>
    <definedName name="hosname12">[7]Parameters!$C$444</definedName>
    <definedName name="hosname13">[7]Parameters!$C$445</definedName>
    <definedName name="hosname14">[7]Parameters!$C$446</definedName>
    <definedName name="hosname15">[7]Parameters!$C$447</definedName>
    <definedName name="hosname16">[7]Parameters!$C$448</definedName>
    <definedName name="hosname17">[7]Parameters!$C$449</definedName>
    <definedName name="hosname18">[7]Parameters!$C$450</definedName>
    <definedName name="hosname19">[7]Parameters!$C$451</definedName>
    <definedName name="hosname20">[7]Parameters!$C$452</definedName>
    <definedName name="hosname21">[7]Parameters!$C$453</definedName>
    <definedName name="hossal11">[7]Parameters!$E$443</definedName>
    <definedName name="hossal12">[7]Parameters!$E$444</definedName>
    <definedName name="hossal13">[7]Parameters!$E$445</definedName>
    <definedName name="hossal14">[7]Parameters!$E$446</definedName>
    <definedName name="hossal15">[7]Parameters!$E$447</definedName>
    <definedName name="hossal16">[7]Parameters!$E$448</definedName>
    <definedName name="hossal17">[7]Parameters!$E$449</definedName>
    <definedName name="hossal18">[7]Parameters!$E$450</definedName>
    <definedName name="hossal19">[7]Parameters!$E$451</definedName>
    <definedName name="hossal20">[7]Parameters!$E$452</definedName>
    <definedName name="hossal21">[7]Parameters!$E$453</definedName>
    <definedName name="hours_m">166.67</definedName>
    <definedName name="hours_y">1833</definedName>
    <definedName name="HQ_Fringe">#REF!</definedName>
    <definedName name="huehuetenango">#REF!</definedName>
    <definedName name="iff">0.0075</definedName>
    <definedName name="IIEclin1">#REF!</definedName>
    <definedName name="iieclin2">#REF!</definedName>
    <definedName name="iieclin3">#REF!</definedName>
    <definedName name="IMCC">#N/A</definedName>
    <definedName name="IN">'[27]DETAIL Burkina Faso'!$R$3</definedName>
    <definedName name="Indirect1">#REF!</definedName>
    <definedName name="inf" localSheetId="3">#REF!</definedName>
    <definedName name="inf" localSheetId="4">#REF!</definedName>
    <definedName name="inf" localSheetId="5">#REF!</definedName>
    <definedName name="inf" localSheetId="2">#REF!</definedName>
    <definedName name="inf" localSheetId="6">#REF!</definedName>
    <definedName name="inf" localSheetId="1">#REF!</definedName>
    <definedName name="inf" localSheetId="7">#REF!</definedName>
    <definedName name="inf">#REF!</definedName>
    <definedName name="infl">[5]Parameters!$D$8</definedName>
    <definedName name="INFLATE">[11]RATES!#REF!</definedName>
    <definedName name="Inflation">'[30]Detail-1'!$J$2</definedName>
    <definedName name="Inflation_factor_year_1">#REF!</definedName>
    <definedName name="Inflation_factor_year_2">#REF!</definedName>
    <definedName name="Inflation_factor_year_3">#REF!</definedName>
    <definedName name="Inflation_factor_year_4">#REF!</definedName>
    <definedName name="Inflation_factor_year_5">#REF!</definedName>
    <definedName name="INODC">'[27]DETAIL Burkina Faso'!$R$4</definedName>
    <definedName name="Insti11">[11]RATES!#REF!</definedName>
    <definedName name="Insti12">[11]RATES!#REF!</definedName>
    <definedName name="Insti13">[11]RATES!#REF!</definedName>
    <definedName name="Insti41">[11]RATES!#REF!</definedName>
    <definedName name="Insti42">[11]RATES!#REF!</definedName>
    <definedName name="Insti43">[11]RATES!#REF!</definedName>
    <definedName name="Insti51">[11]RATES!#REF!</definedName>
    <definedName name="Insti52">[11]RATES!#REF!</definedName>
    <definedName name="Insti53">[11]RATES!#REF!</definedName>
    <definedName name="INSTRUCT">#REF!</definedName>
    <definedName name="INTERMIT">#N/A</definedName>
    <definedName name="interregion">[5]Parameters!$D$42</definedName>
    <definedName name="intlrtecon">[5]Parameters!$D$26</definedName>
    <definedName name="intraregion">[5]Parameters!$D$43</definedName>
    <definedName name="ird">#REF!</definedName>
    <definedName name="ISTI1">#N/A</definedName>
    <definedName name="ISTI4">#N/A</definedName>
    <definedName name="ITE_Client">#REF!</definedName>
    <definedName name="ITE_Int">#REF!</definedName>
    <definedName name="ITE_lab">#REF!</definedName>
    <definedName name="ITE_Off">#REF!</definedName>
    <definedName name="ITE_OffOther">#REF!</definedName>
    <definedName name="ITE_on">#REF!</definedName>
    <definedName name="ITE_OnOther">#REF!</definedName>
    <definedName name="ITSH">'[26]Drp Down Menu lists '!$C$1:$C$3</definedName>
    <definedName name="JAAscenariodata">'[22]Summary Budget'!$O$6:$V$7</definedName>
    <definedName name="jea" localSheetId="3" hidden="1">{#N/A,#N/A,FALSE,"ManLoading"}</definedName>
    <definedName name="jea" localSheetId="4" hidden="1">{#N/A,#N/A,FALSE,"ManLoading"}</definedName>
    <definedName name="jea" localSheetId="5" hidden="1">{#N/A,#N/A,FALSE,"ManLoading"}</definedName>
    <definedName name="jea" localSheetId="2" hidden="1">{#N/A,#N/A,FALSE,"ManLoading"}</definedName>
    <definedName name="jea" localSheetId="6" hidden="1">{#N/A,#N/A,FALSE,"ManLoading"}</definedName>
    <definedName name="jea" localSheetId="7" hidden="1">{#N/A,#N/A,FALSE,"ManLoading"}</definedName>
    <definedName name="jea" hidden="1">{#N/A,#N/A,FALSE,"ManLoading"}</definedName>
    <definedName name="JH" localSheetId="3" hidden="1">{"PAGE1",#N/A,FALSE,"CPFFMSTR";"PAGE2",#N/A,FALSE,"CPFFMSTR"}</definedName>
    <definedName name="JH" localSheetId="4" hidden="1">{"PAGE1",#N/A,FALSE,"CPFFMSTR";"PAGE2",#N/A,FALSE,"CPFFMSTR"}</definedName>
    <definedName name="JH" localSheetId="5" hidden="1">{"PAGE1",#N/A,FALSE,"CPFFMSTR";"PAGE2",#N/A,FALSE,"CPFFMSTR"}</definedName>
    <definedName name="JH" localSheetId="2" hidden="1">{"PAGE1",#N/A,FALSE,"CPFFMSTR";"PAGE2",#N/A,FALSE,"CPFFMSTR"}</definedName>
    <definedName name="JH" localSheetId="6" hidden="1">{"PAGE1",#N/A,FALSE,"CPFFMSTR";"PAGE2",#N/A,FALSE,"CPFFMSTR"}</definedName>
    <definedName name="JH" localSheetId="1" hidden="1">{"PAGE1",#N/A,FALSE,"CPFFMSTR";"PAGE2",#N/A,FALSE,"CPFFMSTR"}</definedName>
    <definedName name="JH" localSheetId="7" hidden="1">{"PAGE1",#N/A,FALSE,"CPFFMSTR";"PAGE2",#N/A,FALSE,"CPFFMSTR"}</definedName>
    <definedName name="JH" hidden="1">{"PAGE1",#N/A,FALSE,"CPFFMSTR";"PAGE2",#N/A,FALSE,"CPFFMSTR"}</definedName>
    <definedName name="JKHJ" localSheetId="3" hidden="1">{"PAGE1",#N/A,FALSE,"CPFFMSTR";"PAGE2",#N/A,FALSE,"CPFFMSTR"}</definedName>
    <definedName name="JKHJ" localSheetId="4" hidden="1">{"PAGE1",#N/A,FALSE,"CPFFMSTR";"PAGE2",#N/A,FALSE,"CPFFMSTR"}</definedName>
    <definedName name="JKHJ" localSheetId="5" hidden="1">{"PAGE1",#N/A,FALSE,"CPFFMSTR";"PAGE2",#N/A,FALSE,"CPFFMSTR"}</definedName>
    <definedName name="JKHJ" localSheetId="2" hidden="1">{"PAGE1",#N/A,FALSE,"CPFFMSTR";"PAGE2",#N/A,FALSE,"CPFFMSTR"}</definedName>
    <definedName name="JKHJ" localSheetId="6" hidden="1">{"PAGE1",#N/A,FALSE,"CPFFMSTR";"PAGE2",#N/A,FALSE,"CPFFMSTR"}</definedName>
    <definedName name="JKHJ" localSheetId="1" hidden="1">{"PAGE1",#N/A,FALSE,"CPFFMSTR";"PAGE2",#N/A,FALSE,"CPFFMSTR"}</definedName>
    <definedName name="JKHJ" localSheetId="7" hidden="1">{"PAGE1",#N/A,FALSE,"CPFFMSTR";"PAGE2",#N/A,FALSE,"CPFFMSTR"}</definedName>
    <definedName name="JKHJ" hidden="1">{"PAGE1",#N/A,FALSE,"CPFFMSTR";"PAGE2",#N/A,FALSE,"CPFFMSTR"}</definedName>
    <definedName name="kkk" localSheetId="6">'[9]Data-in process'!$C$3:$C$67</definedName>
    <definedName name="kkk" localSheetId="7">'[9]Data-in process'!$C$3:$C$67</definedName>
    <definedName name="kkk">'[10]Data-in process'!$C$3:$C$67</definedName>
    <definedName name="Labor">'[31]DAI Budget '!$A$12:$Y$63</definedName>
    <definedName name="Labor_Categories">#REF!</definedName>
    <definedName name="Labor_categories_and_levels">'[32]AMAP-MF'!$K$9:$K$33</definedName>
    <definedName name="Labor_category_and_level">'[33]AMAP-MF'!#REF!</definedName>
    <definedName name="Labor_Escalation">#REF!</definedName>
    <definedName name="Labor_Escalation_DPK">[34]Assumptions!$B$9</definedName>
    <definedName name="LABOR1">#N/A</definedName>
    <definedName name="LABOR2">#N/A</definedName>
    <definedName name="LBI">[17]Assumptions!$H$13</definedName>
    <definedName name="Lease" hidden="1">#REF!</definedName>
    <definedName name="lieclin4">#REF!</definedName>
    <definedName name="limaregion">[5]Parameters!$D$41</definedName>
    <definedName name="Local_Fringe">#REF!</definedName>
    <definedName name="Localclin1">#REF!</definedName>
    <definedName name="localclin2">#REF!</definedName>
    <definedName name="localclin3">#REF!</definedName>
    <definedName name="localfr">[5]Parameters!$D$11</definedName>
    <definedName name="localperdiem">#REF!</definedName>
    <definedName name="localsalinc">[13]Sheet1!$C$9</definedName>
    <definedName name="localsalincrease">#REF!</definedName>
    <definedName name="localsstpercent">[5]Parameters!$D$32</definedName>
    <definedName name="localsttrip">[5]Parameters!$D$33</definedName>
    <definedName name="localtravel">[17]Assumptions!$G$36:$J$46</definedName>
    <definedName name="localtripfactor">[13]Sheet1!$C$20</definedName>
    <definedName name="LOE">#N/A</definedName>
    <definedName name="lqa">[5]Parameters!$D$48</definedName>
    <definedName name="LQA2wf">[18]Parameters!$B$15</definedName>
    <definedName name="LRA">#REF!</definedName>
    <definedName name="ltlp">[7]Parameters!$A$128</definedName>
    <definedName name="ltlp1">[7]Parameters!$A$130</definedName>
    <definedName name="ltlp10">[7]Parameters!$A$139</definedName>
    <definedName name="ltlp10co">[7]Parameters!$G$139</definedName>
    <definedName name="ltlp10name">[7]Parameters!$C$139</definedName>
    <definedName name="ltlp10sal1">[7]Parameters!$E$139</definedName>
    <definedName name="ltlp11">[7]Parameters!$A$140</definedName>
    <definedName name="ltlp11co">[7]Parameters!$G$140</definedName>
    <definedName name="ltlp11name">[7]Parameters!$C$140</definedName>
    <definedName name="ltlp11sal1">[7]Parameters!$E$140</definedName>
    <definedName name="ltlp12">[7]Parameters!$A$141</definedName>
    <definedName name="ltlp12co">[7]Parameters!$G$141</definedName>
    <definedName name="ltlp12name">[7]Parameters!$C$141</definedName>
    <definedName name="ltlp12sal1">[7]Parameters!$E$141</definedName>
    <definedName name="ltlp13">[7]Parameters!$A$142</definedName>
    <definedName name="ltlp13co">[7]Parameters!$G$142</definedName>
    <definedName name="ltlp13name">[7]Parameters!$C$142</definedName>
    <definedName name="ltlp13sal1">[7]Parameters!$E$142</definedName>
    <definedName name="ltlp14">[7]Parameters!$A$143</definedName>
    <definedName name="ltlp14co">[7]Parameters!$G$143</definedName>
    <definedName name="ltlp14name">[7]Parameters!$C$143</definedName>
    <definedName name="ltlp14sal1">[7]Parameters!$E$143</definedName>
    <definedName name="ltlp15">[7]Parameters!$A$144</definedName>
    <definedName name="ltlp15co">[7]Parameters!$G$144</definedName>
    <definedName name="ltlp15name">[7]Parameters!$C$144</definedName>
    <definedName name="ltlp15sal1">[7]Parameters!$E$144</definedName>
    <definedName name="ltlp16">[7]Parameters!$A$145</definedName>
    <definedName name="ltlp16co">[7]Parameters!$G$145</definedName>
    <definedName name="ltlp16name">[7]Parameters!$C$145</definedName>
    <definedName name="ltlp16sal1">[7]Parameters!$E$145</definedName>
    <definedName name="ltlp17">[7]Parameters!$A$146</definedName>
    <definedName name="ltlp17co">[7]Parameters!$G$146</definedName>
    <definedName name="ltlp17name">[7]Parameters!$C$146</definedName>
    <definedName name="ltlp17sal1">[7]Parameters!$E$146</definedName>
    <definedName name="ltlp18">[7]Parameters!$A$147</definedName>
    <definedName name="ltlp18co">[7]Parameters!$G$147</definedName>
    <definedName name="ltlp18name">[7]Parameters!$C$147</definedName>
    <definedName name="ltlp18sal1">[7]Parameters!$E$147</definedName>
    <definedName name="ltlp19">[7]Parameters!$A$148</definedName>
    <definedName name="ltlp19co">[7]Parameters!$G$148</definedName>
    <definedName name="ltlp19name">[7]Parameters!$C$148</definedName>
    <definedName name="ltlp19sal1">[7]Parameters!$E$148</definedName>
    <definedName name="ltlp1co">[7]Parameters!$G$130</definedName>
    <definedName name="ltlp1name">[7]Parameters!$C$130</definedName>
    <definedName name="ltlp1sal1">[7]Parameters!$E$130</definedName>
    <definedName name="ltlp2">[7]Parameters!$A$131</definedName>
    <definedName name="ltlp20">[7]Parameters!$A$149</definedName>
    <definedName name="ltlp20co">[7]Parameters!$G$149</definedName>
    <definedName name="ltlp20name">[7]Parameters!$C$149</definedName>
    <definedName name="ltlp20sal1">[7]Parameters!$E$149</definedName>
    <definedName name="ltlp21">[7]Parameters!$A$150</definedName>
    <definedName name="ltlp21co">[7]Parameters!$G$150</definedName>
    <definedName name="ltlp21name">[7]Parameters!$C$150</definedName>
    <definedName name="ltlp21sal1">[7]Parameters!$E$150</definedName>
    <definedName name="ltlp22">[7]Parameters!$A$151</definedName>
    <definedName name="ltlp22co">[7]Parameters!$G$151</definedName>
    <definedName name="ltlp22name">[7]Parameters!$C$151</definedName>
    <definedName name="ltlp22sal1">[7]Parameters!$E$151</definedName>
    <definedName name="ltlp23">[7]Parameters!$A$152</definedName>
    <definedName name="ltlp23co">[7]Parameters!$G$152</definedName>
    <definedName name="ltlp23name">[7]Parameters!$C$152</definedName>
    <definedName name="ltlp23sal1">[7]Parameters!$E$152</definedName>
    <definedName name="ltlp24">[7]Parameters!$A$153</definedName>
    <definedName name="ltlp24co">[7]Parameters!$G$153</definedName>
    <definedName name="ltlp24name">[7]Parameters!$C$153</definedName>
    <definedName name="ltlp24sal1">[7]Parameters!$E$153</definedName>
    <definedName name="ltlp25">[7]Parameters!$A$154</definedName>
    <definedName name="ltlp26">[7]Parameters!$A$155</definedName>
    <definedName name="ltlp27">[7]Parameters!$A$156</definedName>
    <definedName name="ltlp28">[7]Parameters!$A$157</definedName>
    <definedName name="ltlp29">[7]Parameters!$A$158</definedName>
    <definedName name="ltlp2co">[7]Parameters!$G$131</definedName>
    <definedName name="ltlp2name">[7]Parameters!$C$131</definedName>
    <definedName name="ltlp2sal1">[7]Parameters!$E$131</definedName>
    <definedName name="ltlp3">[7]Parameters!$A$132</definedName>
    <definedName name="ltlp30">[7]Parameters!$A$159</definedName>
    <definedName name="ltlp31">[7]Parameters!$A$160</definedName>
    <definedName name="ltlp32">[7]Parameters!$A$161</definedName>
    <definedName name="ltlp33">[7]Parameters!$A$162</definedName>
    <definedName name="ltlp34">[7]Parameters!$A$163</definedName>
    <definedName name="ltlp35">[7]Parameters!$A$164</definedName>
    <definedName name="ltlp36">[7]Parameters!$A$165</definedName>
    <definedName name="ltlp37">[7]Parameters!$A$166</definedName>
    <definedName name="ltlp38">[7]Parameters!$A$167</definedName>
    <definedName name="ltlp39">[7]Parameters!$A$168</definedName>
    <definedName name="ltlp3co">[7]Parameters!$G$132</definedName>
    <definedName name="ltlp3name">[7]Parameters!$C$132</definedName>
    <definedName name="ltlp3sal1">[7]Parameters!$E$132</definedName>
    <definedName name="ltlp4">[7]Parameters!$A$133</definedName>
    <definedName name="ltlp40">[7]Parameters!$A$169</definedName>
    <definedName name="ltlp41">[7]Parameters!$A$170</definedName>
    <definedName name="ltlp42">[7]Parameters!$A$171</definedName>
    <definedName name="ltlp43">[7]Parameters!$A$172</definedName>
    <definedName name="ltlp44">[7]Parameters!$A$173</definedName>
    <definedName name="ltlp45">[7]Parameters!$A$174</definedName>
    <definedName name="ltlp46">[7]Parameters!$A$175</definedName>
    <definedName name="ltlp47">[7]Parameters!$A$176</definedName>
    <definedName name="ltlp48">[7]Parameters!$A$177</definedName>
    <definedName name="ltlp49">[7]Parameters!$A$178</definedName>
    <definedName name="ltlp4co">[7]Parameters!$G$133</definedName>
    <definedName name="ltlp4name">[7]Parameters!$C$133</definedName>
    <definedName name="ltlp4sal1">[7]Parameters!$E$133</definedName>
    <definedName name="ltlp5">[7]Parameters!$A$134</definedName>
    <definedName name="ltlp50">[7]Parameters!$A$179</definedName>
    <definedName name="ltlp51">[7]Parameters!$A$180</definedName>
    <definedName name="ltlp52">[7]Parameters!$A$181</definedName>
    <definedName name="ltlp53">[7]Parameters!$A$182</definedName>
    <definedName name="ltlp54">[7]Parameters!$A$183</definedName>
    <definedName name="ltlp55">[7]Parameters!$A$184</definedName>
    <definedName name="ltlp56">[7]Parameters!$A$185</definedName>
    <definedName name="ltlp57">[7]Parameters!$A$186</definedName>
    <definedName name="ltlp58">[7]Parameters!$A$187</definedName>
    <definedName name="ltlp59">[7]Parameters!$A$188</definedName>
    <definedName name="ltlp5co">[7]Parameters!$G$134</definedName>
    <definedName name="ltlp5name">[7]Parameters!$C$134</definedName>
    <definedName name="ltlp5sal1">[7]Parameters!$E$134</definedName>
    <definedName name="ltlp6">[7]Parameters!$A$135</definedName>
    <definedName name="ltlp60">[7]Parameters!$A$189</definedName>
    <definedName name="ltlp61">[7]Parameters!$A$190</definedName>
    <definedName name="ltlp62">[7]Parameters!$A$191</definedName>
    <definedName name="ltlp63">[7]Parameters!$A$192</definedName>
    <definedName name="ltlp64">[7]Parameters!$A$193</definedName>
    <definedName name="ltlp65">[7]Parameters!$A$194</definedName>
    <definedName name="ltlp66">[7]Parameters!$A$195</definedName>
    <definedName name="ltlp67">[7]Parameters!$A$196</definedName>
    <definedName name="ltlp68">[7]Parameters!$A$197</definedName>
    <definedName name="ltlp69">[7]Parameters!$A$198</definedName>
    <definedName name="ltlp6co">[7]Parameters!$G$135</definedName>
    <definedName name="ltlp6name">[7]Parameters!$C$135</definedName>
    <definedName name="ltlp6sal1">[7]Parameters!$E$135</definedName>
    <definedName name="ltlp7">[7]Parameters!$A$136</definedName>
    <definedName name="ltlp70">[7]Parameters!$A$199</definedName>
    <definedName name="ltlp71">[7]Parameters!$A$200</definedName>
    <definedName name="ltlp72">[7]Parameters!$A$201</definedName>
    <definedName name="ltlp73">[7]Parameters!$A$202</definedName>
    <definedName name="ltlp74">[7]Parameters!$A$203</definedName>
    <definedName name="ltlp75">[7]Parameters!$A$204</definedName>
    <definedName name="ltlp76">[7]Parameters!$A$205</definedName>
    <definedName name="ltlp7co">[7]Parameters!$G$136</definedName>
    <definedName name="ltlp7name">[7]Parameters!$C$136</definedName>
    <definedName name="ltlp7sal1">[7]Parameters!$E$136</definedName>
    <definedName name="ltlp8">[7]Parameters!$A$137</definedName>
    <definedName name="ltlp8co">[7]Parameters!$G$137</definedName>
    <definedName name="ltlp8name">[7]Parameters!$C$137</definedName>
    <definedName name="ltlp8sal1">[7]Parameters!$E$137</definedName>
    <definedName name="ltlp9">[7]Parameters!$A$138</definedName>
    <definedName name="ltlp9co">[7]Parameters!$G$138</definedName>
    <definedName name="ltlp9name">[7]Parameters!$C$138</definedName>
    <definedName name="ltlp9sal1">[7]Parameters!$E$138</definedName>
    <definedName name="ltlpco25">[7]Parameters!$G$154</definedName>
    <definedName name="ltlpco26">[7]Parameters!$G$155</definedName>
    <definedName name="ltlpco27">[7]Parameters!$G$156</definedName>
    <definedName name="ltlpco28">[7]Parameters!$G$157</definedName>
    <definedName name="ltlpco29">[7]Parameters!$G$158</definedName>
    <definedName name="ltlpco30">[7]Parameters!$G$159</definedName>
    <definedName name="ltlpco31">[7]Parameters!$G$160</definedName>
    <definedName name="ltlpco32">[7]Parameters!$G$161</definedName>
    <definedName name="ltlpco33">[7]Parameters!$G$162</definedName>
    <definedName name="ltlpco34">[7]Parameters!$G$163</definedName>
    <definedName name="ltlpco35">[7]Parameters!$G$164</definedName>
    <definedName name="ltlpco36">[7]Parameters!$G$165</definedName>
    <definedName name="ltlpco37">[7]Parameters!$G$166</definedName>
    <definedName name="ltlpco38">[7]Parameters!$G$167</definedName>
    <definedName name="ltlpco39">[7]Parameters!$G$168</definedName>
    <definedName name="ltlpco40">[7]Parameters!$G$169</definedName>
    <definedName name="ltlpco41">[7]Parameters!$G$170</definedName>
    <definedName name="ltlpco42">[7]Parameters!$G$171</definedName>
    <definedName name="ltlpco43">[7]Parameters!$G$172</definedName>
    <definedName name="ltlpco44">[7]Parameters!$G$173</definedName>
    <definedName name="ltlpco45">[7]Parameters!$G$174</definedName>
    <definedName name="ltlpco46">[7]Parameters!$G$175</definedName>
    <definedName name="ltlpco47">[7]Parameters!$G$176</definedName>
    <definedName name="ltlpco48">[7]Parameters!$G$177</definedName>
    <definedName name="ltlpco49">[7]Parameters!$G$178</definedName>
    <definedName name="ltlpco50">[7]Parameters!$G$179</definedName>
    <definedName name="ltlpco51">[7]Parameters!$G$180</definedName>
    <definedName name="ltlpco52">[7]Parameters!$G$181</definedName>
    <definedName name="ltlpco53">[7]Parameters!$G$182</definedName>
    <definedName name="ltlpco54">[7]Parameters!$G$183</definedName>
    <definedName name="ltlpco55">[7]Parameters!$G$184</definedName>
    <definedName name="ltlpco56">[7]Parameters!$G$185</definedName>
    <definedName name="ltlpco57">[7]Parameters!$G$186</definedName>
    <definedName name="ltlpco58">[7]Parameters!$G$187</definedName>
    <definedName name="ltlpco59">[7]Parameters!$G$188</definedName>
    <definedName name="ltlpco60">[7]Parameters!$G$189</definedName>
    <definedName name="ltlpco61">[7]Parameters!$G$190</definedName>
    <definedName name="ltlpco62">[7]Parameters!$G$191</definedName>
    <definedName name="ltlpco63">[7]Parameters!$G$192</definedName>
    <definedName name="ltlpco64">[7]Parameters!$G$193</definedName>
    <definedName name="ltlpco65">[7]Parameters!$G$194</definedName>
    <definedName name="ltlpco66">[7]Parameters!$G$195</definedName>
    <definedName name="ltlpco67">[7]Parameters!$G$196</definedName>
    <definedName name="ltlpco68">[7]Parameters!$G$197</definedName>
    <definedName name="ltlpco69">[7]Parameters!$G$198</definedName>
    <definedName name="ltlpco70">[7]Parameters!$G$199</definedName>
    <definedName name="ltlpco71">[7]Parameters!$G$200</definedName>
    <definedName name="ltlpco72">[7]Parameters!$G$201</definedName>
    <definedName name="ltlpco73">[7]Parameters!$G$202</definedName>
    <definedName name="ltlpco74">[7]Parameters!$G$203</definedName>
    <definedName name="ltlpco75">[7]Parameters!$G$204</definedName>
    <definedName name="ltlpjob1">[7]Parameters!$I$130</definedName>
    <definedName name="ltlpjob10">[7]Parameters!$I$139</definedName>
    <definedName name="ltlpjob11">[7]Parameters!$I$140</definedName>
    <definedName name="ltlpjob12">[7]Parameters!$I$141</definedName>
    <definedName name="ltlpjob13">[7]Parameters!$I$142</definedName>
    <definedName name="ltlpjob14">[7]Parameters!$I$143</definedName>
    <definedName name="ltlpjob15">[7]Parameters!$I$144</definedName>
    <definedName name="ltlpjob16">[7]Parameters!$I$145</definedName>
    <definedName name="ltlpjob17">[7]Parameters!$I$146</definedName>
    <definedName name="ltlpjob18">[7]Parameters!$I$147</definedName>
    <definedName name="ltlpjob19">[7]Parameters!$I$148</definedName>
    <definedName name="ltlpjob2">[7]Parameters!$I$131</definedName>
    <definedName name="ltlpjob20">[7]Parameters!$I$149</definedName>
    <definedName name="ltlpjob21">[7]Parameters!$I$150</definedName>
    <definedName name="ltlpjob22">[7]Parameters!$I$151</definedName>
    <definedName name="ltlpjob23">[7]Parameters!$I$152</definedName>
    <definedName name="ltlpjob24">[7]Parameters!$I$153</definedName>
    <definedName name="ltlpjob25">[7]Parameters!$I$154</definedName>
    <definedName name="ltlpjob26">[7]Parameters!$I$155</definedName>
    <definedName name="ltlpjob27">[7]Parameters!$I$156</definedName>
    <definedName name="ltlpjob28">[7]Parameters!$I$157</definedName>
    <definedName name="ltlpjob29">[7]Parameters!$I$158</definedName>
    <definedName name="ltlpjob3">[7]Parameters!$I$132</definedName>
    <definedName name="ltlpjob30">[7]Parameters!$I$159</definedName>
    <definedName name="ltlpjob31">[7]Parameters!$I$160</definedName>
    <definedName name="ltlpjob32">[7]Parameters!$I$161</definedName>
    <definedName name="ltlpjob33">[7]Parameters!$I$162</definedName>
    <definedName name="ltlpjob34">[7]Parameters!$I$163</definedName>
    <definedName name="ltlpjob35">[7]Parameters!$I$164</definedName>
    <definedName name="ltlpjob36">[7]Parameters!$I$165</definedName>
    <definedName name="ltlpjob37">[7]Parameters!$I$166</definedName>
    <definedName name="ltlpjob38">[7]Parameters!$I$167</definedName>
    <definedName name="ltlpjob39">[7]Parameters!$I$168</definedName>
    <definedName name="ltlpjob4">[7]Parameters!$I$133</definedName>
    <definedName name="ltlpjob40">[7]Parameters!$I$169</definedName>
    <definedName name="ltlpjob41">[7]Parameters!$I$170</definedName>
    <definedName name="ltlpjob42">[7]Parameters!$I$171</definedName>
    <definedName name="ltlpjob43">[7]Parameters!$I$172</definedName>
    <definedName name="ltlpjob44">[7]Parameters!$I$173</definedName>
    <definedName name="ltlpjob45">[7]Parameters!$I$174</definedName>
    <definedName name="ltlpjob46">[7]Parameters!$I$175</definedName>
    <definedName name="ltlpjob47">[7]Parameters!$I$176</definedName>
    <definedName name="ltlpjob48">[7]Parameters!$I$177</definedName>
    <definedName name="ltlpjob49">[7]Parameters!$I$178</definedName>
    <definedName name="ltlpjob5">[7]Parameters!$I$134</definedName>
    <definedName name="ltlpjob50">[7]Parameters!$I$179</definedName>
    <definedName name="ltlpjob51">[7]Parameters!$I$180</definedName>
    <definedName name="ltlpjob52">[7]Parameters!$I$181</definedName>
    <definedName name="ltlpjob53">[7]Parameters!$I$182</definedName>
    <definedName name="ltlpjob54">[7]Parameters!$I$183</definedName>
    <definedName name="ltlpjob55">[7]Parameters!$I$184</definedName>
    <definedName name="ltlpjob56">[7]Parameters!$I$185</definedName>
    <definedName name="ltlpjob57">[7]Parameters!$I$186</definedName>
    <definedName name="ltlpjob58">[7]Parameters!$I$187</definedName>
    <definedName name="ltlpjob59">[7]Parameters!$I$188</definedName>
    <definedName name="ltlpjob6">[7]Parameters!$I$135</definedName>
    <definedName name="ltlpjob60">[7]Parameters!$I$189</definedName>
    <definedName name="ltlpjob61">[7]Parameters!$I$190</definedName>
    <definedName name="ltlpjob62">[7]Parameters!$I$191</definedName>
    <definedName name="ltlpjob63">[7]Parameters!$I$192</definedName>
    <definedName name="ltlpjob64">[7]Parameters!$I$193</definedName>
    <definedName name="ltlpjob65">[7]Parameters!$I$194</definedName>
    <definedName name="ltlpjob66">[7]Parameters!$I$195</definedName>
    <definedName name="ltlpjob67">[7]Parameters!$I$196</definedName>
    <definedName name="ltlpjob68">[7]Parameters!$I$197</definedName>
    <definedName name="ltlpjob69">[7]Parameters!$I$198</definedName>
    <definedName name="ltlpjob7">[7]Parameters!$I$136</definedName>
    <definedName name="ltlpjob70">[7]Parameters!$I$199</definedName>
    <definedName name="ltlpjob71">[7]Parameters!$I$200</definedName>
    <definedName name="ltlpjob72">[7]Parameters!$I$201</definedName>
    <definedName name="ltlpjob73">[7]Parameters!$I$202</definedName>
    <definedName name="ltlpjob74">[7]Parameters!$I$203</definedName>
    <definedName name="ltlpjob75">[7]Parameters!$I$204</definedName>
    <definedName name="ltlpjob8">[7]Parameters!$I$137</definedName>
    <definedName name="ltlpjob9">[7]Parameters!$I$138</definedName>
    <definedName name="ltlpname25">[7]Parameters!$C$154</definedName>
    <definedName name="ltlpname26">[7]Parameters!$C$155</definedName>
    <definedName name="ltlpname27">[7]Parameters!$C$156</definedName>
    <definedName name="ltlpname28">[7]Parameters!$C$157</definedName>
    <definedName name="ltlpname29">[7]Parameters!$C$158</definedName>
    <definedName name="ltlpname30">[7]Parameters!$C$159</definedName>
    <definedName name="ltlpname31">[7]Parameters!$C$160</definedName>
    <definedName name="ltlpname32">[7]Parameters!$C$161</definedName>
    <definedName name="ltlpname33">[7]Parameters!$C$162</definedName>
    <definedName name="ltlpname34">[7]Parameters!$C$163</definedName>
    <definedName name="ltlpname35">[7]Parameters!$C$164</definedName>
    <definedName name="ltlpname36">[7]Parameters!$C$165</definedName>
    <definedName name="ltlpname37">[7]Parameters!$C$166</definedName>
    <definedName name="ltlpname38">[7]Parameters!$C$167</definedName>
    <definedName name="ltlpname39">[7]Parameters!$C$168</definedName>
    <definedName name="ltlpname40">[7]Parameters!$C$169</definedName>
    <definedName name="ltlpname41">[7]Parameters!$C$170</definedName>
    <definedName name="ltlpname42">[7]Parameters!$C$171</definedName>
    <definedName name="ltlpname43">[7]Parameters!$C$172</definedName>
    <definedName name="ltlpname44">[7]Parameters!$C$173</definedName>
    <definedName name="ltlpname45">[7]Parameters!$C$174</definedName>
    <definedName name="ltlpname46">[7]Parameters!$C$175</definedName>
    <definedName name="ltlpname47">[7]Parameters!$C$176</definedName>
    <definedName name="ltlpname48">[7]Parameters!$C$177</definedName>
    <definedName name="ltlpname49">[7]Parameters!$C$178</definedName>
    <definedName name="ltlpname50">[7]Parameters!$C$179</definedName>
    <definedName name="ltlpname51">[7]Parameters!$C$180</definedName>
    <definedName name="ltlpname52">[7]Parameters!$C$181</definedName>
    <definedName name="ltlpname53">[7]Parameters!$C$182</definedName>
    <definedName name="ltlpname54">[7]Parameters!$C$183</definedName>
    <definedName name="ltlpname55">[7]Parameters!$C$184</definedName>
    <definedName name="ltlpname56">[7]Parameters!$C$185</definedName>
    <definedName name="ltlpname57">[7]Parameters!$C$186</definedName>
    <definedName name="ltlpname58">[7]Parameters!$C$187</definedName>
    <definedName name="ltlpname59">[7]Parameters!$C$188</definedName>
    <definedName name="ltlpname60">[7]Parameters!$C$189</definedName>
    <definedName name="ltlpname61">[7]Parameters!$C$190</definedName>
    <definedName name="ltlpname62">[7]Parameters!$C$191</definedName>
    <definedName name="ltlpname63">[7]Parameters!$C$192</definedName>
    <definedName name="ltlpname64">[7]Parameters!$C$193</definedName>
    <definedName name="ltlpname65">[7]Parameters!$C$194</definedName>
    <definedName name="ltlpname66">[7]Parameters!$C$195</definedName>
    <definedName name="ltlpname67">[7]Parameters!$C$196</definedName>
    <definedName name="ltlpname68">[7]Parameters!$C$197</definedName>
    <definedName name="ltlpname69">[7]Parameters!$C$198</definedName>
    <definedName name="ltlpname70">[7]Parameters!$C$199</definedName>
    <definedName name="ltlpname71">[7]Parameters!$C$200</definedName>
    <definedName name="ltlpname72">[7]Parameters!$C$201</definedName>
    <definedName name="ltlpname73">[7]Parameters!$C$202</definedName>
    <definedName name="ltlpname74">[7]Parameters!$C$203</definedName>
    <definedName name="ltlpname75">[7]Parameters!$C$204</definedName>
    <definedName name="ltlpsal25">[7]Parameters!$E$154</definedName>
    <definedName name="ltlpsal26">[7]Parameters!$E$155</definedName>
    <definedName name="ltlpsal27">[7]Parameters!$E$156</definedName>
    <definedName name="ltlpsal28">[7]Parameters!$E$157</definedName>
    <definedName name="ltlpsal29">[7]Parameters!$E$158</definedName>
    <definedName name="ltlpsal30">[7]Parameters!$E$159</definedName>
    <definedName name="ltlpsal31">[7]Parameters!$E$160</definedName>
    <definedName name="ltlpsal32">[7]Parameters!$E$161</definedName>
    <definedName name="ltlpsal33">[7]Parameters!$E$162</definedName>
    <definedName name="ltlpsal34">[7]Parameters!$E$163</definedName>
    <definedName name="ltlpsal35">[7]Parameters!$E$164</definedName>
    <definedName name="ltlpsal36">[7]Parameters!$E$165</definedName>
    <definedName name="ltlpsal37">[7]Parameters!$E$166</definedName>
    <definedName name="ltlpsal38">[7]Parameters!$E$167</definedName>
    <definedName name="ltlpsal39">[7]Parameters!$E$168</definedName>
    <definedName name="ltlpsal40">[7]Parameters!$E$169</definedName>
    <definedName name="ltlpsal41">[7]Parameters!$E$170</definedName>
    <definedName name="ltlpsal42">[7]Parameters!$E$171</definedName>
    <definedName name="ltlpsal43">[7]Parameters!$E$172</definedName>
    <definedName name="ltlpsal44">[7]Parameters!$E$173</definedName>
    <definedName name="ltlpsal45">[7]Parameters!$E$174</definedName>
    <definedName name="ltlpsal46">[7]Parameters!$E$175</definedName>
    <definedName name="ltlpsal47">[7]Parameters!$E$176</definedName>
    <definedName name="ltlpsal48">[7]Parameters!$E$177</definedName>
    <definedName name="ltlpsal49">[7]Parameters!$E$178</definedName>
    <definedName name="ltlpsal50">[7]Parameters!$E$179</definedName>
    <definedName name="ltlpsal51">[7]Parameters!$E$180</definedName>
    <definedName name="ltlpsal52">[7]Parameters!$E$181</definedName>
    <definedName name="ltlpsal53">[7]Parameters!$E$182</definedName>
    <definedName name="ltlpsal54">[7]Parameters!$E$183</definedName>
    <definedName name="ltlpsal55">[7]Parameters!$E$184</definedName>
    <definedName name="ltlpsal56">[7]Parameters!$E$185</definedName>
    <definedName name="ltlpsal57">[7]Parameters!$E$186</definedName>
    <definedName name="ltlpsal58">[7]Parameters!$E$187</definedName>
    <definedName name="ltlpsal59">[7]Parameters!$E$188</definedName>
    <definedName name="ltlpsal60">[7]Parameters!$E$189</definedName>
    <definedName name="ltlpsal61">[7]Parameters!$E$190</definedName>
    <definedName name="ltlpsal62">[7]Parameters!$E$191</definedName>
    <definedName name="ltlpsal63">[7]Parameters!$E$192</definedName>
    <definedName name="ltlpsal64">[7]Parameters!$E$193</definedName>
    <definedName name="ltlpsal65">[7]Parameters!$E$194</definedName>
    <definedName name="ltlpsal66">[7]Parameters!$E$195</definedName>
    <definedName name="ltlpsal67">[7]Parameters!$E$196</definedName>
    <definedName name="ltlpsal68">[7]Parameters!$E$197</definedName>
    <definedName name="ltlpsal69">[7]Parameters!$E$198</definedName>
    <definedName name="ltlpsal70">[7]Parameters!$E$199</definedName>
    <definedName name="ltlpsal71">[7]Parameters!$E$200</definedName>
    <definedName name="ltlpsal72">[7]Parameters!$E$201</definedName>
    <definedName name="ltlpsal73">[7]Parameters!$E$202</definedName>
    <definedName name="ltlpsal74">[7]Parameters!$E$203</definedName>
    <definedName name="ltlpsal75">[7]Parameters!$E$204</definedName>
    <definedName name="ltls">[7]Parameters!$A$376</definedName>
    <definedName name="ltls1">[7]Parameters!$A$378</definedName>
    <definedName name="ltls10">[7]Parameters!$A$387</definedName>
    <definedName name="ltls10co">[7]Parameters!$G$387</definedName>
    <definedName name="ltls10name">[7]Parameters!$C$387</definedName>
    <definedName name="ltls10sal1">[7]Parameters!$E$387</definedName>
    <definedName name="ltls11">[7]Parameters!$A$388</definedName>
    <definedName name="ltls11co">[7]Parameters!$G$388</definedName>
    <definedName name="ltls11name">[7]Parameters!$C$388</definedName>
    <definedName name="ltls11sal1">[7]Parameters!$E$388</definedName>
    <definedName name="ltls12">[7]Parameters!$A$389</definedName>
    <definedName name="ltls12co">[7]Parameters!$G$389</definedName>
    <definedName name="ltls12name">[7]Parameters!$C$389</definedName>
    <definedName name="ltls12sal1">[7]Parameters!$E$389</definedName>
    <definedName name="ltls13">[7]Parameters!$A$390</definedName>
    <definedName name="ltls13co">[7]Parameters!$G$390</definedName>
    <definedName name="ltls13name">[7]Parameters!$C$390</definedName>
    <definedName name="ltls13sal1">[7]Parameters!$E$390</definedName>
    <definedName name="ltls14">[7]Parameters!$A$391</definedName>
    <definedName name="ltls14co">[7]Parameters!$G$391</definedName>
    <definedName name="ltls14name">[7]Parameters!$C$391</definedName>
    <definedName name="ltls14sal1">[7]Parameters!$E$391</definedName>
    <definedName name="ltls15">[7]Parameters!$A$392</definedName>
    <definedName name="ltls16">[7]Parameters!$A$393</definedName>
    <definedName name="ltls17">[7]Parameters!$A$394</definedName>
    <definedName name="ltls18">[7]Parameters!$A$395</definedName>
    <definedName name="ltls19">[7]Parameters!$A$396</definedName>
    <definedName name="ltls1co">[7]Parameters!$G$378</definedName>
    <definedName name="ltls1name">[7]Parameters!$C$378</definedName>
    <definedName name="ltls1sal1">[7]Parameters!$E$378</definedName>
    <definedName name="ltls2">[7]Parameters!$A$379</definedName>
    <definedName name="ltls20">[7]Parameters!$A$397</definedName>
    <definedName name="ltls21">[7]Parameters!$A$398</definedName>
    <definedName name="ltls22">[7]Parameters!$A$399</definedName>
    <definedName name="ltls23">[7]Parameters!$A$400</definedName>
    <definedName name="ltls24">[7]Parameters!$A$401</definedName>
    <definedName name="ltls25">[7]Parameters!$A$402</definedName>
    <definedName name="ltls26">[7]Parameters!$A$403</definedName>
    <definedName name="ltls27">[7]Parameters!$A$404</definedName>
    <definedName name="ltls28">[7]Parameters!$A$405</definedName>
    <definedName name="ltls29">[7]Parameters!$A$406</definedName>
    <definedName name="ltls2co">[7]Parameters!$G$379</definedName>
    <definedName name="ltls2name">[7]Parameters!$C$379</definedName>
    <definedName name="ltls2sal1">[7]Parameters!$E$379</definedName>
    <definedName name="ltls3">[7]Parameters!$A$380</definedName>
    <definedName name="ltls30">[7]Parameters!$A$407</definedName>
    <definedName name="ltls31">[7]Parameters!$A$408</definedName>
    <definedName name="ltls32">[7]Parameters!$A$409</definedName>
    <definedName name="ltls33">[7]Parameters!$A$410</definedName>
    <definedName name="ltls34">[7]Parameters!$A$411</definedName>
    <definedName name="ltls35">[7]Parameters!$A$412</definedName>
    <definedName name="ltls36">[7]Parameters!$A$413</definedName>
    <definedName name="ltls37">[7]Parameters!$A$414</definedName>
    <definedName name="ltls38">[7]Parameters!$A$415</definedName>
    <definedName name="ltls39">[7]Parameters!$A$416</definedName>
    <definedName name="ltls3co">[7]Parameters!$G$380</definedName>
    <definedName name="ltls3name">[7]Parameters!$C$380</definedName>
    <definedName name="ltls3sal1">[7]Parameters!$E$380</definedName>
    <definedName name="ltls4">[7]Parameters!$A$381</definedName>
    <definedName name="ltls40">[7]Parameters!$A$417</definedName>
    <definedName name="ltls41">[7]Parameters!$A$418</definedName>
    <definedName name="ltls42">[7]Parameters!$A$419</definedName>
    <definedName name="ltls43">[7]Parameters!$A$420</definedName>
    <definedName name="ltls44">[7]Parameters!$A$421</definedName>
    <definedName name="ltls45">[7]Parameters!$A$422</definedName>
    <definedName name="ltls46">[7]Parameters!$A$423</definedName>
    <definedName name="ltls47">[7]Parameters!$A$424</definedName>
    <definedName name="ltls48">[7]Parameters!$A$425</definedName>
    <definedName name="ltls49">[7]Parameters!$A$426</definedName>
    <definedName name="ltls4co">[7]Parameters!$G$381</definedName>
    <definedName name="ltls4name">[7]Parameters!$C$381</definedName>
    <definedName name="ltls4sal1">[7]Parameters!$E$381</definedName>
    <definedName name="ltls5">[7]Parameters!$A$382</definedName>
    <definedName name="ltls50">[7]Parameters!$A$427</definedName>
    <definedName name="ltls51">[7]Parameters!$A$428</definedName>
    <definedName name="ltls52">[7]Parameters!$A$429</definedName>
    <definedName name="ltls5co">[7]Parameters!$G$382</definedName>
    <definedName name="ltls5name">[7]Parameters!$C$382</definedName>
    <definedName name="ltls5sal1">[7]Parameters!$E$382</definedName>
    <definedName name="ltls6">[7]Parameters!$A$383</definedName>
    <definedName name="ltls6co">[7]Parameters!$G$383</definedName>
    <definedName name="ltls6name">[7]Parameters!$C$383</definedName>
    <definedName name="ltls6sal1">[7]Parameters!$E$383</definedName>
    <definedName name="ltls7">[7]Parameters!$A$384</definedName>
    <definedName name="ltls7co">[7]Parameters!$G$384</definedName>
    <definedName name="ltls7name">[7]Parameters!$C$384</definedName>
    <definedName name="ltls7sal1">[7]Parameters!$E$384</definedName>
    <definedName name="ltls8">[7]Parameters!$A$385</definedName>
    <definedName name="ltls8co">[7]Parameters!$G$385</definedName>
    <definedName name="ltls8name">[7]Parameters!$C$385</definedName>
    <definedName name="ltls8sal1">[7]Parameters!$E$385</definedName>
    <definedName name="ltls9">[7]Parameters!$A$386</definedName>
    <definedName name="ltls9co">[7]Parameters!$G$386</definedName>
    <definedName name="ltls9name">[7]Parameters!$C$386</definedName>
    <definedName name="ltls9sal1">[7]Parameters!$E$386</definedName>
    <definedName name="ltlsco15">[7]Parameters!$G$392</definedName>
    <definedName name="ltlsco16">[7]Parameters!$G$393</definedName>
    <definedName name="ltlsco17">[7]Parameters!$G$394</definedName>
    <definedName name="ltlsco18">[7]Parameters!$G$395</definedName>
    <definedName name="ltlsco19">[7]Parameters!$G$396</definedName>
    <definedName name="ltlsco20">[7]Parameters!$G$397</definedName>
    <definedName name="ltlsco21">[7]Parameters!$G$398</definedName>
    <definedName name="ltlsco22">[7]Parameters!$G$399</definedName>
    <definedName name="ltlsco23">[7]Parameters!$G$400</definedName>
    <definedName name="ltlsco24">[7]Parameters!$G$401</definedName>
    <definedName name="ltlsco25">[7]Parameters!$G$402</definedName>
    <definedName name="ltlsco26">[7]Parameters!$G$403</definedName>
    <definedName name="ltlsco27">[7]Parameters!$G$404</definedName>
    <definedName name="ltlsco28">[7]Parameters!$G$405</definedName>
    <definedName name="ltlsco29">[7]Parameters!$G$406</definedName>
    <definedName name="ltlsco30">[7]Parameters!$G$407</definedName>
    <definedName name="ltlsco31">[7]Parameters!$G$408</definedName>
    <definedName name="ltlsco32">[7]Parameters!$G$409</definedName>
    <definedName name="ltlsco33">[7]Parameters!$G$410</definedName>
    <definedName name="ltlsco34">[7]Parameters!$G$411</definedName>
    <definedName name="ltlsco35">[7]Parameters!$G$412</definedName>
    <definedName name="ltlsco36">[7]Parameters!$G$413</definedName>
    <definedName name="ltlsco37">[7]Parameters!$G$414</definedName>
    <definedName name="ltlsco38">[7]Parameters!$G$415</definedName>
    <definedName name="ltlsco39">[7]Parameters!$G$416</definedName>
    <definedName name="ltlsco40">[7]Parameters!$G$417</definedName>
    <definedName name="ltlsco41">[7]Parameters!$G$418</definedName>
    <definedName name="ltlsco42">[7]Parameters!$G$419</definedName>
    <definedName name="ltlsco43">[7]Parameters!$G$420</definedName>
    <definedName name="ltlsco44">[7]Parameters!$G$421</definedName>
    <definedName name="ltlsco45">[7]Parameters!$G$422</definedName>
    <definedName name="ltlsco46">[7]Parameters!$G$423</definedName>
    <definedName name="ltlsco47">[7]Parameters!$G$424</definedName>
    <definedName name="ltlsco48">[7]Parameters!$G$425</definedName>
    <definedName name="ltlsco49">[7]Parameters!$G$426</definedName>
    <definedName name="ltlsco50">[7]Parameters!$G$427</definedName>
    <definedName name="ltlsco51">[7]Parameters!$G$428</definedName>
    <definedName name="ltlsjob1">[7]Parameters!$I$378</definedName>
    <definedName name="ltlsjob10">[7]Parameters!$I$387</definedName>
    <definedName name="ltlsjob11">[7]Parameters!$I$388</definedName>
    <definedName name="ltlsjob12">[7]Parameters!$I$389</definedName>
    <definedName name="ltlsjob13">[7]Parameters!$I$390</definedName>
    <definedName name="ltlsjob14">[7]Parameters!$I$391</definedName>
    <definedName name="ltlsjob15">[7]Parameters!$I$392</definedName>
    <definedName name="ltlsjob16">[7]Parameters!$I$393</definedName>
    <definedName name="ltlsjob17">[7]Parameters!$I$394</definedName>
    <definedName name="ltlsjob18">[7]Parameters!$I$395</definedName>
    <definedName name="ltlsjob19">[7]Parameters!$I$396</definedName>
    <definedName name="ltlsjob2">[7]Parameters!$I$379</definedName>
    <definedName name="ltlsjob20">[7]Parameters!$I$397</definedName>
    <definedName name="ltlsjob21">[7]Parameters!$I$398</definedName>
    <definedName name="ltlsjob22">[7]Parameters!$I$399</definedName>
    <definedName name="ltlsjob23">[7]Parameters!$I$400</definedName>
    <definedName name="ltlsjob24">[7]Parameters!$I$401</definedName>
    <definedName name="ltlsjob25">[7]Parameters!$I$402</definedName>
    <definedName name="ltlsjob26">[7]Parameters!$I$403</definedName>
    <definedName name="ltlsjob27">[7]Parameters!$I$404</definedName>
    <definedName name="ltlsjob28">[7]Parameters!$I$405</definedName>
    <definedName name="ltlsjob29">[7]Parameters!$I$406</definedName>
    <definedName name="ltlsjob3">[7]Parameters!$I$380</definedName>
    <definedName name="ltlsjob30">[7]Parameters!$I$407</definedName>
    <definedName name="ltlsjob31">[7]Parameters!$I$408</definedName>
    <definedName name="ltlsjob32">[7]Parameters!$I$409</definedName>
    <definedName name="ltlsjob33">[7]Parameters!$I$410</definedName>
    <definedName name="ltlsjob34">[7]Parameters!$I$411</definedName>
    <definedName name="ltlsjob35">[7]Parameters!$I$412</definedName>
    <definedName name="ltlsjob36">[7]Parameters!$I$413</definedName>
    <definedName name="ltlsjob37">[7]Parameters!$I$414</definedName>
    <definedName name="ltlsjob38">[7]Parameters!$I$415</definedName>
    <definedName name="ltlsjob39">[7]Parameters!$I$416</definedName>
    <definedName name="ltlsjob4">[7]Parameters!$I$381</definedName>
    <definedName name="ltlsjob40">[7]Parameters!$I$417</definedName>
    <definedName name="ltlsjob41">[7]Parameters!$I$418</definedName>
    <definedName name="ltlsjob42">[7]Parameters!$I$419</definedName>
    <definedName name="ltlsjob43">[7]Parameters!$I$420</definedName>
    <definedName name="ltlsjob44">[7]Parameters!$I$421</definedName>
    <definedName name="ltlsjob45">[7]Parameters!$I$422</definedName>
    <definedName name="ltlsjob46">[7]Parameters!$I$423</definedName>
    <definedName name="ltlsjob47">[7]Parameters!$I$424</definedName>
    <definedName name="ltlsjob48">[7]Parameters!$I$425</definedName>
    <definedName name="ltlsjob49">[7]Parameters!$I$426</definedName>
    <definedName name="ltlsjob5">[7]Parameters!$I$382</definedName>
    <definedName name="ltlsjob50">[7]Parameters!$I$427</definedName>
    <definedName name="ltlsjob51">[7]Parameters!$I$428</definedName>
    <definedName name="ltlsjob6">[7]Parameters!$I$383</definedName>
    <definedName name="ltlsjob7">[7]Parameters!$I$384</definedName>
    <definedName name="ltlsjob8">[7]Parameters!$I$385</definedName>
    <definedName name="ltlsjob9">[7]Parameters!$I$386</definedName>
    <definedName name="ltlsname15">[7]Parameters!$C$392</definedName>
    <definedName name="ltlsname16">[7]Parameters!$C$393</definedName>
    <definedName name="ltlsname17">[7]Parameters!$C$394</definedName>
    <definedName name="ltlsname18">[7]Parameters!$C$395</definedName>
    <definedName name="ltlsname19">[7]Parameters!$C$396</definedName>
    <definedName name="ltlsname20">[7]Parameters!$C$397</definedName>
    <definedName name="ltlsname21">[7]Parameters!$C$398</definedName>
    <definedName name="ltlsname22">[7]Parameters!$C$399</definedName>
    <definedName name="ltlsname23">[7]Parameters!$C$400</definedName>
    <definedName name="ltlsname24">[7]Parameters!$C$401</definedName>
    <definedName name="ltlsname25">[7]Parameters!$C$402</definedName>
    <definedName name="ltlsname26">[7]Parameters!$C$403</definedName>
    <definedName name="ltlsname27">[7]Parameters!$C$404</definedName>
    <definedName name="ltlsname28">[7]Parameters!$C$405</definedName>
    <definedName name="ltlsname29">[7]Parameters!$C$406</definedName>
    <definedName name="ltlsname30">[7]Parameters!$C$407</definedName>
    <definedName name="ltlsname31">[7]Parameters!$C$408</definedName>
    <definedName name="ltlsname32">[7]Parameters!$C$409</definedName>
    <definedName name="ltlsname33">[7]Parameters!$C$410</definedName>
    <definedName name="ltlsname34">[7]Parameters!$C$411</definedName>
    <definedName name="ltlsname35">[7]Parameters!$C$412</definedName>
    <definedName name="ltlsname36">[7]Parameters!$C$413</definedName>
    <definedName name="ltlsname37">[7]Parameters!$C$414</definedName>
    <definedName name="ltlsname38">[7]Parameters!$C$415</definedName>
    <definedName name="ltlsname39">[7]Parameters!$C$416</definedName>
    <definedName name="ltlsname40">[7]Parameters!$C$417</definedName>
    <definedName name="ltlsname41">[7]Parameters!$C$418</definedName>
    <definedName name="ltlsname42">[7]Parameters!$C$419</definedName>
    <definedName name="ltlsname43">[7]Parameters!$C$420</definedName>
    <definedName name="ltlsname44">[7]Parameters!$C$421</definedName>
    <definedName name="ltlsname45">[7]Parameters!$C$422</definedName>
    <definedName name="ltlsname46">[7]Parameters!$C$423</definedName>
    <definedName name="ltlsname47">[7]Parameters!$C$424</definedName>
    <definedName name="ltlsname48">[7]Parameters!$C$425</definedName>
    <definedName name="ltlsname49">[7]Parameters!$C$426</definedName>
    <definedName name="ltlsname50">[7]Parameters!$C$427</definedName>
    <definedName name="ltlsname51">[7]Parameters!$C$428</definedName>
    <definedName name="ltlssal15">[7]Parameters!$E$392</definedName>
    <definedName name="ltlssal16">[7]Parameters!$E$393</definedName>
    <definedName name="ltlssal17">[7]Parameters!$E$394</definedName>
    <definedName name="ltlssal18">[7]Parameters!$E$395</definedName>
    <definedName name="ltlssal19">[7]Parameters!$E$396</definedName>
    <definedName name="ltlssal20">[7]Parameters!$E$397</definedName>
    <definedName name="ltlssal21">[7]Parameters!$E$398</definedName>
    <definedName name="ltlssal22">[7]Parameters!$E$399</definedName>
    <definedName name="ltlssal23">[7]Parameters!$E$400</definedName>
    <definedName name="ltlssal24">[7]Parameters!$E$401</definedName>
    <definedName name="ltlssal25">[7]Parameters!$E$402</definedName>
    <definedName name="ltlssal26">[7]Parameters!$E$403</definedName>
    <definedName name="ltlssal27">[7]Parameters!$E$404</definedName>
    <definedName name="ltlssal28">[7]Parameters!$E$405</definedName>
    <definedName name="ltlssal29">[7]Parameters!$E$406</definedName>
    <definedName name="ltlssal30">[7]Parameters!$E$407</definedName>
    <definedName name="ltlssal31">[7]Parameters!$E$408</definedName>
    <definedName name="ltlssal32">[7]Parameters!$E$409</definedName>
    <definedName name="ltlssal33">[7]Parameters!$E$410</definedName>
    <definedName name="ltlssal34">[7]Parameters!$E$411</definedName>
    <definedName name="ltlssal35">[7]Parameters!$E$412</definedName>
    <definedName name="ltlssal36">[7]Parameters!$E$413</definedName>
    <definedName name="ltlssal37">[7]Parameters!$E$414</definedName>
    <definedName name="ltlssal38">[7]Parameters!$E$415</definedName>
    <definedName name="ltlssal39">[7]Parameters!$E$416</definedName>
    <definedName name="ltlssal40">[7]Parameters!$E$417</definedName>
    <definedName name="ltlssal41">[7]Parameters!$E$418</definedName>
    <definedName name="ltlssal42">[7]Parameters!$E$419</definedName>
    <definedName name="ltlssal43">[7]Parameters!$E$420</definedName>
    <definedName name="ltlssal44">[7]Parameters!$E$421</definedName>
    <definedName name="ltlssal45">[7]Parameters!$E$422</definedName>
    <definedName name="ltlssal46">[7]Parameters!$E$423</definedName>
    <definedName name="ltlssal47">[7]Parameters!$E$424</definedName>
    <definedName name="ltlssal48">[7]Parameters!$E$425</definedName>
    <definedName name="ltlssal49">[7]Parameters!$E$426</definedName>
    <definedName name="ltlssal50">[7]Parameters!$E$427</definedName>
    <definedName name="ltlssal51">[7]Parameters!$E$428</definedName>
    <definedName name="ltstravel" localSheetId="6">[35]Parameters!$C$53</definedName>
    <definedName name="ltstravel" localSheetId="7">[35]Parameters!$C$53</definedName>
    <definedName name="ltstravel">[36]Parameters!$C$53</definedName>
    <definedName name="LTTA">#REF!</definedName>
    <definedName name="lttravel" localSheetId="6">[35]Parameters!$C$52</definedName>
    <definedName name="lttravel" localSheetId="7">[35]Parameters!$C$52</definedName>
    <definedName name="lttravel">[36]Parameters!$C$52</definedName>
    <definedName name="Lttripfactor">[13]Sheet1!$C$17</definedName>
    <definedName name="mac_lg_UI_List">#REF!</definedName>
    <definedName name="MACROS">#REF!</definedName>
    <definedName name="MADAC">[25]formulas!#REF!</definedName>
    <definedName name="makeready">[13]Sheet1!$C$47</definedName>
    <definedName name="maliinflation">#REF!</definedName>
    <definedName name="malitravel">[13]Sheet1!$C$34</definedName>
    <definedName name="mapping" localSheetId="6">[37]mapping!$A$8:$I$532</definedName>
    <definedName name="mapping" localSheetId="7">[37]mapping!$A$8:$I$532</definedName>
    <definedName name="mapping">[38]mapping!$A$8:$I$532</definedName>
    <definedName name="MaritalStatus">#REF!</definedName>
    <definedName name="match">'[3]Detailed Budget-SAVE'!#REF!</definedName>
    <definedName name="maybe" localSheetId="3" hidden="1">{#N/A,#N/A,FALSE,"ManLoading"}</definedName>
    <definedName name="maybe" localSheetId="4" hidden="1">{#N/A,#N/A,FALSE,"ManLoading"}</definedName>
    <definedName name="maybe" localSheetId="5" hidden="1">{#N/A,#N/A,FALSE,"ManLoading"}</definedName>
    <definedName name="maybe" localSheetId="2" hidden="1">{#N/A,#N/A,FALSE,"ManLoading"}</definedName>
    <definedName name="maybe" localSheetId="6" hidden="1">{#N/A,#N/A,FALSE,"ManLoading"}</definedName>
    <definedName name="maybe" localSheetId="7" hidden="1">{#N/A,#N/A,FALSE,"ManLoading"}</definedName>
    <definedName name="maybe" hidden="1">{#N/A,#N/A,FALSE,"ManLoading"}</definedName>
    <definedName name="ME">[5]Parameters!#REF!</definedName>
    <definedName name="med">#REF!</definedName>
    <definedName name="medevac">[5]Parameters!$D$17</definedName>
    <definedName name="medex">232</definedName>
    <definedName name="Merit">'[30]Detail-1'!$J$1</definedName>
    <definedName name="mh">#REF!</definedName>
    <definedName name="Mid_Level_CCNRate">[34]Assumptions!$B$15</definedName>
    <definedName name="Mid_Level_TCNRate">[34]Assumptions!$B$13</definedName>
    <definedName name="mie">#REF!</definedName>
    <definedName name="mielima">[5]Parameters!#REF!</definedName>
    <definedName name="mieother">[5]Parameters!#REF!</definedName>
    <definedName name="MOBIS_Schedule">#REF!</definedName>
    <definedName name="Moldova">#REF!</definedName>
    <definedName name="Moldova_F2F">#REF!</definedName>
    <definedName name="MonthHeader_Values" localSheetId="3">EOMONTH(DATE('[15]Yearly Planner'!StartYear,8,1),{0,1,2,3,4,5,6,7,8,9,10,11})+1</definedName>
    <definedName name="MonthHeader_Values" localSheetId="4">EOMONTH(DATE('[15]Yearly Planner'!StartYear,8,1),{0,1,2,3,4,5,6,7,8,9,10,11})+1</definedName>
    <definedName name="MonthHeader_Values" localSheetId="5">EOMONTH(DATE('[15]Yearly Planner'!StartYear,8,1),{0,1,2,3,4,5,6,7,8,9,10,11})+1</definedName>
    <definedName name="MonthHeader_Values" localSheetId="2">EOMONTH(DATE('[15]Yearly Planner'!StartYear,8,1),{0,1,2,3,4,5,6,7,8,9,10,11})+1</definedName>
    <definedName name="MonthHeader_Values" localSheetId="6">EOMONTH(DATE('[15]Yearly Planner'!StartYear,8,1),{0,1,2,3,4,5,6,7,8,9,10,11})+1</definedName>
    <definedName name="MonthHeader_Values" localSheetId="1">EOMONTH(DATE('[15]Yearly Planner'!StartYear,8,1),{0,1,2,3,4,5,6,7,8,9,10,11})+1</definedName>
    <definedName name="MonthHeader_Values" localSheetId="7">EOMONTH(DATE('[15]Yearly Planner'!StartYear,8,1),{0,1,2,3,4,5,6,7,8,9,10,11})+1</definedName>
    <definedName name="MonthHeader_Values">EOMONTH(DATE('[15]Yearly Planner'!StartYear,8,1),{0,1,2,3,4,5,6,7,8,9,10,11})+1</definedName>
    <definedName name="MSE">#REF!</definedName>
    <definedName name="msicoreclin1">#REF!</definedName>
    <definedName name="msicoreclin2">#REF!</definedName>
    <definedName name="msicoreclin3">#REF!</definedName>
    <definedName name="msitaclin1">#REF!</definedName>
    <definedName name="msitaclin2">#REF!</definedName>
    <definedName name="msitaclin3">#REF!</definedName>
    <definedName name="Mult_Yr1to3">#REF!</definedName>
    <definedName name="Mult_Yr4">#REF!</definedName>
    <definedName name="Mult_Yr5">#REF!</definedName>
    <definedName name="Multipliers_by_AMAP_year">#REF!</definedName>
    <definedName name="Multiply4">[11]RATES!#REF!</definedName>
    <definedName name="Multiply5">[11]RATES!#REF!</definedName>
    <definedName name="name" localSheetId="3" hidden="1">{#N/A,#N/A,FALSE,"ManLoading"}</definedName>
    <definedName name="name" localSheetId="4" hidden="1">{#N/A,#N/A,FALSE,"ManLoading"}</definedName>
    <definedName name="name" localSheetId="5" hidden="1">{#N/A,#N/A,FALSE,"ManLoading"}</definedName>
    <definedName name="name" localSheetId="2" hidden="1">{#N/A,#N/A,FALSE,"ManLoading"}</definedName>
    <definedName name="name" localSheetId="6" hidden="1">{#N/A,#N/A,FALSE,"ManLoading"}</definedName>
    <definedName name="name" localSheetId="7" hidden="1">{#N/A,#N/A,FALSE,"ManLoading"}</definedName>
    <definedName name="name" hidden="1">{#N/A,#N/A,FALSE,"ManLoading"}</definedName>
    <definedName name="NAMEA">#REF!</definedName>
    <definedName name="napsa">#REF!</definedName>
    <definedName name="National_factor_year1">#REF!</definedName>
    <definedName name="National_factor_year2">#REF!</definedName>
    <definedName name="National_factor_year3">#REF!</definedName>
    <definedName name="National_factor_year4">#REF!</definedName>
    <definedName name="National_factor_year5">#REF!</definedName>
    <definedName name="NativeTimeline_Date">#N/A</definedName>
    <definedName name="NativeTimeline_Date1">#N/A</definedName>
    <definedName name="NatRes11">[11]RATES!#REF!</definedName>
    <definedName name="NAWGA">#N/A</definedName>
    <definedName name="New" localSheetId="6">[39]Sheet1!$M$3:$M$8</definedName>
    <definedName name="New" localSheetId="7">[39]Sheet1!$M$3:$M$8</definedName>
    <definedName name="New">[40]Sheet1!$M$3:$M$8</definedName>
    <definedName name="NFPA">#N/A</definedName>
    <definedName name="NICRA_GA">#REF!</definedName>
    <definedName name="NICRA_Overhead">#REF!</definedName>
    <definedName name="no" localSheetId="3" hidden="1">{#N/A,#N/A,FALSE,"ManLoading"}</definedName>
    <definedName name="no" localSheetId="4" hidden="1">{#N/A,#N/A,FALSE,"ManLoading"}</definedName>
    <definedName name="no" localSheetId="5" hidden="1">{#N/A,#N/A,FALSE,"ManLoading"}</definedName>
    <definedName name="no" localSheetId="2" hidden="1">{#N/A,#N/A,FALSE,"ManLoading"}</definedName>
    <definedName name="no" localSheetId="6" hidden="1">{#N/A,#N/A,FALSE,"ManLoading"}</definedName>
    <definedName name="no" localSheetId="7" hidden="1">{#N/A,#N/A,FALSE,"ManLoading"}</definedName>
    <definedName name="no" hidden="1">{#N/A,#N/A,FALSE,"ManLoading"}</definedName>
    <definedName name="none" localSheetId="3" hidden="1">{#N/A,#N/A,FALSE,"ManLoading"}</definedName>
    <definedName name="none" localSheetId="4" hidden="1">{#N/A,#N/A,FALSE,"ManLoading"}</definedName>
    <definedName name="none" localSheetId="5" hidden="1">{#N/A,#N/A,FALSE,"ManLoading"}</definedName>
    <definedName name="none" localSheetId="2" hidden="1">{#N/A,#N/A,FALSE,"ManLoading"}</definedName>
    <definedName name="none" localSheetId="6" hidden="1">{#N/A,#N/A,FALSE,"ManLoading"}</definedName>
    <definedName name="none" localSheetId="1" hidden="1">{#N/A,#N/A,FALSE,"ManLoading"}</definedName>
    <definedName name="none" localSheetId="7" hidden="1">{#N/A,#N/A,FALSE,"ManLoading"}</definedName>
    <definedName name="none" hidden="1">{#N/A,#N/A,FALSE,"ManLoading"}</definedName>
    <definedName name="none1" localSheetId="3" hidden="1">{#N/A,#N/A,FALSE,"ManLoading"}</definedName>
    <definedName name="none1" localSheetId="4" hidden="1">{#N/A,#N/A,FALSE,"ManLoading"}</definedName>
    <definedName name="none1" localSheetId="5" hidden="1">{#N/A,#N/A,FALSE,"ManLoading"}</definedName>
    <definedName name="none1" localSheetId="2" hidden="1">{#N/A,#N/A,FALSE,"ManLoading"}</definedName>
    <definedName name="none1" localSheetId="6" hidden="1">{#N/A,#N/A,FALSE,"ManLoading"}</definedName>
    <definedName name="none1" localSheetId="7" hidden="1">{#N/A,#N/A,FALSE,"ManLoading"}</definedName>
    <definedName name="none1" hidden="1">{#N/A,#N/A,FALSE,"ManLoading"}</definedName>
    <definedName name="ODC">[11]RATES!#REF!</definedName>
    <definedName name="ODC_Escalation">#REF!</definedName>
    <definedName name="ODC_Escalation_DPK">[34]Assumptions!$B$10</definedName>
    <definedName name="ODCesc">[17]Assumptions!$H$14</definedName>
    <definedName name="OH">#REF!</definedName>
    <definedName name="OnCNFA">#REF!</definedName>
    <definedName name="Other_Direct_Costs">'[14]INPUTS Year 1'!#REF!</definedName>
    <definedName name="Other11">[11]RATES!#REF!</definedName>
    <definedName name="Other13">[11]RATES!#REF!</definedName>
    <definedName name="Othertotalpd">[18]Parameters!$B$32</definedName>
    <definedName name="overhead">#REF!</definedName>
    <definedName name="PAGE4" localSheetId="3" hidden="1">{"actuals_1",#N/A,FALSE,"CO 1 YRS";"burden_1",#N/A,FALSE,"CO 1 YRS";"input",#N/A,FALSE,"INPUT"}</definedName>
    <definedName name="PAGE4" localSheetId="4" hidden="1">{"actuals_1",#N/A,FALSE,"CO 1 YRS";"burden_1",#N/A,FALSE,"CO 1 YRS";"input",#N/A,FALSE,"INPUT"}</definedName>
    <definedName name="PAGE4" localSheetId="5" hidden="1">{"actuals_1",#N/A,FALSE,"CO 1 YRS";"burden_1",#N/A,FALSE,"CO 1 YRS";"input",#N/A,FALSE,"INPUT"}</definedName>
    <definedName name="PAGE4" localSheetId="2" hidden="1">{"actuals_1",#N/A,FALSE,"CO 1 YRS";"burden_1",#N/A,FALSE,"CO 1 YRS";"input",#N/A,FALSE,"INPUT"}</definedName>
    <definedName name="PAGE4" localSheetId="6" hidden="1">{"actuals_1",#N/A,FALSE,"CO 1 YRS";"burden_1",#N/A,FALSE,"CO 1 YRS";"input",#N/A,FALSE,"INPUT"}</definedName>
    <definedName name="PAGE4" localSheetId="1" hidden="1">{"actuals_1",#N/A,FALSE,"CO 1 YRS";"burden_1",#N/A,FALSE,"CO 1 YRS";"input",#N/A,FALSE,"INPUT"}</definedName>
    <definedName name="PAGE4" localSheetId="7" hidden="1">{"actuals_1",#N/A,FALSE,"CO 1 YRS";"burden_1",#N/A,FALSE,"CO 1 YRS";"input",#N/A,FALSE,"INPUT"}</definedName>
    <definedName name="PAGE4" hidden="1">{"actuals_1",#N/A,FALSE,"CO 1 YRS";"burden_1",#N/A,FALSE,"CO 1 YRS";"input",#N/A,FALSE,"INPUT"}</definedName>
    <definedName name="PATTA">#REF!</definedName>
    <definedName name="paye">#REF!</definedName>
    <definedName name="payroll">#REF!</definedName>
    <definedName name="payslips">#REF!</definedName>
    <definedName name="pd">[5]Parameters!$D$49</definedName>
    <definedName name="PDDAYS">#N/A</definedName>
    <definedName name="pdintl">[7]Parameters!$B$534</definedName>
    <definedName name="pdloc">[7]Parameters!$B$535</definedName>
    <definedName name="pdother">[5]Parameters!$D$50</definedName>
    <definedName name="pdotherdos">[5]Parameters!$D$54</definedName>
    <definedName name="pdpesh">[7]Parameters!$B$537</definedName>
    <definedName name="Per_Diem1">#REF!</definedName>
    <definedName name="Per_Diem2">#REF!</definedName>
    <definedName name="Per_Diem3">#REF!</definedName>
    <definedName name="Perdiem">[17]Assumptions!$B$23:$F$25</definedName>
    <definedName name="perdiembko">[13]Sheet1!$C$22</definedName>
    <definedName name="perdiemdays">[41]Info!$C$14</definedName>
    <definedName name="perdieme" localSheetId="6">[35]Parameters!$C$33</definedName>
    <definedName name="perdieme" localSheetId="7">[35]Parameters!$C$33</definedName>
    <definedName name="perdieme">[36]Parameters!$C$33</definedName>
    <definedName name="perdiemfactor">[13]Sheet1!$C$26</definedName>
    <definedName name="perdiemintl">[13]Sheet1!$C$24</definedName>
    <definedName name="perdiemoth">[13]Sheet1!$C$25</definedName>
    <definedName name="Person_Days">#REF!</definedName>
    <definedName name="Person_Year">#REF!</definedName>
    <definedName name="PIP">#N/A</definedName>
    <definedName name="PM">[11]RATES!#REF!</definedName>
    <definedName name="pmperdiem">#REF!</definedName>
    <definedName name="Policy11">[11]RATES!#REF!</definedName>
    <definedName name="Policy12">[11]RATES!#REF!</definedName>
    <definedName name="Policy13">[11]RATES!#REF!</definedName>
    <definedName name="Post_Differential">#REF!</definedName>
    <definedName name="postdiff">[5]Parameters!$D$55</definedName>
    <definedName name="_xlnm.Print_Area" localSheetId="3">'Activity 1'!$A$2:$W$83</definedName>
    <definedName name="_xlnm.Print_Area" localSheetId="4">'Activity 2'!$A$2:$W$102</definedName>
    <definedName name="_xlnm.Print_Area" localSheetId="5">'Activity 3'!$A$2:$W$82</definedName>
    <definedName name="_xlnm.Print_Area" localSheetId="2">Admin!$A$2:$W$133</definedName>
    <definedName name="_xlnm.Print_Area" localSheetId="6">'CABI Sub Budget'!$A$10:$S$58</definedName>
    <definedName name="_xlnm.Print_Area" localSheetId="1">'Detailed Budget'!$A$2:$W$168</definedName>
    <definedName name="_xlnm.Print_Area" localSheetId="9">'Indirect Calculations'!$B$6:$I$61</definedName>
    <definedName name="_xlnm.Print_Area" localSheetId="8">'Program Budget'!$D$6:$X$328</definedName>
    <definedName name="_xlnm.Print_Area" localSheetId="0">'USDA Budget Summary'!$A$1:$F$62</definedName>
    <definedName name="_xlnm.Print_Area" localSheetId="7">'USSEC Sub Budget'!$A$10:$S$57</definedName>
    <definedName name="_xlnm.Print_Area">#REF!</definedName>
    <definedName name="Print_Area_MI" localSheetId="3">#REF!</definedName>
    <definedName name="Print_Area_MI" localSheetId="4">#REF!</definedName>
    <definedName name="Print_Area_MI" localSheetId="5">#REF!</definedName>
    <definedName name="Print_Area_MI" localSheetId="2">#REF!</definedName>
    <definedName name="Print_Area_MI" localSheetId="6">#REF!</definedName>
    <definedName name="Print_Area_MI" localSheetId="1">#REF!</definedName>
    <definedName name="Print_Area_MI" localSheetId="7">#REF!</definedName>
    <definedName name="Print_Area_MI">#REF!</definedName>
    <definedName name="Print_Area2">#REF!</definedName>
    <definedName name="_xlnm.Print_Titles" localSheetId="3">'Activity 1'!$2:$3</definedName>
    <definedName name="_xlnm.Print_Titles" localSheetId="4">'Activity 2'!$2:$3</definedName>
    <definedName name="_xlnm.Print_Titles" localSheetId="5">'Activity 3'!$2:$3</definedName>
    <definedName name="_xlnm.Print_Titles" localSheetId="2">Admin!$2:$3</definedName>
    <definedName name="_xlnm.Print_Titles" localSheetId="6">'CABI Sub Budget'!$10:$11</definedName>
    <definedName name="_xlnm.Print_Titles" localSheetId="1">'Detailed Budget'!$2:$3</definedName>
    <definedName name="_xlnm.Print_Titles" localSheetId="7">'USSEC Sub Budget'!$10:$11</definedName>
    <definedName name="_xlnm.Print_Titles">#N/A</definedName>
    <definedName name="Print_Titles_MI" localSheetId="3">#REF!</definedName>
    <definedName name="Print_Titles_MI" localSheetId="4">#REF!</definedName>
    <definedName name="Print_Titles_MI" localSheetId="5">#REF!</definedName>
    <definedName name="Print_Titles_MI" localSheetId="2">#REF!</definedName>
    <definedName name="Print_Titles_MI" localSheetId="6">#REF!</definedName>
    <definedName name="Print_Titles_MI" localSheetId="1">#REF!</definedName>
    <definedName name="Print_Titles_MI" localSheetId="7">#REF!</definedName>
    <definedName name="Print_Titles_MI">#REF!</definedName>
    <definedName name="Profit" localSheetId="6">#REF!</definedName>
    <definedName name="Profit" localSheetId="7">#REF!</definedName>
    <definedName name="Profit">#REF!</definedName>
    <definedName name="project">[7]Parameters!$B$5</definedName>
    <definedName name="Project_support_costs">#REF!</definedName>
    <definedName name="proposed" localSheetId="3" hidden="1">{#N/A,#N/A,FALSE,"ManLoading"}</definedName>
    <definedName name="proposed" localSheetId="4" hidden="1">{#N/A,#N/A,FALSE,"ManLoading"}</definedName>
    <definedName name="proposed" localSheetId="5" hidden="1">{#N/A,#N/A,FALSE,"ManLoading"}</definedName>
    <definedName name="proposed" localSheetId="2" hidden="1">{#N/A,#N/A,FALSE,"ManLoading"}</definedName>
    <definedName name="proposed" localSheetId="6" hidden="1">{#N/A,#N/A,FALSE,"ManLoading"}</definedName>
    <definedName name="proposed" localSheetId="1" hidden="1">{#N/A,#N/A,FALSE,"ManLoading"}</definedName>
    <definedName name="proposed" localSheetId="7" hidden="1">{#N/A,#N/A,FALSE,"ManLoading"}</definedName>
    <definedName name="proposed" hidden="1">{#N/A,#N/A,FALSE,"ManLoading"}</definedName>
    <definedName name="PURD">#N/A</definedName>
    <definedName name="PURD1">#N/A</definedName>
    <definedName name="PURD4">#N/A</definedName>
    <definedName name="q">#REF!</definedName>
    <definedName name="quetzaltenango">#REF!</definedName>
    <definedName name="quiche">#REF!</definedName>
    <definedName name="Raises_Expat">#REF!</definedName>
    <definedName name="Raises_HCN">#REF!</definedName>
    <definedName name="Raises_TCN">#REF!</definedName>
    <definedName name="Rate1">#REF!</definedName>
    <definedName name="Rate2">#REF!</definedName>
    <definedName name="rate3">#REF!</definedName>
    <definedName name="Rate4">#REF!</definedName>
    <definedName name="Rate5">#REF!</definedName>
    <definedName name="Rate6">#REF!</definedName>
    <definedName name="Rate7">#REF!</definedName>
    <definedName name="Rate8">#REF!</definedName>
    <definedName name="Rate9">#REF!</definedName>
    <definedName name="ratecos">#REF!</definedName>
    <definedName name="regina" hidden="1">[2]IPA!#REF!</definedName>
    <definedName name="Regional_Offices">'[42] Program Support Costs'!#REF!</definedName>
    <definedName name="remit_zra" localSheetId="6">#REF!</definedName>
    <definedName name="remit_zra" localSheetId="7">#REF!</definedName>
    <definedName name="remit_zra">#REF!</definedName>
    <definedName name="RETdirectdeposit" localSheetId="6">#REF!</definedName>
    <definedName name="RETdirectdeposit" localSheetId="7">#REF!</definedName>
    <definedName name="RETdirectdeposit">#REF!</definedName>
    <definedName name="rfp">[5]Parameters!$B$4</definedName>
    <definedName name="RFPNo">[4]Parameters!$B$2</definedName>
    <definedName name="room">#REF!</definedName>
    <definedName name="rovercost">[5]Parameters!$H$30</definedName>
    <definedName name="rr">[5]Parameters!$D$25</definedName>
    <definedName name="rrair">[18]Parameters!$B$40</definedName>
    <definedName name="rrrrr" localSheetId="6">'[43]05TRANS'!$B$7:$L$34</definedName>
    <definedName name="rrrrr" localSheetId="7">'[43]05TRANS'!$B$7:$L$34</definedName>
    <definedName name="rrrrr">'[44]05TRANS'!$B$7:$L$34</definedName>
    <definedName name="rsa_inflation" localSheetId="6">#REF!</definedName>
    <definedName name="rsa_inflation" localSheetId="7">#REF!</definedName>
    <definedName name="rsa_inflation">#REF!</definedName>
    <definedName name="rtecon">[5]Parameters!$D$24</definedName>
    <definedName name="RYUK" localSheetId="3" hidden="1">{"PAGE1",#N/A,FALSE,"CPFFMSTR";"PAGE2",#N/A,FALSE,"CPFFMSTR"}</definedName>
    <definedName name="RYUK" localSheetId="4" hidden="1">{"PAGE1",#N/A,FALSE,"CPFFMSTR";"PAGE2",#N/A,FALSE,"CPFFMSTR"}</definedName>
    <definedName name="RYUK" localSheetId="5" hidden="1">{"PAGE1",#N/A,FALSE,"CPFFMSTR";"PAGE2",#N/A,FALSE,"CPFFMSTR"}</definedName>
    <definedName name="RYUK" localSheetId="2" hidden="1">{"PAGE1",#N/A,FALSE,"CPFFMSTR";"PAGE2",#N/A,FALSE,"CPFFMSTR"}</definedName>
    <definedName name="RYUK" localSheetId="6" hidden="1">{"PAGE1",#N/A,FALSE,"CPFFMSTR";"PAGE2",#N/A,FALSE,"CPFFMSTR"}</definedName>
    <definedName name="RYUK" localSheetId="1" hidden="1">{"PAGE1",#N/A,FALSE,"CPFFMSTR";"PAGE2",#N/A,FALSE,"CPFFMSTR"}</definedName>
    <definedName name="RYUK" localSheetId="7" hidden="1">{"PAGE1",#N/A,FALSE,"CPFFMSTR";"PAGE2",#N/A,FALSE,"CPFFMSTR"}</definedName>
    <definedName name="RYUK" hidden="1">{"PAGE1",#N/A,FALSE,"CPFFMSTR";"PAGE2",#N/A,FALSE,"CPFFMSTR"}</definedName>
    <definedName name="sa">#REF!</definedName>
    <definedName name="SAL">#REF!</definedName>
    <definedName name="salary_inflation">'[45]Formula Values'!$B$4</definedName>
    <definedName name="SALARYORHOURLY" localSheetId="6">#REF!</definedName>
    <definedName name="SALARYORHOURLY" localSheetId="7">#REF!</definedName>
    <definedName name="SALARYORHOURLY">#REF!</definedName>
    <definedName name="salesc">0.05</definedName>
    <definedName name="salinc">#REF!</definedName>
    <definedName name="salincr">[5]Parameters!$D$7</definedName>
    <definedName name="salincrease">[41]Info!$C$5</definedName>
    <definedName name="salincrloc">[7]Parameters!$B$503</definedName>
    <definedName name="salmaxes6">[7]Parameters!$B$559</definedName>
    <definedName name="salmaxfsn">[7]Parameters!$B$560</definedName>
    <definedName name="sanmarcos">#REF!</definedName>
    <definedName name="sc">[46]Sheet1!$M$3:$M$8</definedName>
    <definedName name="sda" localSheetId="3" hidden="1">{#N/A,#N/A,FALSE,"ManLoading"}</definedName>
    <definedName name="sda" localSheetId="4" hidden="1">{#N/A,#N/A,FALSE,"ManLoading"}</definedName>
    <definedName name="sda" localSheetId="5" hidden="1">{#N/A,#N/A,FALSE,"ManLoading"}</definedName>
    <definedName name="sda" localSheetId="2" hidden="1">{#N/A,#N/A,FALSE,"ManLoading"}</definedName>
    <definedName name="sda" localSheetId="6" hidden="1">{#N/A,#N/A,FALSE,"ManLoading"}</definedName>
    <definedName name="sda" localSheetId="7" hidden="1">{#N/A,#N/A,FALSE,"ManLoading"}</definedName>
    <definedName name="sda" hidden="1">{#N/A,#N/A,FALSE,"ManLoading"}</definedName>
    <definedName name="sdfg" localSheetId="3" hidden="1">{"PAGE1",#N/A,FALSE,"CPFFMSTR";"PAGE2",#N/A,FALSE,"CPFFMSTR"}</definedName>
    <definedName name="sdfg" localSheetId="4" hidden="1">{"PAGE1",#N/A,FALSE,"CPFFMSTR";"PAGE2",#N/A,FALSE,"CPFFMSTR"}</definedName>
    <definedName name="sdfg" localSheetId="5" hidden="1">{"PAGE1",#N/A,FALSE,"CPFFMSTR";"PAGE2",#N/A,FALSE,"CPFFMSTR"}</definedName>
    <definedName name="sdfg" localSheetId="2" hidden="1">{"PAGE1",#N/A,FALSE,"CPFFMSTR";"PAGE2",#N/A,FALSE,"CPFFMSTR"}</definedName>
    <definedName name="sdfg" localSheetId="6" hidden="1">{"PAGE1",#N/A,FALSE,"CPFFMSTR";"PAGE2",#N/A,FALSE,"CPFFMSTR"}</definedName>
    <definedName name="sdfg" localSheetId="1" hidden="1">{"PAGE1",#N/A,FALSE,"CPFFMSTR";"PAGE2",#N/A,FALSE,"CPFFMSTR"}</definedName>
    <definedName name="sdfg" localSheetId="7" hidden="1">{"PAGE1",#N/A,FALSE,"CPFFMSTR";"PAGE2",#N/A,FALSE,"CPFFMSTR"}</definedName>
    <definedName name="sdfg" hidden="1">{"PAGE1",#N/A,FALSE,"CPFFMSTR";"PAGE2",#N/A,FALSE,"CPFFMSTR"}</definedName>
    <definedName name="Senior_CCNRate">[34]Assumptions!$B$14</definedName>
    <definedName name="Senior_TCNRate">[34]Assumptions!$B$12</definedName>
    <definedName name="SEV">#REF!</definedName>
    <definedName name="severance">[5]Parameters!$D$64</definedName>
    <definedName name="severancedata">'[22]Summary Budget'!$O$34:$R$35</definedName>
    <definedName name="SEVPA">#REF!</definedName>
    <definedName name="SFG" localSheetId="3" hidden="1">{"PAGE1",#N/A,FALSE,"CPFFMSTR";"PAGE2",#N/A,FALSE,"CPFFMSTR"}</definedName>
    <definedName name="SFG" localSheetId="4" hidden="1">{"PAGE1",#N/A,FALSE,"CPFFMSTR";"PAGE2",#N/A,FALSE,"CPFFMSTR"}</definedName>
    <definedName name="SFG" localSheetId="5" hidden="1">{"PAGE1",#N/A,FALSE,"CPFFMSTR";"PAGE2",#N/A,FALSE,"CPFFMSTR"}</definedName>
    <definedName name="SFG" localSheetId="2" hidden="1">{"PAGE1",#N/A,FALSE,"CPFFMSTR";"PAGE2",#N/A,FALSE,"CPFFMSTR"}</definedName>
    <definedName name="SFG" localSheetId="6" hidden="1">{"PAGE1",#N/A,FALSE,"CPFFMSTR";"PAGE2",#N/A,FALSE,"CPFFMSTR"}</definedName>
    <definedName name="SFG" localSheetId="1" hidden="1">{"PAGE1",#N/A,FALSE,"CPFFMSTR";"PAGE2",#N/A,FALSE,"CPFFMSTR"}</definedName>
    <definedName name="SFG" localSheetId="7" hidden="1">{"PAGE1",#N/A,FALSE,"CPFFMSTR";"PAGE2",#N/A,FALSE,"CPFFMSTR"}</definedName>
    <definedName name="SFG" hidden="1">{"PAGE1",#N/A,FALSE,"CPFFMSTR";"PAGE2",#N/A,FALSE,"CPFFMSTR"}</definedName>
    <definedName name="sho">'[3]Detailed Budget-SAVE'!#REF!</definedName>
    <definedName name="Site">[11]RATES!#REF!</definedName>
    <definedName name="small">#REF!</definedName>
    <definedName name="staff" localSheetId="6">[47]Sheet1!$M$3:$M$8</definedName>
    <definedName name="staff" localSheetId="7">[47]Sheet1!$M$3:$M$8</definedName>
    <definedName name="staff">[48]Sheet1!$M$3:$M$8</definedName>
    <definedName name="staff_fringe" localSheetId="6">#REF!</definedName>
    <definedName name="staff_fringe" localSheetId="7">#REF!</definedName>
    <definedName name="staff_fringe">#REF!</definedName>
    <definedName name="stafffringe" localSheetId="6">#REF!</definedName>
    <definedName name="stafffringe" localSheetId="7">#REF!</definedName>
    <definedName name="stafffringe">#REF!</definedName>
    <definedName name="staffperdiem" localSheetId="6">#REF!</definedName>
    <definedName name="staffperdiem" localSheetId="7">#REF!</definedName>
    <definedName name="staffperdiem">#REF!</definedName>
    <definedName name="START">#N/A</definedName>
    <definedName name="startdate">#REF!</definedName>
    <definedName name="stexpercent">[5]Parameters!$D$30</definedName>
    <definedName name="stlp">[7]Parameters!$A$298</definedName>
    <definedName name="stlp1">[7]Parameters!$A$300</definedName>
    <definedName name="stlp10">[7]Parameters!$A$309</definedName>
    <definedName name="stlp10co">[7]Parameters!$G$309</definedName>
    <definedName name="stlp10name">[7]Parameters!$C$309</definedName>
    <definedName name="stlp10sal1">[7]Parameters!$E$309</definedName>
    <definedName name="stlp11">[7]Parameters!$A$310</definedName>
    <definedName name="stlp12">[7]Parameters!$A$311</definedName>
    <definedName name="stlp13">[7]Parameters!$A$312</definedName>
    <definedName name="stlp14">[7]Parameters!$A$313</definedName>
    <definedName name="stlp15">[7]Parameters!$A$314</definedName>
    <definedName name="stlp16">[7]Parameters!$A$315</definedName>
    <definedName name="stlp17">[7]Parameters!$A$316</definedName>
    <definedName name="stlp18">[7]Parameters!$A$317</definedName>
    <definedName name="stlp19">[7]Parameters!$A$318</definedName>
    <definedName name="stlp1co">[7]Parameters!$G$300</definedName>
    <definedName name="stlp1name">[7]Parameters!$C$300</definedName>
    <definedName name="stlp1sal1">[7]Parameters!$E$300</definedName>
    <definedName name="stlp2">[7]Parameters!$A$301</definedName>
    <definedName name="stlp20">[7]Parameters!$A$319</definedName>
    <definedName name="stlp21">[7]Parameters!$A$320</definedName>
    <definedName name="stlp22">[7]Parameters!$A$321</definedName>
    <definedName name="stlp23">[7]Parameters!$A$322</definedName>
    <definedName name="stlp24">[7]Parameters!$A$323</definedName>
    <definedName name="stlp25">[7]Parameters!$A$324</definedName>
    <definedName name="stlp26">[7]Parameters!$A$325</definedName>
    <definedName name="stlp27">[7]Parameters!$A$326</definedName>
    <definedName name="stlp28">[7]Parameters!$A$327</definedName>
    <definedName name="stlp29">[7]Parameters!$A$328</definedName>
    <definedName name="stlp2co">[7]Parameters!$G$301</definedName>
    <definedName name="stlp2name">[7]Parameters!$C$301</definedName>
    <definedName name="stlp2sal1">[7]Parameters!$E$301</definedName>
    <definedName name="stlp3">[7]Parameters!$A$302</definedName>
    <definedName name="stlp30">[7]Parameters!$A$329</definedName>
    <definedName name="stlp31">[7]Parameters!$A$330</definedName>
    <definedName name="stlp32">[7]Parameters!$A$331</definedName>
    <definedName name="stlp33">[7]Parameters!$A$332</definedName>
    <definedName name="stlp34">[7]Parameters!$A$333</definedName>
    <definedName name="stlp35">[7]Parameters!$A$334</definedName>
    <definedName name="stlp36">[7]Parameters!$A$335</definedName>
    <definedName name="stlp37">[7]Parameters!$A$336</definedName>
    <definedName name="stlp38">[7]Parameters!$A$337</definedName>
    <definedName name="stlp39">[7]Parameters!$A$338</definedName>
    <definedName name="stlp3co">[7]Parameters!$G$302</definedName>
    <definedName name="stlp3name">[7]Parameters!$C$302</definedName>
    <definedName name="stlp3sal1">[7]Parameters!$E$302</definedName>
    <definedName name="stlp4">[7]Parameters!$A$303</definedName>
    <definedName name="stlp40">[7]Parameters!$A$339</definedName>
    <definedName name="stlp41">[7]Parameters!$A$340</definedName>
    <definedName name="stlp42">[7]Parameters!$A$341</definedName>
    <definedName name="stlp43">[7]Parameters!$A$342</definedName>
    <definedName name="stlp44">[7]Parameters!$A$343</definedName>
    <definedName name="stlp45">[7]Parameters!$A$344</definedName>
    <definedName name="stlp46">[7]Parameters!$A$345</definedName>
    <definedName name="stlp47">[7]Parameters!$A$346</definedName>
    <definedName name="stlp48">[7]Parameters!$A$347</definedName>
    <definedName name="stlp49">[7]Parameters!$A$348</definedName>
    <definedName name="stlp4co">[7]Parameters!$G$303</definedName>
    <definedName name="stlp4name">[7]Parameters!$C$303</definedName>
    <definedName name="stlp4sal1">[7]Parameters!$E$303</definedName>
    <definedName name="stlp5">[7]Parameters!$A$304</definedName>
    <definedName name="stlp50">[7]Parameters!$A$349</definedName>
    <definedName name="stlp51">[7]Parameters!$A$350</definedName>
    <definedName name="stlp52">[7]Parameters!$A$351</definedName>
    <definedName name="stlp53">[7]Parameters!$A$352</definedName>
    <definedName name="stlp54">[7]Parameters!$A$353</definedName>
    <definedName name="stlp55">[7]Parameters!$A$354</definedName>
    <definedName name="stlp56">[7]Parameters!$A$355</definedName>
    <definedName name="stlp57">[7]Parameters!$A$356</definedName>
    <definedName name="stlp58">[7]Parameters!$A$357</definedName>
    <definedName name="stlp59">[7]Parameters!$A$358</definedName>
    <definedName name="stlp5co">[7]Parameters!$G$304</definedName>
    <definedName name="stlp5name">[7]Parameters!$C$304</definedName>
    <definedName name="stlp5sal1">[7]Parameters!$E$304</definedName>
    <definedName name="stlp6">[7]Parameters!$A$305</definedName>
    <definedName name="stlp60">[7]Parameters!$A$359</definedName>
    <definedName name="stlp61">[7]Parameters!$A$360</definedName>
    <definedName name="stlp62">[7]Parameters!$A$361</definedName>
    <definedName name="stlp63">[7]Parameters!$A$362</definedName>
    <definedName name="stlp64">[7]Parameters!$A$363</definedName>
    <definedName name="stlp65">[7]Parameters!$A$364</definedName>
    <definedName name="stlp66">[7]Parameters!$A$365</definedName>
    <definedName name="stlp67">[7]Parameters!$A$366</definedName>
    <definedName name="stlp68">[7]Parameters!$A$367</definedName>
    <definedName name="stlp69">[7]Parameters!$A$368</definedName>
    <definedName name="stlp6co">[7]Parameters!$G$305</definedName>
    <definedName name="stlp6name">[7]Parameters!$C$305</definedName>
    <definedName name="stlp6sal1">[7]Parameters!$E$305</definedName>
    <definedName name="stlp7">[7]Parameters!$A$306</definedName>
    <definedName name="stlp70">[7]Parameters!$A$369</definedName>
    <definedName name="stlp71">[7]Parameters!$A$370</definedName>
    <definedName name="stlp72">[7]Parameters!$A$371</definedName>
    <definedName name="stlp73">[7]Parameters!$A$372</definedName>
    <definedName name="stlp74">[7]Parameters!$A$373</definedName>
    <definedName name="stlp75">[7]Parameters!$A$374</definedName>
    <definedName name="stlp7co">[7]Parameters!$G$306</definedName>
    <definedName name="stlp7name">[7]Parameters!$C$306</definedName>
    <definedName name="stlp7sal1">[7]Parameters!$E$306</definedName>
    <definedName name="stlp8">[7]Parameters!$A$307</definedName>
    <definedName name="stlp8co">[7]Parameters!$G$307</definedName>
    <definedName name="stlp8name">[7]Parameters!$C$307</definedName>
    <definedName name="stlp8sal1">[7]Parameters!$E$307</definedName>
    <definedName name="stlp9">[7]Parameters!$A$308</definedName>
    <definedName name="stlp9co">[7]Parameters!$G$308</definedName>
    <definedName name="stlp9name">[7]Parameters!$C$308</definedName>
    <definedName name="stlp9sal1">[7]Parameters!$E$308</definedName>
    <definedName name="stlpco11">[7]Parameters!$G$310</definedName>
    <definedName name="stlpco12">[7]Parameters!$G$311</definedName>
    <definedName name="stlpco13">[7]Parameters!$G$312</definedName>
    <definedName name="stlpco14">[7]Parameters!$G$313</definedName>
    <definedName name="stlpco15">[7]Parameters!$G$314</definedName>
    <definedName name="stlpco16">[7]Parameters!$G$315</definedName>
    <definedName name="stlpco17">[7]Parameters!$G$316</definedName>
    <definedName name="stlpco18">[7]Parameters!$G$317</definedName>
    <definedName name="stlpco19">[7]Parameters!$G$318</definedName>
    <definedName name="stlpco20">[7]Parameters!$G$319</definedName>
    <definedName name="stlpco21">[7]Parameters!$G$320</definedName>
    <definedName name="stlpco22">[7]Parameters!$G$321</definedName>
    <definedName name="stlpco23">[7]Parameters!$G$322</definedName>
    <definedName name="stlpco24">[7]Parameters!$G$323</definedName>
    <definedName name="stlpco25">[7]Parameters!$G$324</definedName>
    <definedName name="stlpco26">[7]Parameters!$G$325</definedName>
    <definedName name="stlpco27">[7]Parameters!$G$326</definedName>
    <definedName name="stlpco28">[7]Parameters!$G$327</definedName>
    <definedName name="stlpco29">[7]Parameters!$G$328</definedName>
    <definedName name="stlpco30">[7]Parameters!$G$329</definedName>
    <definedName name="stlpco31">[7]Parameters!$G$330</definedName>
    <definedName name="stlpco32">[7]Parameters!$G$331</definedName>
    <definedName name="stlpco33">[7]Parameters!$G$332</definedName>
    <definedName name="stlpco34">[7]Parameters!$G$333</definedName>
    <definedName name="stlpco35">[7]Parameters!$G$334</definedName>
    <definedName name="stlpco36">[7]Parameters!$G$335</definedName>
    <definedName name="stlpco37">[7]Parameters!$G$336</definedName>
    <definedName name="stlpco38">[7]Parameters!$G$337</definedName>
    <definedName name="stlpco39">[7]Parameters!$G$338</definedName>
    <definedName name="stlpco40">[7]Parameters!$G$339</definedName>
    <definedName name="stlpco41">[7]Parameters!$G$340</definedName>
    <definedName name="stlpco42">[7]Parameters!$G$341</definedName>
    <definedName name="stlpco43">[7]Parameters!$G$342</definedName>
    <definedName name="stlpco44">[7]Parameters!$G$343</definedName>
    <definedName name="stlpco45">[7]Parameters!$G$344</definedName>
    <definedName name="stlpco46">[7]Parameters!$G$345</definedName>
    <definedName name="stlpco47">[7]Parameters!$G$346</definedName>
    <definedName name="stlpco48">[7]Parameters!$G$347</definedName>
    <definedName name="stlpco49">[7]Parameters!$G$348</definedName>
    <definedName name="stlpco50">[7]Parameters!$G$349</definedName>
    <definedName name="stlpco51">[7]Parameters!$G$350</definedName>
    <definedName name="stlpco52">[7]Parameters!$G$351</definedName>
    <definedName name="stlpco53">[7]Parameters!$G$352</definedName>
    <definedName name="stlpco54">[7]Parameters!$G$353</definedName>
    <definedName name="stlpco55">[7]Parameters!$G$354</definedName>
    <definedName name="stlpco56">[7]Parameters!$G$355</definedName>
    <definedName name="stlpco57">[7]Parameters!$G$356</definedName>
    <definedName name="stlpco58">[7]Parameters!$G$357</definedName>
    <definedName name="stlpco59">[7]Parameters!$G$358</definedName>
    <definedName name="stlpco60">[7]Parameters!$G$359</definedName>
    <definedName name="stlpco61">[7]Parameters!$G$360</definedName>
    <definedName name="stlpco62">[7]Parameters!$G$361</definedName>
    <definedName name="stlpco63">[7]Parameters!$G$362</definedName>
    <definedName name="stlpco64">[7]Parameters!$G$363</definedName>
    <definedName name="stlpco65">[7]Parameters!$G$364</definedName>
    <definedName name="stlpco66">[7]Parameters!$G$365</definedName>
    <definedName name="stlpco67">[7]Parameters!$G$366</definedName>
    <definedName name="stlpco68">[7]Parameters!$G$367</definedName>
    <definedName name="stlpco69">[7]Parameters!$G$368</definedName>
    <definedName name="stlpco70">[7]Parameters!$G$369</definedName>
    <definedName name="stlpco71">[7]Parameters!$G$370</definedName>
    <definedName name="stlpco72">[7]Parameters!$G$371</definedName>
    <definedName name="stlpco73">[7]Parameters!$G$372</definedName>
    <definedName name="stlpco74">[7]Parameters!$G$373</definedName>
    <definedName name="stlpco75">[7]Parameters!$G$374</definedName>
    <definedName name="stlpjob1">[7]Parameters!$I$300</definedName>
    <definedName name="stlpjob10">[7]Parameters!$I$309</definedName>
    <definedName name="stlpjob11">[7]Parameters!$I$310</definedName>
    <definedName name="stlpjob12">[7]Parameters!$I$311</definedName>
    <definedName name="stlpjob13">[7]Parameters!$I$312</definedName>
    <definedName name="stlpjob14">[7]Parameters!$I$313</definedName>
    <definedName name="stlpjob15">[7]Parameters!$I$314</definedName>
    <definedName name="stlpjob16">[7]Parameters!$I$315</definedName>
    <definedName name="stlpjob17">[7]Parameters!$I$316</definedName>
    <definedName name="stlpjob18">[7]Parameters!$I$317</definedName>
    <definedName name="stlpjob19">[7]Parameters!$I$318</definedName>
    <definedName name="stlpjob2">[7]Parameters!$I$301</definedName>
    <definedName name="stlpjob20">[7]Parameters!$I$319</definedName>
    <definedName name="stlpjob21">[7]Parameters!$I$320</definedName>
    <definedName name="stlpjob22">[7]Parameters!$I$321</definedName>
    <definedName name="stlpjob23">[7]Parameters!$I$322</definedName>
    <definedName name="stlpjob24">[7]Parameters!$I$323</definedName>
    <definedName name="stlpjob25">[7]Parameters!$I$324</definedName>
    <definedName name="stlpjob26">[7]Parameters!$I$325</definedName>
    <definedName name="stlpjob27">[7]Parameters!$I$326</definedName>
    <definedName name="stlpjob28">[7]Parameters!$I$327</definedName>
    <definedName name="stlpjob29">[7]Parameters!$I$328</definedName>
    <definedName name="stlpjob3">[7]Parameters!$I$302</definedName>
    <definedName name="stlpjob30">[7]Parameters!$I$329</definedName>
    <definedName name="stlpjob31">[7]Parameters!$I$330</definedName>
    <definedName name="stlpjob32">[7]Parameters!$I$331</definedName>
    <definedName name="stlpjob33">[7]Parameters!$I$332</definedName>
    <definedName name="stlpjob34">[7]Parameters!$I$333</definedName>
    <definedName name="stlpjob35">[7]Parameters!$I$334</definedName>
    <definedName name="stlpjob36">[7]Parameters!$I$335</definedName>
    <definedName name="stlpjob37">[7]Parameters!$I$336</definedName>
    <definedName name="stlpjob38">[7]Parameters!$I$337</definedName>
    <definedName name="stlpjob39">[7]Parameters!$I$338</definedName>
    <definedName name="stlpjob4">[7]Parameters!$I$303</definedName>
    <definedName name="stlpjob40">[7]Parameters!$I$339</definedName>
    <definedName name="stlpjob41">[7]Parameters!$I$340</definedName>
    <definedName name="stlpjob42">[7]Parameters!$I$341</definedName>
    <definedName name="stlpjob43">[7]Parameters!$I$342</definedName>
    <definedName name="stlpjob44">[7]Parameters!$I$343</definedName>
    <definedName name="stlpjob45">[7]Parameters!$I$344</definedName>
    <definedName name="stlpjob46">[7]Parameters!$I$345</definedName>
    <definedName name="stlpjob47">[7]Parameters!$I$346</definedName>
    <definedName name="stlpjob48">[7]Parameters!$I$347</definedName>
    <definedName name="stlpjob49">[7]Parameters!$I$348</definedName>
    <definedName name="stlpjob5">[7]Parameters!$I$304</definedName>
    <definedName name="stlpjob50">[7]Parameters!$I$349</definedName>
    <definedName name="stlpjob51">[7]Parameters!$I$350</definedName>
    <definedName name="stlpjob52">[7]Parameters!$I$351</definedName>
    <definedName name="stlpjob53">[7]Parameters!$I$352</definedName>
    <definedName name="stlpjob54">[7]Parameters!$I$353</definedName>
    <definedName name="stlpjob55">[7]Parameters!$I$354</definedName>
    <definedName name="stlpjob56">[7]Parameters!$I$355</definedName>
    <definedName name="stlpjob57">[7]Parameters!$I$356</definedName>
    <definedName name="stlpjob58">[7]Parameters!$I$357</definedName>
    <definedName name="stlpjob59">[7]Parameters!$I$358</definedName>
    <definedName name="stlpjob6">[7]Parameters!$I$305</definedName>
    <definedName name="stlpjob60">[7]Parameters!$I$359</definedName>
    <definedName name="stlpjob61">[7]Parameters!$I$360</definedName>
    <definedName name="stlpjob62">[7]Parameters!$I$361</definedName>
    <definedName name="stlpjob63">[7]Parameters!$I$362</definedName>
    <definedName name="stlpjob64">[7]Parameters!$I$363</definedName>
    <definedName name="stlpjob65">[7]Parameters!$I$364</definedName>
    <definedName name="stlpjob66">[7]Parameters!$I$365</definedName>
    <definedName name="stlpjob67">[7]Parameters!$I$366</definedName>
    <definedName name="stlpjob68">[7]Parameters!$I$367</definedName>
    <definedName name="stlpjob69">[7]Parameters!$I$368</definedName>
    <definedName name="stlpjob7">[7]Parameters!$I$306</definedName>
    <definedName name="stlpjob70">[7]Parameters!$I$369</definedName>
    <definedName name="stlpjob71">[7]Parameters!$I$370</definedName>
    <definedName name="stlpjob72">[7]Parameters!$I$371</definedName>
    <definedName name="stlpjob73">[7]Parameters!$I$372</definedName>
    <definedName name="stlpjob74">[7]Parameters!$I$373</definedName>
    <definedName name="stlpjob75">[7]Parameters!$I$374</definedName>
    <definedName name="stlpjob8">[7]Parameters!$I$307</definedName>
    <definedName name="stlpjob9">[7]Parameters!$I$308</definedName>
    <definedName name="stlpname11">[7]Parameters!$C$310</definedName>
    <definedName name="stlpname12">[7]Parameters!$C$311</definedName>
    <definedName name="stlpname13">[7]Parameters!$C$312</definedName>
    <definedName name="stlpname14">[7]Parameters!$C$313</definedName>
    <definedName name="stlpname15">[7]Parameters!$C$314</definedName>
    <definedName name="stlpname16">[7]Parameters!$C$315</definedName>
    <definedName name="stlpname17">[7]Parameters!$C$316</definedName>
    <definedName name="stlpname18">[7]Parameters!$C$317</definedName>
    <definedName name="stlpname19">[7]Parameters!$C$318</definedName>
    <definedName name="stlpname20">[7]Parameters!$C$319</definedName>
    <definedName name="stlpname21">[7]Parameters!$C$320</definedName>
    <definedName name="stlpname22">[7]Parameters!$C$321</definedName>
    <definedName name="stlpname23">[7]Parameters!$C$322</definedName>
    <definedName name="stlpname24">[7]Parameters!$C$323</definedName>
    <definedName name="stlpname25">[7]Parameters!$C$324</definedName>
    <definedName name="stlpname26">[7]Parameters!$C$325</definedName>
    <definedName name="stlpname27">[7]Parameters!$C$326</definedName>
    <definedName name="stlpname28">[7]Parameters!$C$327</definedName>
    <definedName name="stlpname29">[7]Parameters!$C$328</definedName>
    <definedName name="stlpname30">[7]Parameters!$C$329</definedName>
    <definedName name="stlpname31">[7]Parameters!$C$330</definedName>
    <definedName name="stlpname32">[7]Parameters!$C$331</definedName>
    <definedName name="stlpname33">[7]Parameters!$C$332</definedName>
    <definedName name="stlpname34">[7]Parameters!$C$333</definedName>
    <definedName name="stlpname35">[7]Parameters!$C$334</definedName>
    <definedName name="stlpname36">[7]Parameters!$C$335</definedName>
    <definedName name="stlpname37">[7]Parameters!$C$336</definedName>
    <definedName name="stlpname38">[7]Parameters!$C$337</definedName>
    <definedName name="stlpname39">[7]Parameters!$C$338</definedName>
    <definedName name="stlpname40">[7]Parameters!$C$339</definedName>
    <definedName name="stlpname41">[7]Parameters!$C$340</definedName>
    <definedName name="stlpname42">[7]Parameters!$C$341</definedName>
    <definedName name="stlpname43">[7]Parameters!$C$342</definedName>
    <definedName name="stlpname44">[7]Parameters!$C$343</definedName>
    <definedName name="stlpname45">[7]Parameters!$C$344</definedName>
    <definedName name="stlpname46">[7]Parameters!$C$345</definedName>
    <definedName name="stlpname47">[7]Parameters!$C$346</definedName>
    <definedName name="stlpname48">[7]Parameters!$C$347</definedName>
    <definedName name="stlpname49">[7]Parameters!$C$348</definedName>
    <definedName name="stlpname50">[7]Parameters!$C$349</definedName>
    <definedName name="stlpname51">[7]Parameters!$C$350</definedName>
    <definedName name="stlpname52">[7]Parameters!$C$351</definedName>
    <definedName name="stlpname53">[7]Parameters!$C$352</definedName>
    <definedName name="stlpname54">[7]Parameters!$C$353</definedName>
    <definedName name="stlpname55">[7]Parameters!$C$354</definedName>
    <definedName name="stlpname56">[7]Parameters!$C$355</definedName>
    <definedName name="stlpname57">[7]Parameters!$C$356</definedName>
    <definedName name="stlpname58">[7]Parameters!$C$357</definedName>
    <definedName name="stlpname59">[7]Parameters!$C$358</definedName>
    <definedName name="stlpname60">[7]Parameters!$C$359</definedName>
    <definedName name="stlpname61">[7]Parameters!$C$360</definedName>
    <definedName name="stlpname62">[7]Parameters!$C$361</definedName>
    <definedName name="stlpname63">[7]Parameters!$C$362</definedName>
    <definedName name="stlpname64">[7]Parameters!$C$363</definedName>
    <definedName name="stlpname65">[7]Parameters!$C$364</definedName>
    <definedName name="stlpname66">[7]Parameters!$C$365</definedName>
    <definedName name="stlpname67">[7]Parameters!$C$366</definedName>
    <definedName name="stlpname68">[7]Parameters!$C$367</definedName>
    <definedName name="stlpname69">[7]Parameters!$C$368</definedName>
    <definedName name="stlpname70">[7]Parameters!$C$369</definedName>
    <definedName name="stlpname71">[7]Parameters!$C$370</definedName>
    <definedName name="stlpname72">[7]Parameters!$C$371</definedName>
    <definedName name="stlpname73">[7]Parameters!$C$372</definedName>
    <definedName name="stlpname74">[7]Parameters!$C$373</definedName>
    <definedName name="stlpname75">[7]Parameters!$C$374</definedName>
    <definedName name="stlpsal11">[7]Parameters!$E$310</definedName>
    <definedName name="stlpsal12">[7]Parameters!$E$311</definedName>
    <definedName name="stlpsal13">[7]Parameters!$E$312</definedName>
    <definedName name="stlpsal14">[7]Parameters!$E$313</definedName>
    <definedName name="stlpsal15">[7]Parameters!$E$314</definedName>
    <definedName name="stlpsal16">[7]Parameters!$E$315</definedName>
    <definedName name="stlpsal17">[7]Parameters!$E$316</definedName>
    <definedName name="stlpsal18">[7]Parameters!$E$317</definedName>
    <definedName name="stlpsal19">[7]Parameters!$E$318</definedName>
    <definedName name="stlpsal20">[7]Parameters!$E$319</definedName>
    <definedName name="stlpsal21">[7]Parameters!$E$320</definedName>
    <definedName name="stlpsal22">[7]Parameters!$E$321</definedName>
    <definedName name="stlpsal23">[7]Parameters!$E$322</definedName>
    <definedName name="stlpsal24">[7]Parameters!$E$323</definedName>
    <definedName name="stlpsal25">[7]Parameters!$E$324</definedName>
    <definedName name="stlpsal26">[7]Parameters!$E$325</definedName>
    <definedName name="stlpsal27">[7]Parameters!$E$326</definedName>
    <definedName name="stlpsal28">[7]Parameters!$E$327</definedName>
    <definedName name="stlpsal29">[7]Parameters!$E$328</definedName>
    <definedName name="stlpsal30">[7]Parameters!$E$329</definedName>
    <definedName name="stlpsal31">[7]Parameters!$E$330</definedName>
    <definedName name="stlpsal32">[7]Parameters!$E$331</definedName>
    <definedName name="stlpsal33">[7]Parameters!$E$332</definedName>
    <definedName name="stlpsal34">[7]Parameters!$E$333</definedName>
    <definedName name="stlpsal35">[7]Parameters!$E$334</definedName>
    <definedName name="stlpsal36">[7]Parameters!$E$335</definedName>
    <definedName name="stlpsal37">[7]Parameters!$E$336</definedName>
    <definedName name="stlpsal38">[7]Parameters!$E$337</definedName>
    <definedName name="stlpsal39">[7]Parameters!$E$338</definedName>
    <definedName name="stlpsal40">[7]Parameters!$E$339</definedName>
    <definedName name="stlpsal41">[7]Parameters!$E$340</definedName>
    <definedName name="stlpsal42">[7]Parameters!$E$341</definedName>
    <definedName name="stlpsal43">[7]Parameters!$E$342</definedName>
    <definedName name="stlpsal44">[7]Parameters!$E$343</definedName>
    <definedName name="stlpsal45">[7]Parameters!$E$344</definedName>
    <definedName name="stlpsal46">[7]Parameters!$E$345</definedName>
    <definedName name="stlpsal47">[7]Parameters!$E$346</definedName>
    <definedName name="stlpsal48">[7]Parameters!$E$347</definedName>
    <definedName name="stlpsal49">[7]Parameters!$E$348</definedName>
    <definedName name="stlpsal50">[7]Parameters!$E$349</definedName>
    <definedName name="stlpsal51">[7]Parameters!$E$350</definedName>
    <definedName name="stlpsal52">[7]Parameters!$E$351</definedName>
    <definedName name="stlpsal53">[7]Parameters!$E$352</definedName>
    <definedName name="stlpsal54">[7]Parameters!$E$353</definedName>
    <definedName name="stlpsal55">[7]Parameters!$E$354</definedName>
    <definedName name="stlpsal56">[7]Parameters!$E$355</definedName>
    <definedName name="stlpsal57">[7]Parameters!$E$356</definedName>
    <definedName name="stlpsal58">[7]Parameters!$E$357</definedName>
    <definedName name="stlpsal59">[7]Parameters!$E$358</definedName>
    <definedName name="stlpsal60">[7]Parameters!$E$359</definedName>
    <definedName name="stlpsal61">[7]Parameters!$E$360</definedName>
    <definedName name="stlpsal62">[7]Parameters!$E$361</definedName>
    <definedName name="stlpsal63">[7]Parameters!$E$362</definedName>
    <definedName name="stlpsal64">[7]Parameters!$E$363</definedName>
    <definedName name="stlpsal65">[7]Parameters!$E$364</definedName>
    <definedName name="stlpsal66">[7]Parameters!$E$365</definedName>
    <definedName name="stlpsal67">[7]Parameters!$E$366</definedName>
    <definedName name="stlpsal68">[7]Parameters!$E$367</definedName>
    <definedName name="stlpsal69">[7]Parameters!$E$368</definedName>
    <definedName name="stlpsal70">[7]Parameters!$E$369</definedName>
    <definedName name="stlpsal71">[7]Parameters!$E$370</definedName>
    <definedName name="stlpsal72">[7]Parameters!$E$371</definedName>
    <definedName name="stlpsal73">[7]Parameters!$E$372</definedName>
    <definedName name="stlpsal74">[7]Parameters!$E$373</definedName>
    <definedName name="stlpsal75">[7]Parameters!$E$374</definedName>
    <definedName name="stmedevac">[5]Parameters!$D$18</definedName>
    <definedName name="STTA_Accra">[49]Assumptions!#REF!</definedName>
    <definedName name="STTA_Dayspertrip">[34]Assumptions!$B$25</definedName>
    <definedName name="STTA_Field">[49]Assumptions!#REF!</definedName>
    <definedName name="sttaperdiembam" localSheetId="6">#REF!</definedName>
    <definedName name="sttaperdiembam" localSheetId="7">#REF!</definedName>
    <definedName name="sttaperdiembam">#REF!</definedName>
    <definedName name="sttaperdiemother" localSheetId="6">#REF!</definedName>
    <definedName name="sttaperdiemother" localSheetId="7">#REF!</definedName>
    <definedName name="sttaperdiemother">#REF!</definedName>
    <definedName name="sttcn">[7]Parameters!$A$285</definedName>
    <definedName name="sttcn1">[7]Parameters!$A$287</definedName>
    <definedName name="sttcn10">[7]Parameters!$A$296</definedName>
    <definedName name="sttcn10co">[7]Parameters!$G$296</definedName>
    <definedName name="sttcn10name">[7]Parameters!$C$296</definedName>
    <definedName name="sttcn10sal1">[7]Parameters!$E$296</definedName>
    <definedName name="sttcn1co">[7]Parameters!$G$287</definedName>
    <definedName name="sttcn1name">[7]Parameters!$C$287</definedName>
    <definedName name="sttcn1sal1">[7]Parameters!$E$287</definedName>
    <definedName name="sttcn2">[7]Parameters!$A$288</definedName>
    <definedName name="sttcn2co">[7]Parameters!$G$288</definedName>
    <definedName name="sttcn2name">[7]Parameters!$C$288</definedName>
    <definedName name="sttcn2sal1">[7]Parameters!$E$288</definedName>
    <definedName name="sttcn3">[7]Parameters!$A$289</definedName>
    <definedName name="sttcn3co">[7]Parameters!$G$289</definedName>
    <definedName name="sttcn3name">[7]Parameters!$C$289</definedName>
    <definedName name="sttcn3sal1">[7]Parameters!$E$289</definedName>
    <definedName name="sttcn4">[7]Parameters!$A$290</definedName>
    <definedName name="sttcn4co">[7]Parameters!$G$290</definedName>
    <definedName name="sttcn4name">[7]Parameters!$C$290</definedName>
    <definedName name="sttcn4sal1">[7]Parameters!$E$290</definedName>
    <definedName name="sttcn5">[7]Parameters!$A$291</definedName>
    <definedName name="sttcn5co">[7]Parameters!$G$291</definedName>
    <definedName name="sttcn5name">[7]Parameters!$C$291</definedName>
    <definedName name="sttcn5sal1">[7]Parameters!$E$291</definedName>
    <definedName name="sttcn6">[7]Parameters!$A$292</definedName>
    <definedName name="sttcn6co">[7]Parameters!$G$292</definedName>
    <definedName name="sttcn6name">[7]Parameters!$C$292</definedName>
    <definedName name="sttcn6sal1">[7]Parameters!$E$292</definedName>
    <definedName name="sttcn7">[7]Parameters!$A$293</definedName>
    <definedName name="sttcn7co">[7]Parameters!$G$293</definedName>
    <definedName name="sttcn7name">[7]Parameters!$C$293</definedName>
    <definedName name="sttcn7sal1">[7]Parameters!$E$293</definedName>
    <definedName name="sttcn8">[7]Parameters!$A$294</definedName>
    <definedName name="sttcn8co">[7]Parameters!$G$294</definedName>
    <definedName name="sttcn8name">[7]Parameters!$C$294</definedName>
    <definedName name="sttcn8sal1">[7]Parameters!$E$294</definedName>
    <definedName name="sttcn9">[7]Parameters!$A$295</definedName>
    <definedName name="sttcn9co">[7]Parameters!$G$295</definedName>
    <definedName name="sttcn9name">[7]Parameters!$C$295</definedName>
    <definedName name="sttcn9sal1">[7]Parameters!$E$295</definedName>
    <definedName name="sttcnjob1">[7]Parameters!$I$287</definedName>
    <definedName name="sttcnjob10">[7]Parameters!$I$296</definedName>
    <definedName name="sttcnjob2">[7]Parameters!$I$288</definedName>
    <definedName name="sttcnjob3">[7]Parameters!$I$289</definedName>
    <definedName name="sttcnjob4">[7]Parameters!$I$290</definedName>
    <definedName name="sttcnjob5">[7]Parameters!$I$291</definedName>
    <definedName name="sttcnjob6">[7]Parameters!$I$292</definedName>
    <definedName name="sttcnjob7">[7]Parameters!$I$293</definedName>
    <definedName name="sttcnjob8">[7]Parameters!$I$294</definedName>
    <definedName name="sttcnjob9">[7]Parameters!$I$295</definedName>
    <definedName name="sttrip">[5]Parameters!$D$29</definedName>
    <definedName name="Sttripfactor">[13]Sheet1!$C$18</definedName>
    <definedName name="stus">[7]Parameters!$A$207</definedName>
    <definedName name="stus1">[7]Parameters!$A$209</definedName>
    <definedName name="stus10">[7]Parameters!$A$218</definedName>
    <definedName name="stus10co">[7]Parameters!$G$218</definedName>
    <definedName name="stus10name">[7]Parameters!$C$218</definedName>
    <definedName name="stus10sal1">[7]Parameters!$E$218</definedName>
    <definedName name="stus11">[7]Parameters!$A$219</definedName>
    <definedName name="stus12">[7]Parameters!$A$220</definedName>
    <definedName name="stus13">[7]Parameters!$A$221</definedName>
    <definedName name="stus14">[7]Parameters!$A$222</definedName>
    <definedName name="stus15">[7]Parameters!$A$223</definedName>
    <definedName name="stus16">[7]Parameters!$A$224</definedName>
    <definedName name="stus17">[7]Parameters!$A$225</definedName>
    <definedName name="stus18">[7]Parameters!$A$226</definedName>
    <definedName name="stus19">[7]Parameters!$A$227</definedName>
    <definedName name="stus1co">[7]Parameters!$G$209</definedName>
    <definedName name="stus1name">[7]Parameters!$C$209</definedName>
    <definedName name="stus1sal1">[7]Parameters!$E$209</definedName>
    <definedName name="stus2">[7]Parameters!$A$210</definedName>
    <definedName name="stus20">[7]Parameters!$A$228</definedName>
    <definedName name="stus21">[7]Parameters!$A$229</definedName>
    <definedName name="stus22">[7]Parameters!$A$230</definedName>
    <definedName name="stus23">[7]Parameters!$A$231</definedName>
    <definedName name="stus24">[7]Parameters!$A$232</definedName>
    <definedName name="stus25">[7]Parameters!$A$233</definedName>
    <definedName name="stus26">[7]Parameters!$A$234</definedName>
    <definedName name="stus27">[7]Parameters!$A$235</definedName>
    <definedName name="stus28">[7]Parameters!$A$236</definedName>
    <definedName name="stus29">[7]Parameters!$A$237</definedName>
    <definedName name="stus2co">[7]Parameters!$G$210</definedName>
    <definedName name="stus2name">[7]Parameters!$C$210</definedName>
    <definedName name="stus2sal1">[7]Parameters!$E$210</definedName>
    <definedName name="stus3">[7]Parameters!$A$211</definedName>
    <definedName name="stus30">[7]Parameters!$A$238</definedName>
    <definedName name="stus31">[7]Parameters!$A$239</definedName>
    <definedName name="stus32">[7]Parameters!$A$240</definedName>
    <definedName name="stus33">[7]Parameters!$A$241</definedName>
    <definedName name="stus34">[7]Parameters!$A$242</definedName>
    <definedName name="stus35">[7]Parameters!$A$243</definedName>
    <definedName name="stus36">[7]Parameters!$A$244</definedName>
    <definedName name="stus37">[7]Parameters!$A$245</definedName>
    <definedName name="stus38">[7]Parameters!$A$246</definedName>
    <definedName name="stus39">[7]Parameters!$A$247</definedName>
    <definedName name="stus3co">[7]Parameters!$G$211</definedName>
    <definedName name="stus3name">[7]Parameters!$C$211</definedName>
    <definedName name="stus3sal1">[7]Parameters!$E$211</definedName>
    <definedName name="stus4">[7]Parameters!$A$212</definedName>
    <definedName name="stus40">[7]Parameters!$A$248</definedName>
    <definedName name="stus41">[7]Parameters!$A$249</definedName>
    <definedName name="stus42">[7]Parameters!$A$250</definedName>
    <definedName name="stus43">[7]Parameters!$A$251</definedName>
    <definedName name="stus44">[7]Parameters!$A$252</definedName>
    <definedName name="stus45">[7]Parameters!$A$253</definedName>
    <definedName name="stus46">[7]Parameters!$A$254</definedName>
    <definedName name="stus47">[7]Parameters!$A$255</definedName>
    <definedName name="stus48">[7]Parameters!$A$256</definedName>
    <definedName name="stus49">[7]Parameters!$A$257</definedName>
    <definedName name="stus4co">[7]Parameters!$G$212</definedName>
    <definedName name="stus4name">[7]Parameters!$C$212</definedName>
    <definedName name="stus4sal1">[7]Parameters!$E$212</definedName>
    <definedName name="stus5">[7]Parameters!$A$213</definedName>
    <definedName name="stus50">[7]Parameters!$A$258</definedName>
    <definedName name="stus51">[7]Parameters!$A$259</definedName>
    <definedName name="stus52">[7]Parameters!$A$260</definedName>
    <definedName name="stus53">[7]Parameters!$A$261</definedName>
    <definedName name="stus54">[7]Parameters!$A$262</definedName>
    <definedName name="stus55">[7]Parameters!$A$263</definedName>
    <definedName name="stus56">[7]Parameters!$A$264</definedName>
    <definedName name="stus57">[7]Parameters!$A$265</definedName>
    <definedName name="stus58">[7]Parameters!$A$266</definedName>
    <definedName name="stus59">[7]Parameters!$A$267</definedName>
    <definedName name="stus5co">[7]Parameters!$G$213</definedName>
    <definedName name="stus5name">[7]Parameters!$C$213</definedName>
    <definedName name="stus5sal1">[7]Parameters!$E$213</definedName>
    <definedName name="stus6">[7]Parameters!$A$214</definedName>
    <definedName name="stus60">[7]Parameters!$A$268</definedName>
    <definedName name="stus61">[7]Parameters!$A$269</definedName>
    <definedName name="stus62">[7]Parameters!$A$270</definedName>
    <definedName name="stus63">[7]Parameters!$A$271</definedName>
    <definedName name="stus64">[7]Parameters!$A$272</definedName>
    <definedName name="stus65">[7]Parameters!$A$273</definedName>
    <definedName name="stus66">[7]Parameters!$A$274</definedName>
    <definedName name="stus67">[7]Parameters!$A$275</definedName>
    <definedName name="stus68">[7]Parameters!$A$276</definedName>
    <definedName name="stus69">[7]Parameters!$A$277</definedName>
    <definedName name="stus6co">[7]Parameters!$G$214</definedName>
    <definedName name="stus6name">[7]Parameters!$C$214</definedName>
    <definedName name="stus6sal1">[7]Parameters!$E$214</definedName>
    <definedName name="stus7">[7]Parameters!$A$215</definedName>
    <definedName name="stus70">[7]Parameters!$A$278</definedName>
    <definedName name="stus71">[7]Parameters!$A$279</definedName>
    <definedName name="stus72">[7]Parameters!$A$280</definedName>
    <definedName name="stus73">[7]Parameters!$A$281</definedName>
    <definedName name="stus74">[7]Parameters!$A$282</definedName>
    <definedName name="stus75">[7]Parameters!$A$283</definedName>
    <definedName name="stus7co">[7]Parameters!$G$215</definedName>
    <definedName name="stus7name">[7]Parameters!$C$215</definedName>
    <definedName name="stus7sal1">[7]Parameters!$E$215</definedName>
    <definedName name="stus8">[7]Parameters!$A$216</definedName>
    <definedName name="stus8co">[7]Parameters!$G$216</definedName>
    <definedName name="stus8name">[7]Parameters!$C$216</definedName>
    <definedName name="stus8sal1">[7]Parameters!$E$216</definedName>
    <definedName name="stus9">[7]Parameters!$A$217</definedName>
    <definedName name="stus9co">[7]Parameters!$G$217</definedName>
    <definedName name="stus9name">[7]Parameters!$C$217</definedName>
    <definedName name="stus9sal1">[7]Parameters!$E$217</definedName>
    <definedName name="stusco11">[7]Parameters!$G$219</definedName>
    <definedName name="stusco12">[7]Parameters!$G$220</definedName>
    <definedName name="stusco13">[7]Parameters!$G$221</definedName>
    <definedName name="stusco14">[7]Parameters!$G$222</definedName>
    <definedName name="stusco15">[7]Parameters!$G$223</definedName>
    <definedName name="stusco16">[7]Parameters!$G$224</definedName>
    <definedName name="stusco17">[7]Parameters!$G$225</definedName>
    <definedName name="stusco18">[7]Parameters!$G$226</definedName>
    <definedName name="stusco19">[7]Parameters!$G$227</definedName>
    <definedName name="stusco20">[7]Parameters!$G$228</definedName>
    <definedName name="stusco21">[7]Parameters!$G$229</definedName>
    <definedName name="stusco22">[7]Parameters!$G$230</definedName>
    <definedName name="stusco23">[7]Parameters!$G$231</definedName>
    <definedName name="stusco24">[7]Parameters!$G$232</definedName>
    <definedName name="stusco25">[7]Parameters!$G$233</definedName>
    <definedName name="stusco26">[7]Parameters!$G$234</definedName>
    <definedName name="stusco27">[7]Parameters!$G$235</definedName>
    <definedName name="stusco28">[7]Parameters!$G$236</definedName>
    <definedName name="stusco29">[7]Parameters!$G$237</definedName>
    <definedName name="stusco30">[7]Parameters!$G$238</definedName>
    <definedName name="stusco31">[7]Parameters!$G$239</definedName>
    <definedName name="stusco32">[7]Parameters!$G$240</definedName>
    <definedName name="stusco33">[7]Parameters!$G$241</definedName>
    <definedName name="stusco34">[7]Parameters!$G$242</definedName>
    <definedName name="stusco35">[7]Parameters!$G$243</definedName>
    <definedName name="stusco36">[7]Parameters!$G$244</definedName>
    <definedName name="stusco37">[7]Parameters!$G$245</definedName>
    <definedName name="stusco38">[7]Parameters!$G$246</definedName>
    <definedName name="stusco39">[7]Parameters!$G$247</definedName>
    <definedName name="stusco40">[7]Parameters!$G$248</definedName>
    <definedName name="stusco41">[7]Parameters!$G$249</definedName>
    <definedName name="stusco42">[7]Parameters!$G$250</definedName>
    <definedName name="stusco43">[7]Parameters!$G$251</definedName>
    <definedName name="stusco44">[7]Parameters!$G$252</definedName>
    <definedName name="stusco45">[7]Parameters!$G$253</definedName>
    <definedName name="stusco46">[7]Parameters!$G$254</definedName>
    <definedName name="stusco47">[7]Parameters!$G$255</definedName>
    <definedName name="stusco48">[7]Parameters!$G$256</definedName>
    <definedName name="stusco49">[7]Parameters!$G$257</definedName>
    <definedName name="stusco50">[7]Parameters!$G$258</definedName>
    <definedName name="stusco51">[7]Parameters!$G$259</definedName>
    <definedName name="stusco52">[7]Parameters!$G$260</definedName>
    <definedName name="stusco53">[7]Parameters!$G$261</definedName>
    <definedName name="stusco54">[7]Parameters!$G$262</definedName>
    <definedName name="stusco55">[7]Parameters!$G$263</definedName>
    <definedName name="stusco56">[7]Parameters!$G$264</definedName>
    <definedName name="stusco57">[7]Parameters!$G$265</definedName>
    <definedName name="stusco58">[7]Parameters!$G$266</definedName>
    <definedName name="stusco59">[7]Parameters!$G$267</definedName>
    <definedName name="stusco60">[7]Parameters!$G$268</definedName>
    <definedName name="stusco61">[7]Parameters!$G$269</definedName>
    <definedName name="stusco62">[7]Parameters!$G$270</definedName>
    <definedName name="stusco63">[7]Parameters!$G$271</definedName>
    <definedName name="stusco64">[7]Parameters!$G$272</definedName>
    <definedName name="stusco65">[7]Parameters!$G$273</definedName>
    <definedName name="stusco66">[7]Parameters!$G$274</definedName>
    <definedName name="stusco67">[7]Parameters!$G$275</definedName>
    <definedName name="stusco68">[7]Parameters!$G$276</definedName>
    <definedName name="stusco69">[7]Parameters!$G$277</definedName>
    <definedName name="stusco70">[7]Parameters!$G$278</definedName>
    <definedName name="stusco71">[7]Parameters!$G$279</definedName>
    <definedName name="stusco72">[7]Parameters!$G$280</definedName>
    <definedName name="stusco73">[7]Parameters!$G$281</definedName>
    <definedName name="stusco74">[7]Parameters!$G$282</definedName>
    <definedName name="stusco75">[7]Parameters!$G$283</definedName>
    <definedName name="stusjob1">[7]Parameters!$I$209</definedName>
    <definedName name="stusjob10">[7]Parameters!$I$218</definedName>
    <definedName name="stusjob11">[7]Parameters!$I$219</definedName>
    <definedName name="stusjob12">[7]Parameters!$I$220</definedName>
    <definedName name="stusjob13">[7]Parameters!$I$221</definedName>
    <definedName name="stusjob14">[7]Parameters!$I$222</definedName>
    <definedName name="stusjob15">[7]Parameters!$I$223</definedName>
    <definedName name="stusjob16">[7]Parameters!$I$224</definedName>
    <definedName name="stusjob17">[7]Parameters!$I$225</definedName>
    <definedName name="stusjob18">[7]Parameters!$I$226</definedName>
    <definedName name="stusjob19">[7]Parameters!$I$227</definedName>
    <definedName name="stusjob2">[7]Parameters!$I$210</definedName>
    <definedName name="stusjob20">[7]Parameters!$I$228</definedName>
    <definedName name="stusjob21">[7]Parameters!$I$229</definedName>
    <definedName name="stusjob22">[7]Parameters!$I$230</definedName>
    <definedName name="stusjob23">[7]Parameters!$I$231</definedName>
    <definedName name="stusjob24">[7]Parameters!$I$232</definedName>
    <definedName name="stusjob25">[7]Parameters!$I$233</definedName>
    <definedName name="stusjob26">[7]Parameters!$I$234</definedName>
    <definedName name="stusjob27">[7]Parameters!$I$235</definedName>
    <definedName name="stusjob28">[7]Parameters!$I$236</definedName>
    <definedName name="stusjob29">[7]Parameters!$I$237</definedName>
    <definedName name="stusjob3">[7]Parameters!$I$211</definedName>
    <definedName name="stusjob30">[7]Parameters!$I$238</definedName>
    <definedName name="stusjob31">[7]Parameters!$I$239</definedName>
    <definedName name="stusjob32">[7]Parameters!$I$240</definedName>
    <definedName name="stusjob33">[7]Parameters!$I$241</definedName>
    <definedName name="stusjob34">[7]Parameters!$I$242</definedName>
    <definedName name="stusjob35">[7]Parameters!$I$243</definedName>
    <definedName name="stusjob36">[7]Parameters!$I$244</definedName>
    <definedName name="stusjob37">[7]Parameters!$I$245</definedName>
    <definedName name="stusjob38">[7]Parameters!$I$246</definedName>
    <definedName name="stusjob39">[7]Parameters!$I$247</definedName>
    <definedName name="stusjob4">[7]Parameters!$I$212</definedName>
    <definedName name="stusjob40">[7]Parameters!$I$248</definedName>
    <definedName name="stusjob41">[7]Parameters!$I$249</definedName>
    <definedName name="stusjob42">[7]Parameters!$I$250</definedName>
    <definedName name="stusjob43">[7]Parameters!$I$251</definedName>
    <definedName name="stusjob44">[7]Parameters!$I$252</definedName>
    <definedName name="stusjob45">[7]Parameters!$I$253</definedName>
    <definedName name="stusjob46">[7]Parameters!$I$254</definedName>
    <definedName name="stusjob47">[7]Parameters!$I$255</definedName>
    <definedName name="stusjob48">[7]Parameters!$I$256</definedName>
    <definedName name="stusjob49">[7]Parameters!$I$257</definedName>
    <definedName name="stusjob5">[7]Parameters!$I$213</definedName>
    <definedName name="stusjob51">[7]Parameters!$I$259</definedName>
    <definedName name="stusjob52">[7]Parameters!$I$260</definedName>
    <definedName name="stusjob53">[7]Parameters!$I$261</definedName>
    <definedName name="stusjob54">[7]Parameters!$I$262</definedName>
    <definedName name="stusjob55">[7]Parameters!$I$263</definedName>
    <definedName name="stusjob56">[7]Parameters!$I$264</definedName>
    <definedName name="stusjob57">[7]Parameters!$I$265</definedName>
    <definedName name="stusjob58">[7]Parameters!$I$266</definedName>
    <definedName name="stusjob59">[7]Parameters!$I$267</definedName>
    <definedName name="stusjob6">[7]Parameters!$I$214</definedName>
    <definedName name="stusjob60">[7]Parameters!$I$268</definedName>
    <definedName name="stusjob61">[7]Parameters!$I$269</definedName>
    <definedName name="stusjob62">[7]Parameters!$I$270</definedName>
    <definedName name="stusjob63">[7]Parameters!$I$271</definedName>
    <definedName name="stusjob64">[7]Parameters!$I$272</definedName>
    <definedName name="stusjob65">[7]Parameters!$I$273</definedName>
    <definedName name="stusjob66">[7]Parameters!$I$274</definedName>
    <definedName name="stusjob67">[7]Parameters!$I$275</definedName>
    <definedName name="stusjob68">[7]Parameters!$I$276</definedName>
    <definedName name="stusjob69">[7]Parameters!$I$277</definedName>
    <definedName name="stusjob7">[7]Parameters!$I$215</definedName>
    <definedName name="stusjob70">[7]Parameters!$I$278</definedName>
    <definedName name="stusjob71">[7]Parameters!$I$279</definedName>
    <definedName name="stusjob72">[7]Parameters!$I$280</definedName>
    <definedName name="stusjob73">[7]Parameters!$I$281</definedName>
    <definedName name="stusjob74">[7]Parameters!$I$282</definedName>
    <definedName name="stusjob75">[7]Parameters!$I$283</definedName>
    <definedName name="stusjob8">[7]Parameters!$I$216</definedName>
    <definedName name="stusjob9">[7]Parameters!$I$217</definedName>
    <definedName name="stusname11">[7]Parameters!$C$219</definedName>
    <definedName name="stusname12">[7]Parameters!$C$220</definedName>
    <definedName name="stusname13">[7]Parameters!$C$221</definedName>
    <definedName name="stusname14">[7]Parameters!$C$222</definedName>
    <definedName name="stusname15">[7]Parameters!$C$223</definedName>
    <definedName name="stusname16">[7]Parameters!$C$224</definedName>
    <definedName name="stusname17">[7]Parameters!$C$225</definedName>
    <definedName name="stusname18">[7]Parameters!$C$226</definedName>
    <definedName name="stusname19">[7]Parameters!$C$227</definedName>
    <definedName name="stusname20">[7]Parameters!$C$228</definedName>
    <definedName name="stusname21">[7]Parameters!$C$229</definedName>
    <definedName name="stusname22">[7]Parameters!$C$230</definedName>
    <definedName name="stusname23">[7]Parameters!$C$231</definedName>
    <definedName name="stusname24">[7]Parameters!$C$232</definedName>
    <definedName name="stusname25">[7]Parameters!$C$233</definedName>
    <definedName name="stusname26">[7]Parameters!$C$234</definedName>
    <definedName name="stusname27">[7]Parameters!$C$235</definedName>
    <definedName name="stusname28">[7]Parameters!$C$236</definedName>
    <definedName name="stusname29">[7]Parameters!$C$237</definedName>
    <definedName name="stusname30">[7]Parameters!$C$238</definedName>
    <definedName name="stusname31">[7]Parameters!$C$239</definedName>
    <definedName name="stusname32">[7]Parameters!$C$240</definedName>
    <definedName name="stusname33">[7]Parameters!$C$241</definedName>
    <definedName name="stusname34">[7]Parameters!$C$242</definedName>
    <definedName name="stusname35">[7]Parameters!$C$243</definedName>
    <definedName name="stusname36">[7]Parameters!$C$244</definedName>
    <definedName name="stusname37">[7]Parameters!$C$245</definedName>
    <definedName name="stusname38">[7]Parameters!$C$246</definedName>
    <definedName name="stusname39">[7]Parameters!$C$247</definedName>
    <definedName name="stusname40">[7]Parameters!$C$248</definedName>
    <definedName name="stusname41">[7]Parameters!$C$249</definedName>
    <definedName name="stusname42">[7]Parameters!$C$250</definedName>
    <definedName name="stusname43">[7]Parameters!$C$251</definedName>
    <definedName name="stusname44">[7]Parameters!$C$252</definedName>
    <definedName name="stusname45">[7]Parameters!$C$253</definedName>
    <definedName name="stusname46">[7]Parameters!$C$254</definedName>
    <definedName name="stusname47">[7]Parameters!$C$255</definedName>
    <definedName name="stusname48">[7]Parameters!$C$256</definedName>
    <definedName name="stusname49">[7]Parameters!$C$257</definedName>
    <definedName name="stusname50">[7]Parameters!$C$258</definedName>
    <definedName name="stusname51">[7]Parameters!$C$259</definedName>
    <definedName name="stusname52">[7]Parameters!$C$260</definedName>
    <definedName name="stusname53">[7]Parameters!$C$261</definedName>
    <definedName name="stusname54">[7]Parameters!$C$262</definedName>
    <definedName name="stusname55">[7]Parameters!$C$263</definedName>
    <definedName name="stusname56">[7]Parameters!$C$264</definedName>
    <definedName name="stusname57">[7]Parameters!$C$265</definedName>
    <definedName name="stusname58">[7]Parameters!$C$266</definedName>
    <definedName name="stusname59">[7]Parameters!$C$267</definedName>
    <definedName name="stusname60">[7]Parameters!$C$268</definedName>
    <definedName name="stusname61">[7]Parameters!$C$269</definedName>
    <definedName name="stusname62">[7]Parameters!$C$270</definedName>
    <definedName name="stusname63">[7]Parameters!$C$271</definedName>
    <definedName name="stusname64">[7]Parameters!$C$272</definedName>
    <definedName name="stusname65">[7]Parameters!$C$273</definedName>
    <definedName name="stusname66">[7]Parameters!$C$274</definedName>
    <definedName name="stusname67">[7]Parameters!$C$275</definedName>
    <definedName name="stusname68">[7]Parameters!$C$276</definedName>
    <definedName name="stusname69">[7]Parameters!$C$277</definedName>
    <definedName name="stusname70">[7]Parameters!$C$278</definedName>
    <definedName name="stusname71">[7]Parameters!$C$279</definedName>
    <definedName name="stusname72">[7]Parameters!$C$280</definedName>
    <definedName name="stusname73">[7]Parameters!$C$281</definedName>
    <definedName name="stusname74">[7]Parameters!$C$282</definedName>
    <definedName name="stusname75">[7]Parameters!$C$283</definedName>
    <definedName name="stussal11">[7]Parameters!$E$219</definedName>
    <definedName name="stussal12">[7]Parameters!$E$220</definedName>
    <definedName name="stussal13">[7]Parameters!$E$221</definedName>
    <definedName name="stussal14">[7]Parameters!$E$222</definedName>
    <definedName name="stussal15">[7]Parameters!$E$223</definedName>
    <definedName name="stussal16">[7]Parameters!$E$224</definedName>
    <definedName name="stussal17">[7]Parameters!$E$225</definedName>
    <definedName name="stussal18">[7]Parameters!$E$226</definedName>
    <definedName name="stussal19">[7]Parameters!$E$227</definedName>
    <definedName name="stussal20">[7]Parameters!$E$228</definedName>
    <definedName name="stussal21">[7]Parameters!$E$229</definedName>
    <definedName name="stussal22">[7]Parameters!$E$230</definedName>
    <definedName name="stussal23">[7]Parameters!$E$231</definedName>
    <definedName name="stussal24">[7]Parameters!$E$232</definedName>
    <definedName name="stussal25">[7]Parameters!$E$233</definedName>
    <definedName name="stussal26">[7]Parameters!$E$234</definedName>
    <definedName name="stussal27">[7]Parameters!$E$235</definedName>
    <definedName name="stussal28">[7]Parameters!$E$236</definedName>
    <definedName name="stussal29">[7]Parameters!$E$237</definedName>
    <definedName name="stussal30">[7]Parameters!$E$238</definedName>
    <definedName name="stussal31">[7]Parameters!$E$239</definedName>
    <definedName name="stussal32">[7]Parameters!$E$240</definedName>
    <definedName name="stussal33">[7]Parameters!$E$241</definedName>
    <definedName name="stussal34">[7]Parameters!$E$242</definedName>
    <definedName name="stussal35">[7]Parameters!$E$243</definedName>
    <definedName name="stussal36">[7]Parameters!$E$244</definedName>
    <definedName name="stussal37">[7]Parameters!$E$245</definedName>
    <definedName name="stussal38">[7]Parameters!$E$246</definedName>
    <definedName name="stussal39">[7]Parameters!$E$247</definedName>
    <definedName name="stussal40">[7]Parameters!$E$248</definedName>
    <definedName name="stussal41">[7]Parameters!$E$249</definedName>
    <definedName name="stussal42">[7]Parameters!$E$250</definedName>
    <definedName name="stussal43">[7]Parameters!$E$251</definedName>
    <definedName name="stussal44">[7]Parameters!$E$252</definedName>
    <definedName name="stussal45">[7]Parameters!$E$253</definedName>
    <definedName name="stussal46">[7]Parameters!$E$254</definedName>
    <definedName name="stussal47">[7]Parameters!$E$255</definedName>
    <definedName name="stussal48">[7]Parameters!$E$256</definedName>
    <definedName name="stussal49">[7]Parameters!$E$257</definedName>
    <definedName name="stussal50">[7]Parameters!$E$258</definedName>
    <definedName name="stussal51">[7]Parameters!$E$259</definedName>
    <definedName name="stussal52">[7]Parameters!$E$260</definedName>
    <definedName name="stussal53">[7]Parameters!$E$261</definedName>
    <definedName name="stussal54">[7]Parameters!$E$262</definedName>
    <definedName name="stussal55">[7]Parameters!$E$263</definedName>
    <definedName name="stussal56">[7]Parameters!$E$264</definedName>
    <definedName name="stussal57">[7]Parameters!$E$265</definedName>
    <definedName name="stussal58">[7]Parameters!$E$266</definedName>
    <definedName name="stussal59">[7]Parameters!$E$267</definedName>
    <definedName name="stussal60">[7]Parameters!$E$268</definedName>
    <definedName name="stussal61">[7]Parameters!$E$269</definedName>
    <definedName name="stussal62">[7]Parameters!$E$270</definedName>
    <definedName name="stussal63">[7]Parameters!$E$271</definedName>
    <definedName name="stussal64">[7]Parameters!$E$272</definedName>
    <definedName name="stussal65">[7]Parameters!$E$273</definedName>
    <definedName name="stussal66">[7]Parameters!$E$274</definedName>
    <definedName name="stussal67">[7]Parameters!$E$275</definedName>
    <definedName name="stussal68">[7]Parameters!$E$276</definedName>
    <definedName name="stussal69">[7]Parameters!$E$277</definedName>
    <definedName name="stussal70">[7]Parameters!$E$278</definedName>
    <definedName name="stussal71">[7]Parameters!$E$279</definedName>
    <definedName name="stussal72">[7]Parameters!$E$280</definedName>
    <definedName name="stussal73">[7]Parameters!$E$281</definedName>
    <definedName name="stussal74">[7]Parameters!$E$282</definedName>
    <definedName name="stussal75">[7]Parameters!$E$283</definedName>
    <definedName name="Sub">[11]RATES!#REF!</definedName>
    <definedName name="sub10fee">[7]Parameters!$V$497</definedName>
    <definedName name="sub10fringeexp">[7]Parameters!$V$486</definedName>
    <definedName name="sub10fringeloc">[7]Parameters!$V$487</definedName>
    <definedName name="sub10ga">[7]Parameters!$V$494</definedName>
    <definedName name="sub10ohfo">[7]Parameters!$V$491</definedName>
    <definedName name="sub1name">[7]Parameters!$B$17</definedName>
    <definedName name="sub2name">[7]Parameters!$B$18</definedName>
    <definedName name="sub3name">[7]Parameters!$B$19</definedName>
    <definedName name="sub4name">[7]Parameters!$B$20</definedName>
    <definedName name="sub5name">[7]Parameters!$B$21</definedName>
    <definedName name="SUBCONTRACOR_IDs">#REF!</definedName>
    <definedName name="subcontractor">#REF!</definedName>
    <definedName name="subfee">#REF!</definedName>
    <definedName name="subho">[7]Parameters!$A$455</definedName>
    <definedName name="subho1">[7]Parameters!$A$457</definedName>
    <definedName name="subho10">[7]Parameters!$A$466</definedName>
    <definedName name="subho10co">[7]Parameters!$G$466</definedName>
    <definedName name="subho10name">[7]Parameters!$C$466</definedName>
    <definedName name="subho10sal1">[7]Parameters!$E$466</definedName>
    <definedName name="subho1co">[7]Parameters!$G$457</definedName>
    <definedName name="subho1name">[7]Parameters!$C$457</definedName>
    <definedName name="subho1sal1">[7]Parameters!$E$457</definedName>
    <definedName name="subho2">[7]Parameters!$A$458</definedName>
    <definedName name="subho2co">[7]Parameters!$G$458</definedName>
    <definedName name="subho2name">[7]Parameters!$C$458</definedName>
    <definedName name="subho2sal1">[7]Parameters!$E$458</definedName>
    <definedName name="subho3">[7]Parameters!$A$459</definedName>
    <definedName name="subho3co">[7]Parameters!$G$459</definedName>
    <definedName name="subho3name">[7]Parameters!$C$459</definedName>
    <definedName name="subho3sal1">[7]Parameters!$E$459</definedName>
    <definedName name="subho4">[7]Parameters!$A$460</definedName>
    <definedName name="subho4co">[7]Parameters!$G$460</definedName>
    <definedName name="subho4name">[7]Parameters!$C$460</definedName>
    <definedName name="subho4sal1">[7]Parameters!$E$460</definedName>
    <definedName name="subho5">[7]Parameters!$A$461</definedName>
    <definedName name="subho5co">[7]Parameters!$G$461</definedName>
    <definedName name="subho5name">[7]Parameters!$C$461</definedName>
    <definedName name="subho5sal1">[7]Parameters!$E$461</definedName>
    <definedName name="subho6">[7]Parameters!$A$462</definedName>
    <definedName name="subho6co">[7]Parameters!$G$462</definedName>
    <definedName name="subho6name">[7]Parameters!$C$462</definedName>
    <definedName name="subho6sal1">[7]Parameters!$E$462</definedName>
    <definedName name="subho7">[7]Parameters!$A$463</definedName>
    <definedName name="subho7co">[7]Parameters!$G$463</definedName>
    <definedName name="subho7name">[7]Parameters!$C$463</definedName>
    <definedName name="subho7sal1">[7]Parameters!$E$463</definedName>
    <definedName name="subho8">[7]Parameters!$A$464</definedName>
    <definedName name="subho8co">[7]Parameters!$G$464</definedName>
    <definedName name="subho8name">[7]Parameters!$C$464</definedName>
    <definedName name="subho8sal1">[7]Parameters!$E$464</definedName>
    <definedName name="subho9">[7]Parameters!$A$465</definedName>
    <definedName name="subho9co">[7]Parameters!$G$465</definedName>
    <definedName name="subho9name">[7]Parameters!$C$465</definedName>
    <definedName name="subho9sal1">[7]Parameters!$E$465</definedName>
    <definedName name="subhojob1">[7]Parameters!$I$457</definedName>
    <definedName name="subhojob10">[7]Parameters!$I$466</definedName>
    <definedName name="subhojob2">[7]Parameters!$I$458</definedName>
    <definedName name="subhojob3">[7]Parameters!$I$459</definedName>
    <definedName name="subhojob4">[7]Parameters!$I$460</definedName>
    <definedName name="subhojob5">[7]Parameters!$I$461</definedName>
    <definedName name="subhojob6">[7]Parameters!$I$462</definedName>
    <definedName name="subhojob7">[7]Parameters!$I$463</definedName>
    <definedName name="subhojob8">[7]Parameters!$I$464</definedName>
    <definedName name="subhojob9">[7]Parameters!$I$465</definedName>
    <definedName name="submulti">1.09*1.12</definedName>
    <definedName name="subname10">[7]Parameters!$B$26</definedName>
    <definedName name="subname11">[7]Parameters!$B$27</definedName>
    <definedName name="subname12">[7]Parameters!$B$28</definedName>
    <definedName name="subname13">[7]Parameters!$B$29</definedName>
    <definedName name="subname14">[7]Parameters!$B$30</definedName>
    <definedName name="subname15">[7]Parameters!$B$31</definedName>
    <definedName name="subname6">[7]Parameters!$B$22</definedName>
    <definedName name="subname7">[7]Parameters!$B$23</definedName>
    <definedName name="subname8">[7]Parameters!$B$24</definedName>
    <definedName name="subname9">[7]Parameters!$B$25</definedName>
    <definedName name="SUMMARY">#REF!</definedName>
    <definedName name="SUMSHELL">#REF!</definedName>
    <definedName name="SV">[50]Sheet1!$M$3:$M$8</definedName>
    <definedName name="tcn">[7]Parameters!$A$115</definedName>
    <definedName name="TCN_CCN">#REF!</definedName>
    <definedName name="TCN_Fringe">#REF!</definedName>
    <definedName name="tcn10co">[7]Parameters!$G$126</definedName>
    <definedName name="tcn10name">[7]Parameters!$C$126</definedName>
    <definedName name="tcn10sal1">[7]Parameters!$E$126</definedName>
    <definedName name="tcn1co">[7]Parameters!$G$117</definedName>
    <definedName name="tcn1name">[7]Parameters!$C$117</definedName>
    <definedName name="tcn1sal1">[7]Parameters!$E$117</definedName>
    <definedName name="tcn2co">[7]Parameters!$G$118</definedName>
    <definedName name="tcn2name">[7]Parameters!$C$118</definedName>
    <definedName name="tcn2sal1">[7]Parameters!$E$118</definedName>
    <definedName name="tcn3co">[7]Parameters!$G$119</definedName>
    <definedName name="tcn3name">[7]Parameters!$C$119</definedName>
    <definedName name="tcn3sal1">[7]Parameters!$E$119</definedName>
    <definedName name="tcn4co">[7]Parameters!$G$120</definedName>
    <definedName name="tcn4name">[7]Parameters!$C$120</definedName>
    <definedName name="tcn4sal1">[7]Parameters!$E$120</definedName>
    <definedName name="tcn5co">[7]Parameters!$G$121</definedName>
    <definedName name="tcn5name">[7]Parameters!$C$121</definedName>
    <definedName name="tcn5sal1">[7]Parameters!$E$121</definedName>
    <definedName name="tcn6co">[7]Parameters!$G$122</definedName>
    <definedName name="tcn6name">[7]Parameters!$C$122</definedName>
    <definedName name="tcn6sal1">[7]Parameters!$E$122</definedName>
    <definedName name="tcn7co">[7]Parameters!$G$123</definedName>
    <definedName name="tcn7name">[7]Parameters!$C$123</definedName>
    <definedName name="tcn7sal1">[7]Parameters!$E$123</definedName>
    <definedName name="tcn8co">[7]Parameters!$G$124</definedName>
    <definedName name="tcn8name">[7]Parameters!$C$124</definedName>
    <definedName name="tcn8sal1">[7]Parameters!$E$124</definedName>
    <definedName name="tcn9co">[7]Parameters!$G$125</definedName>
    <definedName name="tcn9name">[7]Parameters!$C$125</definedName>
    <definedName name="tcn9sal1">[7]Parameters!$E$125</definedName>
    <definedName name="TCNCCNSTTA_DaysYr1">'[51]B. Local Hire and TCNs'!$I$20</definedName>
    <definedName name="TCNCCNSTTA_DaysYr2">'[51]B. Local Hire and TCNs'!$K$20</definedName>
    <definedName name="TCNCCNSTTA_DaysYr3">'[51]B. Local Hire and TCNs'!$M$20</definedName>
    <definedName name="TCNCCNSTTA_DaysYr4">'[51]B. Local Hire and TCNs'!$O$20</definedName>
    <definedName name="TCNCCNSTTA_DaysYr5">'[51]B. Local Hire and TCNs'!$Q$20</definedName>
    <definedName name="tcnjob1">[7]Parameters!$I$117</definedName>
    <definedName name="tcnjob10">[7]Parameters!$I$126</definedName>
    <definedName name="tcnjob2">[7]Parameters!$I$118</definedName>
    <definedName name="tcnjob3">[7]Parameters!$I$119</definedName>
    <definedName name="tcnjob4">[7]Parameters!$I$120</definedName>
    <definedName name="tcnjob5">[7]Parameters!$I$121</definedName>
    <definedName name="tcnjob6">[7]Parameters!$I$122</definedName>
    <definedName name="tcnjob7">[7]Parameters!$I$123</definedName>
    <definedName name="tcnjob8">[7]Parameters!$I$124</definedName>
    <definedName name="tcnjob9">[7]Parameters!$I$125</definedName>
    <definedName name="Telephone">#REF!</definedName>
    <definedName name="Temp" localSheetId="3" hidden="1">{#N/A,#N/A,FALSE,"ManLoading"}</definedName>
    <definedName name="Temp" localSheetId="4" hidden="1">{#N/A,#N/A,FALSE,"ManLoading"}</definedName>
    <definedName name="Temp" localSheetId="5" hidden="1">{#N/A,#N/A,FALSE,"ManLoading"}</definedName>
    <definedName name="Temp" localSheetId="2" hidden="1">{#N/A,#N/A,FALSE,"ManLoading"}</definedName>
    <definedName name="Temp" localSheetId="6" hidden="1">{#N/A,#N/A,FALSE,"ManLoading"}</definedName>
    <definedName name="Temp" localSheetId="1" hidden="1">{#N/A,#N/A,FALSE,"ManLoading"}</definedName>
    <definedName name="Temp" localSheetId="7" hidden="1">{#N/A,#N/A,FALSE,"ManLoading"}</definedName>
    <definedName name="Temp" hidden="1">{#N/A,#N/A,FALSE,"ManLoading"}</definedName>
    <definedName name="Test">#REF!</definedName>
    <definedName name="Title">[13]Sheet1!$C$15</definedName>
    <definedName name="TOPA">'[52]SF 1411'!#REF!</definedName>
    <definedName name="topost">[5]Parameters!$D$23</definedName>
    <definedName name="totonicapan">#REF!</definedName>
    <definedName name="Trade11">[11]RATES!#REF!</definedName>
    <definedName name="Trade12">[11]RATES!#REF!</definedName>
    <definedName name="Trade13">[11]RATES!#REF!</definedName>
    <definedName name="Trade41">[11]RATES!#REF!</definedName>
    <definedName name="Trade42">[11]RATES!#REF!</definedName>
    <definedName name="Trade43">[11]RATES!#REF!</definedName>
    <definedName name="Trade51">[11]RATES!#REF!</definedName>
    <definedName name="Trade52">[11]RATES!#REF!</definedName>
    <definedName name="Trade53">[11]RATES!#REF!</definedName>
    <definedName name="Transit">#REF!</definedName>
    <definedName name="TRAVEL">#REF!</definedName>
    <definedName name="traveldays">[17]Assumptions!$D$28</definedName>
    <definedName name="TRG">#N/A</definedName>
    <definedName name="TRIPS">#N/A</definedName>
    <definedName name="TRM">#REF!</definedName>
    <definedName name="trsty" localSheetId="3" hidden="1">{"PAGE1",#N/A,FALSE,"CPFFMSTR";"PAGE2",#N/A,FALSE,"CPFFMSTR"}</definedName>
    <definedName name="trsty" localSheetId="4" hidden="1">{"PAGE1",#N/A,FALSE,"CPFFMSTR";"PAGE2",#N/A,FALSE,"CPFFMSTR"}</definedName>
    <definedName name="trsty" localSheetId="5" hidden="1">{"PAGE1",#N/A,FALSE,"CPFFMSTR";"PAGE2",#N/A,FALSE,"CPFFMSTR"}</definedName>
    <definedName name="trsty" localSheetId="2" hidden="1">{"PAGE1",#N/A,FALSE,"CPFFMSTR";"PAGE2",#N/A,FALSE,"CPFFMSTR"}</definedName>
    <definedName name="trsty" localSheetId="6" hidden="1">{"PAGE1",#N/A,FALSE,"CPFFMSTR";"PAGE2",#N/A,FALSE,"CPFFMSTR"}</definedName>
    <definedName name="trsty" localSheetId="1" hidden="1">{"PAGE1",#N/A,FALSE,"CPFFMSTR";"PAGE2",#N/A,FALSE,"CPFFMSTR"}</definedName>
    <definedName name="trsty" localSheetId="7" hidden="1">{"PAGE1",#N/A,FALSE,"CPFFMSTR";"PAGE2",#N/A,FALSE,"CPFFMSTR"}</definedName>
    <definedName name="trsty" hidden="1">{"PAGE1",#N/A,FALSE,"CPFFMSTR";"PAGE2",#N/A,FALSE,"CPFFMSTR"}</definedName>
    <definedName name="Tulaneclin1">#REF!</definedName>
    <definedName name="tulaneclin2">#REF!</definedName>
    <definedName name="tulaneclin3">#REF!</definedName>
    <definedName name="UFFVA">#N/A</definedName>
    <definedName name="ULAB">#N/A</definedName>
    <definedName name="UNITS">#REF!</definedName>
    <definedName name="Unsure" localSheetId="3" hidden="1">{#N/A,#N/A,FALSE,"ManLoading"}</definedName>
    <definedName name="Unsure" localSheetId="4" hidden="1">{#N/A,#N/A,FALSE,"ManLoading"}</definedName>
    <definedName name="Unsure" localSheetId="5" hidden="1">{#N/A,#N/A,FALSE,"ManLoading"}</definedName>
    <definedName name="Unsure" localSheetId="2" hidden="1">{#N/A,#N/A,FALSE,"ManLoading"}</definedName>
    <definedName name="Unsure" localSheetId="6" hidden="1">{#N/A,#N/A,FALSE,"ManLoading"}</definedName>
    <definedName name="Unsure" localSheetId="7" hidden="1">{#N/A,#N/A,FALSE,"ManLoading"}</definedName>
    <definedName name="Unsure" hidden="1">{#N/A,#N/A,FALSE,"ManLoading"}</definedName>
    <definedName name="UODC">#N/A</definedName>
    <definedName name="us">[7]Parameters!$A$37</definedName>
    <definedName name="us10co">[7]Parameters!$G$48</definedName>
    <definedName name="us10name">[7]Parameters!$C$48</definedName>
    <definedName name="us10sal1">[7]Parameters!$E$48</definedName>
    <definedName name="us1co">[7]Parameters!$G$39</definedName>
    <definedName name="us1name">[7]Parameters!$C$39</definedName>
    <definedName name="us1sal1">[7]Parameters!$E$39</definedName>
    <definedName name="us2co">[7]Parameters!$G$40</definedName>
    <definedName name="us2name">[7]Parameters!$C$40</definedName>
    <definedName name="us2sal1">[7]Parameters!$E$40</definedName>
    <definedName name="us3co">[7]Parameters!$G$41</definedName>
    <definedName name="us3name">[7]Parameters!$C$41</definedName>
    <definedName name="us3sal1">[7]Parameters!$E$41</definedName>
    <definedName name="us4co">[7]Parameters!$G$42</definedName>
    <definedName name="us4name">[7]Parameters!$C$42</definedName>
    <definedName name="us4sal1">[7]Parameters!$E$42</definedName>
    <definedName name="us5co">[7]Parameters!$G$43</definedName>
    <definedName name="us5name">[7]Parameters!$C$43</definedName>
    <definedName name="us5sal1">[7]Parameters!$E$43</definedName>
    <definedName name="us6co">[7]Parameters!$G$44</definedName>
    <definedName name="us6name">[7]Parameters!$C$44</definedName>
    <definedName name="us6sal1">[7]Parameters!$E$44</definedName>
    <definedName name="us7co">[7]Parameters!$G$45</definedName>
    <definedName name="us7name">[7]Parameters!$C$45</definedName>
    <definedName name="us7sal1">[7]Parameters!$E$45</definedName>
    <definedName name="us8co">[7]Parameters!$G$46</definedName>
    <definedName name="us8name">[7]Parameters!$C$46</definedName>
    <definedName name="us8sal1">[7]Parameters!$E$46</definedName>
    <definedName name="us9co">[7]Parameters!$G$47</definedName>
    <definedName name="us9name">[7]Parameters!$C$47</definedName>
    <definedName name="us9sal1">[7]Parameters!$E$47</definedName>
    <definedName name="usco11">[7]Parameters!$G$49</definedName>
    <definedName name="usco12">[7]Parameters!$G$50</definedName>
    <definedName name="usco13">[7]Parameters!$G$51</definedName>
    <definedName name="usco14">[7]Parameters!$G$52</definedName>
    <definedName name="usco15">[7]Parameters!$G$53</definedName>
    <definedName name="usco16">[7]Parameters!$G$54</definedName>
    <definedName name="usco17">[7]Parameters!$G$55</definedName>
    <definedName name="usco18">[7]Parameters!$G$56</definedName>
    <definedName name="usco19">[7]Parameters!$G$57</definedName>
    <definedName name="usco20">[7]Parameters!$G$58</definedName>
    <definedName name="usco21">[7]Parameters!$G$59</definedName>
    <definedName name="usco22">[7]Parameters!$G$60</definedName>
    <definedName name="usco23">[7]Parameters!$G$61</definedName>
    <definedName name="usco24">[7]Parameters!$G$62</definedName>
    <definedName name="usco25">[7]Parameters!$G$63</definedName>
    <definedName name="usco26">[7]Parameters!$G$64</definedName>
    <definedName name="usco27">[7]Parameters!$G$65</definedName>
    <definedName name="usco28">[7]Parameters!$G$66</definedName>
    <definedName name="usco29">[7]Parameters!$G$67</definedName>
    <definedName name="usco30">[7]Parameters!$G$68</definedName>
    <definedName name="usco31">[7]Parameters!$G$69</definedName>
    <definedName name="usco32">[7]Parameters!$G$70</definedName>
    <definedName name="usco33">[7]Parameters!$G$71</definedName>
    <definedName name="usco34">[7]Parameters!$G$72</definedName>
    <definedName name="usco35">[7]Parameters!$G$73</definedName>
    <definedName name="usco36">[7]Parameters!$G$74</definedName>
    <definedName name="usco37">[7]Parameters!$G$75</definedName>
    <definedName name="usco38">[7]Parameters!$G$76</definedName>
    <definedName name="usco39">[7]Parameters!$G$77</definedName>
    <definedName name="usco40">[7]Parameters!$G$78</definedName>
    <definedName name="usco41">[7]Parameters!$G$79</definedName>
    <definedName name="usco42">[7]Parameters!$G$80</definedName>
    <definedName name="usco43">[7]Parameters!$G$81</definedName>
    <definedName name="usco44">[7]Parameters!$G$82</definedName>
    <definedName name="usco45">[7]Parameters!$G$83</definedName>
    <definedName name="usco46">[7]Parameters!$G$84</definedName>
    <definedName name="usco47">[7]Parameters!$G$85</definedName>
    <definedName name="usco48">[7]Parameters!$G$86</definedName>
    <definedName name="usco49">[7]Parameters!$G$87</definedName>
    <definedName name="usco50">[7]Parameters!$G$88</definedName>
    <definedName name="usco51">[7]Parameters!$G$89</definedName>
    <definedName name="usco52">[7]Parameters!$G$90</definedName>
    <definedName name="usco53">[7]Parameters!$G$91</definedName>
    <definedName name="usco54">[7]Parameters!$G$92</definedName>
    <definedName name="usco55">[7]Parameters!$G$93</definedName>
    <definedName name="usco56">[7]Parameters!$G$94</definedName>
    <definedName name="usco57">[7]Parameters!$G$95</definedName>
    <definedName name="usco58">[7]Parameters!$G$96</definedName>
    <definedName name="usco59">[7]Parameters!$G$97</definedName>
    <definedName name="usco60">[7]Parameters!$G$98</definedName>
    <definedName name="usco61">[7]Parameters!$G$99</definedName>
    <definedName name="usco62">[7]Parameters!$G$100</definedName>
    <definedName name="usco63">[7]Parameters!$G$101</definedName>
    <definedName name="usco64">[7]Parameters!$G$102</definedName>
    <definedName name="usco65">[7]Parameters!$G$103</definedName>
    <definedName name="usco66">[7]Parameters!$G$104</definedName>
    <definedName name="usco67">[7]Parameters!$G$105</definedName>
    <definedName name="usco68">[7]Parameters!$G$106</definedName>
    <definedName name="usco69">[7]Parameters!$G$107</definedName>
    <definedName name="usco70">[7]Parameters!$G$108</definedName>
    <definedName name="usco71">[7]Parameters!$G$109</definedName>
    <definedName name="usco72">[7]Parameters!$G$110</definedName>
    <definedName name="usco73">[7]Parameters!$G$111</definedName>
    <definedName name="usco74">[7]Parameters!$G$112</definedName>
    <definedName name="usco75">[7]Parameters!$G$113</definedName>
    <definedName name="usd">#REF!</definedName>
    <definedName name="usinf">0.035</definedName>
    <definedName name="usjob1">[7]Parameters!$I$39</definedName>
    <definedName name="usjob10">[7]Parameters!$I$48</definedName>
    <definedName name="usjob11">[7]Parameters!$I$49</definedName>
    <definedName name="usjob12">[7]Parameters!$I$50</definedName>
    <definedName name="usjob13">[7]Parameters!$I$51</definedName>
    <definedName name="usjob14">[7]Parameters!$I$52</definedName>
    <definedName name="usjob15">[7]Parameters!$I$53</definedName>
    <definedName name="usjob16">[7]Parameters!$I$54</definedName>
    <definedName name="usjob17">[7]Parameters!$I$55</definedName>
    <definedName name="usjob18">[7]Parameters!$I$56</definedName>
    <definedName name="usjob19">[7]Parameters!$I$57</definedName>
    <definedName name="usjob2">[7]Parameters!$I$40</definedName>
    <definedName name="usjob20">[7]Parameters!$I$58</definedName>
    <definedName name="usjob21">[7]Parameters!$I$59</definedName>
    <definedName name="usjob22">[7]Parameters!$I$60</definedName>
    <definedName name="usjob23">[7]Parameters!$I$61</definedName>
    <definedName name="usjob24">[7]Parameters!$I$62</definedName>
    <definedName name="usjob25">[7]Parameters!$I$63</definedName>
    <definedName name="usjob26">[7]Parameters!$I$64</definedName>
    <definedName name="usjob27">[7]Parameters!$I$65</definedName>
    <definedName name="usjob28">[7]Parameters!$I$66</definedName>
    <definedName name="usjob29">[7]Parameters!$I$67</definedName>
    <definedName name="usjob3">[7]Parameters!$I$41</definedName>
    <definedName name="usjob30">[7]Parameters!$I$68</definedName>
    <definedName name="usjob31">[7]Parameters!$I$69</definedName>
    <definedName name="usjob32">[7]Parameters!$I$70</definedName>
    <definedName name="usjob33">[7]Parameters!$I$71</definedName>
    <definedName name="usjob34">[7]Parameters!$I$72</definedName>
    <definedName name="usjob35">[7]Parameters!$I$73</definedName>
    <definedName name="usjob36">[7]Parameters!$I$74</definedName>
    <definedName name="usjob37">[7]Parameters!$I$75</definedName>
    <definedName name="usjob38">[7]Parameters!$I$76</definedName>
    <definedName name="usjob39">[7]Parameters!$I$77</definedName>
    <definedName name="usjob4">[7]Parameters!$I$42</definedName>
    <definedName name="usjob40">[7]Parameters!$I$78</definedName>
    <definedName name="usjob41">[7]Parameters!$I$79</definedName>
    <definedName name="usjob42">[7]Parameters!$I$80</definedName>
    <definedName name="usjob43">[7]Parameters!$I$81</definedName>
    <definedName name="usjob44">[7]Parameters!$I$82</definedName>
    <definedName name="usjob45">[7]Parameters!$I$83</definedName>
    <definedName name="usjob46">[7]Parameters!$I$84</definedName>
    <definedName name="usjob47">[7]Parameters!$I$85</definedName>
    <definedName name="usjob48">[7]Parameters!$I$86</definedName>
    <definedName name="usjob49">[7]Parameters!$I$87</definedName>
    <definedName name="usjob5">[7]Parameters!$I$43</definedName>
    <definedName name="usjob50">[7]Parameters!$I$88</definedName>
    <definedName name="usjob51">[7]Parameters!$I$89</definedName>
    <definedName name="usjob52">[7]Parameters!$I$90</definedName>
    <definedName name="usjob53">[7]Parameters!$I$91</definedName>
    <definedName name="usjob54">[7]Parameters!$I$92</definedName>
    <definedName name="usjob55">[7]Parameters!$I$93</definedName>
    <definedName name="usjob56">[7]Parameters!$I$94</definedName>
    <definedName name="usjob57">[7]Parameters!$I$95</definedName>
    <definedName name="usjob58">[7]Parameters!$I$96</definedName>
    <definedName name="usjob59">[7]Parameters!$I$97</definedName>
    <definedName name="usjob6">[7]Parameters!$I$44</definedName>
    <definedName name="usjob60">[7]Parameters!$I$98</definedName>
    <definedName name="usjob61">[7]Parameters!$I$99</definedName>
    <definedName name="usjob62">[7]Parameters!$I$100</definedName>
    <definedName name="usjob63">[7]Parameters!$I$101</definedName>
    <definedName name="usjob64">[7]Parameters!$I$102</definedName>
    <definedName name="usjob65">[7]Parameters!$I$103</definedName>
    <definedName name="usjob66">[7]Parameters!$I$104</definedName>
    <definedName name="usjob67">[7]Parameters!$I$105</definedName>
    <definedName name="usjob68">[7]Parameters!$I$106</definedName>
    <definedName name="usjob69">[7]Parameters!$I$107</definedName>
    <definedName name="usjob7">[7]Parameters!$I$45</definedName>
    <definedName name="usjob70">[7]Parameters!$I$108</definedName>
    <definedName name="usjob71">[7]Parameters!$I$109</definedName>
    <definedName name="usjob72">[7]Parameters!$I$110</definedName>
    <definedName name="usjob73">[7]Parameters!$I$111</definedName>
    <definedName name="usjob74">[7]Parameters!$I$112</definedName>
    <definedName name="usjob75">[7]Parameters!$I$113</definedName>
    <definedName name="usjob8">[7]Parameters!$I$46</definedName>
    <definedName name="usjob9">[7]Parameters!$I$47</definedName>
    <definedName name="usname11">[7]Parameters!$C$49</definedName>
    <definedName name="usname12">[7]Parameters!$C$50</definedName>
    <definedName name="usname13">[7]Parameters!$C$51</definedName>
    <definedName name="usname14">[7]Parameters!$C$52</definedName>
    <definedName name="usname15">[7]Parameters!$C$53</definedName>
    <definedName name="usname16">[7]Parameters!$C$54</definedName>
    <definedName name="usname17">[7]Parameters!$C$55</definedName>
    <definedName name="usname18">[7]Parameters!$C$56</definedName>
    <definedName name="usname19">[7]Parameters!$C$57</definedName>
    <definedName name="usname20">[7]Parameters!$C$58</definedName>
    <definedName name="usname21">[7]Parameters!$C$59</definedName>
    <definedName name="usname22">[7]Parameters!$C$60</definedName>
    <definedName name="usname23">[7]Parameters!$C$61</definedName>
    <definedName name="usname24">[7]Parameters!$C$62</definedName>
    <definedName name="usname25">[7]Parameters!$C$63</definedName>
    <definedName name="usname26">[7]Parameters!$C$64</definedName>
    <definedName name="usname27">[7]Parameters!$C$65</definedName>
    <definedName name="usname28">[7]Parameters!$C$66</definedName>
    <definedName name="usname29">[7]Parameters!$C$67</definedName>
    <definedName name="usname30">[7]Parameters!$C$68</definedName>
    <definedName name="usname31">[7]Parameters!$C$69</definedName>
    <definedName name="usname32">[7]Parameters!$C$70</definedName>
    <definedName name="usname33">[7]Parameters!$C$71</definedName>
    <definedName name="usname34">[7]Parameters!$C$72</definedName>
    <definedName name="usname35">[7]Parameters!$C$73</definedName>
    <definedName name="usname36">[7]Parameters!$C$74</definedName>
    <definedName name="usname37">[7]Parameters!$C$75</definedName>
    <definedName name="usname38">[7]Parameters!$C$76</definedName>
    <definedName name="usname39">[7]Parameters!$C$77</definedName>
    <definedName name="usname40">[7]Parameters!$C$78</definedName>
    <definedName name="usname41">[7]Parameters!$C$79</definedName>
    <definedName name="usname42">[7]Parameters!$C$80</definedName>
    <definedName name="usname43">[7]Parameters!$C$81</definedName>
    <definedName name="usname44">[7]Parameters!$C$82</definedName>
    <definedName name="usname45">[7]Parameters!$C$83</definedName>
    <definedName name="usname46">[7]Parameters!$C$84</definedName>
    <definedName name="usname47">[7]Parameters!$C$85</definedName>
    <definedName name="usname48">[7]Parameters!$C$86</definedName>
    <definedName name="usname49">[7]Parameters!$C$87</definedName>
    <definedName name="usname50">[7]Parameters!$C$88</definedName>
    <definedName name="usname51">[7]Parameters!$C$89</definedName>
    <definedName name="usname52">[7]Parameters!$C$90</definedName>
    <definedName name="usname53">[7]Parameters!$C$91</definedName>
    <definedName name="usname54">[7]Parameters!$C$92</definedName>
    <definedName name="usname55">[7]Parameters!$C$93</definedName>
    <definedName name="usname56">[7]Parameters!$C$94</definedName>
    <definedName name="usname57">[7]Parameters!$C$95</definedName>
    <definedName name="usname58">[7]Parameters!$C$96</definedName>
    <definedName name="usname59">[7]Parameters!$C$97</definedName>
    <definedName name="usname60">[7]Parameters!$C$98</definedName>
    <definedName name="usname61">[7]Parameters!$C$99</definedName>
    <definedName name="usname62">[7]Parameters!$C$100</definedName>
    <definedName name="usname63">[7]Parameters!$C$101</definedName>
    <definedName name="usname64">[7]Parameters!$C$102</definedName>
    <definedName name="usname65">[7]Parameters!$C$103</definedName>
    <definedName name="usname66">[7]Parameters!$C$104</definedName>
    <definedName name="usname67">[7]Parameters!$C$105</definedName>
    <definedName name="usname68">[7]Parameters!$C$106</definedName>
    <definedName name="usname69">[7]Parameters!$C$107</definedName>
    <definedName name="usname70">[7]Parameters!$C$108</definedName>
    <definedName name="usname71">[7]Parameters!$C$109</definedName>
    <definedName name="usname72">[7]Parameters!$C$110</definedName>
    <definedName name="usname73">[7]Parameters!$C$111</definedName>
    <definedName name="usname74">[7]Parameters!$C$112</definedName>
    <definedName name="usname75">[7]Parameters!$C$113</definedName>
    <definedName name="USperdiem">[17]Assumptions!$D$29</definedName>
    <definedName name="ussal11">[7]Parameters!$E$49</definedName>
    <definedName name="ussal12">[7]Parameters!$E$50</definedName>
    <definedName name="ussal13">[7]Parameters!$E$51</definedName>
    <definedName name="ussal14">[7]Parameters!$E$52</definedName>
    <definedName name="ussal15">[7]Parameters!$E$53</definedName>
    <definedName name="ussal16">[7]Parameters!$E$54</definedName>
    <definedName name="ussal17">[7]Parameters!$E$55</definedName>
    <definedName name="ussal18">[7]Parameters!$E$56</definedName>
    <definedName name="ussal19">[7]Parameters!$E$57</definedName>
    <definedName name="ussal20">[7]Parameters!$E$58</definedName>
    <definedName name="ussal21">[7]Parameters!$E$59</definedName>
    <definedName name="ussal22">[7]Parameters!$E$60</definedName>
    <definedName name="ussal23">[7]Parameters!$E$61</definedName>
    <definedName name="ussal24">[7]Parameters!$E$62</definedName>
    <definedName name="ussal25">[7]Parameters!$E$63</definedName>
    <definedName name="ussal26">[7]Parameters!$E$64</definedName>
    <definedName name="ussal27">[7]Parameters!$E$65</definedName>
    <definedName name="ussal28">[7]Parameters!$E$66</definedName>
    <definedName name="ussal29">[7]Parameters!$E$67</definedName>
    <definedName name="ussal30">[7]Parameters!$E$68</definedName>
    <definedName name="ussal31">[7]Parameters!$E$69</definedName>
    <definedName name="ussal32">[7]Parameters!$E$70</definedName>
    <definedName name="ussal33">[7]Parameters!$E$71</definedName>
    <definedName name="ussal34">[7]Parameters!$E$72</definedName>
    <definedName name="ussal35">[7]Parameters!$E$73</definedName>
    <definedName name="ussal36">[7]Parameters!$E$74</definedName>
    <definedName name="ussal37">[7]Parameters!$E$75</definedName>
    <definedName name="ussal38">[7]Parameters!$E$76</definedName>
    <definedName name="ussal39">[7]Parameters!$E$77</definedName>
    <definedName name="ussal40">[7]Parameters!$E$78</definedName>
    <definedName name="ussal41">[7]Parameters!$E$79</definedName>
    <definedName name="ussal42">[7]Parameters!$E$80</definedName>
    <definedName name="ussal43">[7]Parameters!$E$81</definedName>
    <definedName name="ussal44">[7]Parameters!$E$82</definedName>
    <definedName name="ussal45">[7]Parameters!$E$83</definedName>
    <definedName name="ussal46">[7]Parameters!$E$84</definedName>
    <definedName name="ussal47">[7]Parameters!$E$85</definedName>
    <definedName name="ussal48">[7]Parameters!$E$86</definedName>
    <definedName name="ussal49">[7]Parameters!$E$87</definedName>
    <definedName name="ussal50">[7]Parameters!$E$88</definedName>
    <definedName name="ussal51">[7]Parameters!$E$89</definedName>
    <definedName name="ussal52">[7]Parameters!$E$90</definedName>
    <definedName name="ussal53">[7]Parameters!$E$91</definedName>
    <definedName name="ussal54">[7]Parameters!$E$92</definedName>
    <definedName name="ussal55">[7]Parameters!$E$93</definedName>
    <definedName name="ussal56">[7]Parameters!$E$94</definedName>
    <definedName name="ussal57">[7]Parameters!$E$95</definedName>
    <definedName name="ussal58">[7]Parameters!$E$96</definedName>
    <definedName name="ussal59">[7]Parameters!$E$97</definedName>
    <definedName name="ussal60">[7]Parameters!$E$98</definedName>
    <definedName name="ussal61">[7]Parameters!$E$99</definedName>
    <definedName name="ussal62">[7]Parameters!$E$100</definedName>
    <definedName name="ussal63">[7]Parameters!$E$101</definedName>
    <definedName name="ussal64">[7]Parameters!$E$102</definedName>
    <definedName name="ussal65">[7]Parameters!$E$103</definedName>
    <definedName name="ussal66">[7]Parameters!$E$104</definedName>
    <definedName name="ussal67">[7]Parameters!$E$105</definedName>
    <definedName name="ussal68">[7]Parameters!$E$106</definedName>
    <definedName name="ussal69">[7]Parameters!$E$107</definedName>
    <definedName name="ussal70">[7]Parameters!$E$108</definedName>
    <definedName name="ussal71">[7]Parameters!$E$109</definedName>
    <definedName name="ussal72">[7]Parameters!$E$110</definedName>
    <definedName name="ussal73">[7]Parameters!$E$111</definedName>
    <definedName name="ussal74">[7]Parameters!$E$112</definedName>
    <definedName name="ussal75">[7]Parameters!$E$113</definedName>
    <definedName name="ustaxi">[13]Sheet1!$C$35</definedName>
    <definedName name="UTOT">#N/A</definedName>
    <definedName name="Vc_Days">#REF!</definedName>
    <definedName name="WD">#REF!</definedName>
    <definedName name="WDA">#N/A</definedName>
    <definedName name="WERT" localSheetId="3" hidden="1">{"PAGE1",#N/A,FALSE,"CPFFMSTR";"PAGE2",#N/A,FALSE,"CPFFMSTR"}</definedName>
    <definedName name="WERT" localSheetId="4" hidden="1">{"PAGE1",#N/A,FALSE,"CPFFMSTR";"PAGE2",#N/A,FALSE,"CPFFMSTR"}</definedName>
    <definedName name="WERT" localSheetId="5" hidden="1">{"PAGE1",#N/A,FALSE,"CPFFMSTR";"PAGE2",#N/A,FALSE,"CPFFMSTR"}</definedName>
    <definedName name="WERT" localSheetId="2" hidden="1">{"PAGE1",#N/A,FALSE,"CPFFMSTR";"PAGE2",#N/A,FALSE,"CPFFMSTR"}</definedName>
    <definedName name="WERT" localSheetId="6" hidden="1">{"PAGE1",#N/A,FALSE,"CPFFMSTR";"PAGE2",#N/A,FALSE,"CPFFMSTR"}</definedName>
    <definedName name="WERT" localSheetId="1" hidden="1">{"PAGE1",#N/A,FALSE,"CPFFMSTR";"PAGE2",#N/A,FALSE,"CPFFMSTR"}</definedName>
    <definedName name="WERT" localSheetId="7" hidden="1">{"PAGE1",#N/A,FALSE,"CPFFMSTR";"PAGE2",#N/A,FALSE,"CPFFMSTR"}</definedName>
    <definedName name="WERT" hidden="1">{"PAGE1",#N/A,FALSE,"CPFFMSTR";"PAGE2",#N/A,FALSE,"CPFFMSTR"}</definedName>
    <definedName name="Wk_Days">#REF!</definedName>
    <definedName name="workdaysLT">[7]Parameters!$B$509</definedName>
    <definedName name="workdaysST">[7]Parameters!$B$510</definedName>
    <definedName name="Works">#REF!</definedName>
    <definedName name="WORKSHEET">#REF!</definedName>
    <definedName name="WORTH">#N/A</definedName>
    <definedName name="wrn.ACC_Cars_125K_Co1." localSheetId="3" hidden="1">{"ACC_Cars_125K_PA",#N/A,FALSE,"ACC Cars Co1 125K ";"ACC_Cars_125K_Prop",#N/A,FALSE,"ACC Cars Co1 125K "}</definedName>
    <definedName name="wrn.ACC_Cars_125K_Co1." localSheetId="4" hidden="1">{"ACC_Cars_125K_PA",#N/A,FALSE,"ACC Cars Co1 125K ";"ACC_Cars_125K_Prop",#N/A,FALSE,"ACC Cars Co1 125K "}</definedName>
    <definedName name="wrn.ACC_Cars_125K_Co1." localSheetId="5" hidden="1">{"ACC_Cars_125K_PA",#N/A,FALSE,"ACC Cars Co1 125K ";"ACC_Cars_125K_Prop",#N/A,FALSE,"ACC Cars Co1 125K "}</definedName>
    <definedName name="wrn.ACC_Cars_125K_Co1." localSheetId="2" hidden="1">{"ACC_Cars_125K_PA",#N/A,FALSE,"ACC Cars Co1 125K ";"ACC_Cars_125K_Prop",#N/A,FALSE,"ACC Cars Co1 125K "}</definedName>
    <definedName name="wrn.ACC_Cars_125K_Co1." localSheetId="6" hidden="1">{"ACC_Cars_125K_PA",#N/A,FALSE,"ACC Cars Co1 125K ";"ACC_Cars_125K_Prop",#N/A,FALSE,"ACC Cars Co1 125K "}</definedName>
    <definedName name="wrn.ACC_Cars_125K_Co1." localSheetId="1" hidden="1">{"ACC_Cars_125K_PA",#N/A,FALSE,"ACC Cars Co1 125K ";"ACC_Cars_125K_Prop",#N/A,FALSE,"ACC Cars Co1 125K "}</definedName>
    <definedName name="wrn.ACC_Cars_125K_Co1." localSheetId="7" hidden="1">{"ACC_Cars_125K_PA",#N/A,FALSE,"ACC Cars Co1 125K ";"ACC_Cars_125K_Prop",#N/A,FALSE,"ACC Cars Co1 125K "}</definedName>
    <definedName name="wrn.ACC_Cars_125K_Co1." hidden="1">{"ACC_Cars_125K_PA",#N/A,FALSE,"ACC Cars Co1 125K ";"ACC_Cars_125K_Prop",#N/A,FALSE,"ACC Cars Co1 125K "}</definedName>
    <definedName name="wrn.ACC_Cars_400K_Co1." localSheetId="3" hidden="1">{"ACC_Cars_400K_PA",#N/A,FALSE,"ACC Cars Co1 400K";"ACC_Cars_400K_Prop",#N/A,FALSE,"ACC Cars Co1 400K"}</definedName>
    <definedName name="wrn.ACC_Cars_400K_Co1." localSheetId="4" hidden="1">{"ACC_Cars_400K_PA",#N/A,FALSE,"ACC Cars Co1 400K";"ACC_Cars_400K_Prop",#N/A,FALSE,"ACC Cars Co1 400K"}</definedName>
    <definedName name="wrn.ACC_Cars_400K_Co1." localSheetId="5" hidden="1">{"ACC_Cars_400K_PA",#N/A,FALSE,"ACC Cars Co1 400K";"ACC_Cars_400K_Prop",#N/A,FALSE,"ACC Cars Co1 400K"}</definedName>
    <definedName name="wrn.ACC_Cars_400K_Co1." localSheetId="2" hidden="1">{"ACC_Cars_400K_PA",#N/A,FALSE,"ACC Cars Co1 400K";"ACC_Cars_400K_Prop",#N/A,FALSE,"ACC Cars Co1 400K"}</definedName>
    <definedName name="wrn.ACC_Cars_400K_Co1." localSheetId="6" hidden="1">{"ACC_Cars_400K_PA",#N/A,FALSE,"ACC Cars Co1 400K";"ACC_Cars_400K_Prop",#N/A,FALSE,"ACC Cars Co1 400K"}</definedName>
    <definedName name="wrn.ACC_Cars_400K_Co1." localSheetId="1" hidden="1">{"ACC_Cars_400K_PA",#N/A,FALSE,"ACC Cars Co1 400K";"ACC_Cars_400K_Prop",#N/A,FALSE,"ACC Cars Co1 400K"}</definedName>
    <definedName name="wrn.ACC_Cars_400K_Co1." localSheetId="7" hidden="1">{"ACC_Cars_400K_PA",#N/A,FALSE,"ACC Cars Co1 400K";"ACC_Cars_400K_Prop",#N/A,FALSE,"ACC Cars Co1 400K"}</definedName>
    <definedName name="wrn.ACC_Cars_400K_Co1." hidden="1">{"ACC_Cars_400K_PA",#N/A,FALSE,"ACC Cars Co1 400K";"ACC_Cars_400K_Prop",#N/A,FALSE,"ACC Cars Co1 400K"}</definedName>
    <definedName name="wrn.ACC_Cars_Travel_125K." localSheetId="3" hidden="1">{"PAGE1",#N/A,FALSE,"ACC_CARS Travel 125K";"PAGE2",#N/A,FALSE,"ACC_CARS Travel 125K"}</definedName>
    <definedName name="wrn.ACC_Cars_Travel_125K." localSheetId="4" hidden="1">{"PAGE1",#N/A,FALSE,"ACC_CARS Travel 125K";"PAGE2",#N/A,FALSE,"ACC_CARS Travel 125K"}</definedName>
    <definedName name="wrn.ACC_Cars_Travel_125K." localSheetId="5" hidden="1">{"PAGE1",#N/A,FALSE,"ACC_CARS Travel 125K";"PAGE2",#N/A,FALSE,"ACC_CARS Travel 125K"}</definedName>
    <definedName name="wrn.ACC_Cars_Travel_125K." localSheetId="2" hidden="1">{"PAGE1",#N/A,FALSE,"ACC_CARS Travel 125K";"PAGE2",#N/A,FALSE,"ACC_CARS Travel 125K"}</definedName>
    <definedName name="wrn.ACC_Cars_Travel_125K." localSheetId="6" hidden="1">{"PAGE1",#N/A,FALSE,"ACC_CARS Travel 125K";"PAGE2",#N/A,FALSE,"ACC_CARS Travel 125K"}</definedName>
    <definedName name="wrn.ACC_Cars_Travel_125K." localSheetId="1" hidden="1">{"PAGE1",#N/A,FALSE,"ACC_CARS Travel 125K";"PAGE2",#N/A,FALSE,"ACC_CARS Travel 125K"}</definedName>
    <definedName name="wrn.ACC_Cars_Travel_125K." localSheetId="7" hidden="1">{"PAGE1",#N/A,FALSE,"ACC_CARS Travel 125K";"PAGE2",#N/A,FALSE,"ACC_CARS Travel 125K"}</definedName>
    <definedName name="wrn.ACC_Cars_Travel_125K." hidden="1">{"PAGE1",#N/A,FALSE,"ACC_CARS Travel 125K";"PAGE2",#N/A,FALSE,"ACC_CARS Travel 125K"}</definedName>
    <definedName name="wrn.ACC_CARS_Travel_400K." localSheetId="3" hidden="1">{"Page1",#N/A,FALSE,"ACC_CARS Travel 400K";"Page2",#N/A,FALSE,"ACC_CARS Travel 400K"}</definedName>
    <definedName name="wrn.ACC_CARS_Travel_400K." localSheetId="4" hidden="1">{"Page1",#N/A,FALSE,"ACC_CARS Travel 400K";"Page2",#N/A,FALSE,"ACC_CARS Travel 400K"}</definedName>
    <definedName name="wrn.ACC_CARS_Travel_400K." localSheetId="5" hidden="1">{"Page1",#N/A,FALSE,"ACC_CARS Travel 400K";"Page2",#N/A,FALSE,"ACC_CARS Travel 400K"}</definedName>
    <definedName name="wrn.ACC_CARS_Travel_400K." localSheetId="2" hidden="1">{"Page1",#N/A,FALSE,"ACC_CARS Travel 400K";"Page2",#N/A,FALSE,"ACC_CARS Travel 400K"}</definedName>
    <definedName name="wrn.ACC_CARS_Travel_400K." localSheetId="6" hidden="1">{"Page1",#N/A,FALSE,"ACC_CARS Travel 400K";"Page2",#N/A,FALSE,"ACC_CARS Travel 400K"}</definedName>
    <definedName name="wrn.ACC_CARS_Travel_400K." localSheetId="1" hidden="1">{"Page1",#N/A,FALSE,"ACC_CARS Travel 400K";"Page2",#N/A,FALSE,"ACC_CARS Travel 400K"}</definedName>
    <definedName name="wrn.ACC_CARS_Travel_400K." localSheetId="7" hidden="1">{"Page1",#N/A,FALSE,"ACC_CARS Travel 400K";"Page2",#N/A,FALSE,"ACC_CARS Travel 400K"}</definedName>
    <definedName name="wrn.ACC_CARS_Travel_400K." hidden="1">{"Page1",#N/A,FALSE,"ACC_CARS Travel 400K";"Page2",#N/A,FALSE,"ACC_CARS Travel 400K"}</definedName>
    <definedName name="wrn.All._.Grant._.Forms." localSheetId="3" hidden="1">{"Form DD",#N/A,FALSE,"DD";"EE",#N/A,FALSE,"EE";"Indirects",#N/A,FALSE,"DD"}</definedName>
    <definedName name="wrn.All._.Grant._.Forms." localSheetId="4" hidden="1">{"Form DD",#N/A,FALSE,"DD";"EE",#N/A,FALSE,"EE";"Indirects",#N/A,FALSE,"DD"}</definedName>
    <definedName name="wrn.All._.Grant._.Forms." localSheetId="5" hidden="1">{"Form DD",#N/A,FALSE,"DD";"EE",#N/A,FALSE,"EE";"Indirects",#N/A,FALSE,"DD"}</definedName>
    <definedName name="wrn.All._.Grant._.Forms." localSheetId="2" hidden="1">{"Form DD",#N/A,FALSE,"DD";"EE",#N/A,FALSE,"EE";"Indirects",#N/A,FALSE,"DD"}</definedName>
    <definedName name="wrn.All._.Grant._.Forms." localSheetId="6" hidden="1">{"Form DD",#N/A,FALSE,"DD";"EE",#N/A,FALSE,"EE";"Indirects",#N/A,FALSE,"DD"}</definedName>
    <definedName name="wrn.All._.Grant._.Forms." localSheetId="1" hidden="1">{"Form DD",#N/A,FALSE,"DD";"EE",#N/A,FALSE,"EE";"Indirects",#N/A,FALSE,"DD"}</definedName>
    <definedName name="wrn.All._.Grant._.Forms." localSheetId="7" hidden="1">{"Form DD",#N/A,FALSE,"DD";"EE",#N/A,FALSE,"EE";"Indirects",#N/A,FALSE,"DD"}</definedName>
    <definedName name="wrn.All._.Grant._.Forms." hidden="1">{"Form DD",#N/A,FALSE,"DD";"EE",#N/A,FALSE,"EE";"Indirects",#N/A,FALSE,"DD"}</definedName>
    <definedName name="wrn.BACKUP." localSheetId="3" hidden="1">{"actuals_1",#N/A,FALSE,"CO 1 YRS";"burden_1",#N/A,FALSE,"CO 1 YRS";"input",#N/A,FALSE,"INPUT"}</definedName>
    <definedName name="wrn.BACKUP." localSheetId="4" hidden="1">{"actuals_1",#N/A,FALSE,"CO 1 YRS";"burden_1",#N/A,FALSE,"CO 1 YRS";"input",#N/A,FALSE,"INPUT"}</definedName>
    <definedName name="wrn.BACKUP." localSheetId="5" hidden="1">{"actuals_1",#N/A,FALSE,"CO 1 YRS";"burden_1",#N/A,FALSE,"CO 1 YRS";"input",#N/A,FALSE,"INPUT"}</definedName>
    <definedName name="wrn.BACKUP." localSheetId="2" hidden="1">{"actuals_1",#N/A,FALSE,"CO 1 YRS";"burden_1",#N/A,FALSE,"CO 1 YRS";"input",#N/A,FALSE,"INPUT"}</definedName>
    <definedName name="wrn.BACKUP." localSheetId="6" hidden="1">{"actuals_1",#N/A,FALSE,"CO 1 YRS";"burden_1",#N/A,FALSE,"CO 1 YRS";"input",#N/A,FALSE,"INPUT"}</definedName>
    <definedName name="wrn.BACKUP." localSheetId="1" hidden="1">{"actuals_1",#N/A,FALSE,"CO 1 YRS";"burden_1",#N/A,FALSE,"CO 1 YRS";"input",#N/A,FALSE,"INPUT"}</definedName>
    <definedName name="wrn.BACKUP." localSheetId="7" hidden="1">{"actuals_1",#N/A,FALSE,"CO 1 YRS";"burden_1",#N/A,FALSE,"CO 1 YRS";"input",#N/A,FALSE,"INPUT"}</definedName>
    <definedName name="wrn.BACKUP." hidden="1">{"actuals_1",#N/A,FALSE,"CO 1 YRS";"burden_1",#N/A,FALSE,"CO 1 YRS";"input",#N/A,FALSE,"INPUT"}</definedName>
    <definedName name="wrn.BTables." localSheetId="3" hidden="1">{#N/A,#N/A,FALSE,"Proposal"}</definedName>
    <definedName name="wrn.BTables." localSheetId="4" hidden="1">{#N/A,#N/A,FALSE,"Proposal"}</definedName>
    <definedName name="wrn.BTables." localSheetId="5" hidden="1">{#N/A,#N/A,FALSE,"Proposal"}</definedName>
    <definedName name="wrn.BTables." localSheetId="2" hidden="1">{#N/A,#N/A,FALSE,"Proposal"}</definedName>
    <definedName name="wrn.BTables." localSheetId="6" hidden="1">{#N/A,#N/A,FALSE,"Proposal"}</definedName>
    <definedName name="wrn.BTables." localSheetId="7" hidden="1">{#N/A,#N/A,FALSE,"Proposal"}</definedName>
    <definedName name="wrn.BTables." hidden="1">{#N/A,#N/A,FALSE,"Proposal"}</definedName>
    <definedName name="wrn.CCB_JDISS." localSheetId="3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wrn.CCB_JDISS." localSheetId="4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wrn.CCB_JDISS." localSheetId="5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wrn.CCB_JDISS." localSheetId="2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wrn.CCB_JDISS." localSheetId="6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wrn.CCB_JDISS." localSheetId="1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wrn.CCB_JDISS." localSheetId="7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wrn.CCB_JDISS.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wrn.Dolan_Co1." localSheetId="3" hidden="1">{"DolanCo1_PA",#N/A,FALSE,"Tina Dolan";"DolanCo1_Prop",#N/A,FALSE,"Tina Dolan"}</definedName>
    <definedName name="wrn.Dolan_Co1." localSheetId="4" hidden="1">{"DolanCo1_PA",#N/A,FALSE,"Tina Dolan";"DolanCo1_Prop",#N/A,FALSE,"Tina Dolan"}</definedName>
    <definedName name="wrn.Dolan_Co1." localSheetId="5" hidden="1">{"DolanCo1_PA",#N/A,FALSE,"Tina Dolan";"DolanCo1_Prop",#N/A,FALSE,"Tina Dolan"}</definedName>
    <definedName name="wrn.Dolan_Co1." localSheetId="2" hidden="1">{"DolanCo1_PA",#N/A,FALSE,"Tina Dolan";"DolanCo1_Prop",#N/A,FALSE,"Tina Dolan"}</definedName>
    <definedName name="wrn.Dolan_Co1." localSheetId="6" hidden="1">{"DolanCo1_PA",#N/A,FALSE,"Tina Dolan";"DolanCo1_Prop",#N/A,FALSE,"Tina Dolan"}</definedName>
    <definedName name="wrn.Dolan_Co1." localSheetId="1" hidden="1">{"DolanCo1_PA",#N/A,FALSE,"Tina Dolan";"DolanCo1_Prop",#N/A,FALSE,"Tina Dolan"}</definedName>
    <definedName name="wrn.Dolan_Co1." localSheetId="7" hidden="1">{"DolanCo1_PA",#N/A,FALSE,"Tina Dolan";"DolanCo1_Prop",#N/A,FALSE,"Tina Dolan"}</definedName>
    <definedName name="wrn.Dolan_Co1." hidden="1">{"DolanCo1_PA",#N/A,FALSE,"Tina Dolan";"DolanCo1_Prop",#N/A,FALSE,"Tina Dolan"}</definedName>
    <definedName name="wrn.Ebron_350K." localSheetId="3" hidden="1">{"Prop_350K",#N/A,FALSE,"Ebron-350K";"PA_350K",#N/A,FALSE,"Ebron-350K";"Ebron350KTrvl",#N/A,FALSE,"Ebrons Travel 350k"}</definedName>
    <definedName name="wrn.Ebron_350K." localSheetId="4" hidden="1">{"Prop_350K",#N/A,FALSE,"Ebron-350K";"PA_350K",#N/A,FALSE,"Ebron-350K";"Ebron350KTrvl",#N/A,FALSE,"Ebrons Travel 350k"}</definedName>
    <definedName name="wrn.Ebron_350K." localSheetId="5" hidden="1">{"Prop_350K",#N/A,FALSE,"Ebron-350K";"PA_350K",#N/A,FALSE,"Ebron-350K";"Ebron350KTrvl",#N/A,FALSE,"Ebrons Travel 350k"}</definedName>
    <definedName name="wrn.Ebron_350K." localSheetId="2" hidden="1">{"Prop_350K",#N/A,FALSE,"Ebron-350K";"PA_350K",#N/A,FALSE,"Ebron-350K";"Ebron350KTrvl",#N/A,FALSE,"Ebrons Travel 350k"}</definedName>
    <definedName name="wrn.Ebron_350K." localSheetId="6" hidden="1">{"Prop_350K",#N/A,FALSE,"Ebron-350K";"PA_350K",#N/A,FALSE,"Ebron-350K";"Ebron350KTrvl",#N/A,FALSE,"Ebrons Travel 350k"}</definedName>
    <definedName name="wrn.Ebron_350K." localSheetId="1" hidden="1">{"Prop_350K",#N/A,FALSE,"Ebron-350K";"PA_350K",#N/A,FALSE,"Ebron-350K";"Ebron350KTrvl",#N/A,FALSE,"Ebrons Travel 350k"}</definedName>
    <definedName name="wrn.Ebron_350K." localSheetId="7" hidden="1">{"Prop_350K",#N/A,FALSE,"Ebron-350K";"PA_350K",#N/A,FALSE,"Ebron-350K";"Ebron350KTrvl",#N/A,FALSE,"Ebrons Travel 350k"}</definedName>
    <definedName name="wrn.Ebron_350K." hidden="1">{"Prop_350K",#N/A,FALSE,"Ebron-350K";"PA_350K",#N/A,FALSE,"Ebron-350K";"Ebron350KTrvl",#N/A,FALSE,"Ebrons Travel 350k"}</definedName>
    <definedName name="wrn.Ebron_Co1." localSheetId="3" hidden="1">{"EbronCo1_PA",#N/A,FALSE,"Ebrons Task Co1";"EbronCo1_Prop",#N/A,FALSE,"Ebrons Task Co1";"Ebron316KTrvl",#N/A,FALSE,"Ebrons Travel 316k"}</definedName>
    <definedName name="wrn.Ebron_Co1." localSheetId="4" hidden="1">{"EbronCo1_PA",#N/A,FALSE,"Ebrons Task Co1";"EbronCo1_Prop",#N/A,FALSE,"Ebrons Task Co1";"Ebron316KTrvl",#N/A,FALSE,"Ebrons Travel 316k"}</definedName>
    <definedName name="wrn.Ebron_Co1." localSheetId="5" hidden="1">{"EbronCo1_PA",#N/A,FALSE,"Ebrons Task Co1";"EbronCo1_Prop",#N/A,FALSE,"Ebrons Task Co1";"Ebron316KTrvl",#N/A,FALSE,"Ebrons Travel 316k"}</definedName>
    <definedName name="wrn.Ebron_Co1." localSheetId="2" hidden="1">{"EbronCo1_PA",#N/A,FALSE,"Ebrons Task Co1";"EbronCo1_Prop",#N/A,FALSE,"Ebrons Task Co1";"Ebron316KTrvl",#N/A,FALSE,"Ebrons Travel 316k"}</definedName>
    <definedName name="wrn.Ebron_Co1." localSheetId="6" hidden="1">{"EbronCo1_PA",#N/A,FALSE,"Ebrons Task Co1";"EbronCo1_Prop",#N/A,FALSE,"Ebrons Task Co1";"Ebron316KTrvl",#N/A,FALSE,"Ebrons Travel 316k"}</definedName>
    <definedName name="wrn.Ebron_Co1." localSheetId="1" hidden="1">{"EbronCo1_PA",#N/A,FALSE,"Ebrons Task Co1";"EbronCo1_Prop",#N/A,FALSE,"Ebrons Task Co1";"Ebron316KTrvl",#N/A,FALSE,"Ebrons Travel 316k"}</definedName>
    <definedName name="wrn.Ebron_Co1." localSheetId="7" hidden="1">{"EbronCo1_PA",#N/A,FALSE,"Ebrons Task Co1";"EbronCo1_Prop",#N/A,FALSE,"Ebrons Task Co1";"Ebron316KTrvl",#N/A,FALSE,"Ebrons Travel 316k"}</definedName>
    <definedName name="wrn.Ebron_Co1." hidden="1">{"EbronCo1_PA",#N/A,FALSE,"Ebrons Task Co1";"EbronCo1_Prop",#N/A,FALSE,"Ebrons Task Co1";"Ebron316KTrvl",#N/A,FALSE,"Ebrons Travel 316k"}</definedName>
    <definedName name="wrn.Ebron_Co5." localSheetId="3" hidden="1">{"EbronCo5_PA",#N/A,FALSE,"Ebrons Task Co5";"EbronCo5_Prop",#N/A,FALSE,"Ebrons Task Co5"}</definedName>
    <definedName name="wrn.Ebron_Co5." localSheetId="4" hidden="1">{"EbronCo5_PA",#N/A,FALSE,"Ebrons Task Co5";"EbronCo5_Prop",#N/A,FALSE,"Ebrons Task Co5"}</definedName>
    <definedName name="wrn.Ebron_Co5." localSheetId="5" hidden="1">{"EbronCo5_PA",#N/A,FALSE,"Ebrons Task Co5";"EbronCo5_Prop",#N/A,FALSE,"Ebrons Task Co5"}</definedName>
    <definedName name="wrn.Ebron_Co5." localSheetId="2" hidden="1">{"EbronCo5_PA",#N/A,FALSE,"Ebrons Task Co5";"EbronCo5_Prop",#N/A,FALSE,"Ebrons Task Co5"}</definedName>
    <definedName name="wrn.Ebron_Co5." localSheetId="6" hidden="1">{"EbronCo5_PA",#N/A,FALSE,"Ebrons Task Co5";"EbronCo5_Prop",#N/A,FALSE,"Ebrons Task Co5"}</definedName>
    <definedName name="wrn.Ebron_Co5." localSheetId="1" hidden="1">{"EbronCo5_PA",#N/A,FALSE,"Ebrons Task Co5";"EbronCo5_Prop",#N/A,FALSE,"Ebrons Task Co5"}</definedName>
    <definedName name="wrn.Ebron_Co5." localSheetId="7" hidden="1">{"EbronCo5_PA",#N/A,FALSE,"Ebrons Task Co5";"EbronCo5_Prop",#N/A,FALSE,"Ebrons Task Co5"}</definedName>
    <definedName name="wrn.Ebron_Co5." hidden="1">{"EbronCo5_PA",#N/A,FALSE,"Ebrons Task Co5";"EbronCo5_Prop",#N/A,FALSE,"Ebrons Task Co5"}</definedName>
    <definedName name="wrn.INVOICE." localSheetId="3" hidden="1">{"SF1034",#N/A,FALSE,"SF1034";"PAGE1",#N/A,FALSE,"SF1035-CO1-PG1";"PAGE2",#N/A,FALSE,"SF1035-CO1-PG2"}</definedName>
    <definedName name="wrn.INVOICE." localSheetId="4" hidden="1">{"SF1034",#N/A,FALSE,"SF1034";"PAGE1",#N/A,FALSE,"SF1035-CO1-PG1";"PAGE2",#N/A,FALSE,"SF1035-CO1-PG2"}</definedName>
    <definedName name="wrn.INVOICE." localSheetId="5" hidden="1">{"SF1034",#N/A,FALSE,"SF1034";"PAGE1",#N/A,FALSE,"SF1035-CO1-PG1";"PAGE2",#N/A,FALSE,"SF1035-CO1-PG2"}</definedName>
    <definedName name="wrn.INVOICE." localSheetId="2" hidden="1">{"SF1034",#N/A,FALSE,"SF1034";"PAGE1",#N/A,FALSE,"SF1035-CO1-PG1";"PAGE2",#N/A,FALSE,"SF1035-CO1-PG2"}</definedName>
    <definedName name="wrn.INVOICE." localSheetId="6" hidden="1">{"SF1034",#N/A,FALSE,"SF1034";"PAGE1",#N/A,FALSE,"SF1035-CO1-PG1";"PAGE2",#N/A,FALSE,"SF1035-CO1-PG2"}</definedName>
    <definedName name="wrn.INVOICE." localSheetId="1" hidden="1">{"SF1034",#N/A,FALSE,"SF1034";"PAGE1",#N/A,FALSE,"SF1035-CO1-PG1";"PAGE2",#N/A,FALSE,"SF1035-CO1-PG2"}</definedName>
    <definedName name="wrn.INVOICE." localSheetId="7" hidden="1">{"SF1034",#N/A,FALSE,"SF1034";"PAGE1",#N/A,FALSE,"SF1035-CO1-PG1";"PAGE2",#N/A,FALSE,"SF1035-CO1-PG2"}</definedName>
    <definedName name="wrn.INVOICE." hidden="1">{"SF1034",#N/A,FALSE,"SF1034";"PAGE1",#N/A,FALSE,"SF1035-CO1-PG1";"PAGE2",#N/A,FALSE,"SF1035-CO1-PG2"}</definedName>
    <definedName name="wrn.JDISS_Co1." localSheetId="3" hidden="1">{"JDISS_Co1",#N/A,FALSE,"JDISS_Co1";"JDISSCo1_PA",#N/A,FALSE,"JDISS_Co1"}</definedName>
    <definedName name="wrn.JDISS_Co1." localSheetId="4" hidden="1">{"JDISS_Co1",#N/A,FALSE,"JDISS_Co1";"JDISSCo1_PA",#N/A,FALSE,"JDISS_Co1"}</definedName>
    <definedName name="wrn.JDISS_Co1." localSheetId="5" hidden="1">{"JDISS_Co1",#N/A,FALSE,"JDISS_Co1";"JDISSCo1_PA",#N/A,FALSE,"JDISS_Co1"}</definedName>
    <definedName name="wrn.JDISS_Co1." localSheetId="2" hidden="1">{"JDISS_Co1",#N/A,FALSE,"JDISS_Co1";"JDISSCo1_PA",#N/A,FALSE,"JDISS_Co1"}</definedName>
    <definedName name="wrn.JDISS_Co1." localSheetId="6" hidden="1">{"JDISS_Co1",#N/A,FALSE,"JDISS_Co1";"JDISSCo1_PA",#N/A,FALSE,"JDISS_Co1"}</definedName>
    <definedName name="wrn.JDISS_Co1." localSheetId="1" hidden="1">{"JDISS_Co1",#N/A,FALSE,"JDISS_Co1";"JDISSCo1_PA",#N/A,FALSE,"JDISS_Co1"}</definedName>
    <definedName name="wrn.JDISS_Co1." localSheetId="7" hidden="1">{"JDISS_Co1",#N/A,FALSE,"JDISS_Co1";"JDISSCo1_PA",#N/A,FALSE,"JDISS_Co1"}</definedName>
    <definedName name="wrn.JDISS_Co1." hidden="1">{"JDISS_Co1",#N/A,FALSE,"JDISS_Co1";"JDISSCo1_PA",#N/A,FALSE,"JDISS_Co1"}</definedName>
    <definedName name="wrn.Man._.Loading._.Sheet." localSheetId="3" hidden="1">{#N/A,#N/A,FALSE,"ManLoading"}</definedName>
    <definedName name="wrn.Man._.Loading._.Sheet." localSheetId="4" hidden="1">{#N/A,#N/A,FALSE,"ManLoading"}</definedName>
    <definedName name="wrn.Man._.Loading._.Sheet." localSheetId="5" hidden="1">{#N/A,#N/A,FALSE,"ManLoading"}</definedName>
    <definedName name="wrn.Man._.Loading._.Sheet." localSheetId="2" hidden="1">{#N/A,#N/A,FALSE,"ManLoading"}</definedName>
    <definedName name="wrn.Man._.Loading._.Sheet." localSheetId="6" hidden="1">{#N/A,#N/A,FALSE,"ManLoading"}</definedName>
    <definedName name="wrn.Man._.Loading._.Sheet." localSheetId="1" hidden="1">{#N/A,#N/A,FALSE,"ManLoading"}</definedName>
    <definedName name="wrn.Man._.Loading._.Sheet." localSheetId="7" hidden="1">{#N/A,#N/A,FALSE,"ManLoading"}</definedName>
    <definedName name="wrn.Man._.Loading._.Sheet." hidden="1">{#N/A,#N/A,FALSE,"ManLoading"}</definedName>
    <definedName name="wrn.Pearson_Co1." localSheetId="3" hidden="1">{"PearsonCo1_Prop",#N/A,FALSE,"Pearsons Task Co1";"PearsonCo1_PA",#N/A,FALSE,"Pearsons Task Co1"}</definedName>
    <definedName name="wrn.Pearson_Co1." localSheetId="4" hidden="1">{"PearsonCo1_Prop",#N/A,FALSE,"Pearsons Task Co1";"PearsonCo1_PA",#N/A,FALSE,"Pearsons Task Co1"}</definedName>
    <definedName name="wrn.Pearson_Co1." localSheetId="5" hidden="1">{"PearsonCo1_Prop",#N/A,FALSE,"Pearsons Task Co1";"PearsonCo1_PA",#N/A,FALSE,"Pearsons Task Co1"}</definedName>
    <definedName name="wrn.Pearson_Co1." localSheetId="2" hidden="1">{"PearsonCo1_Prop",#N/A,FALSE,"Pearsons Task Co1";"PearsonCo1_PA",#N/A,FALSE,"Pearsons Task Co1"}</definedName>
    <definedName name="wrn.Pearson_Co1." localSheetId="6" hidden="1">{"PearsonCo1_Prop",#N/A,FALSE,"Pearsons Task Co1";"PearsonCo1_PA",#N/A,FALSE,"Pearsons Task Co1"}</definedName>
    <definedName name="wrn.Pearson_Co1." localSheetId="1" hidden="1">{"PearsonCo1_Prop",#N/A,FALSE,"Pearsons Task Co1";"PearsonCo1_PA",#N/A,FALSE,"Pearsons Task Co1"}</definedName>
    <definedName name="wrn.Pearson_Co1." localSheetId="7" hidden="1">{"PearsonCo1_Prop",#N/A,FALSE,"Pearsons Task Co1";"PearsonCo1_PA",#N/A,FALSE,"Pearsons Task Co1"}</definedName>
    <definedName name="wrn.Pearson_Co1." hidden="1">{"PearsonCo1_Prop",#N/A,FALSE,"Pearsons Task Co1";"PearsonCo1_PA",#N/A,FALSE,"Pearsons Task Co1"}</definedName>
    <definedName name="wrn.Pearson_Co5." localSheetId="3" hidden="1">{"PearsonCo5_Prop",#N/A,FALSE,"Pearsons Task Co5";"PearsonCo5_PA",#N/A,FALSE,"Pearsons Task Co5"}</definedName>
    <definedName name="wrn.Pearson_Co5." localSheetId="4" hidden="1">{"PearsonCo5_Prop",#N/A,FALSE,"Pearsons Task Co5";"PearsonCo5_PA",#N/A,FALSE,"Pearsons Task Co5"}</definedName>
    <definedName name="wrn.Pearson_Co5." localSheetId="5" hidden="1">{"PearsonCo5_Prop",#N/A,FALSE,"Pearsons Task Co5";"PearsonCo5_PA",#N/A,FALSE,"Pearsons Task Co5"}</definedName>
    <definedName name="wrn.Pearson_Co5." localSheetId="2" hidden="1">{"PearsonCo5_Prop",#N/A,FALSE,"Pearsons Task Co5";"PearsonCo5_PA",#N/A,FALSE,"Pearsons Task Co5"}</definedName>
    <definedName name="wrn.Pearson_Co5." localSheetId="6" hidden="1">{"PearsonCo5_Prop",#N/A,FALSE,"Pearsons Task Co5";"PearsonCo5_PA",#N/A,FALSE,"Pearsons Task Co5"}</definedName>
    <definedName name="wrn.Pearson_Co5." localSheetId="1" hidden="1">{"PearsonCo5_Prop",#N/A,FALSE,"Pearsons Task Co5";"PearsonCo5_PA",#N/A,FALSE,"Pearsons Task Co5"}</definedName>
    <definedName name="wrn.Pearson_Co5." localSheetId="7" hidden="1">{"PearsonCo5_Prop",#N/A,FALSE,"Pearsons Task Co5";"PearsonCo5_PA",#N/A,FALSE,"Pearsons Task Co5"}</definedName>
    <definedName name="wrn.Pearson_Co5." hidden="1">{"PearsonCo5_Prop",#N/A,FALSE,"Pearsons Task Co5";"PearsonCo5_PA",#N/A,FALSE,"Pearsons Task Co5"}</definedName>
    <definedName name="wrn.price." localSheetId="3" hidden="1">{"PAGE1",#N/A,FALSE,"CPFFMSTR";"PAGE2",#N/A,FALSE,"CPFFMSTR"}</definedName>
    <definedName name="wrn.price." localSheetId="4" hidden="1">{"PAGE1",#N/A,FALSE,"CPFFMSTR";"PAGE2",#N/A,FALSE,"CPFFMSTR"}</definedName>
    <definedName name="wrn.price." localSheetId="5" hidden="1">{"PAGE1",#N/A,FALSE,"CPFFMSTR";"PAGE2",#N/A,FALSE,"CPFFMSTR"}</definedName>
    <definedName name="wrn.price." localSheetId="2" hidden="1">{"PAGE1",#N/A,FALSE,"CPFFMSTR";"PAGE2",#N/A,FALSE,"CPFFMSTR"}</definedName>
    <definedName name="wrn.price." localSheetId="6" hidden="1">{"PAGE1",#N/A,FALSE,"CPFFMSTR";"PAGE2",#N/A,FALSE,"CPFFMSTR"}</definedName>
    <definedName name="wrn.price." localSheetId="1" hidden="1">{"PAGE1",#N/A,FALSE,"CPFFMSTR";"PAGE2",#N/A,FALSE,"CPFFMSTR"}</definedName>
    <definedName name="wrn.price." localSheetId="7" hidden="1">{"PAGE1",#N/A,FALSE,"CPFFMSTR";"PAGE2",#N/A,FALSE,"CPFFMSTR"}</definedName>
    <definedName name="wrn.price." hidden="1">{"PAGE1",#N/A,FALSE,"CPFFMSTR";"PAGE2",#N/A,FALSE,"CPFFMSTR"}</definedName>
    <definedName name="wrn.PRINT._.ALL." localSheetId="3" hidden="1">{"ORIG",#N/A,FALSE,"Sheet1";"GOVT LABOR",#N/A,FALSE,"Sheet1";"INT LABOR",#N/A,FALSE,"Sheet1"}</definedName>
    <definedName name="wrn.PRINT._.ALL." localSheetId="4" hidden="1">{"ORIG",#N/A,FALSE,"Sheet1";"GOVT LABOR",#N/A,FALSE,"Sheet1";"INT LABOR",#N/A,FALSE,"Sheet1"}</definedName>
    <definedName name="wrn.PRINT._.ALL." localSheetId="5" hidden="1">{"ORIG",#N/A,FALSE,"Sheet1";"GOVT LABOR",#N/A,FALSE,"Sheet1";"INT LABOR",#N/A,FALSE,"Sheet1"}</definedName>
    <definedName name="wrn.PRINT._.ALL." localSheetId="2" hidden="1">{"ORIG",#N/A,FALSE,"Sheet1";"GOVT LABOR",#N/A,FALSE,"Sheet1";"INT LABOR",#N/A,FALSE,"Sheet1"}</definedName>
    <definedName name="wrn.PRINT._.ALL." localSheetId="6" hidden="1">{"ORIG",#N/A,FALSE,"Sheet1";"GOVT LABOR",#N/A,FALSE,"Sheet1";"INT LABOR",#N/A,FALSE,"Sheet1"}</definedName>
    <definedName name="wrn.PRINT._.ALL." localSheetId="1" hidden="1">{"ORIG",#N/A,FALSE,"Sheet1";"GOVT LABOR",#N/A,FALSE,"Sheet1";"INT LABOR",#N/A,FALSE,"Sheet1"}</definedName>
    <definedName name="wrn.PRINT._.ALL." localSheetId="7" hidden="1">{"ORIG",#N/A,FALSE,"Sheet1";"GOVT LABOR",#N/A,FALSE,"Sheet1";"INT LABOR",#N/A,FALSE,"Sheet1"}</definedName>
    <definedName name="wrn.PRINT._.ALL." hidden="1">{"ORIG",#N/A,FALSE,"Sheet1";"GOVT LABOR",#N/A,FALSE,"Sheet1";"INT LABOR",#N/A,FALSE,"Sheet1"}</definedName>
    <definedName name="wrn.Print_Detail_And_Summary." localSheetId="3" hidden="1">{"ViewPreCalc",#N/A,TRUE,"PreCalc";"ViewSummary",#N/A,TRUE,"Summary "}</definedName>
    <definedName name="wrn.Print_Detail_And_Summary." localSheetId="4" hidden="1">{"ViewPreCalc",#N/A,TRUE,"PreCalc";"ViewSummary",#N/A,TRUE,"Summary "}</definedName>
    <definedName name="wrn.Print_Detail_And_Summary." localSheetId="5" hidden="1">{"ViewPreCalc",#N/A,TRUE,"PreCalc";"ViewSummary",#N/A,TRUE,"Summary "}</definedName>
    <definedName name="wrn.Print_Detail_And_Summary." localSheetId="2" hidden="1">{"ViewPreCalc",#N/A,TRUE,"PreCalc";"ViewSummary",#N/A,TRUE,"Summary "}</definedName>
    <definedName name="wrn.Print_Detail_And_Summary." localSheetId="6" hidden="1">{"ViewPreCalc",#N/A,TRUE,"PreCalc";"ViewSummary",#N/A,TRUE,"Summary "}</definedName>
    <definedName name="wrn.Print_Detail_And_Summary." localSheetId="1" hidden="1">{"ViewPreCalc",#N/A,TRUE,"PreCalc";"ViewSummary",#N/A,TRUE,"Summary "}</definedName>
    <definedName name="wrn.Print_Detail_And_Summary." localSheetId="7" hidden="1">{"ViewPreCalc",#N/A,TRUE,"PreCalc";"ViewSummary",#N/A,TRUE,"Summary "}</definedName>
    <definedName name="wrn.Print_Detail_And_Summary." hidden="1">{"ViewPreCalc",#N/A,TRUE,"PreCalc";"ViewSummary",#N/A,TRUE,"Summary "}</definedName>
    <definedName name="wrn.Seal._.Team._.J6." localSheetId="3" hidden="1">{"Seal Team J6 Sum",#N/A,FALSE,"Seal Team Summary";"Seal Team J6",#N/A,FALSE,"Seal Team ";"Seal Team ODC J6",#N/A,FALSE,"Seal Team ODCs";"Seal Team Trvl J6",#N/A,FALSE," Seal Team Trvl"}</definedName>
    <definedName name="wrn.Seal._.Team._.J6." localSheetId="4" hidden="1">{"Seal Team J6 Sum",#N/A,FALSE,"Seal Team Summary";"Seal Team J6",#N/A,FALSE,"Seal Team ";"Seal Team ODC J6",#N/A,FALSE,"Seal Team ODCs";"Seal Team Trvl J6",#N/A,FALSE," Seal Team Trvl"}</definedName>
    <definedName name="wrn.Seal._.Team._.J6." localSheetId="5" hidden="1">{"Seal Team J6 Sum",#N/A,FALSE,"Seal Team Summary";"Seal Team J6",#N/A,FALSE,"Seal Team ";"Seal Team ODC J6",#N/A,FALSE,"Seal Team ODCs";"Seal Team Trvl J6",#N/A,FALSE," Seal Team Trvl"}</definedName>
    <definedName name="wrn.Seal._.Team._.J6." localSheetId="2" hidden="1">{"Seal Team J6 Sum",#N/A,FALSE,"Seal Team Summary";"Seal Team J6",#N/A,FALSE,"Seal Team ";"Seal Team ODC J6",#N/A,FALSE,"Seal Team ODCs";"Seal Team Trvl J6",#N/A,FALSE," Seal Team Trvl"}</definedName>
    <definedName name="wrn.Seal._.Team._.J6." localSheetId="6" hidden="1">{"Seal Team J6 Sum",#N/A,FALSE,"Seal Team Summary";"Seal Team J6",#N/A,FALSE,"Seal Team ";"Seal Team ODC J6",#N/A,FALSE,"Seal Team ODCs";"Seal Team Trvl J6",#N/A,FALSE," Seal Team Trvl"}</definedName>
    <definedName name="wrn.Seal._.Team._.J6." localSheetId="1" hidden="1">{"Seal Team J6 Sum",#N/A,FALSE,"Seal Team Summary";"Seal Team J6",#N/A,FALSE,"Seal Team ";"Seal Team ODC J6",#N/A,FALSE,"Seal Team ODCs";"Seal Team Trvl J6",#N/A,FALSE," Seal Team Trvl"}</definedName>
    <definedName name="wrn.Seal._.Team._.J6." localSheetId="7" hidden="1">{"Seal Team J6 Sum",#N/A,FALSE,"Seal Team Summary";"Seal Team J6",#N/A,FALSE,"Seal Team ";"Seal Team ODC J6",#N/A,FALSE,"Seal Team ODCs";"Seal Team Trvl J6",#N/A,FALSE," Seal Team Trvl"}</definedName>
    <definedName name="wrn.Seal._.Team._.J6." hidden="1">{"Seal Team J6 Sum",#N/A,FALSE,"Seal Team Summary";"Seal Team J6",#N/A,FALSE,"Seal Team ";"Seal Team ODC J6",#N/A,FALSE,"Seal Team ODCs";"Seal Team Trvl J6",#N/A,FALSE," Seal Team Trvl"}</definedName>
    <definedName name="wrn.Summary._.1._.Year." localSheetId="3" hidden="1">{"One Year",#N/A,FALSE,"Summary"}</definedName>
    <definedName name="wrn.Summary._.1._.Year." localSheetId="4" hidden="1">{"One Year",#N/A,FALSE,"Summary"}</definedName>
    <definedName name="wrn.Summary._.1._.Year." localSheetId="5" hidden="1">{"One Year",#N/A,FALSE,"Summary"}</definedName>
    <definedName name="wrn.Summary._.1._.Year." localSheetId="2" hidden="1">{"One Year",#N/A,FALSE,"Summary"}</definedName>
    <definedName name="wrn.Summary._.1._.Year." localSheetId="6" hidden="1">{"One Year",#N/A,FALSE,"Summary"}</definedName>
    <definedName name="wrn.Summary._.1._.Year." localSheetId="1" hidden="1">{"One Year",#N/A,FALSE,"Summary"}</definedName>
    <definedName name="wrn.Summary._.1._.Year." localSheetId="7" hidden="1">{"One Year",#N/A,FALSE,"Summary"}</definedName>
    <definedName name="wrn.Summary._.1._.Year." hidden="1">{"One Year",#N/A,FALSE,"Summary"}</definedName>
    <definedName name="wrn.workpapers." localSheetId="3" hidden="1">{"dl",#N/A,FALSE,"Core";"indirects",#N/A,FALSE,"Core";"profit",#N/A,FALSE,"Core"}</definedName>
    <definedName name="wrn.workpapers." localSheetId="4" hidden="1">{"dl",#N/A,FALSE,"Core";"indirects",#N/A,FALSE,"Core";"profit",#N/A,FALSE,"Core"}</definedName>
    <definedName name="wrn.workpapers." localSheetId="5" hidden="1">{"dl",#N/A,FALSE,"Core";"indirects",#N/A,FALSE,"Core";"profit",#N/A,FALSE,"Core"}</definedName>
    <definedName name="wrn.workpapers." localSheetId="2" hidden="1">{"dl",#N/A,FALSE,"Core";"indirects",#N/A,FALSE,"Core";"profit",#N/A,FALSE,"Core"}</definedName>
    <definedName name="wrn.workpapers." localSheetId="6" hidden="1">{"dl",#N/A,FALSE,"Core";"indirects",#N/A,FALSE,"Core";"profit",#N/A,FALSE,"Core"}</definedName>
    <definedName name="wrn.workpapers." localSheetId="7" hidden="1">{"dl",#N/A,FALSE,"Core";"indirects",#N/A,FALSE,"Core";"profit",#N/A,FALSE,"Core"}</definedName>
    <definedName name="wrn.workpapers." hidden="1">{"dl",#N/A,FALSE,"Core";"indirects",#N/A,FALSE,"Core";"profit",#N/A,FALSE,"Core"}</definedName>
    <definedName name="wrn1.price." localSheetId="3" hidden="1">{"PAGE1",#N/A,FALSE,"CPFFMSTR";"PAGE2",#N/A,FALSE,"CPFFMSTR"}</definedName>
    <definedName name="wrn1.price." localSheetId="4" hidden="1">{"PAGE1",#N/A,FALSE,"CPFFMSTR";"PAGE2",#N/A,FALSE,"CPFFMSTR"}</definedName>
    <definedName name="wrn1.price." localSheetId="5" hidden="1">{"PAGE1",#N/A,FALSE,"CPFFMSTR";"PAGE2",#N/A,FALSE,"CPFFMSTR"}</definedName>
    <definedName name="wrn1.price." localSheetId="2" hidden="1">{"PAGE1",#N/A,FALSE,"CPFFMSTR";"PAGE2",#N/A,FALSE,"CPFFMSTR"}</definedName>
    <definedName name="wrn1.price." localSheetId="6" hidden="1">{"PAGE1",#N/A,FALSE,"CPFFMSTR";"PAGE2",#N/A,FALSE,"CPFFMSTR"}</definedName>
    <definedName name="wrn1.price." localSheetId="1" hidden="1">{"PAGE1",#N/A,FALSE,"CPFFMSTR";"PAGE2",#N/A,FALSE,"CPFFMSTR"}</definedName>
    <definedName name="wrn1.price." localSheetId="7" hidden="1">{"PAGE1",#N/A,FALSE,"CPFFMSTR";"PAGE2",#N/A,FALSE,"CPFFMSTR"}</definedName>
    <definedName name="wrn1.price." hidden="1">{"PAGE1",#N/A,FALSE,"CPFFMSTR";"PAGE2",#N/A,FALSE,"CPFFMSTR"}</definedName>
    <definedName name="www">#REF!</definedName>
    <definedName name="x">#REF!</definedName>
    <definedName name="XC">[53]DETAIL!$R$2</definedName>
    <definedName name="XFDTGH" localSheetId="3" hidden="1">{"PAGE1",#N/A,FALSE,"CPFFMSTR";"PAGE2",#N/A,FALSE,"CPFFMSTR"}</definedName>
    <definedName name="XFDTGH" localSheetId="4" hidden="1">{"PAGE1",#N/A,FALSE,"CPFFMSTR";"PAGE2",#N/A,FALSE,"CPFFMSTR"}</definedName>
    <definedName name="XFDTGH" localSheetId="5" hidden="1">{"PAGE1",#N/A,FALSE,"CPFFMSTR";"PAGE2",#N/A,FALSE,"CPFFMSTR"}</definedName>
    <definedName name="XFDTGH" localSheetId="2" hidden="1">{"PAGE1",#N/A,FALSE,"CPFFMSTR";"PAGE2",#N/A,FALSE,"CPFFMSTR"}</definedName>
    <definedName name="XFDTGH" localSheetId="6" hidden="1">{"PAGE1",#N/A,FALSE,"CPFFMSTR";"PAGE2",#N/A,FALSE,"CPFFMSTR"}</definedName>
    <definedName name="XFDTGH" localSheetId="1" hidden="1">{"PAGE1",#N/A,FALSE,"CPFFMSTR";"PAGE2",#N/A,FALSE,"CPFFMSTR"}</definedName>
    <definedName name="XFDTGH" localSheetId="7" hidden="1">{"PAGE1",#N/A,FALSE,"CPFFMSTR";"PAGE2",#N/A,FALSE,"CPFFMSTR"}</definedName>
    <definedName name="XFDTGH" hidden="1">{"PAGE1",#N/A,FALSE,"CPFFMSTR";"PAGE2",#N/A,FALSE,"CPFFMSTR"}</definedName>
    <definedName name="XGH" localSheetId="3" hidden="1">{"PAGE1",#N/A,FALSE,"CPFFMSTR";"PAGE2",#N/A,FALSE,"CPFFMSTR"}</definedName>
    <definedName name="XGH" localSheetId="4" hidden="1">{"PAGE1",#N/A,FALSE,"CPFFMSTR";"PAGE2",#N/A,FALSE,"CPFFMSTR"}</definedName>
    <definedName name="XGH" localSheetId="5" hidden="1">{"PAGE1",#N/A,FALSE,"CPFFMSTR";"PAGE2",#N/A,FALSE,"CPFFMSTR"}</definedName>
    <definedName name="XGH" localSheetId="2" hidden="1">{"PAGE1",#N/A,FALSE,"CPFFMSTR";"PAGE2",#N/A,FALSE,"CPFFMSTR"}</definedName>
    <definedName name="XGH" localSheetId="6" hidden="1">{"PAGE1",#N/A,FALSE,"CPFFMSTR";"PAGE2",#N/A,FALSE,"CPFFMSTR"}</definedName>
    <definedName name="XGH" localSheetId="1" hidden="1">{"PAGE1",#N/A,FALSE,"CPFFMSTR";"PAGE2",#N/A,FALSE,"CPFFMSTR"}</definedName>
    <definedName name="XGH" localSheetId="7" hidden="1">{"PAGE1",#N/A,FALSE,"CPFFMSTR";"PAGE2",#N/A,FALSE,"CPFFMSTR"}</definedName>
    <definedName name="XGH" hidden="1">{"PAGE1",#N/A,FALSE,"CPFFMSTR";"PAGE2",#N/A,FALSE,"CPFFMSTR"}</definedName>
    <definedName name="XGHXF" localSheetId="3" hidden="1">{"PAGE1",#N/A,FALSE,"CPFFMSTR";"PAGE2",#N/A,FALSE,"CPFFMSTR"}</definedName>
    <definedName name="XGHXF" localSheetId="4" hidden="1">{"PAGE1",#N/A,FALSE,"CPFFMSTR";"PAGE2",#N/A,FALSE,"CPFFMSTR"}</definedName>
    <definedName name="XGHXF" localSheetId="5" hidden="1">{"PAGE1",#N/A,FALSE,"CPFFMSTR";"PAGE2",#N/A,FALSE,"CPFFMSTR"}</definedName>
    <definedName name="XGHXF" localSheetId="2" hidden="1">{"PAGE1",#N/A,FALSE,"CPFFMSTR";"PAGE2",#N/A,FALSE,"CPFFMSTR"}</definedName>
    <definedName name="XGHXF" localSheetId="6" hidden="1">{"PAGE1",#N/A,FALSE,"CPFFMSTR";"PAGE2",#N/A,FALSE,"CPFFMSTR"}</definedName>
    <definedName name="XGHXF" localSheetId="1" hidden="1">{"PAGE1",#N/A,FALSE,"CPFFMSTR";"PAGE2",#N/A,FALSE,"CPFFMSTR"}</definedName>
    <definedName name="XGHXF" localSheetId="7" hidden="1">{"PAGE1",#N/A,FALSE,"CPFFMSTR";"PAGE2",#N/A,FALSE,"CPFFMSTR"}</definedName>
    <definedName name="XGHXF" hidden="1">{"PAGE1",#N/A,FALSE,"CPFFMSTR";"PAGE2",#N/A,FALSE,"CPFFMSTR"}</definedName>
    <definedName name="xvcb" localSheetId="3" hidden="1">{"PAGE1",#N/A,FALSE,"CPFFMSTR";"PAGE2",#N/A,FALSE,"CPFFMSTR"}</definedName>
    <definedName name="xvcb" localSheetId="4" hidden="1">{"PAGE1",#N/A,FALSE,"CPFFMSTR";"PAGE2",#N/A,FALSE,"CPFFMSTR"}</definedName>
    <definedName name="xvcb" localSheetId="5" hidden="1">{"PAGE1",#N/A,FALSE,"CPFFMSTR";"PAGE2",#N/A,FALSE,"CPFFMSTR"}</definedName>
    <definedName name="xvcb" localSheetId="2" hidden="1">{"PAGE1",#N/A,FALSE,"CPFFMSTR";"PAGE2",#N/A,FALSE,"CPFFMSTR"}</definedName>
    <definedName name="xvcb" localSheetId="6" hidden="1">{"PAGE1",#N/A,FALSE,"CPFFMSTR";"PAGE2",#N/A,FALSE,"CPFFMSTR"}</definedName>
    <definedName name="xvcb" localSheetId="1" hidden="1">{"PAGE1",#N/A,FALSE,"CPFFMSTR";"PAGE2",#N/A,FALSE,"CPFFMSTR"}</definedName>
    <definedName name="xvcb" localSheetId="7" hidden="1">{"PAGE1",#N/A,FALSE,"CPFFMSTR";"PAGE2",#N/A,FALSE,"CPFFMSTR"}</definedName>
    <definedName name="xvcb" hidden="1">{"PAGE1",#N/A,FALSE,"CPFFMSTR";"PAGE2",#N/A,FALSE,"CPFFMSTR"}</definedName>
    <definedName name="xxx" localSheetId="3" hidden="1">{"ACC_Cars_125K_PA",#N/A,FALSE,"ACC Cars Co1 125K ";"ACC_Cars_125K_Prop",#N/A,FALSE,"ACC Cars Co1 125K "}</definedName>
    <definedName name="xxx" localSheetId="4" hidden="1">{"ACC_Cars_125K_PA",#N/A,FALSE,"ACC Cars Co1 125K ";"ACC_Cars_125K_Prop",#N/A,FALSE,"ACC Cars Co1 125K "}</definedName>
    <definedName name="xxx" localSheetId="5" hidden="1">{"ACC_Cars_125K_PA",#N/A,FALSE,"ACC Cars Co1 125K ";"ACC_Cars_125K_Prop",#N/A,FALSE,"ACC Cars Co1 125K "}</definedName>
    <definedName name="xxx" localSheetId="2" hidden="1">{"ACC_Cars_125K_PA",#N/A,FALSE,"ACC Cars Co1 125K ";"ACC_Cars_125K_Prop",#N/A,FALSE,"ACC Cars Co1 125K "}</definedName>
    <definedName name="xxx" localSheetId="6" hidden="1">{"ACC_Cars_125K_PA",#N/A,FALSE,"ACC Cars Co1 125K ";"ACC_Cars_125K_Prop",#N/A,FALSE,"ACC Cars Co1 125K "}</definedName>
    <definedName name="xxx" localSheetId="1" hidden="1">{"ACC_Cars_125K_PA",#N/A,FALSE,"ACC Cars Co1 125K ";"ACC_Cars_125K_Prop",#N/A,FALSE,"ACC Cars Co1 125K "}</definedName>
    <definedName name="xxx" localSheetId="7" hidden="1">{"ACC_Cars_125K_PA",#N/A,FALSE,"ACC Cars Co1 125K ";"ACC_Cars_125K_Prop",#N/A,FALSE,"ACC Cars Co1 125K "}</definedName>
    <definedName name="xxx" hidden="1">{"ACC_Cars_125K_PA",#N/A,FALSE,"ACC Cars Co1 125K ";"ACC_Cars_125K_Prop",#N/A,FALSE,"ACC Cars Co1 125K "}</definedName>
    <definedName name="xxx1" localSheetId="3" hidden="1">{"ACC_Cars_400K_PA",#N/A,FALSE,"ACC Cars Co1 400K";"ACC_Cars_400K_Prop",#N/A,FALSE,"ACC Cars Co1 400K"}</definedName>
    <definedName name="xxx1" localSheetId="4" hidden="1">{"ACC_Cars_400K_PA",#N/A,FALSE,"ACC Cars Co1 400K";"ACC_Cars_400K_Prop",#N/A,FALSE,"ACC Cars Co1 400K"}</definedName>
    <definedName name="xxx1" localSheetId="5" hidden="1">{"ACC_Cars_400K_PA",#N/A,FALSE,"ACC Cars Co1 400K";"ACC_Cars_400K_Prop",#N/A,FALSE,"ACC Cars Co1 400K"}</definedName>
    <definedName name="xxx1" localSheetId="2" hidden="1">{"ACC_Cars_400K_PA",#N/A,FALSE,"ACC Cars Co1 400K";"ACC_Cars_400K_Prop",#N/A,FALSE,"ACC Cars Co1 400K"}</definedName>
    <definedName name="xxx1" localSheetId="6" hidden="1">{"ACC_Cars_400K_PA",#N/A,FALSE,"ACC Cars Co1 400K";"ACC_Cars_400K_Prop",#N/A,FALSE,"ACC Cars Co1 400K"}</definedName>
    <definedName name="xxx1" localSheetId="1" hidden="1">{"ACC_Cars_400K_PA",#N/A,FALSE,"ACC Cars Co1 400K";"ACC_Cars_400K_Prop",#N/A,FALSE,"ACC Cars Co1 400K"}</definedName>
    <definedName name="xxx1" localSheetId="7" hidden="1">{"ACC_Cars_400K_PA",#N/A,FALSE,"ACC Cars Co1 400K";"ACC_Cars_400K_Prop",#N/A,FALSE,"ACC Cars Co1 400K"}</definedName>
    <definedName name="xxx1" hidden="1">{"ACC_Cars_400K_PA",#N/A,FALSE,"ACC Cars Co1 400K";"ACC_Cars_400K_Prop",#N/A,FALSE,"ACC Cars Co1 400K"}</definedName>
    <definedName name="Year_1_Cost_Centers">[16]INDIRECTS!$S$3:$S$15</definedName>
    <definedName name="Year_2_BAH_Fee">[16]INDIRECTS!#REF!</definedName>
    <definedName name="Year_2_Cost_Centers">[16]INDIRECTS!#REF!</definedName>
    <definedName name="Year_2_Subcontractor_Fee">[16]INDIRECTS!#REF!</definedName>
    <definedName name="Year_3_BAH_Fee">[16]INDIRECTS!#REF!</definedName>
    <definedName name="Year_3_Cost_Centers">[16]INDIRECTS!#REF!</definedName>
    <definedName name="Year_3_Subcontractor_Fee">[16]INDIRECTS!#REF!</definedName>
    <definedName name="Year_4_BAH_Fee">[16]INDIRECTS!#REF!</definedName>
    <definedName name="Year_4_Cost_Centers">[16]INDIRECTS!#REF!</definedName>
    <definedName name="Year_4_Subcontractor_Fee">[16]INDIRECTS!#REF!</definedName>
    <definedName name="Year_5_BAH_Fee">[16]INDIRECTS!#REF!</definedName>
    <definedName name="Year_5_Cost_Centers">[16]INDIRECTS!#REF!</definedName>
    <definedName name="Year_5_Subcontractor_Fee">[16]INDIRECTS!#REF!</definedName>
    <definedName name="YEARS">#REF!</definedName>
    <definedName name="yes" localSheetId="3" hidden="1">{#N/A,#N/A,FALSE,"ManLoading"}</definedName>
    <definedName name="yes" localSheetId="4" hidden="1">{#N/A,#N/A,FALSE,"ManLoading"}</definedName>
    <definedName name="yes" localSheetId="5" hidden="1">{#N/A,#N/A,FALSE,"ManLoading"}</definedName>
    <definedName name="yes" localSheetId="2" hidden="1">{#N/A,#N/A,FALSE,"ManLoading"}</definedName>
    <definedName name="yes" localSheetId="6" hidden="1">{#N/A,#N/A,FALSE,"ManLoading"}</definedName>
    <definedName name="yes" localSheetId="1" hidden="1">{#N/A,#N/A,FALSE,"ManLoading"}</definedName>
    <definedName name="yes" localSheetId="7" hidden="1">{#N/A,#N/A,FALSE,"ManLoading"}</definedName>
    <definedName name="yes" hidden="1">{#N/A,#N/A,FALSE,"ManLoading"}</definedName>
    <definedName name="yes1" localSheetId="3" hidden="1">{#N/A,#N/A,FALSE,"ManLoading"}</definedName>
    <definedName name="yes1" localSheetId="4" hidden="1">{#N/A,#N/A,FALSE,"ManLoading"}</definedName>
    <definedName name="yes1" localSheetId="5" hidden="1">{#N/A,#N/A,FALSE,"ManLoading"}</definedName>
    <definedName name="yes1" localSheetId="2" hidden="1">{#N/A,#N/A,FALSE,"ManLoading"}</definedName>
    <definedName name="yes1" localSheetId="6" hidden="1">{#N/A,#N/A,FALSE,"ManLoading"}</definedName>
    <definedName name="yes1" localSheetId="7" hidden="1">{#N/A,#N/A,FALSE,"ManLoading"}</definedName>
    <definedName name="yes1" hidden="1">{#N/A,#N/A,FALSE,"ManLoading"}</definedName>
    <definedName name="YORN">#REF!</definedName>
    <definedName name="Yr1Consult">[54]DETAIL!$G$4</definedName>
    <definedName name="Yr1FI">[54]DETAIL!$G$8</definedName>
    <definedName name="Yr1ODC">[54]DETAIL!$G$7</definedName>
    <definedName name="Yr1Sal">[54]DETAIL!$G$3</definedName>
    <definedName name="Yr1Travel">[54]DETAIL!$G$6</definedName>
    <definedName name="Yr1Travel_Air">[54]DETAIL!$G$5</definedName>
    <definedName name="Yr2Consult">[54]DETAIL!$H$4</definedName>
    <definedName name="Yr2FI">[54]DETAIL!$H$8</definedName>
    <definedName name="Yr2FIfk">'[55]AED DETAILED BUDGET'!$H$7</definedName>
    <definedName name="Yr2ODC">[54]DETAIL!$H$7</definedName>
    <definedName name="Yr2ODCfk">'[55]AED DETAILED BUDGET'!$H$6</definedName>
    <definedName name="Yr2Sal">[54]DETAIL!$H$3</definedName>
    <definedName name="Yr2Travel">[54]DETAIL!$H$6</definedName>
    <definedName name="Yr2Travel_Air">[54]DETAIL!$H$5</definedName>
    <definedName name="Yr2travelfk">'[55]AED DETAILED BUDGET'!$H$5</definedName>
    <definedName name="Yr3Consult">[54]DETAIL!$J$4</definedName>
    <definedName name="Yr3FI">[54]DETAIL!$J$8</definedName>
    <definedName name="Yr3FIfk">'[55]AED DETAILED BUDGET'!$J$7</definedName>
    <definedName name="Yr3ODC">[54]DETAIL!$J$7</definedName>
    <definedName name="Yr3ODCfk">'[55]AED DETAILED BUDGET'!$J$6</definedName>
    <definedName name="Yr3Sal">[54]DETAIL!$J$3</definedName>
    <definedName name="Yr3Travel">[54]DETAIL!$J$6</definedName>
    <definedName name="Yr3Travel_Air">[54]DETAIL!$J$5</definedName>
    <definedName name="Yr4Consult">[54]DETAIL!$L$4</definedName>
    <definedName name="Yr4FI">[54]DETAIL!$L$8</definedName>
    <definedName name="Yr4FIfk">'[55]AED DETAILED BUDGET'!$L$7</definedName>
    <definedName name="Yr4ODC">[54]DETAIL!$L$7</definedName>
    <definedName name="Yr4ODCfk">'[55]AED DETAILED BUDGET'!$L$6</definedName>
    <definedName name="Yr4Sal">[54]DETAIL!$L$3</definedName>
    <definedName name="Yr4Salfk">'[55]AED DETAILED BUDGET'!$L$3</definedName>
    <definedName name="Yr4Travel">[54]DETAIL!$L$6</definedName>
    <definedName name="Yr4Travel_Air">[54]DETAIL!$L$5</definedName>
    <definedName name="Yr5Consult">[54]DETAIL!$N$4</definedName>
    <definedName name="Yr5FI">[54]DETAIL!$N$8</definedName>
    <definedName name="Yr5FIfk">'[55]AED DETAILED BUDGET'!$N$7</definedName>
    <definedName name="Yr5ODC">[54]DETAIL!$N$7</definedName>
    <definedName name="Yr5ODCfk">'[55]AED DETAILED BUDGET'!$N$6</definedName>
    <definedName name="Yr5Sal">[54]DETAIL!$N$3</definedName>
    <definedName name="Yr5Salfk">'[55]AED DETAILED BUDGET'!$N$3</definedName>
    <definedName name="Yr5Travel">[54]DETAIL!$N$6</definedName>
    <definedName name="Yr5Travel_Air">[54]DETAIL!$N$5</definedName>
    <definedName name="z" localSheetId="6">#REF!</definedName>
    <definedName name="z" localSheetId="7">#REF!</definedName>
    <definedName name="z">#REF!</definedName>
    <definedName name="ZDFR" localSheetId="3" hidden="1">{"PAGE1",#N/A,FALSE,"CPFFMSTR";"PAGE2",#N/A,FALSE,"CPFFMSTR"}</definedName>
    <definedName name="ZDFR" localSheetId="4" hidden="1">{"PAGE1",#N/A,FALSE,"CPFFMSTR";"PAGE2",#N/A,FALSE,"CPFFMSTR"}</definedName>
    <definedName name="ZDFR" localSheetId="5" hidden="1">{"PAGE1",#N/A,FALSE,"CPFFMSTR";"PAGE2",#N/A,FALSE,"CPFFMSTR"}</definedName>
    <definedName name="ZDFR" localSheetId="2" hidden="1">{"PAGE1",#N/A,FALSE,"CPFFMSTR";"PAGE2",#N/A,FALSE,"CPFFMSTR"}</definedName>
    <definedName name="ZDFR" localSheetId="6" hidden="1">{"PAGE1",#N/A,FALSE,"CPFFMSTR";"PAGE2",#N/A,FALSE,"CPFFMSTR"}</definedName>
    <definedName name="ZDFR" localSheetId="1" hidden="1">{"PAGE1",#N/A,FALSE,"CPFFMSTR";"PAGE2",#N/A,FALSE,"CPFFMSTR"}</definedName>
    <definedName name="ZDFR" localSheetId="7" hidden="1">{"PAGE1",#N/A,FALSE,"CPFFMSTR";"PAGE2",#N/A,FALSE,"CPFFMSTR"}</definedName>
    <definedName name="ZDFR" hidden="1">{"PAGE1",#N/A,FALSE,"CPFFMSTR";"PAGE2",#N/A,FALSE,"CPFFMSTR"}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64" i="28" l="1"/>
  <c r="B60" i="28"/>
  <c r="H94" i="4"/>
  <c r="H24" i="4"/>
  <c r="H22" i="4"/>
  <c r="H21" i="4"/>
  <c r="H14" i="4"/>
  <c r="H15" i="4"/>
  <c r="H23" i="4"/>
  <c r="H20" i="4"/>
  <c r="H18" i="4"/>
  <c r="H16" i="4"/>
  <c r="G101" i="4" l="1"/>
  <c r="T147" i="42"/>
  <c r="P147" i="42"/>
  <c r="L147" i="42"/>
  <c r="H147" i="42"/>
  <c r="D147" i="42"/>
  <c r="C147" i="42"/>
  <c r="G147" i="42" s="1"/>
  <c r="B147" i="42"/>
  <c r="A147" i="42"/>
  <c r="T87" i="45"/>
  <c r="P87" i="45"/>
  <c r="L87" i="45"/>
  <c r="H87" i="45"/>
  <c r="D87" i="45"/>
  <c r="C87" i="45"/>
  <c r="F87" i="45" s="1"/>
  <c r="B87" i="45"/>
  <c r="A87" i="45"/>
  <c r="H19" i="4"/>
  <c r="H17" i="4"/>
  <c r="H13" i="4"/>
  <c r="H12" i="4"/>
  <c r="J147" i="42" l="1"/>
  <c r="K147" i="42"/>
  <c r="F147" i="42"/>
  <c r="G87" i="45"/>
  <c r="U250" i="4"/>
  <c r="L250" i="4"/>
  <c r="I250" i="4"/>
  <c r="R250" i="4"/>
  <c r="H256" i="4"/>
  <c r="N147" i="42" l="1"/>
  <c r="O147" i="42"/>
  <c r="J87" i="45"/>
  <c r="K87" i="45"/>
  <c r="O250" i="4"/>
  <c r="V250" i="4" s="1"/>
  <c r="X250" i="4" s="1"/>
  <c r="H51" i="30"/>
  <c r="H104" i="30"/>
  <c r="H103" i="30"/>
  <c r="H102" i="30"/>
  <c r="H101" i="30"/>
  <c r="H100" i="30"/>
  <c r="H79" i="30"/>
  <c r="H78" i="30"/>
  <c r="H77" i="30"/>
  <c r="H76" i="30"/>
  <c r="H75" i="30"/>
  <c r="W180" i="4"/>
  <c r="S147" i="42" l="1"/>
  <c r="V147" i="42" s="1"/>
  <c r="R147" i="42"/>
  <c r="O87" i="45"/>
  <c r="N87" i="45"/>
  <c r="B25" i="39"/>
  <c r="C25" i="39"/>
  <c r="F25" i="39"/>
  <c r="I25" i="39"/>
  <c r="L25" i="39"/>
  <c r="O25" i="39"/>
  <c r="A25" i="42"/>
  <c r="B25" i="42"/>
  <c r="D25" i="42"/>
  <c r="H25" i="42"/>
  <c r="L25" i="42"/>
  <c r="P25" i="42"/>
  <c r="T25" i="42"/>
  <c r="A115" i="42"/>
  <c r="B115" i="42"/>
  <c r="C115" i="42"/>
  <c r="G115" i="42" s="1"/>
  <c r="K115" i="42" s="1"/>
  <c r="D115" i="42"/>
  <c r="H115" i="42"/>
  <c r="L115" i="42"/>
  <c r="P115" i="42"/>
  <c r="T115" i="42"/>
  <c r="A94" i="43"/>
  <c r="B94" i="43"/>
  <c r="C94" i="43"/>
  <c r="D94" i="43"/>
  <c r="H94" i="43"/>
  <c r="L94" i="43"/>
  <c r="P94" i="43"/>
  <c r="T94" i="43"/>
  <c r="E35" i="43"/>
  <c r="A25" i="43"/>
  <c r="B25" i="43"/>
  <c r="D25" i="43"/>
  <c r="H25" i="43"/>
  <c r="L25" i="43"/>
  <c r="P25" i="43"/>
  <c r="T25" i="43"/>
  <c r="A25" i="44"/>
  <c r="B25" i="44"/>
  <c r="A25" i="45"/>
  <c r="B25" i="45"/>
  <c r="A25" i="46"/>
  <c r="B25" i="46"/>
  <c r="T233" i="4"/>
  <c r="T234" i="4"/>
  <c r="T49" i="45" s="1"/>
  <c r="T236" i="4"/>
  <c r="T259" i="4"/>
  <c r="T106" i="45" s="1"/>
  <c r="T260" i="4"/>
  <c r="T174" i="42" s="1"/>
  <c r="Q259" i="4"/>
  <c r="P106" i="45" s="1"/>
  <c r="Q260" i="4"/>
  <c r="P174" i="42" s="1"/>
  <c r="N259" i="4"/>
  <c r="L173" i="42" s="1"/>
  <c r="N260" i="4"/>
  <c r="L174" i="42" s="1"/>
  <c r="K259" i="4"/>
  <c r="H106" i="45" s="1"/>
  <c r="K260" i="4"/>
  <c r="G260" i="4"/>
  <c r="D174" i="42" s="1"/>
  <c r="G259" i="4"/>
  <c r="D173" i="42" s="1"/>
  <c r="F259" i="4"/>
  <c r="B173" i="42" s="1"/>
  <c r="F260" i="4"/>
  <c r="B107" i="45" s="1"/>
  <c r="R101" i="4"/>
  <c r="H97" i="4"/>
  <c r="U96" i="4"/>
  <c r="R96" i="4"/>
  <c r="O96" i="4"/>
  <c r="L96" i="4"/>
  <c r="I96" i="4"/>
  <c r="G55" i="4"/>
  <c r="D282" i="4"/>
  <c r="E282" i="4"/>
  <c r="G282" i="4"/>
  <c r="D25" i="46" s="1"/>
  <c r="J282" i="4"/>
  <c r="I25" i="46" s="1"/>
  <c r="K282" i="4"/>
  <c r="H25" i="46" s="1"/>
  <c r="M282" i="4"/>
  <c r="M25" i="46" s="1"/>
  <c r="N282" i="4"/>
  <c r="L25" i="46" s="1"/>
  <c r="P282" i="4"/>
  <c r="Q25" i="46" s="1"/>
  <c r="Q282" i="4"/>
  <c r="P25" i="46" s="1"/>
  <c r="S282" i="4"/>
  <c r="U25" i="46" s="1"/>
  <c r="T282" i="4"/>
  <c r="T25" i="46" s="1"/>
  <c r="E202" i="4"/>
  <c r="E25" i="45" s="1"/>
  <c r="D202" i="4"/>
  <c r="G202" i="4"/>
  <c r="D25" i="45" s="1"/>
  <c r="J202" i="4"/>
  <c r="I25" i="45" s="1"/>
  <c r="K202" i="4"/>
  <c r="H25" i="45" s="1"/>
  <c r="M202" i="4"/>
  <c r="M25" i="45" s="1"/>
  <c r="N202" i="4"/>
  <c r="L25" i="45" s="1"/>
  <c r="P202" i="4"/>
  <c r="Q25" i="45" s="1"/>
  <c r="Q202" i="4"/>
  <c r="P25" i="45" s="1"/>
  <c r="S202" i="4"/>
  <c r="U25" i="45" s="1"/>
  <c r="T202" i="4"/>
  <c r="T25" i="45" s="1"/>
  <c r="D145" i="4"/>
  <c r="E145" i="4"/>
  <c r="E25" i="44" s="1"/>
  <c r="G145" i="4"/>
  <c r="D25" i="44" s="1"/>
  <c r="J145" i="4"/>
  <c r="I25" i="44" s="1"/>
  <c r="K145" i="4"/>
  <c r="H25" i="44" s="1"/>
  <c r="M145" i="4"/>
  <c r="M25" i="44" s="1"/>
  <c r="N145" i="4"/>
  <c r="L25" i="44" s="1"/>
  <c r="P145" i="4"/>
  <c r="Q25" i="44" s="1"/>
  <c r="Q145" i="4"/>
  <c r="P25" i="44" s="1"/>
  <c r="S145" i="4"/>
  <c r="U25" i="44" s="1"/>
  <c r="T145" i="4"/>
  <c r="S26" i="4"/>
  <c r="U25" i="43" s="1"/>
  <c r="P26" i="4"/>
  <c r="M26" i="4"/>
  <c r="J26" i="4"/>
  <c r="E26" i="4"/>
  <c r="H125" i="30"/>
  <c r="B125" i="30"/>
  <c r="B100" i="30"/>
  <c r="B75" i="30"/>
  <c r="H50" i="30"/>
  <c r="B50" i="30"/>
  <c r="H25" i="30"/>
  <c r="B25" i="30"/>
  <c r="H26" i="4"/>
  <c r="C25" i="42" s="1"/>
  <c r="G25" i="42" s="1"/>
  <c r="D22" i="47"/>
  <c r="D21" i="47"/>
  <c r="A26" i="42"/>
  <c r="A96" i="43"/>
  <c r="A113" i="42"/>
  <c r="P33" i="47"/>
  <c r="P32" i="47"/>
  <c r="P31" i="47"/>
  <c r="P30" i="47"/>
  <c r="P29" i="47"/>
  <c r="D33" i="47"/>
  <c r="D32" i="47"/>
  <c r="D31" i="47"/>
  <c r="D30" i="47"/>
  <c r="D29" i="47"/>
  <c r="T75" i="42"/>
  <c r="B75" i="42"/>
  <c r="A75" i="42"/>
  <c r="D143" i="42"/>
  <c r="H143" i="42"/>
  <c r="T57" i="45"/>
  <c r="B57" i="45"/>
  <c r="A57" i="45"/>
  <c r="T56" i="45"/>
  <c r="B56" i="45"/>
  <c r="A56" i="45"/>
  <c r="T55" i="45"/>
  <c r="B55" i="45"/>
  <c r="A55" i="45"/>
  <c r="B54" i="45"/>
  <c r="A54" i="45"/>
  <c r="B53" i="45"/>
  <c r="A53" i="45"/>
  <c r="B49" i="45"/>
  <c r="A49" i="45"/>
  <c r="T62" i="45"/>
  <c r="P62" i="45"/>
  <c r="L62" i="45"/>
  <c r="H62" i="45"/>
  <c r="D62" i="45"/>
  <c r="C62" i="45"/>
  <c r="G62" i="45" s="1"/>
  <c r="B62" i="45"/>
  <c r="A62" i="45"/>
  <c r="T169" i="42"/>
  <c r="P169" i="42"/>
  <c r="L169" i="42"/>
  <c r="H169" i="42"/>
  <c r="D169" i="42"/>
  <c r="C169" i="42"/>
  <c r="G169" i="42" s="1"/>
  <c r="K169" i="42" s="1"/>
  <c r="B169" i="42"/>
  <c r="A169" i="42"/>
  <c r="H174" i="42"/>
  <c r="C174" i="42"/>
  <c r="G174" i="42" s="1"/>
  <c r="K174" i="42" s="1"/>
  <c r="O174" i="42" s="1"/>
  <c r="S174" i="42" s="1"/>
  <c r="A174" i="42"/>
  <c r="T173" i="42"/>
  <c r="C173" i="42"/>
  <c r="G173" i="42" s="1"/>
  <c r="K173" i="42" s="1"/>
  <c r="O173" i="42" s="1"/>
  <c r="S173" i="42" s="1"/>
  <c r="A173" i="42"/>
  <c r="T48" i="45"/>
  <c r="A48" i="45"/>
  <c r="B48" i="45"/>
  <c r="C48" i="45"/>
  <c r="T47" i="45"/>
  <c r="A47" i="45"/>
  <c r="B47" i="45"/>
  <c r="C47" i="45"/>
  <c r="T44" i="45"/>
  <c r="P44" i="45"/>
  <c r="L44" i="45"/>
  <c r="H44" i="45"/>
  <c r="D44" i="45"/>
  <c r="B44" i="45"/>
  <c r="A44" i="45"/>
  <c r="H107" i="45"/>
  <c r="C107" i="45"/>
  <c r="G107" i="45" s="1"/>
  <c r="K107" i="45" s="1"/>
  <c r="O107" i="45" s="1"/>
  <c r="S107" i="45" s="1"/>
  <c r="A107" i="45"/>
  <c r="D106" i="45"/>
  <c r="C106" i="45"/>
  <c r="G106" i="45" s="1"/>
  <c r="K106" i="45" s="1"/>
  <c r="O106" i="45" s="1"/>
  <c r="S106" i="45" s="1"/>
  <c r="A106" i="45"/>
  <c r="T155" i="42"/>
  <c r="P155" i="42"/>
  <c r="L155" i="42"/>
  <c r="H155" i="42"/>
  <c r="D155" i="42"/>
  <c r="C155" i="42"/>
  <c r="G155" i="42" s="1"/>
  <c r="B155" i="42"/>
  <c r="A155" i="42"/>
  <c r="T43" i="45"/>
  <c r="P43" i="45"/>
  <c r="A143" i="42"/>
  <c r="T141" i="42"/>
  <c r="P141" i="42"/>
  <c r="L141" i="42"/>
  <c r="H141" i="42"/>
  <c r="D141" i="42"/>
  <c r="B141" i="42"/>
  <c r="A141" i="42"/>
  <c r="T140" i="42"/>
  <c r="P140" i="42"/>
  <c r="L140" i="42"/>
  <c r="H140" i="42"/>
  <c r="D140" i="42"/>
  <c r="B140" i="42"/>
  <c r="A140" i="42"/>
  <c r="T139" i="42"/>
  <c r="P139" i="42"/>
  <c r="L139" i="42"/>
  <c r="H139" i="42"/>
  <c r="D139" i="42"/>
  <c r="C139" i="42"/>
  <c r="G139" i="42" s="1"/>
  <c r="B139" i="42"/>
  <c r="A139" i="42"/>
  <c r="L43" i="45"/>
  <c r="H43" i="45"/>
  <c r="D43" i="45"/>
  <c r="T138" i="42"/>
  <c r="P138" i="42"/>
  <c r="L138" i="42"/>
  <c r="H138" i="42"/>
  <c r="D138" i="42"/>
  <c r="B138" i="42"/>
  <c r="A138" i="42"/>
  <c r="A43" i="45"/>
  <c r="D131" i="42"/>
  <c r="C131" i="42"/>
  <c r="G131" i="42" s="1"/>
  <c r="B131" i="42"/>
  <c r="A131" i="42"/>
  <c r="B43" i="45"/>
  <c r="M34" i="45"/>
  <c r="T91" i="42"/>
  <c r="P91" i="42"/>
  <c r="L91" i="42"/>
  <c r="H91" i="42"/>
  <c r="D91" i="42"/>
  <c r="C91" i="42"/>
  <c r="G91" i="42" s="1"/>
  <c r="B91" i="42"/>
  <c r="A91" i="42"/>
  <c r="T89" i="42"/>
  <c r="P89" i="42"/>
  <c r="B36" i="45"/>
  <c r="L89" i="42"/>
  <c r="B35" i="45"/>
  <c r="H89" i="42"/>
  <c r="D89" i="42"/>
  <c r="C89" i="42"/>
  <c r="G89" i="42" s="1"/>
  <c r="B89" i="42"/>
  <c r="A89" i="42"/>
  <c r="B77" i="42"/>
  <c r="A77" i="42"/>
  <c r="B72" i="42"/>
  <c r="A72" i="42"/>
  <c r="B73" i="42"/>
  <c r="A73" i="42"/>
  <c r="B74" i="42"/>
  <c r="A74" i="42"/>
  <c r="B71" i="42"/>
  <c r="A71" i="42"/>
  <c r="T69" i="42"/>
  <c r="P69" i="42"/>
  <c r="L69" i="42"/>
  <c r="H69" i="42"/>
  <c r="D69" i="42"/>
  <c r="C69" i="42"/>
  <c r="G69" i="42" s="1"/>
  <c r="B69" i="42"/>
  <c r="A69" i="42"/>
  <c r="C66" i="42"/>
  <c r="G66" i="42" s="1"/>
  <c r="B66" i="42"/>
  <c r="A66" i="42"/>
  <c r="T47" i="42"/>
  <c r="P47" i="42"/>
  <c r="L47" i="42"/>
  <c r="H47" i="42"/>
  <c r="D47" i="42"/>
  <c r="B47" i="42"/>
  <c r="A47" i="42"/>
  <c r="T46" i="42"/>
  <c r="P46" i="42"/>
  <c r="L46" i="42"/>
  <c r="H46" i="42"/>
  <c r="D46" i="42"/>
  <c r="B46" i="42"/>
  <c r="A46" i="42"/>
  <c r="T60" i="42"/>
  <c r="C60" i="42"/>
  <c r="G60" i="42" s="1"/>
  <c r="B60" i="42"/>
  <c r="A60" i="42"/>
  <c r="T59" i="42"/>
  <c r="P59" i="42"/>
  <c r="L59" i="42"/>
  <c r="H59" i="42"/>
  <c r="D59" i="42"/>
  <c r="C59" i="42"/>
  <c r="G59" i="42" s="1"/>
  <c r="B59" i="42"/>
  <c r="A59" i="42"/>
  <c r="B58" i="42"/>
  <c r="A58" i="42"/>
  <c r="T56" i="42"/>
  <c r="C56" i="42"/>
  <c r="G56" i="42" s="1"/>
  <c r="B56" i="42"/>
  <c r="A56" i="42"/>
  <c r="T57" i="42"/>
  <c r="C57" i="42"/>
  <c r="G57" i="42" s="1"/>
  <c r="B57" i="42"/>
  <c r="A57" i="42"/>
  <c r="T55" i="42"/>
  <c r="C55" i="42"/>
  <c r="G55" i="42" s="1"/>
  <c r="B55" i="42"/>
  <c r="A55" i="42"/>
  <c r="T54" i="42"/>
  <c r="C54" i="42"/>
  <c r="G54" i="42" s="1"/>
  <c r="B54" i="42"/>
  <c r="A54" i="42"/>
  <c r="B36" i="42"/>
  <c r="B35" i="42"/>
  <c r="T84" i="44"/>
  <c r="A35" i="42"/>
  <c r="P84" i="44"/>
  <c r="A11" i="42"/>
  <c r="B11" i="42"/>
  <c r="D11" i="42"/>
  <c r="H11" i="42"/>
  <c r="L11" i="42"/>
  <c r="P11" i="42"/>
  <c r="T11" i="42"/>
  <c r="A12" i="42"/>
  <c r="B12" i="42"/>
  <c r="D12" i="42"/>
  <c r="H12" i="42"/>
  <c r="L12" i="42"/>
  <c r="P12" i="42"/>
  <c r="T12" i="42"/>
  <c r="A13" i="42"/>
  <c r="B13" i="42"/>
  <c r="D13" i="42"/>
  <c r="H13" i="42"/>
  <c r="L13" i="42"/>
  <c r="P13" i="42"/>
  <c r="T13" i="42"/>
  <c r="A14" i="42"/>
  <c r="B14" i="42"/>
  <c r="D14" i="42"/>
  <c r="H14" i="42"/>
  <c r="L14" i="42"/>
  <c r="P14" i="42"/>
  <c r="T14" i="42"/>
  <c r="A15" i="42"/>
  <c r="B15" i="42"/>
  <c r="D15" i="42"/>
  <c r="H15" i="42"/>
  <c r="L15" i="42"/>
  <c r="P15" i="42"/>
  <c r="T15" i="42"/>
  <c r="A16" i="42"/>
  <c r="B16" i="42"/>
  <c r="D16" i="42"/>
  <c r="H16" i="42"/>
  <c r="L16" i="42"/>
  <c r="P16" i="42"/>
  <c r="T16" i="42"/>
  <c r="A17" i="42"/>
  <c r="B17" i="42"/>
  <c r="D17" i="42"/>
  <c r="H17" i="42"/>
  <c r="L17" i="42"/>
  <c r="P17" i="42"/>
  <c r="T17" i="42"/>
  <c r="A18" i="42"/>
  <c r="B18" i="42"/>
  <c r="D18" i="42"/>
  <c r="H18" i="42"/>
  <c r="L18" i="42"/>
  <c r="P18" i="42"/>
  <c r="T18" i="42"/>
  <c r="A19" i="42"/>
  <c r="B19" i="42"/>
  <c r="D19" i="42"/>
  <c r="H19" i="42"/>
  <c r="L19" i="42"/>
  <c r="P19" i="42"/>
  <c r="T19" i="42"/>
  <c r="A20" i="42"/>
  <c r="B20" i="42"/>
  <c r="D20" i="42"/>
  <c r="H20" i="42"/>
  <c r="L20" i="42"/>
  <c r="P20" i="42"/>
  <c r="T20" i="42"/>
  <c r="A21" i="42"/>
  <c r="B21" i="42"/>
  <c r="D21" i="42"/>
  <c r="H21" i="42"/>
  <c r="L21" i="42"/>
  <c r="P21" i="42"/>
  <c r="T21" i="42"/>
  <c r="A22" i="42"/>
  <c r="B22" i="42"/>
  <c r="D22" i="42"/>
  <c r="H22" i="42"/>
  <c r="L22" i="42"/>
  <c r="P22" i="42"/>
  <c r="T22" i="42"/>
  <c r="T10" i="42"/>
  <c r="P10" i="42"/>
  <c r="L10" i="42"/>
  <c r="H10" i="42"/>
  <c r="D10" i="42"/>
  <c r="B10" i="42"/>
  <c r="A10" i="42"/>
  <c r="L84" i="44"/>
  <c r="V7" i="42"/>
  <c r="R7" i="42"/>
  <c r="N7" i="42"/>
  <c r="J7" i="42"/>
  <c r="F7" i="42"/>
  <c r="H84" i="44"/>
  <c r="T120" i="43"/>
  <c r="P120" i="43"/>
  <c r="L120" i="43"/>
  <c r="H120" i="43"/>
  <c r="D120" i="43"/>
  <c r="C120" i="43"/>
  <c r="G120" i="43" s="1"/>
  <c r="B120" i="43"/>
  <c r="A120" i="43"/>
  <c r="D84" i="44"/>
  <c r="C84" i="44"/>
  <c r="G84" i="44" s="1"/>
  <c r="K84" i="44" s="1"/>
  <c r="B84" i="44"/>
  <c r="A84" i="44"/>
  <c r="E64" i="43"/>
  <c r="A56" i="44"/>
  <c r="B56" i="44"/>
  <c r="C56" i="44"/>
  <c r="G56" i="44" s="1"/>
  <c r="D56" i="44"/>
  <c r="H56" i="44"/>
  <c r="L56" i="44"/>
  <c r="P56" i="44"/>
  <c r="T56" i="44"/>
  <c r="C64" i="43"/>
  <c r="T59" i="43"/>
  <c r="P59" i="43"/>
  <c r="L59" i="43"/>
  <c r="H59" i="43"/>
  <c r="D59" i="43"/>
  <c r="C59" i="43"/>
  <c r="G59" i="43" s="1"/>
  <c r="B59" i="43"/>
  <c r="A59" i="43"/>
  <c r="C56" i="43"/>
  <c r="G56" i="43" s="1"/>
  <c r="B56" i="43"/>
  <c r="A56" i="43"/>
  <c r="B36" i="43"/>
  <c r="B35" i="43"/>
  <c r="A35" i="43"/>
  <c r="F44" i="44"/>
  <c r="J44" i="44"/>
  <c r="N44" i="44"/>
  <c r="R44" i="44"/>
  <c r="V44" i="44"/>
  <c r="A12" i="43"/>
  <c r="B12" i="43"/>
  <c r="D12" i="43"/>
  <c r="H12" i="43"/>
  <c r="L12" i="43"/>
  <c r="P12" i="43"/>
  <c r="T12" i="43"/>
  <c r="A13" i="43"/>
  <c r="B13" i="43"/>
  <c r="D13" i="43"/>
  <c r="H13" i="43"/>
  <c r="L13" i="43"/>
  <c r="P13" i="43"/>
  <c r="T13" i="43"/>
  <c r="A14" i="43"/>
  <c r="B14" i="43"/>
  <c r="D14" i="43"/>
  <c r="H14" i="43"/>
  <c r="L14" i="43"/>
  <c r="P14" i="43"/>
  <c r="T14" i="43"/>
  <c r="A15" i="43"/>
  <c r="B15" i="43"/>
  <c r="D15" i="43"/>
  <c r="H15" i="43"/>
  <c r="L15" i="43"/>
  <c r="P15" i="43"/>
  <c r="T15" i="43"/>
  <c r="A16" i="43"/>
  <c r="B16" i="43"/>
  <c r="D16" i="43"/>
  <c r="H16" i="43"/>
  <c r="L16" i="43"/>
  <c r="P16" i="43"/>
  <c r="T16" i="43"/>
  <c r="A17" i="43"/>
  <c r="B17" i="43"/>
  <c r="D17" i="43"/>
  <c r="H17" i="43"/>
  <c r="L17" i="43"/>
  <c r="P17" i="43"/>
  <c r="T17" i="43"/>
  <c r="A18" i="43"/>
  <c r="B18" i="43"/>
  <c r="D18" i="43"/>
  <c r="H18" i="43"/>
  <c r="L18" i="43"/>
  <c r="P18" i="43"/>
  <c r="T18" i="43"/>
  <c r="A19" i="43"/>
  <c r="B19" i="43"/>
  <c r="D19" i="43"/>
  <c r="H19" i="43"/>
  <c r="L19" i="43"/>
  <c r="P19" i="43"/>
  <c r="T19" i="43"/>
  <c r="A20" i="43"/>
  <c r="B20" i="43"/>
  <c r="D20" i="43"/>
  <c r="H20" i="43"/>
  <c r="L20" i="43"/>
  <c r="P20" i="43"/>
  <c r="T20" i="43"/>
  <c r="A21" i="43"/>
  <c r="B21" i="43"/>
  <c r="D21" i="43"/>
  <c r="H21" i="43"/>
  <c r="L21" i="43"/>
  <c r="P21" i="43"/>
  <c r="T21" i="43"/>
  <c r="A22" i="43"/>
  <c r="B22" i="43"/>
  <c r="D22" i="43"/>
  <c r="H22" i="43"/>
  <c r="L22" i="43"/>
  <c r="P22" i="43"/>
  <c r="T22" i="43"/>
  <c r="B52" i="44"/>
  <c r="A52" i="44"/>
  <c r="T10" i="43"/>
  <c r="P10" i="43"/>
  <c r="L10" i="43"/>
  <c r="H10" i="43"/>
  <c r="D10" i="43"/>
  <c r="B10" i="43"/>
  <c r="A10" i="43"/>
  <c r="T48" i="44"/>
  <c r="A48" i="44"/>
  <c r="B48" i="44"/>
  <c r="C48" i="44"/>
  <c r="G48" i="44" s="1"/>
  <c r="A47" i="44"/>
  <c r="B47" i="44"/>
  <c r="C47" i="44"/>
  <c r="G47" i="44" s="1"/>
  <c r="T47" i="44"/>
  <c r="V39" i="43"/>
  <c r="R39" i="43"/>
  <c r="N39" i="43"/>
  <c r="J39" i="43"/>
  <c r="F39" i="43"/>
  <c r="V7" i="43"/>
  <c r="R7" i="43"/>
  <c r="N7" i="43"/>
  <c r="J7" i="43"/>
  <c r="F7" i="43"/>
  <c r="B50" i="46"/>
  <c r="A50" i="46"/>
  <c r="T46" i="46"/>
  <c r="C46" i="46"/>
  <c r="G46" i="46" s="1"/>
  <c r="B46" i="46"/>
  <c r="A46" i="46"/>
  <c r="T45" i="46"/>
  <c r="P45" i="46"/>
  <c r="L45" i="46"/>
  <c r="H45" i="46"/>
  <c r="D45" i="46"/>
  <c r="C45" i="46"/>
  <c r="G45" i="46" s="1"/>
  <c r="B45" i="46"/>
  <c r="A45" i="46"/>
  <c r="H246" i="4"/>
  <c r="C83" i="45" s="1"/>
  <c r="G83" i="45" s="1"/>
  <c r="H247" i="4"/>
  <c r="C84" i="45" s="1"/>
  <c r="G84" i="45" s="1"/>
  <c r="H244" i="4"/>
  <c r="C81" i="45" s="1"/>
  <c r="G81" i="45" s="1"/>
  <c r="H243" i="4"/>
  <c r="B36" i="44"/>
  <c r="B35" i="44"/>
  <c r="A22" i="44"/>
  <c r="B22" i="44"/>
  <c r="F7" i="44"/>
  <c r="J7" i="44"/>
  <c r="N7" i="44"/>
  <c r="R7" i="44"/>
  <c r="V7" i="44"/>
  <c r="A10" i="44"/>
  <c r="B10" i="44"/>
  <c r="T84" i="45"/>
  <c r="P84" i="45"/>
  <c r="L84" i="45"/>
  <c r="H84" i="45"/>
  <c r="D84" i="45"/>
  <c r="B84" i="45"/>
  <c r="A84" i="45"/>
  <c r="T83" i="45"/>
  <c r="P83" i="45"/>
  <c r="L83" i="45"/>
  <c r="H83" i="45"/>
  <c r="D83" i="45"/>
  <c r="B83" i="45"/>
  <c r="A83" i="45"/>
  <c r="T82" i="45"/>
  <c r="P82" i="45"/>
  <c r="L82" i="45"/>
  <c r="H82" i="45"/>
  <c r="D82" i="45"/>
  <c r="C82" i="45"/>
  <c r="B82" i="45"/>
  <c r="A82" i="45"/>
  <c r="T81" i="45"/>
  <c r="P81" i="45"/>
  <c r="L81" i="45"/>
  <c r="H81" i="45"/>
  <c r="D81" i="45"/>
  <c r="B81" i="45"/>
  <c r="A81" i="45"/>
  <c r="V7" i="45"/>
  <c r="R7" i="45"/>
  <c r="N7" i="45"/>
  <c r="J7" i="45"/>
  <c r="F7" i="45"/>
  <c r="A22" i="45"/>
  <c r="B22" i="45"/>
  <c r="D22" i="45"/>
  <c r="H22" i="45"/>
  <c r="L22" i="45"/>
  <c r="P22" i="45"/>
  <c r="T22" i="45"/>
  <c r="A11" i="45"/>
  <c r="B11" i="45"/>
  <c r="D11" i="45"/>
  <c r="H11" i="45"/>
  <c r="L11" i="45"/>
  <c r="P11" i="45"/>
  <c r="T11" i="45"/>
  <c r="A12" i="45"/>
  <c r="B12" i="45"/>
  <c r="D12" i="45"/>
  <c r="H12" i="45"/>
  <c r="L12" i="45"/>
  <c r="P12" i="45"/>
  <c r="T12" i="45"/>
  <c r="A13" i="45"/>
  <c r="B13" i="45"/>
  <c r="D13" i="45"/>
  <c r="H13" i="45"/>
  <c r="L13" i="45"/>
  <c r="P13" i="45"/>
  <c r="T13" i="45"/>
  <c r="A14" i="45"/>
  <c r="B14" i="45"/>
  <c r="D14" i="45"/>
  <c r="H14" i="45"/>
  <c r="L14" i="45"/>
  <c r="P14" i="45"/>
  <c r="T14" i="45"/>
  <c r="A15" i="45"/>
  <c r="B15" i="45"/>
  <c r="D15" i="45"/>
  <c r="H15" i="45"/>
  <c r="L15" i="45"/>
  <c r="P15" i="45"/>
  <c r="T15" i="45"/>
  <c r="A16" i="45"/>
  <c r="B16" i="45"/>
  <c r="D16" i="45"/>
  <c r="H16" i="45"/>
  <c r="L16" i="45"/>
  <c r="P16" i="45"/>
  <c r="T16" i="45"/>
  <c r="A17" i="45"/>
  <c r="B17" i="45"/>
  <c r="D17" i="45"/>
  <c r="H17" i="45"/>
  <c r="L17" i="45"/>
  <c r="P17" i="45"/>
  <c r="T17" i="45"/>
  <c r="A18" i="45"/>
  <c r="B18" i="45"/>
  <c r="D18" i="45"/>
  <c r="H18" i="45"/>
  <c r="L18" i="45"/>
  <c r="P18" i="45"/>
  <c r="T18" i="45"/>
  <c r="A19" i="45"/>
  <c r="B19" i="45"/>
  <c r="D19" i="45"/>
  <c r="H19" i="45"/>
  <c r="L19" i="45"/>
  <c r="P19" i="45"/>
  <c r="T19" i="45"/>
  <c r="A20" i="45"/>
  <c r="B20" i="45"/>
  <c r="D20" i="45"/>
  <c r="H20" i="45"/>
  <c r="L20" i="45"/>
  <c r="P20" i="45"/>
  <c r="T20" i="45"/>
  <c r="A21" i="45"/>
  <c r="B21" i="45"/>
  <c r="D21" i="45"/>
  <c r="H21" i="45"/>
  <c r="L21" i="45"/>
  <c r="P21" i="45"/>
  <c r="T21" i="45"/>
  <c r="T10" i="45"/>
  <c r="P10" i="45"/>
  <c r="L10" i="45"/>
  <c r="H10" i="45"/>
  <c r="D10" i="45"/>
  <c r="B10" i="45"/>
  <c r="A10" i="45"/>
  <c r="B36" i="46"/>
  <c r="B35" i="46"/>
  <c r="V7" i="46"/>
  <c r="R7" i="46"/>
  <c r="N7" i="46"/>
  <c r="J7" i="46"/>
  <c r="F7" i="46"/>
  <c r="A11" i="46"/>
  <c r="B11" i="46"/>
  <c r="D11" i="46"/>
  <c r="H11" i="46"/>
  <c r="L11" i="46"/>
  <c r="P11" i="46"/>
  <c r="T11" i="46"/>
  <c r="A12" i="46"/>
  <c r="B12" i="46"/>
  <c r="D12" i="46"/>
  <c r="H12" i="46"/>
  <c r="L12" i="46"/>
  <c r="P12" i="46"/>
  <c r="T12" i="46"/>
  <c r="A13" i="46"/>
  <c r="B13" i="46"/>
  <c r="D13" i="46"/>
  <c r="H13" i="46"/>
  <c r="L13" i="46"/>
  <c r="P13" i="46"/>
  <c r="T13" i="46"/>
  <c r="A14" i="46"/>
  <c r="B14" i="46"/>
  <c r="D14" i="46"/>
  <c r="H14" i="46"/>
  <c r="L14" i="46"/>
  <c r="P14" i="46"/>
  <c r="T14" i="46"/>
  <c r="A15" i="46"/>
  <c r="B15" i="46"/>
  <c r="D15" i="46"/>
  <c r="H15" i="46"/>
  <c r="L15" i="46"/>
  <c r="P15" i="46"/>
  <c r="T15" i="46"/>
  <c r="A16" i="46"/>
  <c r="B16" i="46"/>
  <c r="D16" i="46"/>
  <c r="H16" i="46"/>
  <c r="L16" i="46"/>
  <c r="P16" i="46"/>
  <c r="T16" i="46"/>
  <c r="A17" i="46"/>
  <c r="B17" i="46"/>
  <c r="D17" i="46"/>
  <c r="H17" i="46"/>
  <c r="L17" i="46"/>
  <c r="P17" i="46"/>
  <c r="T17" i="46"/>
  <c r="A18" i="46"/>
  <c r="B18" i="46"/>
  <c r="D18" i="46"/>
  <c r="H18" i="46"/>
  <c r="L18" i="46"/>
  <c r="P18" i="46"/>
  <c r="T18" i="46"/>
  <c r="A19" i="46"/>
  <c r="B19" i="46"/>
  <c r="D19" i="46"/>
  <c r="H19" i="46"/>
  <c r="L19" i="46"/>
  <c r="P19" i="46"/>
  <c r="T19" i="46"/>
  <c r="A20" i="46"/>
  <c r="B20" i="46"/>
  <c r="D20" i="46"/>
  <c r="H20" i="46"/>
  <c r="L20" i="46"/>
  <c r="P20" i="46"/>
  <c r="T20" i="46"/>
  <c r="A21" i="46"/>
  <c r="B21" i="46"/>
  <c r="D21" i="46"/>
  <c r="H21" i="46"/>
  <c r="L21" i="46"/>
  <c r="P21" i="46"/>
  <c r="T21" i="46"/>
  <c r="A22" i="46"/>
  <c r="B22" i="46"/>
  <c r="D22" i="46"/>
  <c r="H22" i="46"/>
  <c r="L22" i="46"/>
  <c r="P22" i="46"/>
  <c r="T22" i="46"/>
  <c r="T10" i="46"/>
  <c r="P10" i="46"/>
  <c r="L10" i="46"/>
  <c r="H10" i="46"/>
  <c r="D10" i="46"/>
  <c r="B10" i="46"/>
  <c r="A10" i="46"/>
  <c r="P146" i="4"/>
  <c r="Q146" i="4"/>
  <c r="U325" i="4"/>
  <c r="W222" i="4"/>
  <c r="W207" i="4"/>
  <c r="W126" i="4"/>
  <c r="W114" i="4"/>
  <c r="L102" i="4"/>
  <c r="L100" i="4"/>
  <c r="L98" i="4"/>
  <c r="L97" i="4"/>
  <c r="I97" i="4"/>
  <c r="I93" i="4"/>
  <c r="W84" i="4"/>
  <c r="R54" i="4"/>
  <c r="R48" i="4"/>
  <c r="R52" i="4"/>
  <c r="R42" i="4"/>
  <c r="O54" i="4"/>
  <c r="O48" i="4"/>
  <c r="O52" i="4"/>
  <c r="O42" i="4"/>
  <c r="L54" i="4"/>
  <c r="L52" i="4"/>
  <c r="L48" i="4"/>
  <c r="G43" i="4"/>
  <c r="I52" i="4"/>
  <c r="I48" i="4"/>
  <c r="L42" i="4"/>
  <c r="I42" i="4"/>
  <c r="C19" i="42"/>
  <c r="C20" i="42"/>
  <c r="G20" i="42" s="1"/>
  <c r="Q233" i="4"/>
  <c r="P74" i="42" s="1"/>
  <c r="Q234" i="4"/>
  <c r="P58" i="42" s="1"/>
  <c r="Q235" i="4"/>
  <c r="P56" i="45" s="1"/>
  <c r="Q236" i="4"/>
  <c r="P57" i="45" s="1"/>
  <c r="N233" i="4"/>
  <c r="L74" i="42" s="1"/>
  <c r="N234" i="4"/>
  <c r="L58" i="42" s="1"/>
  <c r="N235" i="4"/>
  <c r="L56" i="45" s="1"/>
  <c r="N236" i="4"/>
  <c r="L57" i="45" s="1"/>
  <c r="K233" i="4"/>
  <c r="H74" i="42" s="1"/>
  <c r="K234" i="4"/>
  <c r="H58" i="42" s="1"/>
  <c r="K235" i="4"/>
  <c r="H56" i="45" s="1"/>
  <c r="K236" i="4"/>
  <c r="H57" i="45" s="1"/>
  <c r="G235" i="4"/>
  <c r="D56" i="45" s="1"/>
  <c r="Q169" i="4"/>
  <c r="R169" i="4" s="1"/>
  <c r="G227" i="4"/>
  <c r="G228" i="4" s="1"/>
  <c r="I228" i="4" s="1"/>
  <c r="N169" i="4"/>
  <c r="O169" i="4" s="1"/>
  <c r="K169" i="4"/>
  <c r="K170" i="4" s="1"/>
  <c r="K171" i="4" s="1"/>
  <c r="H71" i="42" s="1"/>
  <c r="G169" i="4"/>
  <c r="D47" i="44" s="1"/>
  <c r="C22" i="43"/>
  <c r="G22" i="43" s="1"/>
  <c r="C14" i="42"/>
  <c r="C15" i="42"/>
  <c r="G15" i="42" s="1"/>
  <c r="C13" i="42"/>
  <c r="C12" i="46"/>
  <c r="C17" i="43"/>
  <c r="E13" i="4"/>
  <c r="J13" i="4"/>
  <c r="M13" i="4"/>
  <c r="P13" i="4"/>
  <c r="S13" i="4"/>
  <c r="E14" i="4"/>
  <c r="E12" i="43" s="1"/>
  <c r="J14" i="4"/>
  <c r="I12" i="43" s="1"/>
  <c r="M14" i="4"/>
  <c r="M12" i="43" s="1"/>
  <c r="P14" i="4"/>
  <c r="Q12" i="43" s="1"/>
  <c r="S14" i="4"/>
  <c r="U12" i="43" s="1"/>
  <c r="E15" i="4"/>
  <c r="E13" i="43" s="1"/>
  <c r="J15" i="4"/>
  <c r="I13" i="43" s="1"/>
  <c r="M15" i="4"/>
  <c r="M13" i="43" s="1"/>
  <c r="P15" i="4"/>
  <c r="Q13" i="43" s="1"/>
  <c r="S15" i="4"/>
  <c r="U13" i="43" s="1"/>
  <c r="E16" i="4"/>
  <c r="E14" i="43" s="1"/>
  <c r="J16" i="4"/>
  <c r="I14" i="43" s="1"/>
  <c r="M16" i="4"/>
  <c r="M14" i="43" s="1"/>
  <c r="P16" i="4"/>
  <c r="Q14" i="43" s="1"/>
  <c r="R16" i="4"/>
  <c r="S16" i="4"/>
  <c r="U14" i="43" s="1"/>
  <c r="E17" i="4"/>
  <c r="E15" i="43" s="1"/>
  <c r="J17" i="4"/>
  <c r="I15" i="43" s="1"/>
  <c r="M17" i="4"/>
  <c r="M15" i="43" s="1"/>
  <c r="P17" i="4"/>
  <c r="Q15" i="43" s="1"/>
  <c r="S17" i="4"/>
  <c r="U15" i="43" s="1"/>
  <c r="E18" i="4"/>
  <c r="E16" i="43" s="1"/>
  <c r="C16" i="43"/>
  <c r="J18" i="4"/>
  <c r="I16" i="43" s="1"/>
  <c r="M18" i="4"/>
  <c r="M16" i="43" s="1"/>
  <c r="P18" i="4"/>
  <c r="Q16" i="43" s="1"/>
  <c r="S18" i="4"/>
  <c r="U16" i="43" s="1"/>
  <c r="E19" i="4"/>
  <c r="E17" i="43" s="1"/>
  <c r="J19" i="4"/>
  <c r="I17" i="43" s="1"/>
  <c r="M19" i="4"/>
  <c r="M17" i="43" s="1"/>
  <c r="P19" i="4"/>
  <c r="Q17" i="43" s="1"/>
  <c r="S19" i="4"/>
  <c r="U17" i="43" s="1"/>
  <c r="E20" i="4"/>
  <c r="E18" i="43" s="1"/>
  <c r="C18" i="42"/>
  <c r="G18" i="42" s="1"/>
  <c r="J20" i="4"/>
  <c r="I18" i="43" s="1"/>
  <c r="M20" i="4"/>
  <c r="M18" i="43" s="1"/>
  <c r="P20" i="4"/>
  <c r="Q18" i="43" s="1"/>
  <c r="S20" i="4"/>
  <c r="U18" i="43" s="1"/>
  <c r="E21" i="4"/>
  <c r="E19" i="43" s="1"/>
  <c r="J21" i="4"/>
  <c r="I19" i="43" s="1"/>
  <c r="M21" i="4"/>
  <c r="M19" i="43" s="1"/>
  <c r="P21" i="4"/>
  <c r="Q19" i="43" s="1"/>
  <c r="S21" i="4"/>
  <c r="U19" i="43" s="1"/>
  <c r="E22" i="4"/>
  <c r="E20" i="43" s="1"/>
  <c r="J22" i="4"/>
  <c r="M22" i="4"/>
  <c r="P22" i="4"/>
  <c r="Q20" i="43" s="1"/>
  <c r="S22" i="4"/>
  <c r="U20" i="43" s="1"/>
  <c r="E23" i="4"/>
  <c r="E21" i="43" s="1"/>
  <c r="J23" i="4"/>
  <c r="I21" i="43" s="1"/>
  <c r="M23" i="4"/>
  <c r="M21" i="43" s="1"/>
  <c r="P23" i="4"/>
  <c r="Q21" i="43" s="1"/>
  <c r="S23" i="4"/>
  <c r="E24" i="4"/>
  <c r="E22" i="43" s="1"/>
  <c r="J24" i="4"/>
  <c r="I22" i="43" s="1"/>
  <c r="M24" i="4"/>
  <c r="M22" i="43" s="1"/>
  <c r="P24" i="4"/>
  <c r="R24" i="4" s="1"/>
  <c r="S24" i="4"/>
  <c r="U22" i="43" s="1"/>
  <c r="B12" i="39"/>
  <c r="C12" i="39"/>
  <c r="F12" i="39"/>
  <c r="I12" i="39"/>
  <c r="L12" i="39"/>
  <c r="O12" i="39"/>
  <c r="B13" i="39"/>
  <c r="C13" i="39"/>
  <c r="F13" i="39"/>
  <c r="I13" i="39"/>
  <c r="L13" i="39"/>
  <c r="O13" i="39"/>
  <c r="B14" i="39"/>
  <c r="C14" i="39"/>
  <c r="F14" i="39"/>
  <c r="I14" i="39"/>
  <c r="L14" i="39"/>
  <c r="O14" i="39"/>
  <c r="B15" i="39"/>
  <c r="C15" i="39"/>
  <c r="F15" i="39"/>
  <c r="I15" i="39"/>
  <c r="L15" i="39"/>
  <c r="O15" i="39"/>
  <c r="B16" i="39"/>
  <c r="C16" i="39"/>
  <c r="F16" i="39"/>
  <c r="I16" i="39"/>
  <c r="L16" i="39"/>
  <c r="O16" i="39"/>
  <c r="B17" i="39"/>
  <c r="C17" i="39"/>
  <c r="F17" i="39"/>
  <c r="I17" i="39"/>
  <c r="L17" i="39"/>
  <c r="O17" i="39"/>
  <c r="B18" i="39"/>
  <c r="C18" i="39"/>
  <c r="F18" i="39"/>
  <c r="I18" i="39"/>
  <c r="L18" i="39"/>
  <c r="O18" i="39"/>
  <c r="B19" i="39"/>
  <c r="C19" i="39"/>
  <c r="F19" i="39"/>
  <c r="I19" i="39"/>
  <c r="L19" i="39"/>
  <c r="O19" i="39"/>
  <c r="B20" i="39"/>
  <c r="C20" i="39"/>
  <c r="F20" i="39"/>
  <c r="I20" i="39"/>
  <c r="L20" i="39"/>
  <c r="O20" i="39"/>
  <c r="B21" i="39"/>
  <c r="C21" i="39"/>
  <c r="F21" i="39"/>
  <c r="I21" i="39"/>
  <c r="L21" i="39"/>
  <c r="O21" i="39"/>
  <c r="B22" i="39"/>
  <c r="C22" i="39"/>
  <c r="F22" i="39"/>
  <c r="I22" i="39"/>
  <c r="L22" i="39"/>
  <c r="O22" i="39"/>
  <c r="B23" i="39"/>
  <c r="C23" i="39"/>
  <c r="F23" i="39"/>
  <c r="I23" i="39"/>
  <c r="L23" i="39"/>
  <c r="O23" i="39"/>
  <c r="B11" i="39"/>
  <c r="Q227" i="4"/>
  <c r="R227" i="4" s="1"/>
  <c r="N227" i="4"/>
  <c r="O227" i="4" s="1"/>
  <c r="K227" i="4"/>
  <c r="L227" i="4" s="1"/>
  <c r="G256" i="4"/>
  <c r="H236" i="4"/>
  <c r="C57" i="45" s="1"/>
  <c r="G57" i="45" s="1"/>
  <c r="H235" i="4"/>
  <c r="R235" i="4" s="1"/>
  <c r="H234" i="4"/>
  <c r="C58" i="42" s="1"/>
  <c r="G58" i="42" s="1"/>
  <c r="H233" i="4"/>
  <c r="C74" i="42" s="1"/>
  <c r="G74" i="42" s="1"/>
  <c r="H232" i="4"/>
  <c r="C47" i="42" s="1"/>
  <c r="G236" i="4"/>
  <c r="D57" i="45" s="1"/>
  <c r="U246" i="4"/>
  <c r="O245" i="4"/>
  <c r="T257" i="4"/>
  <c r="T104" i="45" s="1"/>
  <c r="Q257" i="4"/>
  <c r="P171" i="42" s="1"/>
  <c r="N257" i="4"/>
  <c r="L171" i="42" s="1"/>
  <c r="K257" i="4"/>
  <c r="H171" i="42" s="1"/>
  <c r="G257" i="4"/>
  <c r="D104" i="45" s="1"/>
  <c r="F258" i="4"/>
  <c r="B105" i="45" s="1"/>
  <c r="F257" i="4"/>
  <c r="B171" i="42" s="1"/>
  <c r="D258" i="4"/>
  <c r="A172" i="42" s="1"/>
  <c r="D257" i="4"/>
  <c r="A171" i="42" s="1"/>
  <c r="H231" i="4"/>
  <c r="H258" i="4" s="1"/>
  <c r="C172" i="42" s="1"/>
  <c r="G172" i="42" s="1"/>
  <c r="K172" i="42" s="1"/>
  <c r="O172" i="42" s="1"/>
  <c r="S172" i="42" s="1"/>
  <c r="H230" i="4"/>
  <c r="R230" i="4" s="1"/>
  <c r="T231" i="4"/>
  <c r="T258" i="4" s="1"/>
  <c r="T172" i="42" s="1"/>
  <c r="Q231" i="4"/>
  <c r="Q258" i="4" s="1"/>
  <c r="P172" i="42" s="1"/>
  <c r="N231" i="4"/>
  <c r="N258" i="4" s="1"/>
  <c r="L172" i="42" s="1"/>
  <c r="G231" i="4"/>
  <c r="G258" i="4" s="1"/>
  <c r="D172" i="42" s="1"/>
  <c r="K231" i="4"/>
  <c r="K258" i="4" s="1"/>
  <c r="H172" i="42" s="1"/>
  <c r="T221" i="4"/>
  <c r="U221" i="4" s="1"/>
  <c r="Q221" i="4"/>
  <c r="R221" i="4" s="1"/>
  <c r="R222" i="4" s="1"/>
  <c r="N221" i="4"/>
  <c r="O221" i="4" s="1"/>
  <c r="O222" i="4" s="1"/>
  <c r="K221" i="4"/>
  <c r="L221" i="4" s="1"/>
  <c r="L222" i="4" s="1"/>
  <c r="I221" i="4"/>
  <c r="I222" i="4" s="1"/>
  <c r="U227" i="4"/>
  <c r="U228" i="4"/>
  <c r="H229" i="4"/>
  <c r="C72" i="42" s="1"/>
  <c r="G72" i="42" s="1"/>
  <c r="T229" i="4"/>
  <c r="T72" i="42" s="1"/>
  <c r="W308" i="4"/>
  <c r="I305" i="4"/>
  <c r="L305" i="4"/>
  <c r="O305" i="4"/>
  <c r="R305" i="4"/>
  <c r="U305" i="4"/>
  <c r="G306" i="4"/>
  <c r="I306" i="4" s="1"/>
  <c r="K306" i="4"/>
  <c r="L306" i="4" s="1"/>
  <c r="N306" i="4"/>
  <c r="O306" i="4" s="1"/>
  <c r="Q306" i="4"/>
  <c r="Q307" i="4" s="1"/>
  <c r="P77" i="42" s="1"/>
  <c r="U306" i="4"/>
  <c r="H307" i="4"/>
  <c r="C77" i="42" s="1"/>
  <c r="T307" i="4"/>
  <c r="T77" i="42" s="1"/>
  <c r="W172" i="4"/>
  <c r="U169" i="4"/>
  <c r="U170" i="4"/>
  <c r="H171" i="4"/>
  <c r="C71" i="42" s="1"/>
  <c r="G71" i="42" s="1"/>
  <c r="T171" i="4"/>
  <c r="T52" i="44" s="1"/>
  <c r="H112" i="4"/>
  <c r="U101" i="4"/>
  <c r="O101" i="4"/>
  <c r="L101" i="4"/>
  <c r="I101" i="4"/>
  <c r="H173" i="42" l="1"/>
  <c r="B174" i="42"/>
  <c r="P107" i="45"/>
  <c r="D107" i="45"/>
  <c r="L107" i="45"/>
  <c r="L106" i="45"/>
  <c r="T107" i="45"/>
  <c r="W147" i="42"/>
  <c r="S87" i="45"/>
  <c r="V87" i="45" s="1"/>
  <c r="R87" i="45"/>
  <c r="U25" i="42"/>
  <c r="F94" i="43"/>
  <c r="C20" i="43"/>
  <c r="G20" i="43" s="1"/>
  <c r="K20" i="43" s="1"/>
  <c r="D60" i="42"/>
  <c r="V96" i="4"/>
  <c r="X96" i="4" s="1"/>
  <c r="T54" i="45"/>
  <c r="R26" i="4"/>
  <c r="B106" i="45"/>
  <c r="D171" i="42"/>
  <c r="U26" i="4"/>
  <c r="H145" i="4"/>
  <c r="C25" i="44" s="1"/>
  <c r="G25" i="44" s="1"/>
  <c r="J25" i="44" s="1"/>
  <c r="H282" i="4"/>
  <c r="C25" i="46" s="1"/>
  <c r="G25" i="46" s="1"/>
  <c r="J25" i="46" s="1"/>
  <c r="C25" i="43"/>
  <c r="G25" i="43" s="1"/>
  <c r="P25" i="39"/>
  <c r="L54" i="42"/>
  <c r="C44" i="45"/>
  <c r="F44" i="45" s="1"/>
  <c r="T171" i="42"/>
  <c r="C53" i="45"/>
  <c r="G53" i="45" s="1"/>
  <c r="C55" i="45"/>
  <c r="G55" i="45" s="1"/>
  <c r="K55" i="45" s="1"/>
  <c r="T25" i="44"/>
  <c r="D105" i="45"/>
  <c r="D57" i="42"/>
  <c r="F57" i="42" s="1"/>
  <c r="P131" i="42"/>
  <c r="C140" i="42"/>
  <c r="G140" i="42" s="1"/>
  <c r="K140" i="42" s="1"/>
  <c r="P47" i="45"/>
  <c r="B172" i="42"/>
  <c r="P173" i="42"/>
  <c r="T53" i="45"/>
  <c r="F25" i="44"/>
  <c r="U234" i="4"/>
  <c r="L13" i="4"/>
  <c r="T131" i="42"/>
  <c r="H104" i="45"/>
  <c r="L26" i="4"/>
  <c r="C43" i="45"/>
  <c r="G43" i="45" s="1"/>
  <c r="K43" i="45" s="1"/>
  <c r="O26" i="4"/>
  <c r="H202" i="4"/>
  <c r="C25" i="45" s="1"/>
  <c r="G25" i="45" s="1"/>
  <c r="J25" i="45" s="1"/>
  <c r="C54" i="45"/>
  <c r="G54" i="45" s="1"/>
  <c r="K54" i="45" s="1"/>
  <c r="E25" i="46"/>
  <c r="D25" i="39"/>
  <c r="E25" i="43"/>
  <c r="I26" i="4"/>
  <c r="Q25" i="43"/>
  <c r="Q25" i="42" s="1"/>
  <c r="M25" i="39"/>
  <c r="R145" i="4"/>
  <c r="J25" i="39"/>
  <c r="M25" i="43"/>
  <c r="M25" i="42" s="1"/>
  <c r="I25" i="43"/>
  <c r="I25" i="42" s="1"/>
  <c r="J25" i="42" s="1"/>
  <c r="L282" i="4"/>
  <c r="L145" i="4"/>
  <c r="G25" i="39"/>
  <c r="K25" i="42"/>
  <c r="F115" i="42"/>
  <c r="N115" i="42"/>
  <c r="O115" i="42"/>
  <c r="J115" i="42"/>
  <c r="G94" i="43"/>
  <c r="K25" i="44"/>
  <c r="L16" i="4"/>
  <c r="I169" i="4"/>
  <c r="R13" i="4"/>
  <c r="C19" i="43"/>
  <c r="G19" i="43" s="1"/>
  <c r="J19" i="43" s="1"/>
  <c r="R244" i="4"/>
  <c r="D46" i="46"/>
  <c r="F46" i="46" s="1"/>
  <c r="P47" i="44"/>
  <c r="C12" i="43"/>
  <c r="G12" i="43" s="1"/>
  <c r="J12" i="43" s="1"/>
  <c r="P56" i="42"/>
  <c r="H131" i="42"/>
  <c r="J131" i="42" s="1"/>
  <c r="L104" i="45"/>
  <c r="P105" i="45"/>
  <c r="H47" i="45"/>
  <c r="P49" i="45"/>
  <c r="L54" i="45"/>
  <c r="L55" i="45"/>
  <c r="P75" i="42"/>
  <c r="U235" i="4"/>
  <c r="C56" i="45"/>
  <c r="G56" i="45" s="1"/>
  <c r="J56" i="45" s="1"/>
  <c r="H105" i="45"/>
  <c r="H49" i="45"/>
  <c r="D54" i="45"/>
  <c r="H75" i="42"/>
  <c r="N170" i="4"/>
  <c r="O170" i="4" s="1"/>
  <c r="L131" i="42"/>
  <c r="P104" i="45"/>
  <c r="T105" i="45"/>
  <c r="L47" i="45"/>
  <c r="P54" i="45"/>
  <c r="P55" i="45"/>
  <c r="U233" i="4"/>
  <c r="H73" i="42"/>
  <c r="C141" i="42"/>
  <c r="G141" i="42" s="1"/>
  <c r="J141" i="42" s="1"/>
  <c r="O247" i="4"/>
  <c r="I23" i="4"/>
  <c r="P50" i="46"/>
  <c r="T71" i="42"/>
  <c r="B104" i="45"/>
  <c r="C105" i="45"/>
  <c r="G105" i="45" s="1"/>
  <c r="K105" i="45" s="1"/>
  <c r="O105" i="45" s="1"/>
  <c r="S105" i="45" s="1"/>
  <c r="D47" i="45"/>
  <c r="F47" i="45" s="1"/>
  <c r="D48" i="45"/>
  <c r="F48" i="45" s="1"/>
  <c r="C49" i="45"/>
  <c r="G49" i="45" s="1"/>
  <c r="K49" i="45" s="1"/>
  <c r="C75" i="42"/>
  <c r="G75" i="42" s="1"/>
  <c r="K75" i="42" s="1"/>
  <c r="U236" i="4"/>
  <c r="H48" i="44"/>
  <c r="J48" i="44" s="1"/>
  <c r="F131" i="42"/>
  <c r="C138" i="42"/>
  <c r="G138" i="42" s="1"/>
  <c r="J138" i="42" s="1"/>
  <c r="L105" i="45"/>
  <c r="L49" i="45"/>
  <c r="H54" i="45"/>
  <c r="H55" i="45"/>
  <c r="L75" i="42"/>
  <c r="A104" i="45"/>
  <c r="A105" i="45"/>
  <c r="F57" i="45"/>
  <c r="K57" i="45"/>
  <c r="J57" i="45"/>
  <c r="K53" i="45"/>
  <c r="G44" i="45"/>
  <c r="K44" i="45" s="1"/>
  <c r="O44" i="45" s="1"/>
  <c r="G47" i="45"/>
  <c r="K62" i="45"/>
  <c r="J62" i="45"/>
  <c r="F62" i="45"/>
  <c r="G48" i="45"/>
  <c r="F169" i="42"/>
  <c r="F155" i="42"/>
  <c r="F172" i="42"/>
  <c r="J169" i="42"/>
  <c r="J174" i="42"/>
  <c r="F174" i="42"/>
  <c r="J173" i="42"/>
  <c r="F173" i="42"/>
  <c r="N172" i="42"/>
  <c r="F107" i="45"/>
  <c r="F106" i="45"/>
  <c r="J106" i="45"/>
  <c r="K155" i="42"/>
  <c r="J155" i="42"/>
  <c r="K139" i="42"/>
  <c r="J139" i="42"/>
  <c r="F139" i="42"/>
  <c r="K131" i="42"/>
  <c r="K91" i="42"/>
  <c r="J91" i="42"/>
  <c r="F91" i="42"/>
  <c r="K89" i="42"/>
  <c r="J89" i="42"/>
  <c r="F89" i="42"/>
  <c r="U23" i="4"/>
  <c r="O22" i="4"/>
  <c r="U20" i="4"/>
  <c r="L47" i="44"/>
  <c r="Q22" i="43"/>
  <c r="C14" i="43"/>
  <c r="G14" i="43" s="1"/>
  <c r="K14" i="43" s="1"/>
  <c r="O14" i="43" s="1"/>
  <c r="D54" i="42"/>
  <c r="F54" i="42" s="1"/>
  <c r="C73" i="42"/>
  <c r="G73" i="42" s="1"/>
  <c r="G170" i="4"/>
  <c r="I170" i="4" s="1"/>
  <c r="L22" i="4"/>
  <c r="O24" i="4"/>
  <c r="C21" i="45"/>
  <c r="G21" i="45" s="1"/>
  <c r="K21" i="45" s="1"/>
  <c r="C20" i="45"/>
  <c r="G20" i="45" s="1"/>
  <c r="C19" i="45"/>
  <c r="G19" i="45" s="1"/>
  <c r="C18" i="45"/>
  <c r="G18" i="45" s="1"/>
  <c r="K18" i="45" s="1"/>
  <c r="C17" i="45"/>
  <c r="G17" i="45" s="1"/>
  <c r="K17" i="45" s="1"/>
  <c r="C16" i="45"/>
  <c r="G16" i="45" s="1"/>
  <c r="C15" i="45"/>
  <c r="G15" i="45" s="1"/>
  <c r="C14" i="45"/>
  <c r="G14" i="45" s="1"/>
  <c r="C13" i="45"/>
  <c r="G13" i="45" s="1"/>
  <c r="C12" i="45"/>
  <c r="G12" i="45" s="1"/>
  <c r="C11" i="45"/>
  <c r="G11" i="45" s="1"/>
  <c r="C22" i="45"/>
  <c r="G22" i="45" s="1"/>
  <c r="K22" i="45" s="1"/>
  <c r="C50" i="46"/>
  <c r="G50" i="46" s="1"/>
  <c r="K50" i="46" s="1"/>
  <c r="O50" i="46" s="1"/>
  <c r="H47" i="44"/>
  <c r="J47" i="44" s="1"/>
  <c r="H54" i="42"/>
  <c r="J54" i="42" s="1"/>
  <c r="H55" i="42"/>
  <c r="J55" i="42" s="1"/>
  <c r="C46" i="42"/>
  <c r="F46" i="42" s="1"/>
  <c r="D73" i="42"/>
  <c r="L19" i="4"/>
  <c r="C22" i="46"/>
  <c r="G22" i="46" s="1"/>
  <c r="C21" i="46"/>
  <c r="G21" i="46" s="1"/>
  <c r="C20" i="46"/>
  <c r="G20" i="46" s="1"/>
  <c r="K20" i="46" s="1"/>
  <c r="O20" i="46" s="1"/>
  <c r="C19" i="46"/>
  <c r="G19" i="46" s="1"/>
  <c r="K19" i="46" s="1"/>
  <c r="C18" i="46"/>
  <c r="G18" i="46" s="1"/>
  <c r="K18" i="46" s="1"/>
  <c r="C17" i="46"/>
  <c r="G17" i="46" s="1"/>
  <c r="K17" i="46" s="1"/>
  <c r="C16" i="46"/>
  <c r="G16" i="46" s="1"/>
  <c r="C15" i="46"/>
  <c r="G15" i="46" s="1"/>
  <c r="K15" i="46" s="1"/>
  <c r="C14" i="46"/>
  <c r="G14" i="46" s="1"/>
  <c r="C13" i="46"/>
  <c r="G13" i="46" s="1"/>
  <c r="C11" i="46"/>
  <c r="G11" i="46" s="1"/>
  <c r="K11" i="46" s="1"/>
  <c r="F82" i="45"/>
  <c r="H46" i="46"/>
  <c r="J46" i="46" s="1"/>
  <c r="T50" i="46"/>
  <c r="U21" i="43"/>
  <c r="C15" i="43"/>
  <c r="G15" i="43" s="1"/>
  <c r="J15" i="43" s="1"/>
  <c r="P54" i="42"/>
  <c r="H60" i="42"/>
  <c r="J60" i="42" s="1"/>
  <c r="L73" i="42"/>
  <c r="L46" i="46"/>
  <c r="M20" i="43"/>
  <c r="C18" i="43"/>
  <c r="G18" i="43" s="1"/>
  <c r="J18" i="43" s="1"/>
  <c r="C52" i="44"/>
  <c r="D56" i="42"/>
  <c r="F56" i="42" s="1"/>
  <c r="L60" i="42"/>
  <c r="P73" i="42"/>
  <c r="R14" i="4"/>
  <c r="P46" i="46"/>
  <c r="C21" i="43"/>
  <c r="G21" i="43" s="1"/>
  <c r="C13" i="43"/>
  <c r="F13" i="43" s="1"/>
  <c r="H52" i="44"/>
  <c r="C22" i="42"/>
  <c r="G22" i="42" s="1"/>
  <c r="C21" i="42"/>
  <c r="G21" i="42" s="1"/>
  <c r="K21" i="42" s="1"/>
  <c r="O21" i="42" s="1"/>
  <c r="C17" i="42"/>
  <c r="G17" i="42" s="1"/>
  <c r="K17" i="42" s="1"/>
  <c r="C16" i="42"/>
  <c r="G16" i="42" s="1"/>
  <c r="K16" i="42" s="1"/>
  <c r="C12" i="42"/>
  <c r="G12" i="42" s="1"/>
  <c r="K12" i="42" s="1"/>
  <c r="C11" i="42"/>
  <c r="G11" i="42" s="1"/>
  <c r="H56" i="42"/>
  <c r="J56" i="42" s="1"/>
  <c r="P60" i="42"/>
  <c r="T73" i="42"/>
  <c r="U22" i="4"/>
  <c r="I20" i="43"/>
  <c r="L56" i="42"/>
  <c r="G77" i="42"/>
  <c r="K77" i="42" s="1"/>
  <c r="O77" i="42" s="1"/>
  <c r="K72" i="42"/>
  <c r="K74" i="42"/>
  <c r="J74" i="42"/>
  <c r="K71" i="42"/>
  <c r="O71" i="42" s="1"/>
  <c r="J71" i="42"/>
  <c r="K69" i="42"/>
  <c r="J69" i="42"/>
  <c r="F69" i="42"/>
  <c r="K66" i="42"/>
  <c r="F47" i="42"/>
  <c r="G47" i="42"/>
  <c r="F60" i="42"/>
  <c r="K60" i="42"/>
  <c r="K59" i="42"/>
  <c r="J59" i="42"/>
  <c r="F59" i="42"/>
  <c r="K58" i="42"/>
  <c r="J58" i="42"/>
  <c r="K56" i="42"/>
  <c r="K57" i="42"/>
  <c r="K55" i="42"/>
  <c r="N84" i="44"/>
  <c r="O84" i="44"/>
  <c r="F84" i="44"/>
  <c r="K54" i="42"/>
  <c r="K15" i="42"/>
  <c r="K20" i="42"/>
  <c r="G19" i="42"/>
  <c r="G13" i="42"/>
  <c r="K18" i="42"/>
  <c r="G14" i="42"/>
  <c r="W7" i="42"/>
  <c r="J84" i="44"/>
  <c r="K120" i="43"/>
  <c r="J120" i="43"/>
  <c r="F120" i="43"/>
  <c r="J56" i="44"/>
  <c r="F56" i="44"/>
  <c r="K56" i="44"/>
  <c r="W44" i="44"/>
  <c r="K59" i="43"/>
  <c r="J59" i="43"/>
  <c r="F59" i="43"/>
  <c r="K56" i="43"/>
  <c r="F17" i="43"/>
  <c r="F16" i="43"/>
  <c r="F47" i="44"/>
  <c r="F19" i="43"/>
  <c r="W39" i="43"/>
  <c r="F22" i="43"/>
  <c r="G17" i="43"/>
  <c r="J17" i="43" s="1"/>
  <c r="K22" i="43"/>
  <c r="J22" i="43"/>
  <c r="G16" i="43"/>
  <c r="W7" i="43"/>
  <c r="K48" i="44"/>
  <c r="K47" i="44"/>
  <c r="W7" i="44"/>
  <c r="W7" i="46"/>
  <c r="F45" i="46"/>
  <c r="K46" i="46"/>
  <c r="K45" i="46"/>
  <c r="J45" i="46"/>
  <c r="K84" i="45"/>
  <c r="J84" i="45"/>
  <c r="F84" i="45"/>
  <c r="G82" i="45"/>
  <c r="K82" i="45" s="1"/>
  <c r="O82" i="45" s="1"/>
  <c r="K83" i="45"/>
  <c r="J83" i="45"/>
  <c r="F83" i="45"/>
  <c r="K81" i="45"/>
  <c r="J81" i="45"/>
  <c r="F81" i="45"/>
  <c r="W7" i="45"/>
  <c r="G12" i="46"/>
  <c r="K12" i="46" s="1"/>
  <c r="L20" i="4"/>
  <c r="I22" i="4"/>
  <c r="L21" i="4"/>
  <c r="O21" i="4"/>
  <c r="I15" i="4"/>
  <c r="O20" i="4"/>
  <c r="O18" i="4"/>
  <c r="O17" i="4"/>
  <c r="I20" i="4"/>
  <c r="O13" i="4"/>
  <c r="O19" i="4"/>
  <c r="I16" i="4"/>
  <c r="I19" i="4"/>
  <c r="I24" i="4"/>
  <c r="L24" i="4"/>
  <c r="O23" i="4"/>
  <c r="L23" i="4"/>
  <c r="U17" i="4"/>
  <c r="I17" i="4"/>
  <c r="L14" i="4"/>
  <c r="R18" i="4"/>
  <c r="I14" i="4"/>
  <c r="O16" i="4"/>
  <c r="I18" i="4"/>
  <c r="L15" i="4"/>
  <c r="U15" i="4"/>
  <c r="I21" i="4"/>
  <c r="I13" i="4"/>
  <c r="L18" i="4"/>
  <c r="O15" i="4"/>
  <c r="L17" i="4"/>
  <c r="O14" i="4"/>
  <c r="Q170" i="4"/>
  <c r="R170" i="4" s="1"/>
  <c r="U18" i="4"/>
  <c r="R21" i="4"/>
  <c r="U14" i="4"/>
  <c r="I227" i="4"/>
  <c r="V227" i="4" s="1"/>
  <c r="X227" i="4" s="1"/>
  <c r="L169" i="4"/>
  <c r="U13" i="4"/>
  <c r="R19" i="4"/>
  <c r="R22" i="4"/>
  <c r="R20" i="4"/>
  <c r="R23" i="4"/>
  <c r="U21" i="4"/>
  <c r="R15" i="4"/>
  <c r="R17" i="4"/>
  <c r="U24" i="4"/>
  <c r="U16" i="4"/>
  <c r="U19" i="4"/>
  <c r="Q228" i="4"/>
  <c r="P48" i="45" s="1"/>
  <c r="N228" i="4"/>
  <c r="L48" i="45" s="1"/>
  <c r="K228" i="4"/>
  <c r="H48" i="45" s="1"/>
  <c r="L235" i="4"/>
  <c r="I236" i="4"/>
  <c r="I235" i="4"/>
  <c r="O236" i="4"/>
  <c r="R236" i="4"/>
  <c r="L236" i="4"/>
  <c r="O235" i="4"/>
  <c r="I246" i="4"/>
  <c r="O246" i="4"/>
  <c r="R246" i="4"/>
  <c r="L246" i="4"/>
  <c r="L247" i="4"/>
  <c r="R247" i="4"/>
  <c r="U247" i="4"/>
  <c r="I247" i="4"/>
  <c r="W259" i="4"/>
  <c r="U245" i="4"/>
  <c r="I245" i="4"/>
  <c r="R245" i="4"/>
  <c r="L245" i="4"/>
  <c r="W258" i="4"/>
  <c r="W260" i="4"/>
  <c r="U230" i="4"/>
  <c r="H257" i="4"/>
  <c r="O230" i="4"/>
  <c r="I230" i="4"/>
  <c r="L231" i="4"/>
  <c r="O244" i="4"/>
  <c r="N307" i="4"/>
  <c r="I231" i="4"/>
  <c r="U244" i="4"/>
  <c r="O231" i="4"/>
  <c r="R231" i="4"/>
  <c r="K307" i="4"/>
  <c r="U231" i="4"/>
  <c r="L230" i="4"/>
  <c r="R306" i="4"/>
  <c r="V306" i="4" s="1"/>
  <c r="X306" i="4" s="1"/>
  <c r="V305" i="4"/>
  <c r="X305" i="4" s="1"/>
  <c r="U229" i="4"/>
  <c r="I244" i="4"/>
  <c r="L244" i="4"/>
  <c r="U307" i="4"/>
  <c r="V221" i="4"/>
  <c r="U171" i="4"/>
  <c r="G229" i="4"/>
  <c r="D53" i="45" s="1"/>
  <c r="V101" i="4"/>
  <c r="X101" i="4" s="1"/>
  <c r="R307" i="4"/>
  <c r="G307" i="4"/>
  <c r="L171" i="4"/>
  <c r="L170" i="4"/>
  <c r="I61" i="4"/>
  <c r="H103" i="4"/>
  <c r="L103" i="4" s="1"/>
  <c r="O145" i="4" l="1"/>
  <c r="F54" i="45"/>
  <c r="R202" i="4"/>
  <c r="O202" i="4"/>
  <c r="K25" i="46"/>
  <c r="I145" i="4"/>
  <c r="W87" i="45"/>
  <c r="F53" i="45"/>
  <c r="V169" i="4"/>
  <c r="X169" i="4" s="1"/>
  <c r="F20" i="43"/>
  <c r="V24" i="4"/>
  <c r="X24" i="4" s="1"/>
  <c r="J20" i="43"/>
  <c r="F21" i="43"/>
  <c r="K19" i="43"/>
  <c r="O19" i="43" s="1"/>
  <c r="J140" i="42"/>
  <c r="F140" i="42"/>
  <c r="J55" i="45"/>
  <c r="J105" i="45"/>
  <c r="J25" i="43"/>
  <c r="K25" i="43"/>
  <c r="N25" i="43" s="1"/>
  <c r="K25" i="45"/>
  <c r="N25" i="45" s="1"/>
  <c r="L202" i="4"/>
  <c r="F25" i="46"/>
  <c r="U282" i="4"/>
  <c r="I202" i="4"/>
  <c r="L48" i="44"/>
  <c r="N48" i="44" s="1"/>
  <c r="J54" i="45"/>
  <c r="E25" i="42"/>
  <c r="F25" i="42" s="1"/>
  <c r="U202" i="4"/>
  <c r="I282" i="4"/>
  <c r="V20" i="4"/>
  <c r="X20" i="4" s="1"/>
  <c r="N171" i="4"/>
  <c r="L71" i="42" s="1"/>
  <c r="N71" i="42" s="1"/>
  <c r="O282" i="4"/>
  <c r="F25" i="45"/>
  <c r="R282" i="4"/>
  <c r="N25" i="39" s="1"/>
  <c r="U145" i="4"/>
  <c r="V145" i="4" s="1"/>
  <c r="X145" i="4" s="1"/>
  <c r="V26" i="4"/>
  <c r="X26" i="4" s="1"/>
  <c r="F25" i="43"/>
  <c r="N25" i="42"/>
  <c r="O25" i="42"/>
  <c r="K141" i="42"/>
  <c r="O141" i="42" s="1"/>
  <c r="K138" i="42"/>
  <c r="O138" i="42" s="1"/>
  <c r="S115" i="42"/>
  <c r="V115" i="42" s="1"/>
  <c r="R115" i="42"/>
  <c r="J75" i="42"/>
  <c r="F141" i="42"/>
  <c r="K94" i="43"/>
  <c r="J94" i="43"/>
  <c r="O25" i="44"/>
  <c r="N25" i="44"/>
  <c r="O25" i="45"/>
  <c r="K56" i="45"/>
  <c r="O56" i="45" s="1"/>
  <c r="J47" i="45"/>
  <c r="J49" i="45"/>
  <c r="F56" i="45"/>
  <c r="N25" i="46"/>
  <c r="O25" i="46"/>
  <c r="J48" i="45"/>
  <c r="K12" i="43"/>
  <c r="O12" i="43" s="1"/>
  <c r="F138" i="42"/>
  <c r="W257" i="4"/>
  <c r="C104" i="45"/>
  <c r="C171" i="42"/>
  <c r="L55" i="42"/>
  <c r="N55" i="42" s="1"/>
  <c r="J73" i="42"/>
  <c r="F12" i="43"/>
  <c r="F105" i="45"/>
  <c r="G13" i="43"/>
  <c r="J13" i="43" s="1"/>
  <c r="K15" i="43"/>
  <c r="N15" i="43" s="1"/>
  <c r="F15" i="43"/>
  <c r="O75" i="42"/>
  <c r="N75" i="42"/>
  <c r="O57" i="45"/>
  <c r="N57" i="45"/>
  <c r="O55" i="45"/>
  <c r="N55" i="45"/>
  <c r="N54" i="45"/>
  <c r="O54" i="45"/>
  <c r="O53" i="45"/>
  <c r="K48" i="45"/>
  <c r="N48" i="45" s="1"/>
  <c r="O49" i="45"/>
  <c r="N49" i="45"/>
  <c r="J44" i="45"/>
  <c r="N44" i="45"/>
  <c r="K47" i="45"/>
  <c r="O47" i="45" s="1"/>
  <c r="O62" i="45"/>
  <c r="N62" i="45"/>
  <c r="S44" i="45"/>
  <c r="V44" i="45" s="1"/>
  <c r="R44" i="45"/>
  <c r="J172" i="42"/>
  <c r="O169" i="42"/>
  <c r="N169" i="42"/>
  <c r="N174" i="42"/>
  <c r="N173" i="42"/>
  <c r="V172" i="42"/>
  <c r="R172" i="42"/>
  <c r="N82" i="45"/>
  <c r="J107" i="45"/>
  <c r="N106" i="45"/>
  <c r="N105" i="45"/>
  <c r="O155" i="42"/>
  <c r="N155" i="42"/>
  <c r="K73" i="42"/>
  <c r="O73" i="42" s="1"/>
  <c r="O140" i="42"/>
  <c r="N140" i="42"/>
  <c r="O139" i="42"/>
  <c r="N139" i="42"/>
  <c r="O131" i="42"/>
  <c r="N131" i="42"/>
  <c r="J82" i="45"/>
  <c r="F73" i="42"/>
  <c r="O91" i="42"/>
  <c r="N91" i="42"/>
  <c r="O89" i="42"/>
  <c r="N89" i="42"/>
  <c r="G46" i="42"/>
  <c r="K46" i="42" s="1"/>
  <c r="N46" i="42" s="1"/>
  <c r="K18" i="43"/>
  <c r="N18" i="43" s="1"/>
  <c r="F14" i="43"/>
  <c r="V14" i="4"/>
  <c r="X14" i="4" s="1"/>
  <c r="F18" i="43"/>
  <c r="G171" i="4"/>
  <c r="D48" i="44"/>
  <c r="F48" i="44" s="1"/>
  <c r="D55" i="42"/>
  <c r="F55" i="42" s="1"/>
  <c r="V22" i="4"/>
  <c r="X22" i="4" s="1"/>
  <c r="Q171" i="4"/>
  <c r="P48" i="44"/>
  <c r="P55" i="42"/>
  <c r="V15" i="4"/>
  <c r="X15" i="4" s="1"/>
  <c r="I229" i="4"/>
  <c r="D72" i="42"/>
  <c r="F72" i="42" s="1"/>
  <c r="O307" i="4"/>
  <c r="L77" i="42"/>
  <c r="N77" i="42" s="1"/>
  <c r="L50" i="46"/>
  <c r="N50" i="46" s="1"/>
  <c r="L228" i="4"/>
  <c r="H57" i="42"/>
  <c r="J57" i="42" s="1"/>
  <c r="L307" i="4"/>
  <c r="H77" i="42"/>
  <c r="J77" i="42" s="1"/>
  <c r="H50" i="46"/>
  <c r="J50" i="46" s="1"/>
  <c r="Q229" i="4"/>
  <c r="P53" i="45" s="1"/>
  <c r="P57" i="42"/>
  <c r="I307" i="4"/>
  <c r="D77" i="42"/>
  <c r="F77" i="42" s="1"/>
  <c r="D50" i="46"/>
  <c r="F50" i="46" s="1"/>
  <c r="O228" i="4"/>
  <c r="L57" i="42"/>
  <c r="N57" i="42" s="1"/>
  <c r="R77" i="42"/>
  <c r="S77" i="42"/>
  <c r="V77" i="42" s="1"/>
  <c r="O72" i="42"/>
  <c r="N74" i="42"/>
  <c r="O74" i="42"/>
  <c r="N69" i="42"/>
  <c r="O69" i="42"/>
  <c r="O66" i="42"/>
  <c r="K47" i="42"/>
  <c r="J47" i="42"/>
  <c r="O60" i="42"/>
  <c r="N60" i="42"/>
  <c r="O59" i="42"/>
  <c r="N59" i="42"/>
  <c r="O58" i="42"/>
  <c r="N58" i="42"/>
  <c r="O56" i="42"/>
  <c r="N56" i="42"/>
  <c r="O57" i="42"/>
  <c r="O55" i="42"/>
  <c r="R84" i="44"/>
  <c r="S84" i="44"/>
  <c r="V84" i="44" s="1"/>
  <c r="O54" i="42"/>
  <c r="N54" i="42"/>
  <c r="K19" i="42"/>
  <c r="O20" i="42"/>
  <c r="O16" i="42"/>
  <c r="O17" i="42"/>
  <c r="K14" i="42"/>
  <c r="O18" i="42"/>
  <c r="O12" i="42"/>
  <c r="K11" i="42"/>
  <c r="K22" i="42"/>
  <c r="S21" i="42"/>
  <c r="O15" i="42"/>
  <c r="K13" i="42"/>
  <c r="O120" i="43"/>
  <c r="N120" i="43"/>
  <c r="N56" i="44"/>
  <c r="O56" i="44"/>
  <c r="N59" i="43"/>
  <c r="O59" i="43"/>
  <c r="O56" i="43"/>
  <c r="K17" i="43"/>
  <c r="O17" i="43" s="1"/>
  <c r="N14" i="43"/>
  <c r="J14" i="43"/>
  <c r="O20" i="43"/>
  <c r="N20" i="43"/>
  <c r="S14" i="43"/>
  <c r="V14" i="43" s="1"/>
  <c r="R14" i="43"/>
  <c r="K16" i="43"/>
  <c r="J16" i="43"/>
  <c r="J21" i="43"/>
  <c r="K21" i="43"/>
  <c r="N22" i="43"/>
  <c r="O22" i="43"/>
  <c r="O48" i="44"/>
  <c r="O47" i="44"/>
  <c r="N47" i="44"/>
  <c r="O12" i="46"/>
  <c r="S12" i="46" s="1"/>
  <c r="O46" i="46"/>
  <c r="N46" i="46"/>
  <c r="O45" i="46"/>
  <c r="N45" i="46"/>
  <c r="O84" i="45"/>
  <c r="N84" i="45"/>
  <c r="O83" i="45"/>
  <c r="N83" i="45"/>
  <c r="S82" i="45"/>
  <c r="V82" i="45" s="1"/>
  <c r="R82" i="45"/>
  <c r="N81" i="45"/>
  <c r="O81" i="45"/>
  <c r="O22" i="45"/>
  <c r="K19" i="45"/>
  <c r="O19" i="45" s="1"/>
  <c r="O18" i="45"/>
  <c r="K14" i="45"/>
  <c r="K16" i="45"/>
  <c r="O21" i="45"/>
  <c r="K15" i="45"/>
  <c r="K13" i="45"/>
  <c r="O17" i="45"/>
  <c r="K12" i="45"/>
  <c r="K11" i="45"/>
  <c r="K20" i="45"/>
  <c r="K22" i="46"/>
  <c r="O19" i="46"/>
  <c r="O18" i="46"/>
  <c r="K13" i="46"/>
  <c r="K14" i="46"/>
  <c r="K16" i="46"/>
  <c r="O17" i="46"/>
  <c r="O11" i="46"/>
  <c r="O15" i="46"/>
  <c r="K21" i="46"/>
  <c r="S20" i="46"/>
  <c r="V16" i="4"/>
  <c r="X16" i="4" s="1"/>
  <c r="V13" i="4"/>
  <c r="X13" i="4" s="1"/>
  <c r="V23" i="4"/>
  <c r="X23" i="4" s="1"/>
  <c r="V17" i="4"/>
  <c r="X17" i="4" s="1"/>
  <c r="V18" i="4"/>
  <c r="X18" i="4" s="1"/>
  <c r="X221" i="4"/>
  <c r="X222" i="4" s="1"/>
  <c r="V222" i="4"/>
  <c r="V19" i="4"/>
  <c r="X19" i="4" s="1"/>
  <c r="V21" i="4"/>
  <c r="X21" i="4" s="1"/>
  <c r="R228" i="4"/>
  <c r="N229" i="4"/>
  <c r="L53" i="45" s="1"/>
  <c r="N53" i="45" s="1"/>
  <c r="K229" i="4"/>
  <c r="H53" i="45" s="1"/>
  <c r="J53" i="45" s="1"/>
  <c r="V235" i="4"/>
  <c r="X235" i="4" s="1"/>
  <c r="V236" i="4"/>
  <c r="X236" i="4" s="1"/>
  <c r="V246" i="4"/>
  <c r="X246" i="4" s="1"/>
  <c r="V247" i="4"/>
  <c r="X247" i="4" s="1"/>
  <c r="V245" i="4"/>
  <c r="X245" i="4" s="1"/>
  <c r="V230" i="4"/>
  <c r="X230" i="4" s="1"/>
  <c r="V231" i="4"/>
  <c r="X231" i="4" s="1"/>
  <c r="V244" i="4"/>
  <c r="X244" i="4" s="1"/>
  <c r="V170" i="4"/>
  <c r="X170" i="4" s="1"/>
  <c r="I94" i="4"/>
  <c r="I123" i="4"/>
  <c r="U123" i="4"/>
  <c r="R123" i="4"/>
  <c r="O123" i="4"/>
  <c r="L123" i="4"/>
  <c r="H43" i="4"/>
  <c r="V202" i="4" l="1"/>
  <c r="X202" i="4" s="1"/>
  <c r="N19" i="43"/>
  <c r="H25" i="39"/>
  <c r="E25" i="39"/>
  <c r="V228" i="4"/>
  <c r="X228" i="4" s="1"/>
  <c r="L52" i="44"/>
  <c r="O18" i="43"/>
  <c r="R18" i="43" s="1"/>
  <c r="N141" i="42"/>
  <c r="W115" i="42"/>
  <c r="N56" i="45"/>
  <c r="Q25" i="39"/>
  <c r="N12" i="43"/>
  <c r="V307" i="4"/>
  <c r="X307" i="4" s="1"/>
  <c r="V282" i="4"/>
  <c r="X282" i="4" s="1"/>
  <c r="K25" i="39"/>
  <c r="O25" i="43"/>
  <c r="R25" i="43" s="1"/>
  <c r="O171" i="4"/>
  <c r="N138" i="42"/>
  <c r="R25" i="42"/>
  <c r="S25" i="42"/>
  <c r="V25" i="42" s="1"/>
  <c r="N94" i="43"/>
  <c r="O94" i="43"/>
  <c r="K13" i="43"/>
  <c r="N13" i="43" s="1"/>
  <c r="R25" i="44"/>
  <c r="S25" i="44"/>
  <c r="V25" i="44" s="1"/>
  <c r="W84" i="44"/>
  <c r="R25" i="45"/>
  <c r="S25" i="45"/>
  <c r="V25" i="45" s="1"/>
  <c r="R25" i="46"/>
  <c r="S25" i="46"/>
  <c r="V25" i="46" s="1"/>
  <c r="G171" i="42"/>
  <c r="F171" i="42"/>
  <c r="O15" i="43"/>
  <c r="R15" i="43" s="1"/>
  <c r="G104" i="45"/>
  <c r="F104" i="45"/>
  <c r="S75" i="42"/>
  <c r="V75" i="42" s="1"/>
  <c r="R75" i="42"/>
  <c r="S57" i="45"/>
  <c r="V57" i="45" s="1"/>
  <c r="R57" i="45"/>
  <c r="S56" i="45"/>
  <c r="V56" i="45" s="1"/>
  <c r="R56" i="45"/>
  <c r="S55" i="45"/>
  <c r="V55" i="45" s="1"/>
  <c r="R55" i="45"/>
  <c r="S54" i="45"/>
  <c r="V54" i="45" s="1"/>
  <c r="R54" i="45"/>
  <c r="S53" i="45"/>
  <c r="V53" i="45" s="1"/>
  <c r="R53" i="45"/>
  <c r="O48" i="45"/>
  <c r="S48" i="45" s="1"/>
  <c r="V48" i="45" s="1"/>
  <c r="S49" i="45"/>
  <c r="V49" i="45" s="1"/>
  <c r="R49" i="45"/>
  <c r="N47" i="45"/>
  <c r="S62" i="45"/>
  <c r="V62" i="45" s="1"/>
  <c r="R62" i="45"/>
  <c r="W44" i="45"/>
  <c r="S169" i="42"/>
  <c r="V169" i="42" s="1"/>
  <c r="R169" i="42"/>
  <c r="W172" i="42"/>
  <c r="V174" i="42"/>
  <c r="R174" i="42"/>
  <c r="V173" i="42"/>
  <c r="R173" i="42"/>
  <c r="R47" i="45"/>
  <c r="S47" i="45"/>
  <c r="V47" i="45" s="1"/>
  <c r="N107" i="45"/>
  <c r="V106" i="45"/>
  <c r="R106" i="45"/>
  <c r="V105" i="45"/>
  <c r="R105" i="45"/>
  <c r="S155" i="42"/>
  <c r="V155" i="42" s="1"/>
  <c r="R155" i="42"/>
  <c r="N73" i="42"/>
  <c r="S141" i="42"/>
  <c r="V141" i="42" s="1"/>
  <c r="R141" i="42"/>
  <c r="S140" i="42"/>
  <c r="V140" i="42" s="1"/>
  <c r="R140" i="42"/>
  <c r="S139" i="42"/>
  <c r="V139" i="42" s="1"/>
  <c r="R139" i="42"/>
  <c r="S138" i="42"/>
  <c r="V138" i="42" s="1"/>
  <c r="R138" i="42"/>
  <c r="S131" i="42"/>
  <c r="V131" i="42" s="1"/>
  <c r="R131" i="42"/>
  <c r="W82" i="45"/>
  <c r="O46" i="42"/>
  <c r="S46" i="42" s="1"/>
  <c r="V46" i="42" s="1"/>
  <c r="J46" i="42"/>
  <c r="S91" i="42"/>
  <c r="V91" i="42" s="1"/>
  <c r="R91" i="42"/>
  <c r="S89" i="42"/>
  <c r="V89" i="42" s="1"/>
  <c r="R89" i="42"/>
  <c r="D71" i="42"/>
  <c r="F71" i="42" s="1"/>
  <c r="D52" i="44"/>
  <c r="I171" i="4"/>
  <c r="R229" i="4"/>
  <c r="P72" i="42"/>
  <c r="R72" i="42" s="1"/>
  <c r="L229" i="4"/>
  <c r="H72" i="42"/>
  <c r="J72" i="42" s="1"/>
  <c r="P71" i="42"/>
  <c r="R71" i="42" s="1"/>
  <c r="P52" i="44"/>
  <c r="R171" i="4"/>
  <c r="O229" i="4"/>
  <c r="L72" i="42"/>
  <c r="N72" i="42" s="1"/>
  <c r="W77" i="42"/>
  <c r="S72" i="42"/>
  <c r="V72" i="42" s="1"/>
  <c r="S73" i="42"/>
  <c r="V73" i="42" s="1"/>
  <c r="R73" i="42"/>
  <c r="S74" i="42"/>
  <c r="R74" i="42"/>
  <c r="S71" i="42"/>
  <c r="V71" i="42" s="1"/>
  <c r="S69" i="42"/>
  <c r="V69" i="42" s="1"/>
  <c r="R69" i="42"/>
  <c r="S66" i="42"/>
  <c r="O47" i="42"/>
  <c r="N47" i="42"/>
  <c r="S60" i="42"/>
  <c r="V60" i="42" s="1"/>
  <c r="R60" i="42"/>
  <c r="S59" i="42"/>
  <c r="V59" i="42" s="1"/>
  <c r="R59" i="42"/>
  <c r="S58" i="42"/>
  <c r="R58" i="42"/>
  <c r="S56" i="42"/>
  <c r="V56" i="42" s="1"/>
  <c r="R56" i="42"/>
  <c r="S57" i="42"/>
  <c r="V57" i="42" s="1"/>
  <c r="R57" i="42"/>
  <c r="S55" i="42"/>
  <c r="V55" i="42" s="1"/>
  <c r="R55" i="42"/>
  <c r="S54" i="42"/>
  <c r="V54" i="42" s="1"/>
  <c r="R54" i="42"/>
  <c r="S15" i="42"/>
  <c r="O14" i="42"/>
  <c r="O11" i="42"/>
  <c r="S12" i="42"/>
  <c r="S20" i="42"/>
  <c r="O13" i="42"/>
  <c r="S17" i="42"/>
  <c r="S16" i="42"/>
  <c r="O19" i="42"/>
  <c r="O22" i="42"/>
  <c r="S18" i="42"/>
  <c r="S120" i="43"/>
  <c r="V120" i="43" s="1"/>
  <c r="R120" i="43"/>
  <c r="R56" i="44"/>
  <c r="S56" i="44"/>
  <c r="V56" i="44" s="1"/>
  <c r="N17" i="43"/>
  <c r="S59" i="43"/>
  <c r="V59" i="43" s="1"/>
  <c r="R59" i="43"/>
  <c r="S56" i="43"/>
  <c r="W14" i="43"/>
  <c r="N21" i="43"/>
  <c r="O21" i="43"/>
  <c r="R20" i="43"/>
  <c r="S20" i="43"/>
  <c r="V20" i="43" s="1"/>
  <c r="R19" i="43"/>
  <c r="S19" i="43"/>
  <c r="V19" i="43" s="1"/>
  <c r="R12" i="43"/>
  <c r="S12" i="43"/>
  <c r="V12" i="43" s="1"/>
  <c r="N16" i="43"/>
  <c r="O16" i="43"/>
  <c r="S22" i="43"/>
  <c r="V22" i="43" s="1"/>
  <c r="R22" i="43"/>
  <c r="R17" i="43"/>
  <c r="S17" i="43"/>
  <c r="V17" i="43" s="1"/>
  <c r="R48" i="44"/>
  <c r="S48" i="44"/>
  <c r="V48" i="44" s="1"/>
  <c r="R47" i="44"/>
  <c r="S47" i="44"/>
  <c r="V47" i="44" s="1"/>
  <c r="S50" i="46"/>
  <c r="V50" i="46" s="1"/>
  <c r="R50" i="46"/>
  <c r="S46" i="46"/>
  <c r="V46" i="46" s="1"/>
  <c r="R46" i="46"/>
  <c r="S45" i="46"/>
  <c r="V45" i="46" s="1"/>
  <c r="R45" i="46"/>
  <c r="S84" i="45"/>
  <c r="V84" i="45" s="1"/>
  <c r="R84" i="45"/>
  <c r="S83" i="45"/>
  <c r="V83" i="45" s="1"/>
  <c r="R83" i="45"/>
  <c r="S81" i="45"/>
  <c r="V81" i="45" s="1"/>
  <c r="R81" i="45"/>
  <c r="S22" i="45"/>
  <c r="O14" i="45"/>
  <c r="O20" i="45"/>
  <c r="S19" i="45"/>
  <c r="S21" i="45"/>
  <c r="O16" i="45"/>
  <c r="S18" i="45"/>
  <c r="O11" i="45"/>
  <c r="O12" i="45"/>
  <c r="O13" i="45"/>
  <c r="O15" i="45"/>
  <c r="S17" i="45"/>
  <c r="O21" i="46"/>
  <c r="S17" i="46"/>
  <c r="O13" i="46"/>
  <c r="S18" i="46"/>
  <c r="O22" i="46"/>
  <c r="O14" i="46"/>
  <c r="S11" i="46"/>
  <c r="O16" i="46"/>
  <c r="S15" i="46"/>
  <c r="S19" i="46"/>
  <c r="I43" i="4"/>
  <c r="V123" i="4"/>
  <c r="X123" i="4" s="1"/>
  <c r="T46" i="4"/>
  <c r="Q46" i="4"/>
  <c r="N46" i="4"/>
  <c r="K46" i="4"/>
  <c r="G46" i="4"/>
  <c r="H57" i="4"/>
  <c r="U52" i="4"/>
  <c r="H49" i="4"/>
  <c r="S18" i="43" l="1"/>
  <c r="V18" i="43" s="1"/>
  <c r="R25" i="39"/>
  <c r="O13" i="43"/>
  <c r="R13" i="43" s="1"/>
  <c r="W25" i="45"/>
  <c r="S25" i="43"/>
  <c r="V25" i="43" s="1"/>
  <c r="W25" i="42"/>
  <c r="W25" i="43"/>
  <c r="W25" i="46"/>
  <c r="W25" i="44"/>
  <c r="S94" i="43"/>
  <c r="V94" i="43" s="1"/>
  <c r="R94" i="43"/>
  <c r="W17" i="43"/>
  <c r="S15" i="43"/>
  <c r="V15" i="43" s="1"/>
  <c r="K104" i="45"/>
  <c r="J104" i="45"/>
  <c r="V171" i="4"/>
  <c r="X171" i="4" s="1"/>
  <c r="V229" i="4"/>
  <c r="X229" i="4" s="1"/>
  <c r="K171" i="42"/>
  <c r="J171" i="42"/>
  <c r="W53" i="45"/>
  <c r="W54" i="45"/>
  <c r="W56" i="45"/>
  <c r="W57" i="45"/>
  <c r="R48" i="45"/>
  <c r="W48" i="45" s="1"/>
  <c r="W47" i="45"/>
  <c r="W62" i="45"/>
  <c r="W105" i="45"/>
  <c r="W84" i="45"/>
  <c r="W81" i="45"/>
  <c r="W155" i="42"/>
  <c r="W140" i="42"/>
  <c r="W173" i="42"/>
  <c r="W169" i="42"/>
  <c r="W139" i="42"/>
  <c r="W174" i="42"/>
  <c r="W106" i="45"/>
  <c r="V107" i="45"/>
  <c r="R107" i="45"/>
  <c r="W138" i="42"/>
  <c r="W141" i="42"/>
  <c r="W131" i="42"/>
  <c r="R46" i="42"/>
  <c r="W46" i="42" s="1"/>
  <c r="W89" i="42"/>
  <c r="W91" i="42"/>
  <c r="U46" i="4"/>
  <c r="T66" i="42"/>
  <c r="V66" i="42" s="1"/>
  <c r="T56" i="43"/>
  <c r="V56" i="43" s="1"/>
  <c r="I46" i="4"/>
  <c r="D56" i="43"/>
  <c r="F56" i="43" s="1"/>
  <c r="D66" i="42"/>
  <c r="F66" i="42" s="1"/>
  <c r="L46" i="4"/>
  <c r="H66" i="42"/>
  <c r="J66" i="42" s="1"/>
  <c r="H56" i="43"/>
  <c r="J56" i="43" s="1"/>
  <c r="O46" i="4"/>
  <c r="L66" i="42"/>
  <c r="N66" i="42" s="1"/>
  <c r="L56" i="43"/>
  <c r="N56" i="43" s="1"/>
  <c r="R46" i="4"/>
  <c r="P66" i="42"/>
  <c r="R66" i="42" s="1"/>
  <c r="P56" i="43"/>
  <c r="R56" i="43" s="1"/>
  <c r="W69" i="42"/>
  <c r="W72" i="42"/>
  <c r="W73" i="42"/>
  <c r="W71" i="42"/>
  <c r="S47" i="42"/>
  <c r="V47" i="42" s="1"/>
  <c r="R47" i="42"/>
  <c r="W60" i="42"/>
  <c r="W59" i="42"/>
  <c r="W56" i="42"/>
  <c r="W55" i="42"/>
  <c r="W57" i="42"/>
  <c r="W54" i="42"/>
  <c r="S19" i="42"/>
  <c r="S22" i="42"/>
  <c r="S13" i="42"/>
  <c r="S11" i="42"/>
  <c r="S14" i="42"/>
  <c r="W120" i="43"/>
  <c r="W47" i="44"/>
  <c r="W59" i="43"/>
  <c r="W48" i="44"/>
  <c r="W56" i="44"/>
  <c r="W15" i="43"/>
  <c r="W12" i="43"/>
  <c r="W22" i="43"/>
  <c r="W20" i="43"/>
  <c r="W18" i="43"/>
  <c r="R21" i="43"/>
  <c r="S21" i="43"/>
  <c r="V21" i="43" s="1"/>
  <c r="S16" i="43"/>
  <c r="V16" i="43" s="1"/>
  <c r="R16" i="43"/>
  <c r="W19" i="43"/>
  <c r="W45" i="46"/>
  <c r="W46" i="46"/>
  <c r="W50" i="46"/>
  <c r="W83" i="45"/>
  <c r="S20" i="45"/>
  <c r="S16" i="45"/>
  <c r="S12" i="45"/>
  <c r="S14" i="45"/>
  <c r="S13" i="45"/>
  <c r="S11" i="45"/>
  <c r="S15" i="45"/>
  <c r="S21" i="46"/>
  <c r="S14" i="46"/>
  <c r="S16" i="46"/>
  <c r="S22" i="46"/>
  <c r="S13" i="46"/>
  <c r="V52" i="4"/>
  <c r="X52" i="4" s="1"/>
  <c r="V46" i="4" l="1"/>
  <c r="X46" i="4" s="1"/>
  <c r="S13" i="43"/>
  <c r="V13" i="43" s="1"/>
  <c r="W13" i="43" s="1"/>
  <c r="W94" i="43"/>
  <c r="O171" i="42"/>
  <c r="N171" i="42"/>
  <c r="O104" i="45"/>
  <c r="N104" i="45"/>
  <c r="W107" i="45"/>
  <c r="W56" i="43"/>
  <c r="W66" i="42"/>
  <c r="W47" i="42"/>
  <c r="W21" i="43"/>
  <c r="W16" i="43"/>
  <c r="R59" i="48"/>
  <c r="N59" i="48"/>
  <c r="J59" i="48"/>
  <c r="F59" i="48"/>
  <c r="S59" i="48" s="1"/>
  <c r="K48" i="48"/>
  <c r="O48" i="48" s="1"/>
  <c r="R48" i="48" s="1"/>
  <c r="J48" i="48"/>
  <c r="F48" i="48"/>
  <c r="R47" i="48"/>
  <c r="O47" i="48"/>
  <c r="N47" i="48"/>
  <c r="J47" i="48"/>
  <c r="F47" i="48"/>
  <c r="O46" i="48"/>
  <c r="R46" i="48" s="1"/>
  <c r="K46" i="48"/>
  <c r="N46" i="48" s="1"/>
  <c r="J46" i="48"/>
  <c r="F46" i="48"/>
  <c r="G43" i="48"/>
  <c r="J43" i="48" s="1"/>
  <c r="J44" i="48" s="1"/>
  <c r="F43" i="48"/>
  <c r="G40" i="48"/>
  <c r="J40" i="48" s="1"/>
  <c r="J41" i="48" s="1"/>
  <c r="F40" i="48"/>
  <c r="R37" i="48"/>
  <c r="R38" i="48" s="1"/>
  <c r="N37" i="48"/>
  <c r="S37" i="48" s="1"/>
  <c r="S38" i="48" s="1"/>
  <c r="J37" i="48"/>
  <c r="J38" i="48" s="1"/>
  <c r="F37" i="48"/>
  <c r="F38" i="48" s="1"/>
  <c r="G34" i="48"/>
  <c r="K34" i="48" s="1"/>
  <c r="N34" i="48" s="1"/>
  <c r="N35" i="48" s="1"/>
  <c r="F34" i="48"/>
  <c r="F35" i="48" s="1"/>
  <c r="K31" i="48"/>
  <c r="O31" i="48" s="1"/>
  <c r="R31" i="48" s="1"/>
  <c r="J31" i="48"/>
  <c r="F31" i="48"/>
  <c r="G30" i="48"/>
  <c r="J30" i="48" s="1"/>
  <c r="F30" i="48"/>
  <c r="G27" i="48"/>
  <c r="J27" i="48" s="1"/>
  <c r="F27" i="48"/>
  <c r="K26" i="48"/>
  <c r="N26" i="48" s="1"/>
  <c r="G26" i="48"/>
  <c r="J26" i="48" s="1"/>
  <c r="F26" i="48"/>
  <c r="G25" i="48"/>
  <c r="J25" i="48" s="1"/>
  <c r="F25" i="48"/>
  <c r="I21" i="48"/>
  <c r="Q21" i="48" s="1"/>
  <c r="G17" i="48"/>
  <c r="K17" i="48" s="1"/>
  <c r="F17" i="48"/>
  <c r="G16" i="48"/>
  <c r="K16" i="48" s="1"/>
  <c r="F16" i="48"/>
  <c r="G15" i="48"/>
  <c r="J15" i="48" s="1"/>
  <c r="F15" i="48"/>
  <c r="G14" i="48"/>
  <c r="J14" i="48" s="1"/>
  <c r="F14" i="48"/>
  <c r="S171" i="42" l="1"/>
  <c r="V171" i="42" s="1"/>
  <c r="R171" i="42"/>
  <c r="S104" i="45"/>
  <c r="V104" i="45" s="1"/>
  <c r="R104" i="45"/>
  <c r="J32" i="48"/>
  <c r="J49" i="48"/>
  <c r="S47" i="48"/>
  <c r="K30" i="48"/>
  <c r="N30" i="48" s="1"/>
  <c r="K43" i="48"/>
  <c r="O43" i="48" s="1"/>
  <c r="R43" i="48" s="1"/>
  <c r="R44" i="48" s="1"/>
  <c r="F19" i="48"/>
  <c r="D21" i="48" s="1"/>
  <c r="F21" i="48" s="1"/>
  <c r="F49" i="48"/>
  <c r="M21" i="48"/>
  <c r="K25" i="48"/>
  <c r="O25" i="48" s="1"/>
  <c r="R25" i="48" s="1"/>
  <c r="R32" i="48" s="1"/>
  <c r="N31" i="48"/>
  <c r="S31" i="48" s="1"/>
  <c r="F32" i="48"/>
  <c r="K27" i="48"/>
  <c r="O27" i="48" s="1"/>
  <c r="R27" i="48" s="1"/>
  <c r="R49" i="48"/>
  <c r="S46" i="48"/>
  <c r="O16" i="48"/>
  <c r="R16" i="48" s="1"/>
  <c r="N16" i="48"/>
  <c r="S26" i="48"/>
  <c r="O17" i="48"/>
  <c r="R17" i="48" s="1"/>
  <c r="N17" i="48"/>
  <c r="F41" i="48"/>
  <c r="K40" i="48"/>
  <c r="N38" i="48"/>
  <c r="F44" i="48"/>
  <c r="N25" i="48"/>
  <c r="K15" i="48"/>
  <c r="J17" i="48"/>
  <c r="N43" i="48"/>
  <c r="N44" i="48" s="1"/>
  <c r="K14" i="48"/>
  <c r="O26" i="48"/>
  <c r="R26" i="48" s="1"/>
  <c r="O30" i="48"/>
  <c r="R30" i="48" s="1"/>
  <c r="S30" i="48" s="1"/>
  <c r="N48" i="48"/>
  <c r="N49" i="48" s="1"/>
  <c r="O34" i="48"/>
  <c r="R34" i="48" s="1"/>
  <c r="R35" i="48" s="1"/>
  <c r="J16" i="48"/>
  <c r="J19" i="48" s="1"/>
  <c r="J34" i="48"/>
  <c r="W104" i="45" l="1"/>
  <c r="W171" i="42"/>
  <c r="N32" i="48"/>
  <c r="N27" i="48"/>
  <c r="S27" i="48" s="1"/>
  <c r="S48" i="48"/>
  <c r="S49" i="48" s="1"/>
  <c r="H21" i="48"/>
  <c r="J21" i="48" s="1"/>
  <c r="J23" i="48" s="1"/>
  <c r="O14" i="48"/>
  <c r="R14" i="48" s="1"/>
  <c r="N14" i="48"/>
  <c r="N40" i="48"/>
  <c r="O40" i="48"/>
  <c r="R40" i="48" s="1"/>
  <c r="R41" i="48" s="1"/>
  <c r="F23" i="48"/>
  <c r="S25" i="48"/>
  <c r="S43" i="48"/>
  <c r="S44" i="48" s="1"/>
  <c r="O15" i="48"/>
  <c r="R15" i="48" s="1"/>
  <c r="N15" i="48"/>
  <c r="J35" i="48"/>
  <c r="S34" i="48"/>
  <c r="S35" i="48" s="1"/>
  <c r="S16" i="48"/>
  <c r="S17" i="48"/>
  <c r="S32" i="48" l="1"/>
  <c r="J51" i="48"/>
  <c r="R19" i="48"/>
  <c r="S15" i="48"/>
  <c r="N19" i="48"/>
  <c r="S14" i="48"/>
  <c r="H54" i="48"/>
  <c r="J54" i="48" s="1"/>
  <c r="J56" i="48" s="1"/>
  <c r="N41" i="48"/>
  <c r="S40" i="48"/>
  <c r="S41" i="48" s="1"/>
  <c r="F51" i="48"/>
  <c r="D54" i="48"/>
  <c r="F54" i="48" s="1"/>
  <c r="J58" i="48" l="1"/>
  <c r="J60" i="48" s="1"/>
  <c r="L312" i="4" s="1"/>
  <c r="S19" i="48"/>
  <c r="L21" i="48"/>
  <c r="N21" i="48" s="1"/>
  <c r="F56" i="48"/>
  <c r="F58" i="48" s="1"/>
  <c r="F60" i="48" s="1"/>
  <c r="I312" i="4" s="1"/>
  <c r="P21" i="48"/>
  <c r="R21" i="48" s="1"/>
  <c r="R23" i="48" s="1"/>
  <c r="R51" i="48" s="1"/>
  <c r="P54" i="48" l="1"/>
  <c r="R54" i="48"/>
  <c r="R56" i="48" s="1"/>
  <c r="R58" i="48" s="1"/>
  <c r="R60" i="48" s="1"/>
  <c r="R312" i="4" s="1"/>
  <c r="N23" i="48"/>
  <c r="S21" i="48"/>
  <c r="S23" i="48" s="1"/>
  <c r="S51" i="48" s="1"/>
  <c r="N51" i="48" l="1"/>
  <c r="L54" i="48"/>
  <c r="N54" i="48" s="1"/>
  <c r="N56" i="48" l="1"/>
  <c r="N58" i="48" s="1"/>
  <c r="N60" i="48" s="1"/>
  <c r="O312" i="4" s="1"/>
  <c r="S54" i="48"/>
  <c r="S56" i="48" s="1"/>
  <c r="S58" i="48" s="1"/>
  <c r="S60" i="48" s="1"/>
  <c r="D269" i="4" l="1"/>
  <c r="E269" i="4"/>
  <c r="E11" i="46" s="1"/>
  <c r="F11" i="46" s="1"/>
  <c r="G269" i="4"/>
  <c r="J269" i="4"/>
  <c r="I11" i="46" s="1"/>
  <c r="J11" i="46" s="1"/>
  <c r="K269" i="4"/>
  <c r="M269" i="4"/>
  <c r="M11" i="46" s="1"/>
  <c r="N11" i="46" s="1"/>
  <c r="N269" i="4"/>
  <c r="P269" i="4"/>
  <c r="Q11" i="46" s="1"/>
  <c r="R11" i="46" s="1"/>
  <c r="Q269" i="4"/>
  <c r="S269" i="4"/>
  <c r="U11" i="46" s="1"/>
  <c r="V11" i="46" s="1"/>
  <c r="T269" i="4"/>
  <c r="D270" i="4"/>
  <c r="E270" i="4"/>
  <c r="E12" i="46" s="1"/>
  <c r="F12" i="46" s="1"/>
  <c r="G270" i="4"/>
  <c r="H270" i="4"/>
  <c r="J270" i="4"/>
  <c r="I12" i="46" s="1"/>
  <c r="J12" i="46" s="1"/>
  <c r="K270" i="4"/>
  <c r="M270" i="4"/>
  <c r="M12" i="46" s="1"/>
  <c r="N12" i="46" s="1"/>
  <c r="N270" i="4"/>
  <c r="P270" i="4"/>
  <c r="Q12" i="46" s="1"/>
  <c r="R12" i="46" s="1"/>
  <c r="Q270" i="4"/>
  <c r="S270" i="4"/>
  <c r="U12" i="46" s="1"/>
  <c r="V12" i="46" s="1"/>
  <c r="T270" i="4"/>
  <c r="D271" i="4"/>
  <c r="E271" i="4"/>
  <c r="E13" i="46" s="1"/>
  <c r="F13" i="46" s="1"/>
  <c r="G271" i="4"/>
  <c r="H271" i="4"/>
  <c r="J271" i="4"/>
  <c r="I13" i="46" s="1"/>
  <c r="J13" i="46" s="1"/>
  <c r="K271" i="4"/>
  <c r="M271" i="4"/>
  <c r="M13" i="46" s="1"/>
  <c r="N13" i="46" s="1"/>
  <c r="N271" i="4"/>
  <c r="P271" i="4"/>
  <c r="Q13" i="46" s="1"/>
  <c r="R13" i="46" s="1"/>
  <c r="Q271" i="4"/>
  <c r="S271" i="4"/>
  <c r="U13" i="46" s="1"/>
  <c r="V13" i="46" s="1"/>
  <c r="T271" i="4"/>
  <c r="D272" i="4"/>
  <c r="E272" i="4"/>
  <c r="E14" i="46" s="1"/>
  <c r="F14" i="46" s="1"/>
  <c r="G272" i="4"/>
  <c r="H272" i="4"/>
  <c r="J272" i="4"/>
  <c r="I14" i="46" s="1"/>
  <c r="J14" i="46" s="1"/>
  <c r="K272" i="4"/>
  <c r="M272" i="4"/>
  <c r="M14" i="46" s="1"/>
  <c r="N14" i="46" s="1"/>
  <c r="N272" i="4"/>
  <c r="P272" i="4"/>
  <c r="Q14" i="46" s="1"/>
  <c r="R14" i="46" s="1"/>
  <c r="Q272" i="4"/>
  <c r="S272" i="4"/>
  <c r="U14" i="46" s="1"/>
  <c r="V14" i="46" s="1"/>
  <c r="T272" i="4"/>
  <c r="D273" i="4"/>
  <c r="E273" i="4"/>
  <c r="E15" i="46" s="1"/>
  <c r="F15" i="46" s="1"/>
  <c r="G273" i="4"/>
  <c r="H273" i="4"/>
  <c r="J273" i="4"/>
  <c r="I15" i="46" s="1"/>
  <c r="J15" i="46" s="1"/>
  <c r="K273" i="4"/>
  <c r="M273" i="4"/>
  <c r="M15" i="46" s="1"/>
  <c r="N15" i="46" s="1"/>
  <c r="N273" i="4"/>
  <c r="P273" i="4"/>
  <c r="Q15" i="46" s="1"/>
  <c r="R15" i="46" s="1"/>
  <c r="Q273" i="4"/>
  <c r="S273" i="4"/>
  <c r="U15" i="46" s="1"/>
  <c r="V15" i="46" s="1"/>
  <c r="T273" i="4"/>
  <c r="D274" i="4"/>
  <c r="E274" i="4"/>
  <c r="E16" i="46" s="1"/>
  <c r="F16" i="46" s="1"/>
  <c r="G274" i="4"/>
  <c r="H274" i="4"/>
  <c r="J274" i="4"/>
  <c r="I16" i="46" s="1"/>
  <c r="J16" i="46" s="1"/>
  <c r="K274" i="4"/>
  <c r="M274" i="4"/>
  <c r="M16" i="46" s="1"/>
  <c r="N16" i="46" s="1"/>
  <c r="N274" i="4"/>
  <c r="P274" i="4"/>
  <c r="Q16" i="46" s="1"/>
  <c r="R16" i="46" s="1"/>
  <c r="Q274" i="4"/>
  <c r="S274" i="4"/>
  <c r="U16" i="46" s="1"/>
  <c r="V16" i="46" s="1"/>
  <c r="T274" i="4"/>
  <c r="D275" i="4"/>
  <c r="E275" i="4"/>
  <c r="E17" i="46" s="1"/>
  <c r="F17" i="46" s="1"/>
  <c r="G275" i="4"/>
  <c r="H275" i="4"/>
  <c r="J275" i="4"/>
  <c r="I17" i="46" s="1"/>
  <c r="J17" i="46" s="1"/>
  <c r="K275" i="4"/>
  <c r="M275" i="4"/>
  <c r="M17" i="46" s="1"/>
  <c r="N17" i="46" s="1"/>
  <c r="N275" i="4"/>
  <c r="P275" i="4"/>
  <c r="Q17" i="46" s="1"/>
  <c r="R17" i="46" s="1"/>
  <c r="Q275" i="4"/>
  <c r="S275" i="4"/>
  <c r="U17" i="46" s="1"/>
  <c r="V17" i="46" s="1"/>
  <c r="T275" i="4"/>
  <c r="D276" i="4"/>
  <c r="E276" i="4"/>
  <c r="E18" i="46" s="1"/>
  <c r="F18" i="46" s="1"/>
  <c r="G276" i="4"/>
  <c r="H276" i="4"/>
  <c r="J276" i="4"/>
  <c r="I18" i="46" s="1"/>
  <c r="J18" i="46" s="1"/>
  <c r="K276" i="4"/>
  <c r="M276" i="4"/>
  <c r="M18" i="46" s="1"/>
  <c r="N18" i="46" s="1"/>
  <c r="N276" i="4"/>
  <c r="P276" i="4"/>
  <c r="Q18" i="46" s="1"/>
  <c r="R18" i="46" s="1"/>
  <c r="Q276" i="4"/>
  <c r="S276" i="4"/>
  <c r="U18" i="46" s="1"/>
  <c r="V18" i="46" s="1"/>
  <c r="T276" i="4"/>
  <c r="D277" i="4"/>
  <c r="E277" i="4"/>
  <c r="E19" i="46" s="1"/>
  <c r="F19" i="46" s="1"/>
  <c r="G277" i="4"/>
  <c r="H277" i="4"/>
  <c r="J277" i="4"/>
  <c r="I19" i="46" s="1"/>
  <c r="J19" i="46" s="1"/>
  <c r="K277" i="4"/>
  <c r="M277" i="4"/>
  <c r="M19" i="46" s="1"/>
  <c r="N19" i="46" s="1"/>
  <c r="N277" i="4"/>
  <c r="P277" i="4"/>
  <c r="Q19" i="46" s="1"/>
  <c r="R19" i="46" s="1"/>
  <c r="Q277" i="4"/>
  <c r="S277" i="4"/>
  <c r="U19" i="46" s="1"/>
  <c r="V19" i="46" s="1"/>
  <c r="T277" i="4"/>
  <c r="D278" i="4"/>
  <c r="E278" i="4"/>
  <c r="E20" i="46" s="1"/>
  <c r="F20" i="46" s="1"/>
  <c r="G278" i="4"/>
  <c r="H278" i="4"/>
  <c r="J278" i="4"/>
  <c r="I20" i="46" s="1"/>
  <c r="J20" i="46" s="1"/>
  <c r="K278" i="4"/>
  <c r="M278" i="4"/>
  <c r="M20" i="46" s="1"/>
  <c r="N20" i="46" s="1"/>
  <c r="N278" i="4"/>
  <c r="P278" i="4"/>
  <c r="Q20" i="46" s="1"/>
  <c r="R20" i="46" s="1"/>
  <c r="Q278" i="4"/>
  <c r="S278" i="4"/>
  <c r="U20" i="46" s="1"/>
  <c r="V20" i="46" s="1"/>
  <c r="T278" i="4"/>
  <c r="D279" i="4"/>
  <c r="E279" i="4"/>
  <c r="E21" i="46" s="1"/>
  <c r="F21" i="46" s="1"/>
  <c r="G279" i="4"/>
  <c r="H279" i="4"/>
  <c r="J279" i="4"/>
  <c r="I21" i="46" s="1"/>
  <c r="J21" i="46" s="1"/>
  <c r="K279" i="4"/>
  <c r="M279" i="4"/>
  <c r="M21" i="46" s="1"/>
  <c r="N21" i="46" s="1"/>
  <c r="N279" i="4"/>
  <c r="P279" i="4"/>
  <c r="Q21" i="46" s="1"/>
  <c r="R21" i="46" s="1"/>
  <c r="Q279" i="4"/>
  <c r="S279" i="4"/>
  <c r="U21" i="46" s="1"/>
  <c r="V21" i="46" s="1"/>
  <c r="T279" i="4"/>
  <c r="D280" i="4"/>
  <c r="E280" i="4"/>
  <c r="E22" i="46" s="1"/>
  <c r="F22" i="46" s="1"/>
  <c r="G280" i="4"/>
  <c r="H280" i="4"/>
  <c r="J280" i="4"/>
  <c r="I22" i="46" s="1"/>
  <c r="J22" i="46" s="1"/>
  <c r="K280" i="4"/>
  <c r="M280" i="4"/>
  <c r="M22" i="46" s="1"/>
  <c r="N22" i="46" s="1"/>
  <c r="N280" i="4"/>
  <c r="P280" i="4"/>
  <c r="Q22" i="46" s="1"/>
  <c r="R22" i="46" s="1"/>
  <c r="Q280" i="4"/>
  <c r="S280" i="4"/>
  <c r="U22" i="46" s="1"/>
  <c r="V22" i="46" s="1"/>
  <c r="T280" i="4"/>
  <c r="D189" i="4"/>
  <c r="E189" i="4"/>
  <c r="E11" i="45" s="1"/>
  <c r="F11" i="45" s="1"/>
  <c r="G189" i="4"/>
  <c r="J189" i="4"/>
  <c r="I11" i="45" s="1"/>
  <c r="J11" i="45" s="1"/>
  <c r="K189" i="4"/>
  <c r="M189" i="4"/>
  <c r="M11" i="45" s="1"/>
  <c r="N11" i="45" s="1"/>
  <c r="N189" i="4"/>
  <c r="P189" i="4"/>
  <c r="Q11" i="45" s="1"/>
  <c r="R11" i="45" s="1"/>
  <c r="Q189" i="4"/>
  <c r="S189" i="4"/>
  <c r="U11" i="45" s="1"/>
  <c r="V11" i="45" s="1"/>
  <c r="T189" i="4"/>
  <c r="D190" i="4"/>
  <c r="E190" i="4"/>
  <c r="E12" i="45" s="1"/>
  <c r="F12" i="45" s="1"/>
  <c r="G190" i="4"/>
  <c r="H190" i="4"/>
  <c r="J190" i="4"/>
  <c r="I12" i="45" s="1"/>
  <c r="J12" i="45" s="1"/>
  <c r="K190" i="4"/>
  <c r="M190" i="4"/>
  <c r="M12" i="45" s="1"/>
  <c r="N12" i="45" s="1"/>
  <c r="N190" i="4"/>
  <c r="P190" i="4"/>
  <c r="Q12" i="45" s="1"/>
  <c r="R12" i="45" s="1"/>
  <c r="Q190" i="4"/>
  <c r="S190" i="4"/>
  <c r="U12" i="45" s="1"/>
  <c r="V12" i="45" s="1"/>
  <c r="T190" i="4"/>
  <c r="D191" i="4"/>
  <c r="E191" i="4"/>
  <c r="E13" i="45" s="1"/>
  <c r="F13" i="45" s="1"/>
  <c r="G191" i="4"/>
  <c r="H191" i="4"/>
  <c r="J191" i="4"/>
  <c r="I13" i="45" s="1"/>
  <c r="J13" i="45" s="1"/>
  <c r="K191" i="4"/>
  <c r="M191" i="4"/>
  <c r="M13" i="45" s="1"/>
  <c r="N13" i="45" s="1"/>
  <c r="N191" i="4"/>
  <c r="P191" i="4"/>
  <c r="Q13" i="45" s="1"/>
  <c r="R13" i="45" s="1"/>
  <c r="Q191" i="4"/>
  <c r="S191" i="4"/>
  <c r="U13" i="45" s="1"/>
  <c r="V13" i="45" s="1"/>
  <c r="T191" i="4"/>
  <c r="D192" i="4"/>
  <c r="E192" i="4"/>
  <c r="E14" i="45" s="1"/>
  <c r="F14" i="45" s="1"/>
  <c r="G192" i="4"/>
  <c r="H192" i="4"/>
  <c r="J192" i="4"/>
  <c r="I14" i="45" s="1"/>
  <c r="J14" i="45" s="1"/>
  <c r="K192" i="4"/>
  <c r="M192" i="4"/>
  <c r="M14" i="45" s="1"/>
  <c r="N14" i="45" s="1"/>
  <c r="N192" i="4"/>
  <c r="P192" i="4"/>
  <c r="Q14" i="45" s="1"/>
  <c r="R14" i="45" s="1"/>
  <c r="Q192" i="4"/>
  <c r="S192" i="4"/>
  <c r="U14" i="45" s="1"/>
  <c r="V14" i="45" s="1"/>
  <c r="T192" i="4"/>
  <c r="D193" i="4"/>
  <c r="E193" i="4"/>
  <c r="E15" i="45" s="1"/>
  <c r="F15" i="45" s="1"/>
  <c r="G193" i="4"/>
  <c r="H193" i="4"/>
  <c r="J193" i="4"/>
  <c r="I15" i="45" s="1"/>
  <c r="J15" i="45" s="1"/>
  <c r="K193" i="4"/>
  <c r="M193" i="4"/>
  <c r="M15" i="45" s="1"/>
  <c r="N15" i="45" s="1"/>
  <c r="N193" i="4"/>
  <c r="P193" i="4"/>
  <c r="Q15" i="45" s="1"/>
  <c r="R15" i="45" s="1"/>
  <c r="Q193" i="4"/>
  <c r="S193" i="4"/>
  <c r="U15" i="45" s="1"/>
  <c r="V15" i="45" s="1"/>
  <c r="T193" i="4"/>
  <c r="D194" i="4"/>
  <c r="E194" i="4"/>
  <c r="E16" i="45" s="1"/>
  <c r="F16" i="45" s="1"/>
  <c r="G194" i="4"/>
  <c r="H194" i="4"/>
  <c r="J194" i="4"/>
  <c r="I16" i="45" s="1"/>
  <c r="J16" i="45" s="1"/>
  <c r="K194" i="4"/>
  <c r="M194" i="4"/>
  <c r="M16" i="45" s="1"/>
  <c r="N16" i="45" s="1"/>
  <c r="N194" i="4"/>
  <c r="P194" i="4"/>
  <c r="Q16" i="45" s="1"/>
  <c r="R16" i="45" s="1"/>
  <c r="Q194" i="4"/>
  <c r="S194" i="4"/>
  <c r="U16" i="45" s="1"/>
  <c r="V16" i="45" s="1"/>
  <c r="T194" i="4"/>
  <c r="D195" i="4"/>
  <c r="E195" i="4"/>
  <c r="E17" i="45" s="1"/>
  <c r="F17" i="45" s="1"/>
  <c r="G195" i="4"/>
  <c r="H195" i="4"/>
  <c r="J195" i="4"/>
  <c r="I17" i="45" s="1"/>
  <c r="J17" i="45" s="1"/>
  <c r="K195" i="4"/>
  <c r="M195" i="4"/>
  <c r="M17" i="45" s="1"/>
  <c r="N17" i="45" s="1"/>
  <c r="N195" i="4"/>
  <c r="P195" i="4"/>
  <c r="Q17" i="45" s="1"/>
  <c r="R17" i="45" s="1"/>
  <c r="Q195" i="4"/>
  <c r="S195" i="4"/>
  <c r="U17" i="45" s="1"/>
  <c r="V17" i="45" s="1"/>
  <c r="T195" i="4"/>
  <c r="D196" i="4"/>
  <c r="E196" i="4"/>
  <c r="E18" i="45" s="1"/>
  <c r="F18" i="45" s="1"/>
  <c r="G196" i="4"/>
  <c r="H196" i="4"/>
  <c r="J196" i="4"/>
  <c r="I18" i="45" s="1"/>
  <c r="J18" i="45" s="1"/>
  <c r="K196" i="4"/>
  <c r="M196" i="4"/>
  <c r="M18" i="45" s="1"/>
  <c r="N18" i="45" s="1"/>
  <c r="N196" i="4"/>
  <c r="P196" i="4"/>
  <c r="Q18" i="45" s="1"/>
  <c r="R18" i="45" s="1"/>
  <c r="Q196" i="4"/>
  <c r="S196" i="4"/>
  <c r="U18" i="45" s="1"/>
  <c r="V18" i="45" s="1"/>
  <c r="T196" i="4"/>
  <c r="D197" i="4"/>
  <c r="E197" i="4"/>
  <c r="E19" i="45" s="1"/>
  <c r="F19" i="45" s="1"/>
  <c r="G197" i="4"/>
  <c r="H197" i="4"/>
  <c r="J197" i="4"/>
  <c r="I19" i="45" s="1"/>
  <c r="J19" i="45" s="1"/>
  <c r="K197" i="4"/>
  <c r="M197" i="4"/>
  <c r="M19" i="45" s="1"/>
  <c r="N19" i="45" s="1"/>
  <c r="N197" i="4"/>
  <c r="P197" i="4"/>
  <c r="Q19" i="45" s="1"/>
  <c r="R19" i="45" s="1"/>
  <c r="Q197" i="4"/>
  <c r="S197" i="4"/>
  <c r="U19" i="45" s="1"/>
  <c r="V19" i="45" s="1"/>
  <c r="T197" i="4"/>
  <c r="D198" i="4"/>
  <c r="E198" i="4"/>
  <c r="E20" i="45" s="1"/>
  <c r="F20" i="45" s="1"/>
  <c r="G198" i="4"/>
  <c r="H198" i="4"/>
  <c r="J198" i="4"/>
  <c r="I20" i="45" s="1"/>
  <c r="J20" i="45" s="1"/>
  <c r="K198" i="4"/>
  <c r="M198" i="4"/>
  <c r="M20" i="45" s="1"/>
  <c r="N20" i="45" s="1"/>
  <c r="N198" i="4"/>
  <c r="P198" i="4"/>
  <c r="Q20" i="45" s="1"/>
  <c r="R20" i="45" s="1"/>
  <c r="Q198" i="4"/>
  <c r="S198" i="4"/>
  <c r="U20" i="45" s="1"/>
  <c r="V20" i="45" s="1"/>
  <c r="T198" i="4"/>
  <c r="D199" i="4"/>
  <c r="E199" i="4"/>
  <c r="E21" i="45" s="1"/>
  <c r="F21" i="45" s="1"/>
  <c r="G199" i="4"/>
  <c r="H199" i="4"/>
  <c r="J199" i="4"/>
  <c r="I21" i="45" s="1"/>
  <c r="J21" i="45" s="1"/>
  <c r="K199" i="4"/>
  <c r="M199" i="4"/>
  <c r="M21" i="45" s="1"/>
  <c r="N21" i="45" s="1"/>
  <c r="N199" i="4"/>
  <c r="P199" i="4"/>
  <c r="Q21" i="45" s="1"/>
  <c r="R21" i="45" s="1"/>
  <c r="Q199" i="4"/>
  <c r="S199" i="4"/>
  <c r="U21" i="45" s="1"/>
  <c r="V21" i="45" s="1"/>
  <c r="T199" i="4"/>
  <c r="D200" i="4"/>
  <c r="E200" i="4"/>
  <c r="E22" i="45" s="1"/>
  <c r="F22" i="45" s="1"/>
  <c r="G200" i="4"/>
  <c r="H200" i="4"/>
  <c r="J200" i="4"/>
  <c r="I22" i="45" s="1"/>
  <c r="J22" i="45" s="1"/>
  <c r="K200" i="4"/>
  <c r="M200" i="4"/>
  <c r="M22" i="45" s="1"/>
  <c r="N22" i="45" s="1"/>
  <c r="N200" i="4"/>
  <c r="P200" i="4"/>
  <c r="Q22" i="45" s="1"/>
  <c r="R22" i="45" s="1"/>
  <c r="Q200" i="4"/>
  <c r="S200" i="4"/>
  <c r="U22" i="45" s="1"/>
  <c r="V22" i="45" s="1"/>
  <c r="T200" i="4"/>
  <c r="D132" i="4"/>
  <c r="E132" i="4"/>
  <c r="D12" i="39" s="1"/>
  <c r="G132" i="4"/>
  <c r="J132" i="4"/>
  <c r="K132" i="4"/>
  <c r="M132" i="4"/>
  <c r="N132" i="4"/>
  <c r="P132" i="4"/>
  <c r="Q132" i="4"/>
  <c r="S132" i="4"/>
  <c r="P12" i="39" s="1"/>
  <c r="T132" i="4"/>
  <c r="D133" i="4"/>
  <c r="E133" i="4"/>
  <c r="G133" i="4"/>
  <c r="H133" i="4"/>
  <c r="J133" i="4"/>
  <c r="K133" i="4"/>
  <c r="M133" i="4"/>
  <c r="J13" i="39" s="1"/>
  <c r="N133" i="4"/>
  <c r="P133" i="4"/>
  <c r="M13" i="39" s="1"/>
  <c r="Q133" i="4"/>
  <c r="S133" i="4"/>
  <c r="T133" i="4"/>
  <c r="D134" i="4"/>
  <c r="E134" i="4"/>
  <c r="G134" i="4"/>
  <c r="H134" i="4"/>
  <c r="J134" i="4"/>
  <c r="G14" i="39" s="1"/>
  <c r="K134" i="4"/>
  <c r="M134" i="4"/>
  <c r="N134" i="4"/>
  <c r="P134" i="4"/>
  <c r="Q134" i="4"/>
  <c r="S134" i="4"/>
  <c r="P14" i="39" s="1"/>
  <c r="T134" i="4"/>
  <c r="D135" i="4"/>
  <c r="E135" i="4"/>
  <c r="G135" i="4"/>
  <c r="H135" i="4"/>
  <c r="J135" i="4"/>
  <c r="K135" i="4"/>
  <c r="M135" i="4"/>
  <c r="J15" i="39" s="1"/>
  <c r="N135" i="4"/>
  <c r="P135" i="4"/>
  <c r="M15" i="39" s="1"/>
  <c r="Q135" i="4"/>
  <c r="S135" i="4"/>
  <c r="T135" i="4"/>
  <c r="D136" i="4"/>
  <c r="E136" i="4"/>
  <c r="G136" i="4"/>
  <c r="H136" i="4"/>
  <c r="J136" i="4"/>
  <c r="G16" i="39" s="1"/>
  <c r="K136" i="4"/>
  <c r="M136" i="4"/>
  <c r="N136" i="4"/>
  <c r="P136" i="4"/>
  <c r="Q136" i="4"/>
  <c r="S136" i="4"/>
  <c r="P16" i="39" s="1"/>
  <c r="T136" i="4"/>
  <c r="D137" i="4"/>
  <c r="E137" i="4"/>
  <c r="G137" i="4"/>
  <c r="H137" i="4"/>
  <c r="J137" i="4"/>
  <c r="K137" i="4"/>
  <c r="M137" i="4"/>
  <c r="J17" i="39" s="1"/>
  <c r="N137" i="4"/>
  <c r="P137" i="4"/>
  <c r="M17" i="39" s="1"/>
  <c r="Q137" i="4"/>
  <c r="S137" i="4"/>
  <c r="T137" i="4"/>
  <c r="D138" i="4"/>
  <c r="E138" i="4"/>
  <c r="G138" i="4"/>
  <c r="H138" i="4"/>
  <c r="J138" i="4"/>
  <c r="G18" i="39" s="1"/>
  <c r="K138" i="4"/>
  <c r="M138" i="4"/>
  <c r="N138" i="4"/>
  <c r="P138" i="4"/>
  <c r="Q138" i="4"/>
  <c r="S138" i="4"/>
  <c r="P18" i="39" s="1"/>
  <c r="T138" i="4"/>
  <c r="D139" i="4"/>
  <c r="E139" i="4"/>
  <c r="G139" i="4"/>
  <c r="H139" i="4"/>
  <c r="J139" i="4"/>
  <c r="K139" i="4"/>
  <c r="M139" i="4"/>
  <c r="J19" i="39" s="1"/>
  <c r="N139" i="4"/>
  <c r="P139" i="4"/>
  <c r="M19" i="39" s="1"/>
  <c r="Q139" i="4"/>
  <c r="S139" i="4"/>
  <c r="T139" i="4"/>
  <c r="D140" i="4"/>
  <c r="E140" i="4"/>
  <c r="G140" i="4"/>
  <c r="H140" i="4"/>
  <c r="J140" i="4"/>
  <c r="G20" i="39" s="1"/>
  <c r="K140" i="4"/>
  <c r="M140" i="4"/>
  <c r="N140" i="4"/>
  <c r="P140" i="4"/>
  <c r="Q140" i="4"/>
  <c r="S140" i="4"/>
  <c r="P20" i="39" s="1"/>
  <c r="T140" i="4"/>
  <c r="D141" i="4"/>
  <c r="E141" i="4"/>
  <c r="G141" i="4"/>
  <c r="H141" i="4"/>
  <c r="J141" i="4"/>
  <c r="K141" i="4"/>
  <c r="M141" i="4"/>
  <c r="J21" i="39" s="1"/>
  <c r="N141" i="4"/>
  <c r="P141" i="4"/>
  <c r="M21" i="39" s="1"/>
  <c r="Q141" i="4"/>
  <c r="S141" i="4"/>
  <c r="T141" i="4"/>
  <c r="D142" i="4"/>
  <c r="E142" i="4"/>
  <c r="G142" i="4"/>
  <c r="H142" i="4"/>
  <c r="J142" i="4"/>
  <c r="K142" i="4"/>
  <c r="M142" i="4"/>
  <c r="N142" i="4"/>
  <c r="P142" i="4"/>
  <c r="Q142" i="4"/>
  <c r="S142" i="4"/>
  <c r="P22" i="39" s="1"/>
  <c r="T142" i="4"/>
  <c r="D143" i="4"/>
  <c r="E143" i="4"/>
  <c r="E22" i="44" s="1"/>
  <c r="G143" i="4"/>
  <c r="D22" i="44" s="1"/>
  <c r="H143" i="4"/>
  <c r="C22" i="44" s="1"/>
  <c r="J143" i="4"/>
  <c r="I22" i="44" s="1"/>
  <c r="K143" i="4"/>
  <c r="H22" i="44" s="1"/>
  <c r="M143" i="4"/>
  <c r="N143" i="4"/>
  <c r="L22" i="44" s="1"/>
  <c r="P143" i="4"/>
  <c r="Q143" i="4"/>
  <c r="P22" i="44" s="1"/>
  <c r="S143" i="4"/>
  <c r="U22" i="44" s="1"/>
  <c r="T143" i="4"/>
  <c r="T22" i="44" s="1"/>
  <c r="W13" i="46" l="1"/>
  <c r="E22" i="42"/>
  <c r="F22" i="42" s="1"/>
  <c r="U22" i="42"/>
  <c r="V22" i="42" s="1"/>
  <c r="W21" i="45"/>
  <c r="W19" i="45"/>
  <c r="W17" i="45"/>
  <c r="W15" i="45"/>
  <c r="W13" i="45"/>
  <c r="W22" i="45"/>
  <c r="W20" i="45"/>
  <c r="W18" i="45"/>
  <c r="W16" i="45"/>
  <c r="W14" i="45"/>
  <c r="W12" i="45"/>
  <c r="I22" i="42"/>
  <c r="J22" i="42" s="1"/>
  <c r="G22" i="44"/>
  <c r="F22" i="44"/>
  <c r="W22" i="46"/>
  <c r="W20" i="46"/>
  <c r="W18" i="46"/>
  <c r="W16" i="46"/>
  <c r="W14" i="46"/>
  <c r="W12" i="46"/>
  <c r="W11" i="46"/>
  <c r="J23" i="39"/>
  <c r="M22" i="44"/>
  <c r="M22" i="42" s="1"/>
  <c r="N22" i="42" s="1"/>
  <c r="M23" i="39"/>
  <c r="Q22" i="44"/>
  <c r="Q22" i="42" s="1"/>
  <c r="R22" i="42" s="1"/>
  <c r="W11" i="45"/>
  <c r="W21" i="46"/>
  <c r="W19" i="46"/>
  <c r="W17" i="46"/>
  <c r="W15" i="46"/>
  <c r="D18" i="39"/>
  <c r="D16" i="39"/>
  <c r="D14" i="39"/>
  <c r="G21" i="39"/>
  <c r="D22" i="39"/>
  <c r="G23" i="39"/>
  <c r="M22" i="39"/>
  <c r="M20" i="39"/>
  <c r="G19" i="39"/>
  <c r="M18" i="39"/>
  <c r="G17" i="39"/>
  <c r="M16" i="39"/>
  <c r="M14" i="39"/>
  <c r="G13" i="39"/>
  <c r="M12" i="39"/>
  <c r="P21" i="39"/>
  <c r="P19" i="39"/>
  <c r="J18" i="39"/>
  <c r="P15" i="39"/>
  <c r="P13" i="39"/>
  <c r="D13" i="39"/>
  <c r="G22" i="39"/>
  <c r="P17" i="39"/>
  <c r="J16" i="39"/>
  <c r="J14" i="39"/>
  <c r="J12" i="39"/>
  <c r="D21" i="39"/>
  <c r="D23" i="39"/>
  <c r="J22" i="39"/>
  <c r="G12" i="39"/>
  <c r="P23" i="39"/>
  <c r="J20" i="39"/>
  <c r="G15" i="39"/>
  <c r="D15" i="39"/>
  <c r="D17" i="39"/>
  <c r="D19" i="39"/>
  <c r="D20" i="39"/>
  <c r="U279" i="4"/>
  <c r="O276" i="4"/>
  <c r="U271" i="4"/>
  <c r="U142" i="4"/>
  <c r="U275" i="4"/>
  <c r="U192" i="4"/>
  <c r="I190" i="4"/>
  <c r="L140" i="4"/>
  <c r="R272" i="4"/>
  <c r="O277" i="4"/>
  <c r="O198" i="4"/>
  <c r="O193" i="4"/>
  <c r="I270" i="4"/>
  <c r="U272" i="4"/>
  <c r="R134" i="4"/>
  <c r="L194" i="4"/>
  <c r="U276" i="4"/>
  <c r="O280" i="4"/>
  <c r="R192" i="4"/>
  <c r="R190" i="4"/>
  <c r="I274" i="4"/>
  <c r="O140" i="4"/>
  <c r="I138" i="4"/>
  <c r="I195" i="4"/>
  <c r="L271" i="4"/>
  <c r="L200" i="4"/>
  <c r="R195" i="4"/>
  <c r="O195" i="4"/>
  <c r="I133" i="4"/>
  <c r="I200" i="4"/>
  <c r="I198" i="4"/>
  <c r="O194" i="4"/>
  <c r="L195" i="4"/>
  <c r="R194" i="4"/>
  <c r="U137" i="4"/>
  <c r="R198" i="4"/>
  <c r="L192" i="4"/>
  <c r="L280" i="4"/>
  <c r="L275" i="4"/>
  <c r="I137" i="4"/>
  <c r="R270" i="4"/>
  <c r="R199" i="4"/>
  <c r="L197" i="4"/>
  <c r="R277" i="4"/>
  <c r="I275" i="4"/>
  <c r="R143" i="4"/>
  <c r="O139" i="4"/>
  <c r="I134" i="4"/>
  <c r="O278" i="4"/>
  <c r="I193" i="4"/>
  <c r="U138" i="4"/>
  <c r="I136" i="4"/>
  <c r="O135" i="4"/>
  <c r="U134" i="4"/>
  <c r="I192" i="4"/>
  <c r="U280" i="4"/>
  <c r="L274" i="4"/>
  <c r="U135" i="4"/>
  <c r="O143" i="4"/>
  <c r="L141" i="4"/>
  <c r="L137" i="4"/>
  <c r="L191" i="4"/>
  <c r="R280" i="4"/>
  <c r="I280" i="4"/>
  <c r="U200" i="4"/>
  <c r="L196" i="4"/>
  <c r="L277" i="4"/>
  <c r="I276" i="4"/>
  <c r="O271" i="4"/>
  <c r="L278" i="4"/>
  <c r="L142" i="4"/>
  <c r="L139" i="4"/>
  <c r="O137" i="4"/>
  <c r="R135" i="4"/>
  <c r="R133" i="4"/>
  <c r="I199" i="4"/>
  <c r="U197" i="4"/>
  <c r="R196" i="4"/>
  <c r="L190" i="4"/>
  <c r="R276" i="4"/>
  <c r="L272" i="4"/>
  <c r="R271" i="4"/>
  <c r="L270" i="4"/>
  <c r="L193" i="4"/>
  <c r="R138" i="4"/>
  <c r="U136" i="4"/>
  <c r="R136" i="4"/>
  <c r="L134" i="4"/>
  <c r="L198" i="4"/>
  <c r="O192" i="4"/>
  <c r="O279" i="4"/>
  <c r="I278" i="4"/>
  <c r="I277" i="4"/>
  <c r="U274" i="4"/>
  <c r="R274" i="4"/>
  <c r="L143" i="4"/>
  <c r="U140" i="4"/>
  <c r="I139" i="4"/>
  <c r="L135" i="4"/>
  <c r="O200" i="4"/>
  <c r="U194" i="4"/>
  <c r="L273" i="4"/>
  <c r="O270" i="4"/>
  <c r="L133" i="4"/>
  <c r="U198" i="4"/>
  <c r="I197" i="4"/>
  <c r="R193" i="4"/>
  <c r="O275" i="4"/>
  <c r="I272" i="4"/>
  <c r="U139" i="4"/>
  <c r="O138" i="4"/>
  <c r="I142" i="4"/>
  <c r="R139" i="4"/>
  <c r="U143" i="4"/>
  <c r="R142" i="4"/>
  <c r="L138" i="4"/>
  <c r="R200" i="4"/>
  <c r="L199" i="4"/>
  <c r="O197" i="4"/>
  <c r="O191" i="4"/>
  <c r="I279" i="4"/>
  <c r="O274" i="4"/>
  <c r="I143" i="4"/>
  <c r="O142" i="4"/>
  <c r="I141" i="4"/>
  <c r="I140" i="4"/>
  <c r="I135" i="4"/>
  <c r="O134" i="4"/>
  <c r="I196" i="4"/>
  <c r="I194" i="4"/>
  <c r="I191" i="4"/>
  <c r="O190" i="4"/>
  <c r="L276" i="4"/>
  <c r="R275" i="4"/>
  <c r="I273" i="4"/>
  <c r="O272" i="4"/>
  <c r="I271" i="4"/>
  <c r="R141" i="4"/>
  <c r="R140" i="4"/>
  <c r="R197" i="4"/>
  <c r="R278" i="4"/>
  <c r="R279" i="4"/>
  <c r="R273" i="4"/>
  <c r="R137" i="4"/>
  <c r="U277" i="4"/>
  <c r="U270" i="4"/>
  <c r="U195" i="4"/>
  <c r="U133" i="4"/>
  <c r="U278" i="4"/>
  <c r="U196" i="4"/>
  <c r="U190" i="4"/>
  <c r="L279" i="4"/>
  <c r="O273" i="4"/>
  <c r="U273" i="4"/>
  <c r="O199" i="4"/>
  <c r="O196" i="4"/>
  <c r="U191" i="4"/>
  <c r="U193" i="4"/>
  <c r="U199" i="4"/>
  <c r="R191" i="4"/>
  <c r="O136" i="4"/>
  <c r="O141" i="4"/>
  <c r="O133" i="4"/>
  <c r="U141" i="4"/>
  <c r="L136" i="4"/>
  <c r="W160" i="4"/>
  <c r="S58" i="47"/>
  <c r="R58" i="47"/>
  <c r="N58" i="47"/>
  <c r="J58" i="47"/>
  <c r="F58" i="47"/>
  <c r="O54" i="47"/>
  <c r="K54" i="47"/>
  <c r="G54" i="47"/>
  <c r="G48" i="47"/>
  <c r="K48" i="47" s="1"/>
  <c r="F48" i="47"/>
  <c r="G47" i="47"/>
  <c r="K47" i="47" s="1"/>
  <c r="F47" i="47"/>
  <c r="G46" i="47"/>
  <c r="K46" i="47" s="1"/>
  <c r="F46" i="47"/>
  <c r="F49" i="47" s="1"/>
  <c r="R43" i="47"/>
  <c r="J43" i="47"/>
  <c r="F43" i="47"/>
  <c r="R42" i="47"/>
  <c r="N42" i="47"/>
  <c r="N43" i="47" s="1"/>
  <c r="J42" i="47"/>
  <c r="F42" i="47"/>
  <c r="S42" i="47" s="1"/>
  <c r="N40" i="47"/>
  <c r="J40" i="47"/>
  <c r="R39" i="47"/>
  <c r="R40" i="47" s="1"/>
  <c r="N39" i="47"/>
  <c r="J39" i="47"/>
  <c r="F39" i="47"/>
  <c r="F40" i="47" s="1"/>
  <c r="R37" i="47"/>
  <c r="N37" i="47"/>
  <c r="R36" i="47"/>
  <c r="N36" i="47"/>
  <c r="J36" i="47"/>
  <c r="J37" i="47" s="1"/>
  <c r="F36" i="47"/>
  <c r="F37" i="47" s="1"/>
  <c r="L33" i="47"/>
  <c r="H33" i="47"/>
  <c r="J33" i="47" s="1"/>
  <c r="G33" i="47"/>
  <c r="K33" i="47" s="1"/>
  <c r="F33" i="47"/>
  <c r="L32" i="47"/>
  <c r="K32" i="47"/>
  <c r="O32" i="47" s="1"/>
  <c r="R32" i="47" s="1"/>
  <c r="J32" i="47"/>
  <c r="H32" i="47"/>
  <c r="G32" i="47"/>
  <c r="F32" i="47"/>
  <c r="L31" i="47"/>
  <c r="H31" i="47"/>
  <c r="J31" i="47" s="1"/>
  <c r="G31" i="47"/>
  <c r="K31" i="47" s="1"/>
  <c r="F31" i="47"/>
  <c r="L30" i="47"/>
  <c r="K30" i="47"/>
  <c r="O30" i="47" s="1"/>
  <c r="R30" i="47" s="1"/>
  <c r="J30" i="47"/>
  <c r="H30" i="47"/>
  <c r="G30" i="47"/>
  <c r="F30" i="47"/>
  <c r="L29" i="47"/>
  <c r="H29" i="47"/>
  <c r="J29" i="47" s="1"/>
  <c r="J34" i="47" s="1"/>
  <c r="G29" i="47"/>
  <c r="K29" i="47" s="1"/>
  <c r="F29" i="47"/>
  <c r="P26" i="47"/>
  <c r="G26" i="47"/>
  <c r="K26" i="47" s="1"/>
  <c r="C26" i="47"/>
  <c r="P25" i="47"/>
  <c r="L25" i="47"/>
  <c r="C25" i="47"/>
  <c r="G25" i="47" s="1"/>
  <c r="P22" i="47"/>
  <c r="L22" i="47"/>
  <c r="L26" i="47" s="1"/>
  <c r="K22" i="47"/>
  <c r="O22" i="47" s="1"/>
  <c r="R22" i="47" s="1"/>
  <c r="H22" i="47"/>
  <c r="H26" i="47" s="1"/>
  <c r="G22" i="47"/>
  <c r="D26" i="47"/>
  <c r="F26" i="47" s="1"/>
  <c r="P21" i="47"/>
  <c r="L21" i="47"/>
  <c r="H21" i="47"/>
  <c r="H25" i="47" s="1"/>
  <c r="G21" i="47"/>
  <c r="K21" i="47" s="1"/>
  <c r="D25" i="47"/>
  <c r="O18" i="47"/>
  <c r="K18" i="47"/>
  <c r="G18" i="47"/>
  <c r="G15" i="47"/>
  <c r="J15" i="47" s="1"/>
  <c r="F15" i="47"/>
  <c r="C15" i="47"/>
  <c r="C14" i="47"/>
  <c r="F14" i="47" s="1"/>
  <c r="K14" i="39" l="1"/>
  <c r="W22" i="42"/>
  <c r="C10" i="42"/>
  <c r="C10" i="45"/>
  <c r="C10" i="46"/>
  <c r="C10" i="43"/>
  <c r="J22" i="44"/>
  <c r="K22" i="44"/>
  <c r="K18" i="39"/>
  <c r="K19" i="39"/>
  <c r="E20" i="39"/>
  <c r="K22" i="39"/>
  <c r="N17" i="39"/>
  <c r="H13" i="39"/>
  <c r="H23" i="39"/>
  <c r="H19" i="39"/>
  <c r="H20" i="39"/>
  <c r="E15" i="39"/>
  <c r="E17" i="39"/>
  <c r="E22" i="39"/>
  <c r="E14" i="39"/>
  <c r="H14" i="39"/>
  <c r="K16" i="39"/>
  <c r="Q19" i="39"/>
  <c r="Q14" i="39"/>
  <c r="K20" i="39"/>
  <c r="H15" i="39"/>
  <c r="Q21" i="39"/>
  <c r="N16" i="39"/>
  <c r="K17" i="39"/>
  <c r="E18" i="39"/>
  <c r="E21" i="39"/>
  <c r="E13" i="39"/>
  <c r="E16" i="39"/>
  <c r="E23" i="39"/>
  <c r="E19" i="39"/>
  <c r="H17" i="39"/>
  <c r="H21" i="39"/>
  <c r="H16" i="39"/>
  <c r="H22" i="39"/>
  <c r="H18" i="39"/>
  <c r="K15" i="39"/>
  <c r="K13" i="39"/>
  <c r="K23" i="39"/>
  <c r="K21" i="39"/>
  <c r="N14" i="39"/>
  <c r="N23" i="39"/>
  <c r="N20" i="39"/>
  <c r="N13" i="39"/>
  <c r="N21" i="39"/>
  <c r="N15" i="39"/>
  <c r="N18" i="39"/>
  <c r="N22" i="39"/>
  <c r="N19" i="39"/>
  <c r="Q16" i="39"/>
  <c r="Q13" i="39"/>
  <c r="Q22" i="39"/>
  <c r="Q18" i="39"/>
  <c r="Q17" i="39"/>
  <c r="Q23" i="39"/>
  <c r="Q15" i="39"/>
  <c r="Q20" i="39"/>
  <c r="V134" i="4"/>
  <c r="X134" i="4" s="1"/>
  <c r="V276" i="4"/>
  <c r="X276" i="4" s="1"/>
  <c r="V195" i="4"/>
  <c r="X195" i="4" s="1"/>
  <c r="V270" i="4"/>
  <c r="X270" i="4" s="1"/>
  <c r="V275" i="4"/>
  <c r="X275" i="4" s="1"/>
  <c r="V198" i="4"/>
  <c r="X198" i="4" s="1"/>
  <c r="V143" i="4"/>
  <c r="X143" i="4" s="1"/>
  <c r="V280" i="4"/>
  <c r="X280" i="4" s="1"/>
  <c r="V200" i="4"/>
  <c r="X200" i="4" s="1"/>
  <c r="V271" i="4"/>
  <c r="X271" i="4" s="1"/>
  <c r="V192" i="4"/>
  <c r="X192" i="4" s="1"/>
  <c r="V140" i="4"/>
  <c r="X140" i="4" s="1"/>
  <c r="V194" i="4"/>
  <c r="X194" i="4" s="1"/>
  <c r="V197" i="4"/>
  <c r="X197" i="4" s="1"/>
  <c r="V196" i="4"/>
  <c r="X196" i="4" s="1"/>
  <c r="V137" i="4"/>
  <c r="X137" i="4" s="1"/>
  <c r="V272" i="4"/>
  <c r="X272" i="4" s="1"/>
  <c r="V139" i="4"/>
  <c r="X139" i="4" s="1"/>
  <c r="V278" i="4"/>
  <c r="X278" i="4" s="1"/>
  <c r="V138" i="4"/>
  <c r="X138" i="4" s="1"/>
  <c r="V136" i="4"/>
  <c r="X136" i="4" s="1"/>
  <c r="V193" i="4"/>
  <c r="X193" i="4" s="1"/>
  <c r="V279" i="4"/>
  <c r="X279" i="4" s="1"/>
  <c r="V142" i="4"/>
  <c r="X142" i="4" s="1"/>
  <c r="V135" i="4"/>
  <c r="X135" i="4" s="1"/>
  <c r="V274" i="4"/>
  <c r="X274" i="4" s="1"/>
  <c r="V191" i="4"/>
  <c r="X191" i="4" s="1"/>
  <c r="V277" i="4"/>
  <c r="X277" i="4" s="1"/>
  <c r="V199" i="4"/>
  <c r="X199" i="4" s="1"/>
  <c r="V190" i="4"/>
  <c r="X190" i="4" s="1"/>
  <c r="V141" i="4"/>
  <c r="X141" i="4" s="1"/>
  <c r="V273" i="4"/>
  <c r="X273" i="4" s="1"/>
  <c r="V133" i="4"/>
  <c r="X133" i="4" s="1"/>
  <c r="O48" i="47"/>
  <c r="R48" i="47" s="1"/>
  <c r="S48" i="47" s="1"/>
  <c r="N48" i="47"/>
  <c r="O26" i="47"/>
  <c r="R26" i="47" s="1"/>
  <c r="N26" i="47"/>
  <c r="F16" i="47"/>
  <c r="O21" i="47"/>
  <c r="R21" i="47" s="1"/>
  <c r="N21" i="47"/>
  <c r="F34" i="47"/>
  <c r="N29" i="47"/>
  <c r="N34" i="47" s="1"/>
  <c r="O29" i="47"/>
  <c r="R29" i="47" s="1"/>
  <c r="O33" i="47"/>
  <c r="R33" i="47" s="1"/>
  <c r="N33" i="47"/>
  <c r="O46" i="47"/>
  <c r="R46" i="47" s="1"/>
  <c r="N46" i="47"/>
  <c r="O47" i="47"/>
  <c r="R47" i="47" s="1"/>
  <c r="N47" i="47"/>
  <c r="N31" i="47"/>
  <c r="O31" i="47"/>
  <c r="R31" i="47" s="1"/>
  <c r="S31" i="47" s="1"/>
  <c r="K25" i="47"/>
  <c r="J25" i="47"/>
  <c r="J26" i="47"/>
  <c r="S26" i="47" s="1"/>
  <c r="N30" i="47"/>
  <c r="S30" i="47" s="1"/>
  <c r="N32" i="47"/>
  <c r="S32" i="47" s="1"/>
  <c r="F25" i="47"/>
  <c r="N22" i="47"/>
  <c r="J21" i="47"/>
  <c r="J27" i="47" s="1"/>
  <c r="S36" i="47"/>
  <c r="G14" i="47"/>
  <c r="K15" i="47"/>
  <c r="S39" i="47"/>
  <c r="J46" i="47"/>
  <c r="J47" i="47"/>
  <c r="S47" i="47" s="1"/>
  <c r="J48" i="47"/>
  <c r="J22" i="47"/>
  <c r="F22" i="47"/>
  <c r="S22" i="47" s="1"/>
  <c r="F21" i="47"/>
  <c r="S33" i="47" l="1"/>
  <c r="R34" i="47"/>
  <c r="N22" i="44"/>
  <c r="O22" i="44"/>
  <c r="G10" i="43"/>
  <c r="G10" i="46"/>
  <c r="G10" i="45"/>
  <c r="G10" i="42"/>
  <c r="R15" i="39"/>
  <c r="R14" i="39"/>
  <c r="R17" i="39"/>
  <c r="R22" i="39"/>
  <c r="R18" i="39"/>
  <c r="R19" i="39"/>
  <c r="R16" i="39"/>
  <c r="R21" i="39"/>
  <c r="R13" i="39"/>
  <c r="R23" i="39"/>
  <c r="R20" i="39"/>
  <c r="D18" i="47"/>
  <c r="F18" i="47" s="1"/>
  <c r="N49" i="47"/>
  <c r="J49" i="47"/>
  <c r="S46" i="47"/>
  <c r="S49" i="47" s="1"/>
  <c r="O25" i="47"/>
  <c r="R25" i="47" s="1"/>
  <c r="R27" i="47" s="1"/>
  <c r="N25" i="47"/>
  <c r="S25" i="47" s="1"/>
  <c r="R49" i="47"/>
  <c r="S29" i="47"/>
  <c r="S34" i="47" s="1"/>
  <c r="O15" i="47"/>
  <c r="R15" i="47" s="1"/>
  <c r="N15" i="47"/>
  <c r="N27" i="47"/>
  <c r="S21" i="47"/>
  <c r="F27" i="47"/>
  <c r="K14" i="47"/>
  <c r="J14" i="47"/>
  <c r="K10" i="45" l="1"/>
  <c r="K10" i="46"/>
  <c r="K10" i="43"/>
  <c r="R22" i="44"/>
  <c r="S22" i="44"/>
  <c r="V22" i="44" s="1"/>
  <c r="K10" i="42"/>
  <c r="O14" i="47"/>
  <c r="R14" i="47" s="1"/>
  <c r="R16" i="47" s="1"/>
  <c r="N14" i="47"/>
  <c r="N16" i="47" s="1"/>
  <c r="S15" i="47"/>
  <c r="J16" i="47"/>
  <c r="S27" i="47"/>
  <c r="F19" i="47"/>
  <c r="F51" i="47" s="1"/>
  <c r="W22" i="44" l="1"/>
  <c r="O10" i="46"/>
  <c r="O10" i="43"/>
  <c r="O10" i="42"/>
  <c r="O10" i="45"/>
  <c r="D54" i="47"/>
  <c r="F54" i="47" s="1"/>
  <c r="P18" i="47"/>
  <c r="R18" i="47" s="1"/>
  <c r="R19" i="47" s="1"/>
  <c r="R51" i="47" s="1"/>
  <c r="H18" i="47"/>
  <c r="J18" i="47" s="1"/>
  <c r="S14" i="47"/>
  <c r="S16" i="47" s="1"/>
  <c r="L18" i="47"/>
  <c r="N18" i="47" s="1"/>
  <c r="N19" i="47" s="1"/>
  <c r="N51" i="47" s="1"/>
  <c r="S10" i="45" l="1"/>
  <c r="S10" i="42"/>
  <c r="S10" i="43"/>
  <c r="S10" i="46"/>
  <c r="L54" i="47"/>
  <c r="N54" i="47" s="1"/>
  <c r="N55" i="47" s="1"/>
  <c r="N57" i="47" s="1"/>
  <c r="N59" i="47" s="1"/>
  <c r="O176" i="4" s="1"/>
  <c r="P54" i="47"/>
  <c r="R54" i="47" s="1"/>
  <c r="R55" i="47" s="1"/>
  <c r="R57" i="47" s="1"/>
  <c r="R59" i="47" s="1"/>
  <c r="R176" i="4" s="1"/>
  <c r="J19" i="47"/>
  <c r="J51" i="47" s="1"/>
  <c r="S18" i="47"/>
  <c r="S19" i="47" s="1"/>
  <c r="S51" i="47" s="1"/>
  <c r="F55" i="47"/>
  <c r="F57" i="47" s="1"/>
  <c r="O325" i="4" l="1"/>
  <c r="K143" i="42"/>
  <c r="R325" i="4"/>
  <c r="O143" i="42"/>
  <c r="H54" i="47"/>
  <c r="J54" i="47" s="1"/>
  <c r="F59" i="47"/>
  <c r="I176" i="4" s="1"/>
  <c r="C143" i="42" l="1"/>
  <c r="I325" i="4"/>
  <c r="I177" i="4"/>
  <c r="J55" i="47"/>
  <c r="J57" i="47" s="1"/>
  <c r="S54" i="47"/>
  <c r="S55" i="47" s="1"/>
  <c r="J59" i="47" l="1"/>
  <c r="L176" i="4" s="1"/>
  <c r="S57" i="47"/>
  <c r="S59" i="47" s="1"/>
  <c r="L325" i="4" l="1"/>
  <c r="V325" i="4" s="1"/>
  <c r="X325" i="4" s="1"/>
  <c r="G143" i="42"/>
  <c r="G167" i="4"/>
  <c r="G225" i="4"/>
  <c r="I225" i="4" s="1"/>
  <c r="G303" i="4"/>
  <c r="I261" i="4"/>
  <c r="U180" i="4"/>
  <c r="I180" i="4"/>
  <c r="U158" i="4"/>
  <c r="R158" i="4"/>
  <c r="O158" i="4"/>
  <c r="L158" i="4"/>
  <c r="I158" i="4"/>
  <c r="H153" i="4"/>
  <c r="H210" i="4"/>
  <c r="B112" i="30"/>
  <c r="H112" i="30"/>
  <c r="B113" i="30"/>
  <c r="H113" i="30"/>
  <c r="B114" i="30"/>
  <c r="H114" i="30"/>
  <c r="B115" i="30"/>
  <c r="H115" i="30"/>
  <c r="B116" i="30"/>
  <c r="H116" i="30"/>
  <c r="B117" i="30"/>
  <c r="H117" i="30"/>
  <c r="B118" i="30"/>
  <c r="H118" i="30"/>
  <c r="B119" i="30"/>
  <c r="H119" i="30"/>
  <c r="B120" i="30"/>
  <c r="H120" i="30"/>
  <c r="B121" i="30"/>
  <c r="H121" i="30"/>
  <c r="B122" i="30"/>
  <c r="H122" i="30"/>
  <c r="B123" i="30"/>
  <c r="H123" i="30"/>
  <c r="B87" i="30"/>
  <c r="H87" i="30"/>
  <c r="B88" i="30"/>
  <c r="H88" i="30"/>
  <c r="B89" i="30"/>
  <c r="H89" i="30"/>
  <c r="B90" i="30"/>
  <c r="H90" i="30"/>
  <c r="B91" i="30"/>
  <c r="H91" i="30"/>
  <c r="B92" i="30"/>
  <c r="H92" i="30"/>
  <c r="B93" i="30"/>
  <c r="H93" i="30"/>
  <c r="B94" i="30"/>
  <c r="H94" i="30"/>
  <c r="B95" i="30"/>
  <c r="H95" i="30"/>
  <c r="B96" i="30"/>
  <c r="H96" i="30"/>
  <c r="B97" i="30"/>
  <c r="H97" i="30"/>
  <c r="B98" i="30"/>
  <c r="H98" i="30"/>
  <c r="B62" i="30"/>
  <c r="H62" i="30"/>
  <c r="B63" i="30"/>
  <c r="H63" i="30"/>
  <c r="B64" i="30"/>
  <c r="H64" i="30"/>
  <c r="B65" i="30"/>
  <c r="H65" i="30"/>
  <c r="B66" i="30"/>
  <c r="H66" i="30"/>
  <c r="B67" i="30"/>
  <c r="H67" i="30"/>
  <c r="B68" i="30"/>
  <c r="H68" i="30"/>
  <c r="B69" i="30"/>
  <c r="H69" i="30"/>
  <c r="B70" i="30"/>
  <c r="H70" i="30"/>
  <c r="B71" i="30"/>
  <c r="H71" i="30"/>
  <c r="B72" i="30"/>
  <c r="H72" i="30"/>
  <c r="B73" i="30"/>
  <c r="H73" i="30"/>
  <c r="B37" i="30"/>
  <c r="H37" i="30"/>
  <c r="B38" i="30"/>
  <c r="H38" i="30"/>
  <c r="B39" i="30"/>
  <c r="H39" i="30"/>
  <c r="B40" i="30"/>
  <c r="H40" i="30"/>
  <c r="B41" i="30"/>
  <c r="H41" i="30"/>
  <c r="B42" i="30"/>
  <c r="H42" i="30"/>
  <c r="B43" i="30"/>
  <c r="H43" i="30"/>
  <c r="B44" i="30"/>
  <c r="H44" i="30"/>
  <c r="B45" i="30"/>
  <c r="H45" i="30"/>
  <c r="B46" i="30"/>
  <c r="H46" i="30"/>
  <c r="B47" i="30"/>
  <c r="H47" i="30"/>
  <c r="B48" i="30"/>
  <c r="H48" i="30"/>
  <c r="B12" i="30"/>
  <c r="H12" i="30"/>
  <c r="B13" i="30"/>
  <c r="H13" i="30"/>
  <c r="B14" i="30"/>
  <c r="H14" i="30"/>
  <c r="B15" i="30"/>
  <c r="H15" i="30"/>
  <c r="B16" i="30"/>
  <c r="H16" i="30"/>
  <c r="B17" i="30"/>
  <c r="H17" i="30"/>
  <c r="B18" i="30"/>
  <c r="H18" i="30"/>
  <c r="B19" i="30"/>
  <c r="H19" i="30"/>
  <c r="B20" i="30"/>
  <c r="H20" i="30"/>
  <c r="B21" i="30"/>
  <c r="H21" i="30"/>
  <c r="B22" i="30"/>
  <c r="H22" i="30"/>
  <c r="B23" i="30"/>
  <c r="H23" i="30"/>
  <c r="H132" i="4" l="1"/>
  <c r="H269" i="4"/>
  <c r="H189" i="4"/>
  <c r="X180" i="4"/>
  <c r="V158" i="4"/>
  <c r="U189" i="4" l="1"/>
  <c r="I189" i="4"/>
  <c r="L189" i="4"/>
  <c r="R189" i="4"/>
  <c r="O189" i="4"/>
  <c r="L269" i="4"/>
  <c r="R269" i="4"/>
  <c r="I269" i="4"/>
  <c r="O269" i="4"/>
  <c r="U269" i="4"/>
  <c r="O132" i="4"/>
  <c r="L132" i="4"/>
  <c r="I132" i="4"/>
  <c r="U132" i="4"/>
  <c r="R132" i="4"/>
  <c r="N12" i="39" s="1"/>
  <c r="X158" i="4"/>
  <c r="V181" i="4"/>
  <c r="T256" i="4"/>
  <c r="Q256" i="4"/>
  <c r="N256" i="4"/>
  <c r="K256" i="4"/>
  <c r="O234" i="4"/>
  <c r="R233" i="4"/>
  <c r="R232" i="4"/>
  <c r="T58" i="42"/>
  <c r="V58" i="42" s="1"/>
  <c r="G234" i="4"/>
  <c r="T74" i="42"/>
  <c r="V74" i="42" s="1"/>
  <c r="G233" i="4"/>
  <c r="L215" i="4"/>
  <c r="O215" i="4"/>
  <c r="R215" i="4"/>
  <c r="B2" i="30"/>
  <c r="B3" i="30"/>
  <c r="B4" i="30"/>
  <c r="B1" i="30"/>
  <c r="D290" i="4"/>
  <c r="A35" i="46" s="1"/>
  <c r="D210" i="4"/>
  <c r="D153" i="4"/>
  <c r="D74" i="42" l="1"/>
  <c r="F74" i="42" s="1"/>
  <c r="W74" i="42" s="1"/>
  <c r="D55" i="45"/>
  <c r="F55" i="45" s="1"/>
  <c r="W55" i="45" s="1"/>
  <c r="D58" i="42"/>
  <c r="F58" i="42" s="1"/>
  <c r="D49" i="45"/>
  <c r="F49" i="45" s="1"/>
  <c r="W49" i="45" s="1"/>
  <c r="D75" i="42"/>
  <c r="F75" i="42" s="1"/>
  <c r="W75" i="42" s="1"/>
  <c r="W58" i="42"/>
  <c r="Q12" i="39"/>
  <c r="E12" i="39"/>
  <c r="H12" i="39"/>
  <c r="K12" i="39"/>
  <c r="V132" i="4"/>
  <c r="X132" i="4" s="1"/>
  <c r="V269" i="4"/>
  <c r="X269" i="4" s="1"/>
  <c r="V189" i="4"/>
  <c r="X189" i="4" s="1"/>
  <c r="I233" i="4"/>
  <c r="L233" i="4"/>
  <c r="O233" i="4"/>
  <c r="I232" i="4"/>
  <c r="L232" i="4"/>
  <c r="O232" i="4"/>
  <c r="U232" i="4"/>
  <c r="R234" i="4"/>
  <c r="I234" i="4"/>
  <c r="L234" i="4"/>
  <c r="U243" i="4"/>
  <c r="R243" i="4"/>
  <c r="O243" i="4"/>
  <c r="L243" i="4"/>
  <c r="I243" i="4"/>
  <c r="V39" i="42"/>
  <c r="R39" i="42"/>
  <c r="N39" i="42"/>
  <c r="J39" i="42"/>
  <c r="F39" i="42"/>
  <c r="W39" i="42" l="1"/>
  <c r="R12" i="39"/>
  <c r="V233" i="4"/>
  <c r="X233" i="4" s="1"/>
  <c r="V232" i="4"/>
  <c r="X232" i="4" s="1"/>
  <c r="V234" i="4"/>
  <c r="X234" i="4" s="1"/>
  <c r="V243" i="4"/>
  <c r="X243" i="4" s="1"/>
  <c r="A152" i="42"/>
  <c r="A154" i="42"/>
  <c r="A156" i="42"/>
  <c r="A151" i="42"/>
  <c r="B152" i="42"/>
  <c r="C152" i="42"/>
  <c r="G152" i="42" s="1"/>
  <c r="K152" i="42" s="1"/>
  <c r="D152" i="42"/>
  <c r="H152" i="42"/>
  <c r="L152" i="42"/>
  <c r="P152" i="42"/>
  <c r="T152" i="42"/>
  <c r="B156" i="42"/>
  <c r="C156" i="42"/>
  <c r="G156" i="42" s="1"/>
  <c r="K156" i="42" s="1"/>
  <c r="D144" i="42"/>
  <c r="T144" i="42"/>
  <c r="P144" i="42"/>
  <c r="L144" i="42"/>
  <c r="H144" i="42"/>
  <c r="B144" i="42"/>
  <c r="A144" i="42"/>
  <c r="A146" i="42"/>
  <c r="B146" i="42"/>
  <c r="D146" i="42"/>
  <c r="H146" i="42"/>
  <c r="L146" i="42"/>
  <c r="P146" i="42"/>
  <c r="T146" i="42"/>
  <c r="T149" i="42"/>
  <c r="P149" i="42"/>
  <c r="L149" i="42"/>
  <c r="H149" i="42"/>
  <c r="C149" i="42"/>
  <c r="G149" i="42" s="1"/>
  <c r="B149" i="42"/>
  <c r="A149" i="42"/>
  <c r="T137" i="42"/>
  <c r="P137" i="42"/>
  <c r="L137" i="42"/>
  <c r="H137" i="42"/>
  <c r="D137" i="42"/>
  <c r="C137" i="42"/>
  <c r="B137" i="42"/>
  <c r="A137" i="42"/>
  <c r="W177" i="42"/>
  <c r="P170" i="42"/>
  <c r="L170" i="42"/>
  <c r="H170" i="42"/>
  <c r="B170" i="42"/>
  <c r="A170" i="42"/>
  <c r="A103" i="45"/>
  <c r="I163" i="42"/>
  <c r="M163" i="42" s="1"/>
  <c r="Q163" i="42" s="1"/>
  <c r="I164" i="42"/>
  <c r="M164" i="42" s="1"/>
  <c r="Q164" i="42" s="1"/>
  <c r="I165" i="42"/>
  <c r="M165" i="42" s="1"/>
  <c r="Q165" i="42" s="1"/>
  <c r="T154" i="42"/>
  <c r="P154" i="42"/>
  <c r="L154" i="42"/>
  <c r="H154" i="42"/>
  <c r="B154" i="42"/>
  <c r="C154" i="42"/>
  <c r="D154" i="42"/>
  <c r="T130" i="42"/>
  <c r="P130" i="42"/>
  <c r="L130" i="42"/>
  <c r="H130" i="42"/>
  <c r="A130" i="42"/>
  <c r="B130" i="42"/>
  <c r="C130" i="42"/>
  <c r="D130" i="42"/>
  <c r="T129" i="42"/>
  <c r="P129" i="42"/>
  <c r="L129" i="42"/>
  <c r="H129" i="42"/>
  <c r="A129" i="42"/>
  <c r="B129" i="42"/>
  <c r="C129" i="42"/>
  <c r="D129" i="42"/>
  <c r="T128" i="42"/>
  <c r="P128" i="42"/>
  <c r="L128" i="42"/>
  <c r="H128" i="42"/>
  <c r="A128" i="42"/>
  <c r="B128" i="42"/>
  <c r="C128" i="42"/>
  <c r="D128" i="42"/>
  <c r="T127" i="42"/>
  <c r="P127" i="42"/>
  <c r="L127" i="42"/>
  <c r="H127" i="42"/>
  <c r="A127" i="42"/>
  <c r="B127" i="42"/>
  <c r="C127" i="42"/>
  <c r="D127" i="42"/>
  <c r="C126" i="42"/>
  <c r="T122" i="42"/>
  <c r="P122" i="42"/>
  <c r="L122" i="42"/>
  <c r="H122" i="42"/>
  <c r="A122" i="42"/>
  <c r="B122" i="42"/>
  <c r="D122" i="42"/>
  <c r="T121" i="42"/>
  <c r="P121" i="42"/>
  <c r="L121" i="42"/>
  <c r="H121" i="42"/>
  <c r="A121" i="42"/>
  <c r="B121" i="42"/>
  <c r="C121" i="42"/>
  <c r="D121" i="42"/>
  <c r="A120" i="42"/>
  <c r="B120" i="42"/>
  <c r="C120" i="42"/>
  <c r="T119" i="42"/>
  <c r="P119" i="42"/>
  <c r="L119" i="42"/>
  <c r="H119" i="42"/>
  <c r="A119" i="42"/>
  <c r="B119" i="42"/>
  <c r="C119" i="42"/>
  <c r="D119" i="42"/>
  <c r="T118" i="42"/>
  <c r="P118" i="42"/>
  <c r="L118" i="42"/>
  <c r="H118" i="42"/>
  <c r="A118" i="42"/>
  <c r="B118" i="42"/>
  <c r="C118" i="42"/>
  <c r="D118" i="42"/>
  <c r="T117" i="42"/>
  <c r="P117" i="42"/>
  <c r="L117" i="42"/>
  <c r="H117" i="42"/>
  <c r="A117" i="42"/>
  <c r="B117" i="42"/>
  <c r="C117" i="42"/>
  <c r="D117" i="42"/>
  <c r="A112" i="42"/>
  <c r="B112" i="42"/>
  <c r="C112" i="42"/>
  <c r="D112" i="42"/>
  <c r="H112" i="42"/>
  <c r="L112" i="42"/>
  <c r="P112" i="42"/>
  <c r="T112" i="42"/>
  <c r="B113" i="42"/>
  <c r="D113" i="42"/>
  <c r="H113" i="42"/>
  <c r="L113" i="42"/>
  <c r="P113" i="42"/>
  <c r="T113" i="42"/>
  <c r="T90" i="42"/>
  <c r="P90" i="42"/>
  <c r="L90" i="42"/>
  <c r="H90" i="42"/>
  <c r="D90" i="42"/>
  <c r="C90" i="42"/>
  <c r="B90" i="42"/>
  <c r="A90" i="42"/>
  <c r="A103" i="42"/>
  <c r="B103" i="42"/>
  <c r="D103" i="42"/>
  <c r="H103" i="42"/>
  <c r="L103" i="42"/>
  <c r="P103" i="42"/>
  <c r="T103" i="42"/>
  <c r="A83" i="42"/>
  <c r="B83" i="42"/>
  <c r="C83" i="42"/>
  <c r="D83" i="42"/>
  <c r="H83" i="42"/>
  <c r="L83" i="42"/>
  <c r="P83" i="42"/>
  <c r="T83" i="42"/>
  <c r="A84" i="42"/>
  <c r="B84" i="42"/>
  <c r="C84" i="42"/>
  <c r="D84" i="42"/>
  <c r="H84" i="42"/>
  <c r="L84" i="42"/>
  <c r="P84" i="42"/>
  <c r="T84" i="42"/>
  <c r="A85" i="42"/>
  <c r="B85" i="42"/>
  <c r="C85" i="42"/>
  <c r="G85" i="42" s="1"/>
  <c r="D85" i="42"/>
  <c r="H85" i="42"/>
  <c r="L85" i="42"/>
  <c r="P85" i="42"/>
  <c r="T85" i="42"/>
  <c r="A86" i="42"/>
  <c r="B86" i="42"/>
  <c r="C86" i="42"/>
  <c r="G86" i="42" s="1"/>
  <c r="K86" i="42" s="1"/>
  <c r="D86" i="42"/>
  <c r="H86" i="42"/>
  <c r="L86" i="42"/>
  <c r="P86" i="42"/>
  <c r="T86" i="42"/>
  <c r="A87" i="42"/>
  <c r="B87" i="42"/>
  <c r="D87" i="42"/>
  <c r="H87" i="42"/>
  <c r="L87" i="42"/>
  <c r="P87" i="42"/>
  <c r="T87" i="42"/>
  <c r="A88" i="42"/>
  <c r="B88" i="42"/>
  <c r="D88" i="42"/>
  <c r="H88" i="42"/>
  <c r="L88" i="42"/>
  <c r="P88" i="42"/>
  <c r="T88" i="42"/>
  <c r="A76" i="42"/>
  <c r="B76" i="42"/>
  <c r="A70" i="42"/>
  <c r="B70" i="42"/>
  <c r="T53" i="42"/>
  <c r="P53" i="42"/>
  <c r="L53" i="42"/>
  <c r="H53" i="42"/>
  <c r="D53" i="42"/>
  <c r="B53" i="42"/>
  <c r="B52" i="42"/>
  <c r="B51" i="42"/>
  <c r="B50" i="42"/>
  <c r="A53" i="42"/>
  <c r="A51" i="42"/>
  <c r="C51" i="42"/>
  <c r="A52" i="42"/>
  <c r="C52" i="42"/>
  <c r="G52" i="42" s="1"/>
  <c r="F83" i="42" l="1"/>
  <c r="F90" i="42"/>
  <c r="J85" i="42"/>
  <c r="J149" i="42"/>
  <c r="F152" i="42"/>
  <c r="F137" i="42"/>
  <c r="N86" i="42"/>
  <c r="O86" i="42"/>
  <c r="R86" i="42" s="1"/>
  <c r="K85" i="42"/>
  <c r="N85" i="42" s="1"/>
  <c r="F86" i="42"/>
  <c r="J152" i="42"/>
  <c r="N152" i="42"/>
  <c r="K149" i="42"/>
  <c r="O149" i="42" s="1"/>
  <c r="G83" i="42"/>
  <c r="J83" i="42" s="1"/>
  <c r="G137" i="42"/>
  <c r="J137" i="42" s="1"/>
  <c r="J86" i="42"/>
  <c r="F85" i="42"/>
  <c r="O156" i="42"/>
  <c r="G90" i="42"/>
  <c r="F84" i="42"/>
  <c r="G84" i="42"/>
  <c r="G112" i="42"/>
  <c r="F112" i="42"/>
  <c r="O152" i="42"/>
  <c r="G117" i="42"/>
  <c r="F117" i="42"/>
  <c r="G118" i="42"/>
  <c r="F118" i="42"/>
  <c r="G119" i="42"/>
  <c r="F119" i="42"/>
  <c r="G120" i="42"/>
  <c r="G121" i="42"/>
  <c r="F121" i="42"/>
  <c r="F127" i="42"/>
  <c r="G127" i="42"/>
  <c r="F128" i="42"/>
  <c r="G128" i="42"/>
  <c r="F129" i="42"/>
  <c r="G129" i="42"/>
  <c r="G130" i="42"/>
  <c r="F130" i="42"/>
  <c r="G154" i="42"/>
  <c r="F154" i="42"/>
  <c r="G51" i="42"/>
  <c r="K52" i="42"/>
  <c r="T62" i="42"/>
  <c r="P62" i="42"/>
  <c r="L62" i="42"/>
  <c r="H62" i="42"/>
  <c r="D62" i="42"/>
  <c r="C62" i="42"/>
  <c r="G62" i="42" s="1"/>
  <c r="B62" i="42"/>
  <c r="A62" i="42"/>
  <c r="E36" i="42"/>
  <c r="E35" i="42"/>
  <c r="Q35" i="42" s="1"/>
  <c r="I34" i="42"/>
  <c r="M34" i="42" s="1"/>
  <c r="Q34" i="42" s="1"/>
  <c r="B34" i="42"/>
  <c r="K137" i="42" l="1"/>
  <c r="N137" i="42" s="1"/>
  <c r="N149" i="42"/>
  <c r="S86" i="42"/>
  <c r="V86" i="42" s="1"/>
  <c r="W86" i="42" s="1"/>
  <c r="K83" i="42"/>
  <c r="O83" i="42" s="1"/>
  <c r="O85" i="42"/>
  <c r="R85" i="42" s="1"/>
  <c r="R152" i="42"/>
  <c r="S152" i="42"/>
  <c r="V152" i="42" s="1"/>
  <c r="K84" i="42"/>
  <c r="J84" i="42"/>
  <c r="R149" i="42"/>
  <c r="S149" i="42"/>
  <c r="V149" i="42" s="1"/>
  <c r="K112" i="42"/>
  <c r="J112" i="42"/>
  <c r="J90" i="42"/>
  <c r="K90" i="42"/>
  <c r="S156" i="42"/>
  <c r="K154" i="42"/>
  <c r="J154" i="42"/>
  <c r="K130" i="42"/>
  <c r="J130" i="42"/>
  <c r="J129" i="42"/>
  <c r="K129" i="42"/>
  <c r="J128" i="42"/>
  <c r="K128" i="42"/>
  <c r="J127" i="42"/>
  <c r="K127" i="42"/>
  <c r="K121" i="42"/>
  <c r="J121" i="42"/>
  <c r="K120" i="42"/>
  <c r="K119" i="42"/>
  <c r="J119" i="42"/>
  <c r="K118" i="42"/>
  <c r="J118" i="42"/>
  <c r="K117" i="42"/>
  <c r="J117" i="42"/>
  <c r="K51" i="42"/>
  <c r="O52" i="42"/>
  <c r="F62" i="42"/>
  <c r="K62" i="42"/>
  <c r="J62" i="42"/>
  <c r="I35" i="42"/>
  <c r="M35" i="42"/>
  <c r="T26" i="42"/>
  <c r="P26" i="42"/>
  <c r="L26" i="42"/>
  <c r="H26" i="42"/>
  <c r="D26" i="42"/>
  <c r="B26" i="42"/>
  <c r="T27" i="42"/>
  <c r="P27" i="42"/>
  <c r="L27" i="42"/>
  <c r="H27" i="42"/>
  <c r="D27" i="42"/>
  <c r="B27" i="42"/>
  <c r="A27" i="42"/>
  <c r="T28" i="42"/>
  <c r="P28" i="42"/>
  <c r="L28" i="42"/>
  <c r="H28" i="42"/>
  <c r="D28" i="42"/>
  <c r="B28" i="42"/>
  <c r="A28" i="42"/>
  <c r="C146" i="42"/>
  <c r="S85" i="42" l="1"/>
  <c r="V85" i="42" s="1"/>
  <c r="W85" i="42" s="1"/>
  <c r="O137" i="42"/>
  <c r="R137" i="42" s="1"/>
  <c r="N83" i="42"/>
  <c r="W152" i="42"/>
  <c r="S83" i="42"/>
  <c r="V83" i="42" s="1"/>
  <c r="R83" i="42"/>
  <c r="N90" i="42"/>
  <c r="O90" i="42"/>
  <c r="N84" i="42"/>
  <c r="O84" i="42"/>
  <c r="G146" i="42"/>
  <c r="F146" i="42"/>
  <c r="O112" i="42"/>
  <c r="N112" i="42"/>
  <c r="O117" i="42"/>
  <c r="N117" i="42"/>
  <c r="O118" i="42"/>
  <c r="N118" i="42"/>
  <c r="O119" i="42"/>
  <c r="N119" i="42"/>
  <c r="O120" i="42"/>
  <c r="O121" i="42"/>
  <c r="N121" i="42"/>
  <c r="N127" i="42"/>
  <c r="O127" i="42"/>
  <c r="N128" i="42"/>
  <c r="O128" i="42"/>
  <c r="N129" i="42"/>
  <c r="O129" i="42"/>
  <c r="O130" i="42"/>
  <c r="N130" i="42"/>
  <c r="O154" i="42"/>
  <c r="N154" i="42"/>
  <c r="O51" i="42"/>
  <c r="S52" i="42"/>
  <c r="F40" i="42"/>
  <c r="O62" i="42"/>
  <c r="N62" i="42"/>
  <c r="V64" i="46"/>
  <c r="R64" i="46"/>
  <c r="N64" i="46"/>
  <c r="J64" i="46"/>
  <c r="F64" i="46"/>
  <c r="T44" i="46"/>
  <c r="P44" i="46"/>
  <c r="L44" i="46"/>
  <c r="H44" i="46"/>
  <c r="D44" i="46"/>
  <c r="C44" i="46"/>
  <c r="G44" i="46" s="1"/>
  <c r="B44" i="46"/>
  <c r="A44" i="46"/>
  <c r="B34" i="46"/>
  <c r="B29" i="46"/>
  <c r="A29" i="46"/>
  <c r="B28" i="46"/>
  <c r="A28" i="46"/>
  <c r="B27" i="46"/>
  <c r="A27" i="46"/>
  <c r="B26" i="46"/>
  <c r="A26" i="46"/>
  <c r="I78" i="46"/>
  <c r="M78" i="46" s="1"/>
  <c r="Q78" i="46" s="1"/>
  <c r="I77" i="46"/>
  <c r="M77" i="46" s="1"/>
  <c r="Q77" i="46" s="1"/>
  <c r="I76" i="46"/>
  <c r="M76" i="46" s="1"/>
  <c r="F76" i="46"/>
  <c r="A79" i="45"/>
  <c r="A80" i="45"/>
  <c r="B80" i="45"/>
  <c r="C80" i="45"/>
  <c r="D80" i="45"/>
  <c r="H80" i="45"/>
  <c r="L80" i="45"/>
  <c r="P80" i="45"/>
  <c r="T80" i="45"/>
  <c r="A85" i="45"/>
  <c r="A86" i="45"/>
  <c r="B86" i="45"/>
  <c r="D86" i="45"/>
  <c r="H86" i="45"/>
  <c r="L86" i="45"/>
  <c r="P86" i="45"/>
  <c r="T86" i="45"/>
  <c r="A88" i="45"/>
  <c r="A89" i="45"/>
  <c r="B89" i="45"/>
  <c r="C89" i="45"/>
  <c r="H89" i="45"/>
  <c r="L89" i="45"/>
  <c r="P89" i="45"/>
  <c r="T89" i="45"/>
  <c r="S137" i="42" l="1"/>
  <c r="V137" i="42" s="1"/>
  <c r="W137" i="42" s="1"/>
  <c r="J146" i="42"/>
  <c r="K146" i="42"/>
  <c r="R84" i="42"/>
  <c r="S84" i="42"/>
  <c r="V84" i="42" s="1"/>
  <c r="R90" i="42"/>
  <c r="S90" i="42"/>
  <c r="V90" i="42" s="1"/>
  <c r="S112" i="42"/>
  <c r="V112" i="42" s="1"/>
  <c r="R112" i="42"/>
  <c r="W83" i="42"/>
  <c r="F80" i="45"/>
  <c r="F44" i="46"/>
  <c r="S154" i="42"/>
  <c r="V154" i="42" s="1"/>
  <c r="R154" i="42"/>
  <c r="S130" i="42"/>
  <c r="V130" i="42" s="1"/>
  <c r="R130" i="42"/>
  <c r="R129" i="42"/>
  <c r="S129" i="42"/>
  <c r="V129" i="42" s="1"/>
  <c r="R128" i="42"/>
  <c r="S128" i="42"/>
  <c r="V128" i="42" s="1"/>
  <c r="R127" i="42"/>
  <c r="S127" i="42"/>
  <c r="V127" i="42" s="1"/>
  <c r="S121" i="42"/>
  <c r="V121" i="42" s="1"/>
  <c r="R121" i="42"/>
  <c r="S120" i="42"/>
  <c r="S119" i="42"/>
  <c r="V119" i="42" s="1"/>
  <c r="R119" i="42"/>
  <c r="S118" i="42"/>
  <c r="V118" i="42" s="1"/>
  <c r="R118" i="42"/>
  <c r="S117" i="42"/>
  <c r="V117" i="42" s="1"/>
  <c r="R117" i="42"/>
  <c r="S51" i="42"/>
  <c r="S62" i="42"/>
  <c r="V62" i="42" s="1"/>
  <c r="R62" i="42"/>
  <c r="W64" i="46"/>
  <c r="J44" i="46"/>
  <c r="K44" i="46"/>
  <c r="Q76" i="46"/>
  <c r="N76" i="46"/>
  <c r="J76" i="46"/>
  <c r="G80" i="45"/>
  <c r="J80" i="45" s="1"/>
  <c r="G89" i="45"/>
  <c r="T46" i="45"/>
  <c r="P46" i="45"/>
  <c r="L46" i="45"/>
  <c r="H46" i="45"/>
  <c r="D46" i="45"/>
  <c r="C46" i="45"/>
  <c r="G46" i="45" s="1"/>
  <c r="K46" i="45" s="1"/>
  <c r="O46" i="45" s="1"/>
  <c r="B46" i="45"/>
  <c r="A46" i="45"/>
  <c r="A63" i="45"/>
  <c r="B63" i="45"/>
  <c r="C63" i="45"/>
  <c r="G63" i="45" s="1"/>
  <c r="D63" i="45"/>
  <c r="H63" i="45"/>
  <c r="L63" i="45"/>
  <c r="P63" i="45"/>
  <c r="T63" i="45"/>
  <c r="B34" i="45"/>
  <c r="B29" i="45"/>
  <c r="A29" i="45"/>
  <c r="B28" i="45"/>
  <c r="A28" i="45"/>
  <c r="B27" i="45"/>
  <c r="A27" i="45"/>
  <c r="B26" i="45"/>
  <c r="A26" i="45"/>
  <c r="I98" i="45"/>
  <c r="M98" i="45" s="1"/>
  <c r="Q98" i="45" s="1"/>
  <c r="I97" i="45"/>
  <c r="M97" i="45" s="1"/>
  <c r="Q97" i="45" s="1"/>
  <c r="I96" i="45"/>
  <c r="M96" i="45" s="1"/>
  <c r="Q96" i="45" s="1"/>
  <c r="F96" i="45"/>
  <c r="I79" i="44"/>
  <c r="M79" i="44" s="1"/>
  <c r="Q79" i="44" s="1"/>
  <c r="I78" i="44"/>
  <c r="M78" i="44" s="1"/>
  <c r="Q78" i="44" s="1"/>
  <c r="I77" i="44"/>
  <c r="M77" i="44" s="1"/>
  <c r="Q77" i="44" s="1"/>
  <c r="T71" i="44"/>
  <c r="L71" i="44"/>
  <c r="H71" i="44"/>
  <c r="D71" i="44"/>
  <c r="B71" i="44"/>
  <c r="A71" i="44"/>
  <c r="D211" i="4"/>
  <c r="V66" i="44"/>
  <c r="R66" i="44"/>
  <c r="N66" i="44"/>
  <c r="J66" i="44"/>
  <c r="F66" i="44"/>
  <c r="T46" i="44"/>
  <c r="P46" i="44"/>
  <c r="L46" i="44"/>
  <c r="H46" i="44"/>
  <c r="D46" i="44"/>
  <c r="C46" i="44"/>
  <c r="B46" i="44"/>
  <c r="A46" i="44"/>
  <c r="A50" i="44"/>
  <c r="B34" i="43"/>
  <c r="B34" i="44"/>
  <c r="B26" i="44"/>
  <c r="A26" i="44"/>
  <c r="B29" i="44"/>
  <c r="A29" i="44"/>
  <c r="B28" i="44"/>
  <c r="A28" i="44"/>
  <c r="B27" i="44"/>
  <c r="A27" i="44"/>
  <c r="A11" i="44"/>
  <c r="B11" i="44"/>
  <c r="A12" i="44"/>
  <c r="B12" i="44"/>
  <c r="A13" i="44"/>
  <c r="B13" i="44"/>
  <c r="A14" i="44"/>
  <c r="B14" i="44"/>
  <c r="A15" i="44"/>
  <c r="B15" i="44"/>
  <c r="A16" i="44"/>
  <c r="B16" i="44"/>
  <c r="A17" i="44"/>
  <c r="B17" i="44"/>
  <c r="A18" i="44"/>
  <c r="B18" i="44"/>
  <c r="A19" i="44"/>
  <c r="B19" i="44"/>
  <c r="A20" i="44"/>
  <c r="B20" i="44"/>
  <c r="A21" i="44"/>
  <c r="B21" i="44"/>
  <c r="T119" i="43"/>
  <c r="P119" i="43"/>
  <c r="L119" i="43"/>
  <c r="H119" i="43"/>
  <c r="D119" i="43"/>
  <c r="C119" i="43"/>
  <c r="G119" i="43" s="1"/>
  <c r="K119" i="43" s="1"/>
  <c r="O119" i="43" s="1"/>
  <c r="S119" i="43" s="1"/>
  <c r="B119" i="43"/>
  <c r="A119" i="43"/>
  <c r="A106" i="43"/>
  <c r="B106" i="43"/>
  <c r="C106" i="43"/>
  <c r="D106" i="43"/>
  <c r="H106" i="43"/>
  <c r="L106" i="43"/>
  <c r="P106" i="43"/>
  <c r="T106" i="43"/>
  <c r="A107" i="43"/>
  <c r="B107" i="43"/>
  <c r="C107" i="43"/>
  <c r="G107" i="43" s="1"/>
  <c r="D107" i="43"/>
  <c r="H107" i="43"/>
  <c r="L107" i="43"/>
  <c r="P107" i="43"/>
  <c r="T107" i="43"/>
  <c r="A108" i="43"/>
  <c r="B108" i="43"/>
  <c r="C108" i="43"/>
  <c r="G108" i="43" s="1"/>
  <c r="D108" i="43"/>
  <c r="H108" i="43"/>
  <c r="L108" i="43"/>
  <c r="P108" i="43"/>
  <c r="T108" i="43"/>
  <c r="A109" i="43"/>
  <c r="B109" i="43"/>
  <c r="C109" i="43"/>
  <c r="G109" i="43" s="1"/>
  <c r="K109" i="43" s="1"/>
  <c r="O109" i="43" s="1"/>
  <c r="S109" i="43" s="1"/>
  <c r="D109" i="43"/>
  <c r="H109" i="43"/>
  <c r="L109" i="43"/>
  <c r="P109" i="43"/>
  <c r="T109" i="43"/>
  <c r="I129" i="43"/>
  <c r="M129" i="43" s="1"/>
  <c r="Q129" i="43" s="1"/>
  <c r="I128" i="43"/>
  <c r="M128" i="43" s="1"/>
  <c r="Q128" i="43" s="1"/>
  <c r="B96" i="43"/>
  <c r="C96" i="43"/>
  <c r="D96" i="43"/>
  <c r="H96" i="43"/>
  <c r="L96" i="43"/>
  <c r="P96" i="43"/>
  <c r="T96" i="43"/>
  <c r="A97" i="43"/>
  <c r="B97" i="43"/>
  <c r="C97" i="43"/>
  <c r="G97" i="43" s="1"/>
  <c r="K97" i="43" s="1"/>
  <c r="O97" i="43" s="1"/>
  <c r="S97" i="43" s="1"/>
  <c r="D97" i="43"/>
  <c r="H97" i="43"/>
  <c r="L97" i="43"/>
  <c r="P97" i="43"/>
  <c r="T97" i="43"/>
  <c r="A98" i="43"/>
  <c r="B98" i="43"/>
  <c r="C98" i="43"/>
  <c r="D98" i="43"/>
  <c r="H98" i="43"/>
  <c r="L98" i="43"/>
  <c r="P98" i="43"/>
  <c r="T98" i="43"/>
  <c r="A99" i="43"/>
  <c r="B99" i="43"/>
  <c r="C99" i="43"/>
  <c r="G99" i="43" s="1"/>
  <c r="K99" i="43" s="1"/>
  <c r="O99" i="43" s="1"/>
  <c r="S99" i="43" s="1"/>
  <c r="A100" i="43"/>
  <c r="B100" i="43"/>
  <c r="C100" i="43"/>
  <c r="G100" i="43" s="1"/>
  <c r="K100" i="43" s="1"/>
  <c r="O100" i="43" s="1"/>
  <c r="S100" i="43" s="1"/>
  <c r="D100" i="43"/>
  <c r="H100" i="43"/>
  <c r="L100" i="43"/>
  <c r="P100" i="43"/>
  <c r="T100" i="43"/>
  <c r="A101" i="43"/>
  <c r="B101" i="43"/>
  <c r="D101" i="43"/>
  <c r="H101" i="43"/>
  <c r="L101" i="43"/>
  <c r="P101" i="43"/>
  <c r="T101" i="43"/>
  <c r="T91" i="43"/>
  <c r="P91" i="43"/>
  <c r="L91" i="43"/>
  <c r="H91" i="43"/>
  <c r="D91" i="43"/>
  <c r="C91" i="43"/>
  <c r="G91" i="43" s="1"/>
  <c r="K91" i="43" s="1"/>
  <c r="O91" i="43" s="1"/>
  <c r="S91" i="43" s="1"/>
  <c r="B91" i="43"/>
  <c r="A91" i="43"/>
  <c r="T92" i="43"/>
  <c r="P92" i="43"/>
  <c r="L92" i="43"/>
  <c r="H92" i="43"/>
  <c r="D92" i="43"/>
  <c r="B92" i="43"/>
  <c r="A92" i="43"/>
  <c r="T83" i="43"/>
  <c r="P83" i="43"/>
  <c r="L83" i="43"/>
  <c r="H83" i="43"/>
  <c r="D83" i="43"/>
  <c r="C83" i="43"/>
  <c r="G83" i="43" s="1"/>
  <c r="B83" i="43"/>
  <c r="A83" i="43"/>
  <c r="T82" i="43"/>
  <c r="P82" i="43"/>
  <c r="L82" i="43"/>
  <c r="H82" i="43"/>
  <c r="D82" i="43"/>
  <c r="B82" i="43"/>
  <c r="A82" i="43"/>
  <c r="A66" i="43"/>
  <c r="B66" i="43"/>
  <c r="C66" i="43"/>
  <c r="G66" i="43" s="1"/>
  <c r="D66" i="43"/>
  <c r="H66" i="43"/>
  <c r="L66" i="43"/>
  <c r="P66" i="43"/>
  <c r="T66" i="43"/>
  <c r="A67" i="43"/>
  <c r="B67" i="43"/>
  <c r="C67" i="43"/>
  <c r="G67" i="43" s="1"/>
  <c r="D67" i="43"/>
  <c r="H67" i="43"/>
  <c r="L67" i="43"/>
  <c r="P67" i="43"/>
  <c r="T67" i="43"/>
  <c r="A68" i="43"/>
  <c r="B68" i="43"/>
  <c r="C68" i="43"/>
  <c r="G68" i="43" s="1"/>
  <c r="D68" i="43"/>
  <c r="H68" i="43"/>
  <c r="L68" i="43"/>
  <c r="P68" i="43"/>
  <c r="T68" i="43"/>
  <c r="A69" i="43"/>
  <c r="B69" i="43"/>
  <c r="C69" i="43"/>
  <c r="D69" i="43"/>
  <c r="H69" i="43"/>
  <c r="L69" i="43"/>
  <c r="P69" i="43"/>
  <c r="T69" i="43"/>
  <c r="A70" i="43"/>
  <c r="B70" i="43"/>
  <c r="C70" i="43"/>
  <c r="D70" i="43"/>
  <c r="H70" i="43"/>
  <c r="L70" i="43"/>
  <c r="P70" i="43"/>
  <c r="T70" i="43"/>
  <c r="A71" i="43"/>
  <c r="B71" i="43"/>
  <c r="D71" i="43"/>
  <c r="H71" i="43"/>
  <c r="L71" i="43"/>
  <c r="P71" i="43"/>
  <c r="T71" i="43"/>
  <c r="T52" i="43"/>
  <c r="P52" i="43"/>
  <c r="L52" i="43"/>
  <c r="H52" i="43"/>
  <c r="D52" i="43"/>
  <c r="C52" i="43"/>
  <c r="G52" i="43" s="1"/>
  <c r="B52" i="43"/>
  <c r="A52" i="43"/>
  <c r="B60" i="43"/>
  <c r="A60" i="43"/>
  <c r="C49" i="43"/>
  <c r="B49" i="43"/>
  <c r="A49" i="43"/>
  <c r="B48" i="43"/>
  <c r="E36" i="43"/>
  <c r="Q34" i="43"/>
  <c r="Q35" i="43"/>
  <c r="T26" i="43"/>
  <c r="P26" i="43"/>
  <c r="L26" i="43"/>
  <c r="H26" i="43"/>
  <c r="D26" i="43"/>
  <c r="B26" i="43"/>
  <c r="A26" i="43"/>
  <c r="T27" i="43"/>
  <c r="P27" i="43"/>
  <c r="L27" i="43"/>
  <c r="H27" i="43"/>
  <c r="D27" i="43"/>
  <c r="B27" i="43"/>
  <c r="A27" i="43"/>
  <c r="T28" i="43"/>
  <c r="P28" i="43"/>
  <c r="L28" i="43"/>
  <c r="H28" i="43"/>
  <c r="D28" i="43"/>
  <c r="B28" i="43"/>
  <c r="A28" i="43"/>
  <c r="A11" i="43"/>
  <c r="B11" i="43"/>
  <c r="D11" i="43"/>
  <c r="H11" i="43"/>
  <c r="L11" i="43"/>
  <c r="P11" i="43"/>
  <c r="T11" i="43"/>
  <c r="I295" i="4"/>
  <c r="I296" i="4" s="1"/>
  <c r="U100" i="4"/>
  <c r="U99" i="4"/>
  <c r="U98" i="4"/>
  <c r="U97" i="4"/>
  <c r="R102" i="4"/>
  <c r="R100" i="4"/>
  <c r="R99" i="4"/>
  <c r="R98" i="4"/>
  <c r="R97" i="4"/>
  <c r="R93" i="4"/>
  <c r="O102" i="4"/>
  <c r="O100" i="4"/>
  <c r="O99" i="4"/>
  <c r="O98" i="4"/>
  <c r="O97" i="4"/>
  <c r="O93" i="4"/>
  <c r="L99" i="4"/>
  <c r="L93" i="4"/>
  <c r="L64" i="4"/>
  <c r="I66" i="4"/>
  <c r="I64" i="4"/>
  <c r="U54" i="4"/>
  <c r="U48" i="4"/>
  <c r="U42" i="4"/>
  <c r="I54" i="4"/>
  <c r="S28" i="4"/>
  <c r="U27" i="43" s="1"/>
  <c r="S29" i="4"/>
  <c r="U28" i="43" s="1"/>
  <c r="S30" i="4"/>
  <c r="P28" i="4"/>
  <c r="Q27" i="43" s="1"/>
  <c r="P29" i="4"/>
  <c r="Q28" i="43" s="1"/>
  <c r="P30" i="4"/>
  <c r="M28" i="4"/>
  <c r="M27" i="43" s="1"/>
  <c r="M29" i="4"/>
  <c r="M28" i="43" s="1"/>
  <c r="M30" i="4"/>
  <c r="J28" i="4"/>
  <c r="I27" i="43" s="1"/>
  <c r="J29" i="4"/>
  <c r="I28" i="43" s="1"/>
  <c r="J30" i="4"/>
  <c r="E28" i="4"/>
  <c r="E27" i="43" s="1"/>
  <c r="E29" i="4"/>
  <c r="E28" i="43" s="1"/>
  <c r="E30" i="4"/>
  <c r="U11" i="43"/>
  <c r="Q11" i="43"/>
  <c r="M11" i="43"/>
  <c r="I11" i="43"/>
  <c r="T303" i="4"/>
  <c r="Q303" i="4"/>
  <c r="N303" i="4"/>
  <c r="K303" i="4"/>
  <c r="T225" i="4"/>
  <c r="Q225" i="4"/>
  <c r="N225" i="4"/>
  <c r="K225" i="4"/>
  <c r="T167" i="4"/>
  <c r="Q167" i="4"/>
  <c r="N167" i="4"/>
  <c r="K167" i="4"/>
  <c r="C86" i="45"/>
  <c r="C53" i="28"/>
  <c r="C54" i="28"/>
  <c r="C55" i="28"/>
  <c r="B55" i="28"/>
  <c r="B54" i="28"/>
  <c r="S78" i="45"/>
  <c r="O78" i="45"/>
  <c r="K78" i="45"/>
  <c r="G78" i="45"/>
  <c r="C78" i="45"/>
  <c r="W84" i="42" l="1"/>
  <c r="W117" i="42"/>
  <c r="W129" i="42"/>
  <c r="W119" i="42"/>
  <c r="W127" i="42"/>
  <c r="W128" i="42"/>
  <c r="W90" i="42"/>
  <c r="W118" i="42"/>
  <c r="W112" i="42"/>
  <c r="S71" i="44"/>
  <c r="S143" i="42"/>
  <c r="C76" i="42"/>
  <c r="C71" i="44"/>
  <c r="F71" i="44" s="1"/>
  <c r="C79" i="44" s="1"/>
  <c r="W121" i="42"/>
  <c r="U94" i="4"/>
  <c r="C113" i="42"/>
  <c r="G71" i="44"/>
  <c r="J71" i="44" s="1"/>
  <c r="G79" i="44" s="1"/>
  <c r="J79" i="44" s="1"/>
  <c r="K71" i="44"/>
  <c r="W130" i="42"/>
  <c r="O71" i="44"/>
  <c r="C122" i="42"/>
  <c r="V241" i="4"/>
  <c r="W154" i="42"/>
  <c r="N146" i="42"/>
  <c r="O146" i="42"/>
  <c r="F70" i="43"/>
  <c r="F69" i="43"/>
  <c r="J67" i="43"/>
  <c r="F98" i="43"/>
  <c r="F96" i="43"/>
  <c r="J107" i="43"/>
  <c r="F106" i="43"/>
  <c r="G46" i="44"/>
  <c r="K46" i="44" s="1"/>
  <c r="O46" i="44" s="1"/>
  <c r="S46" i="44" s="1"/>
  <c r="V46" i="44" s="1"/>
  <c r="C53" i="42"/>
  <c r="W62" i="42"/>
  <c r="V40" i="42"/>
  <c r="O94" i="4"/>
  <c r="R94" i="4"/>
  <c r="G86" i="45"/>
  <c r="J86" i="45" s="1"/>
  <c r="F86" i="45"/>
  <c r="L94" i="4"/>
  <c r="L105" i="4" s="1"/>
  <c r="C92" i="43"/>
  <c r="C101" i="43"/>
  <c r="G101" i="43" s="1"/>
  <c r="K101" i="43" s="1"/>
  <c r="O101" i="43" s="1"/>
  <c r="S101" i="43" s="1"/>
  <c r="V101" i="43" s="1"/>
  <c r="F109" i="43"/>
  <c r="O44" i="46"/>
  <c r="N44" i="46"/>
  <c r="V76" i="46"/>
  <c r="R76" i="46"/>
  <c r="K80" i="45"/>
  <c r="O80" i="45" s="1"/>
  <c r="K89" i="45"/>
  <c r="J89" i="45"/>
  <c r="F46" i="45"/>
  <c r="J46" i="45"/>
  <c r="S46" i="45"/>
  <c r="V46" i="45" s="1"/>
  <c r="R46" i="45"/>
  <c r="N46" i="45"/>
  <c r="F63" i="45"/>
  <c r="J63" i="45"/>
  <c r="K63" i="45"/>
  <c r="J96" i="45"/>
  <c r="V96" i="45"/>
  <c r="R96" i="45"/>
  <c r="N96" i="45"/>
  <c r="W66" i="44"/>
  <c r="F46" i="44"/>
  <c r="J119" i="43"/>
  <c r="F119" i="43"/>
  <c r="J108" i="43"/>
  <c r="K108" i="43"/>
  <c r="F107" i="43"/>
  <c r="G106" i="43"/>
  <c r="K106" i="43" s="1"/>
  <c r="O106" i="43" s="1"/>
  <c r="S106" i="43" s="1"/>
  <c r="G96" i="43"/>
  <c r="K96" i="43" s="1"/>
  <c r="O96" i="43" s="1"/>
  <c r="S96" i="43" s="1"/>
  <c r="K107" i="43"/>
  <c r="O107" i="43" s="1"/>
  <c r="S107" i="43" s="1"/>
  <c r="F108" i="43"/>
  <c r="G98" i="43"/>
  <c r="K98" i="43" s="1"/>
  <c r="O98" i="43" s="1"/>
  <c r="S98" i="43" s="1"/>
  <c r="J109" i="43"/>
  <c r="J97" i="43"/>
  <c r="V97" i="43"/>
  <c r="F100" i="43"/>
  <c r="F97" i="43"/>
  <c r="R97" i="43"/>
  <c r="N97" i="43"/>
  <c r="J91" i="43"/>
  <c r="F91" i="43"/>
  <c r="K83" i="43"/>
  <c r="J83" i="43"/>
  <c r="F83" i="43"/>
  <c r="G70" i="43"/>
  <c r="F66" i="43"/>
  <c r="J68" i="43"/>
  <c r="K68" i="43"/>
  <c r="F68" i="43"/>
  <c r="F67" i="43"/>
  <c r="G69" i="43"/>
  <c r="J69" i="43" s="1"/>
  <c r="K66" i="43"/>
  <c r="J66" i="43"/>
  <c r="K67" i="43"/>
  <c r="K52" i="43"/>
  <c r="J52" i="43"/>
  <c r="F52" i="43"/>
  <c r="U34" i="43"/>
  <c r="G49" i="43"/>
  <c r="K49" i="43" s="1"/>
  <c r="O49" i="43" s="1"/>
  <c r="S49" i="43" s="1"/>
  <c r="M36" i="43"/>
  <c r="I36" i="43"/>
  <c r="M34" i="43"/>
  <c r="Q36" i="43"/>
  <c r="M35" i="43"/>
  <c r="I34" i="43"/>
  <c r="I35" i="43"/>
  <c r="F79" i="44" l="1"/>
  <c r="X241" i="4"/>
  <c r="J46" i="44"/>
  <c r="R101" i="43"/>
  <c r="J101" i="43"/>
  <c r="F101" i="43"/>
  <c r="N101" i="43"/>
  <c r="K86" i="45"/>
  <c r="N86" i="45" s="1"/>
  <c r="R146" i="42"/>
  <c r="S146" i="42"/>
  <c r="V146" i="42" s="1"/>
  <c r="N80" i="45"/>
  <c r="G113" i="42"/>
  <c r="F113" i="42"/>
  <c r="G76" i="42"/>
  <c r="J96" i="43"/>
  <c r="G122" i="42"/>
  <c r="F122" i="42"/>
  <c r="G92" i="43"/>
  <c r="F92" i="43"/>
  <c r="G53" i="42"/>
  <c r="F53" i="42"/>
  <c r="J106" i="43"/>
  <c r="S44" i="46"/>
  <c r="V44" i="46" s="1"/>
  <c r="R44" i="46"/>
  <c r="W76" i="46"/>
  <c r="S80" i="45"/>
  <c r="V80" i="45" s="1"/>
  <c r="R80" i="45"/>
  <c r="N89" i="45"/>
  <c r="O89" i="45"/>
  <c r="W46" i="45"/>
  <c r="N63" i="45"/>
  <c r="O63" i="45"/>
  <c r="W96" i="45"/>
  <c r="N71" i="44"/>
  <c r="K79" i="44" s="1"/>
  <c r="N79" i="44" s="1"/>
  <c r="N46" i="44"/>
  <c r="R46" i="44"/>
  <c r="N119" i="43"/>
  <c r="N108" i="43"/>
  <c r="O108" i="43"/>
  <c r="N106" i="43"/>
  <c r="N107" i="43"/>
  <c r="N109" i="43"/>
  <c r="W97" i="43"/>
  <c r="J100" i="43"/>
  <c r="N96" i="43"/>
  <c r="J98" i="43"/>
  <c r="K69" i="43"/>
  <c r="N69" i="43" s="1"/>
  <c r="N91" i="43"/>
  <c r="J70" i="43"/>
  <c r="K70" i="43"/>
  <c r="O83" i="43"/>
  <c r="N83" i="43"/>
  <c r="N68" i="43"/>
  <c r="O68" i="43"/>
  <c r="N66" i="43"/>
  <c r="O66" i="43"/>
  <c r="N67" i="43"/>
  <c r="O67" i="43"/>
  <c r="N52" i="43"/>
  <c r="O52" i="43"/>
  <c r="F40" i="43"/>
  <c r="W101" i="43" l="1"/>
  <c r="O86" i="45"/>
  <c r="R86" i="45" s="1"/>
  <c r="W146" i="42"/>
  <c r="K76" i="42"/>
  <c r="K113" i="42"/>
  <c r="J113" i="42"/>
  <c r="K122" i="42"/>
  <c r="J122" i="42"/>
  <c r="K53" i="42"/>
  <c r="J53" i="42"/>
  <c r="K92" i="43"/>
  <c r="J92" i="43"/>
  <c r="W44" i="46"/>
  <c r="W80" i="45"/>
  <c r="R89" i="45"/>
  <c r="S89" i="45"/>
  <c r="V89" i="45" s="1"/>
  <c r="S63" i="45"/>
  <c r="V63" i="45" s="1"/>
  <c r="R63" i="45"/>
  <c r="V71" i="44"/>
  <c r="S79" i="44" s="1"/>
  <c r="V79" i="44" s="1"/>
  <c r="R71" i="44"/>
  <c r="W46" i="44"/>
  <c r="V119" i="43"/>
  <c r="R119" i="43"/>
  <c r="S108" i="43"/>
  <c r="V108" i="43" s="1"/>
  <c r="R108" i="43"/>
  <c r="V107" i="43"/>
  <c r="R107" i="43"/>
  <c r="R106" i="43"/>
  <c r="V106" i="43"/>
  <c r="V109" i="43"/>
  <c r="R109" i="43"/>
  <c r="R96" i="43"/>
  <c r="V96" i="43"/>
  <c r="O69" i="43"/>
  <c r="R69" i="43" s="1"/>
  <c r="N100" i="43"/>
  <c r="N98" i="43"/>
  <c r="V91" i="43"/>
  <c r="R91" i="43"/>
  <c r="S83" i="43"/>
  <c r="V83" i="43" s="1"/>
  <c r="R83" i="43"/>
  <c r="N70" i="43"/>
  <c r="O70" i="43"/>
  <c r="R68" i="43"/>
  <c r="S68" i="43"/>
  <c r="V68" i="43" s="1"/>
  <c r="S67" i="43"/>
  <c r="V67" i="43" s="1"/>
  <c r="R67" i="43"/>
  <c r="R66" i="43"/>
  <c r="S66" i="43"/>
  <c r="V66" i="43" s="1"/>
  <c r="R52" i="43"/>
  <c r="S52" i="43"/>
  <c r="V52" i="43" s="1"/>
  <c r="O79" i="44" l="1"/>
  <c r="R79" i="44" s="1"/>
  <c r="W71" i="44"/>
  <c r="S86" i="45"/>
  <c r="V86" i="45" s="1"/>
  <c r="W86" i="45" s="1"/>
  <c r="S69" i="43"/>
  <c r="V69" i="43" s="1"/>
  <c r="W69" i="43" s="1"/>
  <c r="O122" i="42"/>
  <c r="N122" i="42"/>
  <c r="O76" i="42"/>
  <c r="O113" i="42"/>
  <c r="N113" i="42"/>
  <c r="W79" i="44"/>
  <c r="O92" i="43"/>
  <c r="N92" i="43"/>
  <c r="O53" i="42"/>
  <c r="N53" i="42"/>
  <c r="W63" i="45"/>
  <c r="W119" i="43"/>
  <c r="W107" i="43"/>
  <c r="W109" i="43"/>
  <c r="W106" i="43"/>
  <c r="W68" i="43"/>
  <c r="W91" i="43"/>
  <c r="W108" i="43"/>
  <c r="W96" i="43"/>
  <c r="R98" i="43"/>
  <c r="V98" i="43"/>
  <c r="V100" i="43"/>
  <c r="R100" i="43"/>
  <c r="W83" i="43"/>
  <c r="R70" i="43"/>
  <c r="S70" i="43"/>
  <c r="V70" i="43" s="1"/>
  <c r="W67" i="43"/>
  <c r="W66" i="43"/>
  <c r="W52" i="43"/>
  <c r="V40" i="43"/>
  <c r="S113" i="42" l="1"/>
  <c r="V113" i="42" s="1"/>
  <c r="R113" i="42"/>
  <c r="R122" i="42"/>
  <c r="S122" i="42"/>
  <c r="V122" i="42" s="1"/>
  <c r="S76" i="42"/>
  <c r="S53" i="42"/>
  <c r="V53" i="42" s="1"/>
  <c r="R53" i="42"/>
  <c r="S92" i="43"/>
  <c r="V92" i="43" s="1"/>
  <c r="R92" i="43"/>
  <c r="W98" i="43"/>
  <c r="W100" i="43"/>
  <c r="W70" i="43"/>
  <c r="W92" i="43" l="1"/>
  <c r="W113" i="42"/>
  <c r="W122" i="42"/>
  <c r="W53" i="42"/>
  <c r="U252" i="4"/>
  <c r="R252" i="4"/>
  <c r="O252" i="4"/>
  <c r="L252" i="4"/>
  <c r="D149" i="42"/>
  <c r="F149" i="42" s="1"/>
  <c r="W149" i="42" s="1"/>
  <c r="U122" i="4"/>
  <c r="R122" i="4"/>
  <c r="O122" i="4"/>
  <c r="L122" i="4"/>
  <c r="I122" i="4"/>
  <c r="O144" i="42" l="1"/>
  <c r="R144" i="42" s="1"/>
  <c r="O69" i="46"/>
  <c r="L76" i="42"/>
  <c r="N76" i="42" s="1"/>
  <c r="D76" i="42"/>
  <c r="F76" i="42" s="1"/>
  <c r="S144" i="42"/>
  <c r="V144" i="42" s="1"/>
  <c r="S69" i="46"/>
  <c r="H76" i="42"/>
  <c r="J76" i="42" s="1"/>
  <c r="P76" i="42"/>
  <c r="R76" i="42" s="1"/>
  <c r="T76" i="42"/>
  <c r="V76" i="42" s="1"/>
  <c r="C144" i="42"/>
  <c r="F144" i="42" s="1"/>
  <c r="C69" i="46"/>
  <c r="D58" i="41"/>
  <c r="G144" i="42"/>
  <c r="J144" i="42" s="1"/>
  <c r="G69" i="46"/>
  <c r="K144" i="42"/>
  <c r="N144" i="42" s="1"/>
  <c r="K69" i="46"/>
  <c r="G52" i="44"/>
  <c r="I252" i="4"/>
  <c r="V252" i="4" s="1"/>
  <c r="X252" i="4" s="1"/>
  <c r="D89" i="45"/>
  <c r="F89" i="45" s="1"/>
  <c r="W89" i="45" s="1"/>
  <c r="G58" i="41"/>
  <c r="F58" i="41"/>
  <c r="X260" i="4"/>
  <c r="V122" i="4"/>
  <c r="X122" i="4" s="1"/>
  <c r="V176" i="4"/>
  <c r="X176" i="4" s="1"/>
  <c r="W76" i="42" l="1"/>
  <c r="W144" i="42"/>
  <c r="F52" i="44"/>
  <c r="K52" i="44"/>
  <c r="O52" i="44" l="1"/>
  <c r="N52" i="44"/>
  <c r="J52" i="44"/>
  <c r="S52" i="44" l="1"/>
  <c r="V52" i="44" s="1"/>
  <c r="R52" i="44"/>
  <c r="W52" i="44" l="1"/>
  <c r="W82" i="4" l="1"/>
  <c r="T51" i="42"/>
  <c r="V51" i="42" s="1"/>
  <c r="Q55" i="4"/>
  <c r="N55" i="4"/>
  <c r="K55" i="4"/>
  <c r="D51" i="42"/>
  <c r="F51" i="42" s="1"/>
  <c r="L51" i="42" l="1"/>
  <c r="N51" i="42" s="1"/>
  <c r="O55" i="4"/>
  <c r="P51" i="42"/>
  <c r="R51" i="42" s="1"/>
  <c r="R55" i="4"/>
  <c r="H51" i="42"/>
  <c r="J51" i="42" s="1"/>
  <c r="L55" i="4"/>
  <c r="C71" i="43"/>
  <c r="F71" i="43" s="1"/>
  <c r="C88" i="42"/>
  <c r="P49" i="43"/>
  <c r="R49" i="43" s="1"/>
  <c r="U55" i="4"/>
  <c r="T49" i="43"/>
  <c r="V49" i="43" s="1"/>
  <c r="L49" i="43"/>
  <c r="N49" i="43" s="1"/>
  <c r="I55" i="4"/>
  <c r="D49" i="43"/>
  <c r="F49" i="43" s="1"/>
  <c r="H49" i="43"/>
  <c r="J49" i="43" s="1"/>
  <c r="W51" i="42" l="1"/>
  <c r="G71" i="43"/>
  <c r="K71" i="43" s="1"/>
  <c r="V55" i="4"/>
  <c r="X55" i="4" s="1"/>
  <c r="F88" i="42"/>
  <c r="G88" i="42"/>
  <c r="W49" i="43"/>
  <c r="W237" i="4"/>
  <c r="C170" i="42"/>
  <c r="T43" i="4"/>
  <c r="Q43" i="4"/>
  <c r="R43" i="4" s="1"/>
  <c r="N43" i="4"/>
  <c r="O43" i="4" s="1"/>
  <c r="K43" i="4"/>
  <c r="L43" i="4" s="1"/>
  <c r="W105" i="4"/>
  <c r="U102" i="4"/>
  <c r="U93" i="4"/>
  <c r="U81" i="4"/>
  <c r="R81" i="4"/>
  <c r="O81" i="4"/>
  <c r="L81" i="4"/>
  <c r="C103" i="42"/>
  <c r="U66" i="4"/>
  <c r="R66" i="4"/>
  <c r="O66" i="4"/>
  <c r="L66" i="4"/>
  <c r="U63" i="4"/>
  <c r="R63" i="4"/>
  <c r="O63" i="4"/>
  <c r="L63" i="4"/>
  <c r="I63" i="4"/>
  <c r="C70" i="42"/>
  <c r="G49" i="4"/>
  <c r="I49" i="4" s="1"/>
  <c r="J71" i="43" l="1"/>
  <c r="U43" i="4"/>
  <c r="G70" i="42"/>
  <c r="G170" i="42"/>
  <c r="F103" i="42"/>
  <c r="G103" i="42"/>
  <c r="K88" i="42"/>
  <c r="J88" i="42"/>
  <c r="C60" i="43"/>
  <c r="I80" i="4"/>
  <c r="C82" i="43"/>
  <c r="N71" i="43"/>
  <c r="O71" i="43"/>
  <c r="I102" i="4"/>
  <c r="V93" i="4"/>
  <c r="V66" i="4"/>
  <c r="X66" i="4" s="1"/>
  <c r="O80" i="4"/>
  <c r="L80" i="4"/>
  <c r="R80" i="4"/>
  <c r="U80" i="4"/>
  <c r="V63" i="4"/>
  <c r="X63" i="4" s="1"/>
  <c r="X258" i="4" l="1"/>
  <c r="X259" i="4"/>
  <c r="J170" i="42"/>
  <c r="K170" i="42"/>
  <c r="N88" i="42"/>
  <c r="O88" i="42"/>
  <c r="K103" i="42"/>
  <c r="J103" i="42"/>
  <c r="K70" i="42"/>
  <c r="S71" i="43"/>
  <c r="V71" i="43" s="1"/>
  <c r="R71" i="43"/>
  <c r="F43" i="45"/>
  <c r="F82" i="43"/>
  <c r="G82" i="43"/>
  <c r="X257" i="4"/>
  <c r="G60" i="43"/>
  <c r="V94" i="4"/>
  <c r="X94" i="4" s="1"/>
  <c r="V102" i="4"/>
  <c r="X102" i="4" s="1"/>
  <c r="X93" i="4"/>
  <c r="V80" i="4"/>
  <c r="X80" i="4" s="1"/>
  <c r="L261" i="4" l="1"/>
  <c r="O261" i="4"/>
  <c r="R261" i="4"/>
  <c r="U261" i="4"/>
  <c r="W71" i="43"/>
  <c r="N103" i="42"/>
  <c r="O103" i="42"/>
  <c r="O70" i="42"/>
  <c r="O170" i="42"/>
  <c r="N170" i="42"/>
  <c r="R88" i="42"/>
  <c r="S88" i="42"/>
  <c r="V88" i="42" s="1"/>
  <c r="K82" i="43"/>
  <c r="J82" i="43"/>
  <c r="K60" i="43"/>
  <c r="J43" i="45"/>
  <c r="H30" i="4"/>
  <c r="H29" i="4"/>
  <c r="C28" i="42" s="1"/>
  <c r="G28" i="42" s="1"/>
  <c r="K28" i="42" s="1"/>
  <c r="O28" i="42" s="1"/>
  <c r="S28" i="42" s="1"/>
  <c r="W88" i="42" l="1"/>
  <c r="R170" i="42"/>
  <c r="S170" i="42"/>
  <c r="S70" i="42"/>
  <c r="R103" i="42"/>
  <c r="S103" i="42"/>
  <c r="V103" i="42" s="1"/>
  <c r="O43" i="45"/>
  <c r="N43" i="45"/>
  <c r="C11" i="43"/>
  <c r="O82" i="43"/>
  <c r="N82" i="43"/>
  <c r="O60" i="43"/>
  <c r="C28" i="43"/>
  <c r="L29" i="4"/>
  <c r="O29" i="39"/>
  <c r="L29" i="39"/>
  <c r="I29" i="39"/>
  <c r="F29" i="39"/>
  <c r="C29" i="39"/>
  <c r="B29" i="39"/>
  <c r="O28" i="39"/>
  <c r="L28" i="39"/>
  <c r="I28" i="39"/>
  <c r="F28" i="39"/>
  <c r="C28" i="39"/>
  <c r="B28" i="39"/>
  <c r="O27" i="39"/>
  <c r="L27" i="39"/>
  <c r="I27" i="39"/>
  <c r="F27" i="39"/>
  <c r="C27" i="39"/>
  <c r="B27" i="39"/>
  <c r="O26" i="39"/>
  <c r="L26" i="39"/>
  <c r="I26" i="39"/>
  <c r="F26" i="39"/>
  <c r="C26" i="39"/>
  <c r="B26" i="39"/>
  <c r="H291" i="4"/>
  <c r="D291" i="4"/>
  <c r="H290" i="4"/>
  <c r="D283" i="4"/>
  <c r="E283" i="4"/>
  <c r="E26" i="46" s="1"/>
  <c r="G283" i="4"/>
  <c r="D26" i="46" s="1"/>
  <c r="J283" i="4"/>
  <c r="I26" i="46" s="1"/>
  <c r="K283" i="4"/>
  <c r="H26" i="46" s="1"/>
  <c r="M283" i="4"/>
  <c r="M26" i="46" s="1"/>
  <c r="N283" i="4"/>
  <c r="P283" i="4"/>
  <c r="Q26" i="46" s="1"/>
  <c r="Q283" i="4"/>
  <c r="S283" i="4"/>
  <c r="U26" i="46" s="1"/>
  <c r="T283" i="4"/>
  <c r="T26" i="46" s="1"/>
  <c r="D284" i="4"/>
  <c r="E284" i="4"/>
  <c r="E27" i="46" s="1"/>
  <c r="G284" i="4"/>
  <c r="D27" i="46" s="1"/>
  <c r="J284" i="4"/>
  <c r="I27" i="46" s="1"/>
  <c r="K284" i="4"/>
  <c r="H27" i="46" s="1"/>
  <c r="M284" i="4"/>
  <c r="M27" i="46" s="1"/>
  <c r="N284" i="4"/>
  <c r="L27" i="46" s="1"/>
  <c r="P284" i="4"/>
  <c r="Q27" i="46" s="1"/>
  <c r="Q284" i="4"/>
  <c r="P27" i="46" s="1"/>
  <c r="S284" i="4"/>
  <c r="U27" i="46" s="1"/>
  <c r="T284" i="4"/>
  <c r="T27" i="46" s="1"/>
  <c r="D285" i="4"/>
  <c r="E285" i="4"/>
  <c r="E28" i="46" s="1"/>
  <c r="G285" i="4"/>
  <c r="D28" i="46" s="1"/>
  <c r="J285" i="4"/>
  <c r="I28" i="46" s="1"/>
  <c r="K285" i="4"/>
  <c r="H28" i="46" s="1"/>
  <c r="M285" i="4"/>
  <c r="M28" i="46" s="1"/>
  <c r="N285" i="4"/>
  <c r="L28" i="46" s="1"/>
  <c r="P285" i="4"/>
  <c r="Q28" i="46" s="1"/>
  <c r="Q285" i="4"/>
  <c r="P28" i="46" s="1"/>
  <c r="S285" i="4"/>
  <c r="U28" i="46" s="1"/>
  <c r="T285" i="4"/>
  <c r="T28" i="46" s="1"/>
  <c r="D286" i="4"/>
  <c r="E286" i="4"/>
  <c r="E29" i="46" s="1"/>
  <c r="G286" i="4"/>
  <c r="D29" i="46" s="1"/>
  <c r="J286" i="4"/>
  <c r="I29" i="46" s="1"/>
  <c r="K286" i="4"/>
  <c r="H29" i="46" s="1"/>
  <c r="M286" i="4"/>
  <c r="M29" i="46" s="1"/>
  <c r="N286" i="4"/>
  <c r="L29" i="46" s="1"/>
  <c r="P286" i="4"/>
  <c r="Q29" i="46" s="1"/>
  <c r="Q286" i="4"/>
  <c r="P29" i="46" s="1"/>
  <c r="S286" i="4"/>
  <c r="U29" i="46" s="1"/>
  <c r="T286" i="4"/>
  <c r="T29" i="46" s="1"/>
  <c r="D203" i="4"/>
  <c r="E203" i="4"/>
  <c r="E26" i="45" s="1"/>
  <c r="G203" i="4"/>
  <c r="D26" i="45" s="1"/>
  <c r="J203" i="4"/>
  <c r="I26" i="45" s="1"/>
  <c r="K203" i="4"/>
  <c r="H26" i="45" s="1"/>
  <c r="M203" i="4"/>
  <c r="M26" i="45" s="1"/>
  <c r="N203" i="4"/>
  <c r="P203" i="4"/>
  <c r="Q26" i="45" s="1"/>
  <c r="Q203" i="4"/>
  <c r="S203" i="4"/>
  <c r="U26" i="45" s="1"/>
  <c r="T203" i="4"/>
  <c r="T26" i="45" s="1"/>
  <c r="D204" i="4"/>
  <c r="E204" i="4"/>
  <c r="E27" i="45" s="1"/>
  <c r="G204" i="4"/>
  <c r="D27" i="45" s="1"/>
  <c r="J204" i="4"/>
  <c r="I27" i="45" s="1"/>
  <c r="K204" i="4"/>
  <c r="H27" i="45" s="1"/>
  <c r="M204" i="4"/>
  <c r="M27" i="45" s="1"/>
  <c r="N204" i="4"/>
  <c r="L27" i="45" s="1"/>
  <c r="P204" i="4"/>
  <c r="Q27" i="45" s="1"/>
  <c r="Q204" i="4"/>
  <c r="P27" i="45" s="1"/>
  <c r="S204" i="4"/>
  <c r="U27" i="45" s="1"/>
  <c r="T204" i="4"/>
  <c r="T27" i="45" s="1"/>
  <c r="D205" i="4"/>
  <c r="E205" i="4"/>
  <c r="E28" i="45" s="1"/>
  <c r="G205" i="4"/>
  <c r="D28" i="45" s="1"/>
  <c r="J205" i="4"/>
  <c r="I28" i="45" s="1"/>
  <c r="K205" i="4"/>
  <c r="H28" i="45" s="1"/>
  <c r="M205" i="4"/>
  <c r="M28" i="45" s="1"/>
  <c r="N205" i="4"/>
  <c r="L28" i="45" s="1"/>
  <c r="P205" i="4"/>
  <c r="Q28" i="45" s="1"/>
  <c r="Q205" i="4"/>
  <c r="P28" i="45" s="1"/>
  <c r="S205" i="4"/>
  <c r="U28" i="45" s="1"/>
  <c r="T205" i="4"/>
  <c r="T28" i="45" s="1"/>
  <c r="D206" i="4"/>
  <c r="E206" i="4"/>
  <c r="E29" i="45" s="1"/>
  <c r="G206" i="4"/>
  <c r="D29" i="45" s="1"/>
  <c r="J206" i="4"/>
  <c r="I29" i="45" s="1"/>
  <c r="K206" i="4"/>
  <c r="H29" i="45" s="1"/>
  <c r="M206" i="4"/>
  <c r="M29" i="45" s="1"/>
  <c r="N206" i="4"/>
  <c r="L29" i="45" s="1"/>
  <c r="P206" i="4"/>
  <c r="Q29" i="45" s="1"/>
  <c r="Q206" i="4"/>
  <c r="P29" i="45" s="1"/>
  <c r="S206" i="4"/>
  <c r="U29" i="45" s="1"/>
  <c r="T206" i="4"/>
  <c r="T29" i="45" s="1"/>
  <c r="H211" i="4"/>
  <c r="D154" i="4"/>
  <c r="I11" i="44"/>
  <c r="I11" i="42" s="1"/>
  <c r="J11" i="42" s="1"/>
  <c r="H154" i="4"/>
  <c r="E11" i="44"/>
  <c r="E11" i="42" s="1"/>
  <c r="F11" i="42" s="1"/>
  <c r="E12" i="44"/>
  <c r="E12" i="42" s="1"/>
  <c r="F12" i="42" s="1"/>
  <c r="E13" i="44"/>
  <c r="E13" i="42" s="1"/>
  <c r="F13" i="42" s="1"/>
  <c r="E14" i="44"/>
  <c r="E14" i="42" s="1"/>
  <c r="F14" i="42" s="1"/>
  <c r="E15" i="44"/>
  <c r="E15" i="42" s="1"/>
  <c r="F15" i="42" s="1"/>
  <c r="E16" i="44"/>
  <c r="E16" i="42" s="1"/>
  <c r="F16" i="42" s="1"/>
  <c r="E17" i="44"/>
  <c r="E17" i="42" s="1"/>
  <c r="F17" i="42" s="1"/>
  <c r="E18" i="44"/>
  <c r="E18" i="42" s="1"/>
  <c r="F18" i="42" s="1"/>
  <c r="E19" i="44"/>
  <c r="E19" i="42" s="1"/>
  <c r="F19" i="42" s="1"/>
  <c r="E20" i="44"/>
  <c r="E20" i="42" s="1"/>
  <c r="F20" i="42" s="1"/>
  <c r="E21" i="44"/>
  <c r="E21" i="42" s="1"/>
  <c r="F21" i="42" s="1"/>
  <c r="E146" i="4"/>
  <c r="E26" i="44" s="1"/>
  <c r="E147" i="4"/>
  <c r="E27" i="44" s="1"/>
  <c r="E148" i="4"/>
  <c r="E28" i="44" s="1"/>
  <c r="E149" i="4"/>
  <c r="E29" i="44" s="1"/>
  <c r="D11" i="44"/>
  <c r="H11" i="44"/>
  <c r="M11" i="44"/>
  <c r="M11" i="42" s="1"/>
  <c r="N11" i="42" s="1"/>
  <c r="L11" i="44"/>
  <c r="Q11" i="44"/>
  <c r="Q11" i="42" s="1"/>
  <c r="R11" i="42" s="1"/>
  <c r="P11" i="44"/>
  <c r="U11" i="44"/>
  <c r="U11" i="42" s="1"/>
  <c r="V11" i="42" s="1"/>
  <c r="T11" i="44"/>
  <c r="D12" i="44"/>
  <c r="I12" i="44"/>
  <c r="I12" i="42" s="1"/>
  <c r="J12" i="42" s="1"/>
  <c r="H12" i="44"/>
  <c r="M12" i="44"/>
  <c r="M12" i="42" s="1"/>
  <c r="N12" i="42" s="1"/>
  <c r="L12" i="44"/>
  <c r="Q12" i="44"/>
  <c r="Q12" i="42" s="1"/>
  <c r="R12" i="42" s="1"/>
  <c r="P12" i="44"/>
  <c r="U12" i="44"/>
  <c r="U12" i="42" s="1"/>
  <c r="V12" i="42" s="1"/>
  <c r="T12" i="44"/>
  <c r="D13" i="44"/>
  <c r="I13" i="44"/>
  <c r="I13" i="42" s="1"/>
  <c r="J13" i="42" s="1"/>
  <c r="H13" i="44"/>
  <c r="M13" i="44"/>
  <c r="M13" i="42" s="1"/>
  <c r="N13" i="42" s="1"/>
  <c r="L13" i="44"/>
  <c r="Q13" i="44"/>
  <c r="Q13" i="42" s="1"/>
  <c r="R13" i="42" s="1"/>
  <c r="P13" i="44"/>
  <c r="U13" i="44"/>
  <c r="U13" i="42" s="1"/>
  <c r="V13" i="42" s="1"/>
  <c r="T13" i="44"/>
  <c r="D14" i="44"/>
  <c r="I14" i="44"/>
  <c r="I14" i="42" s="1"/>
  <c r="J14" i="42" s="1"/>
  <c r="H14" i="44"/>
  <c r="M14" i="44"/>
  <c r="M14" i="42" s="1"/>
  <c r="N14" i="42" s="1"/>
  <c r="L14" i="44"/>
  <c r="Q14" i="44"/>
  <c r="Q14" i="42" s="1"/>
  <c r="R14" i="42" s="1"/>
  <c r="P14" i="44"/>
  <c r="U14" i="44"/>
  <c r="U14" i="42" s="1"/>
  <c r="V14" i="42" s="1"/>
  <c r="T14" i="44"/>
  <c r="D15" i="44"/>
  <c r="I15" i="44"/>
  <c r="I15" i="42" s="1"/>
  <c r="J15" i="42" s="1"/>
  <c r="H15" i="44"/>
  <c r="M15" i="44"/>
  <c r="M15" i="42" s="1"/>
  <c r="N15" i="42" s="1"/>
  <c r="L15" i="44"/>
  <c r="Q15" i="44"/>
  <c r="Q15" i="42" s="1"/>
  <c r="R15" i="42" s="1"/>
  <c r="P15" i="44"/>
  <c r="U15" i="44"/>
  <c r="U15" i="42" s="1"/>
  <c r="V15" i="42" s="1"/>
  <c r="T15" i="44"/>
  <c r="D16" i="44"/>
  <c r="I16" i="44"/>
  <c r="I16" i="42" s="1"/>
  <c r="J16" i="42" s="1"/>
  <c r="H16" i="44"/>
  <c r="M16" i="44"/>
  <c r="M16" i="42" s="1"/>
  <c r="N16" i="42" s="1"/>
  <c r="L16" i="44"/>
  <c r="Q16" i="44"/>
  <c r="Q16" i="42" s="1"/>
  <c r="R16" i="42" s="1"/>
  <c r="P16" i="44"/>
  <c r="U16" i="44"/>
  <c r="U16" i="42" s="1"/>
  <c r="V16" i="42" s="1"/>
  <c r="T16" i="44"/>
  <c r="D17" i="44"/>
  <c r="I17" i="44"/>
  <c r="I17" i="42" s="1"/>
  <c r="J17" i="42" s="1"/>
  <c r="H17" i="44"/>
  <c r="M17" i="44"/>
  <c r="M17" i="42" s="1"/>
  <c r="N17" i="42" s="1"/>
  <c r="L17" i="44"/>
  <c r="Q17" i="44"/>
  <c r="Q17" i="42" s="1"/>
  <c r="R17" i="42" s="1"/>
  <c r="P17" i="44"/>
  <c r="U17" i="44"/>
  <c r="U17" i="42" s="1"/>
  <c r="V17" i="42" s="1"/>
  <c r="T17" i="44"/>
  <c r="D18" i="44"/>
  <c r="I18" i="44"/>
  <c r="I18" i="42" s="1"/>
  <c r="J18" i="42" s="1"/>
  <c r="H18" i="44"/>
  <c r="M18" i="44"/>
  <c r="M18" i="42" s="1"/>
  <c r="N18" i="42" s="1"/>
  <c r="L18" i="44"/>
  <c r="Q18" i="44"/>
  <c r="Q18" i="42" s="1"/>
  <c r="R18" i="42" s="1"/>
  <c r="P18" i="44"/>
  <c r="U18" i="44"/>
  <c r="U18" i="42" s="1"/>
  <c r="V18" i="42" s="1"/>
  <c r="T18" i="44"/>
  <c r="D19" i="44"/>
  <c r="I19" i="44"/>
  <c r="I19" i="42" s="1"/>
  <c r="J19" i="42" s="1"/>
  <c r="H19" i="44"/>
  <c r="M19" i="44"/>
  <c r="M19" i="42" s="1"/>
  <c r="N19" i="42" s="1"/>
  <c r="L19" i="44"/>
  <c r="Q19" i="44"/>
  <c r="Q19" i="42" s="1"/>
  <c r="R19" i="42" s="1"/>
  <c r="P19" i="44"/>
  <c r="U19" i="44"/>
  <c r="U19" i="42" s="1"/>
  <c r="V19" i="42" s="1"/>
  <c r="T19" i="44"/>
  <c r="D20" i="44"/>
  <c r="I20" i="44"/>
  <c r="I20" i="42" s="1"/>
  <c r="J20" i="42" s="1"/>
  <c r="H20" i="44"/>
  <c r="M20" i="44"/>
  <c r="M20" i="42" s="1"/>
  <c r="N20" i="42" s="1"/>
  <c r="L20" i="44"/>
  <c r="Q20" i="44"/>
  <c r="Q20" i="42" s="1"/>
  <c r="R20" i="42" s="1"/>
  <c r="P20" i="44"/>
  <c r="U20" i="44"/>
  <c r="U20" i="42" s="1"/>
  <c r="V20" i="42" s="1"/>
  <c r="T20" i="44"/>
  <c r="D21" i="44"/>
  <c r="I21" i="44"/>
  <c r="I21" i="42" s="1"/>
  <c r="J21" i="42" s="1"/>
  <c r="H21" i="44"/>
  <c r="M21" i="44"/>
  <c r="M21" i="42" s="1"/>
  <c r="N21" i="42" s="1"/>
  <c r="L21" i="44"/>
  <c r="Q21" i="44"/>
  <c r="Q21" i="42" s="1"/>
  <c r="R21" i="42" s="1"/>
  <c r="P21" i="44"/>
  <c r="U21" i="44"/>
  <c r="U21" i="42" s="1"/>
  <c r="V21" i="42" s="1"/>
  <c r="T21" i="44"/>
  <c r="D146" i="4"/>
  <c r="G146" i="4"/>
  <c r="D26" i="44" s="1"/>
  <c r="J146" i="4"/>
  <c r="I26" i="44" s="1"/>
  <c r="K146" i="4"/>
  <c r="H26" i="44" s="1"/>
  <c r="M146" i="4"/>
  <c r="M26" i="44" s="1"/>
  <c r="N146" i="4"/>
  <c r="Q26" i="44"/>
  <c r="S146" i="4"/>
  <c r="U26" i="44" s="1"/>
  <c r="T146" i="4"/>
  <c r="T26" i="44" s="1"/>
  <c r="D147" i="4"/>
  <c r="G147" i="4"/>
  <c r="D27" i="44" s="1"/>
  <c r="J147" i="4"/>
  <c r="I27" i="44" s="1"/>
  <c r="K147" i="4"/>
  <c r="H27" i="44" s="1"/>
  <c r="M147" i="4"/>
  <c r="M27" i="44" s="1"/>
  <c r="N147" i="4"/>
  <c r="L27" i="44" s="1"/>
  <c r="P147" i="4"/>
  <c r="Q27" i="44" s="1"/>
  <c r="Q147" i="4"/>
  <c r="P27" i="44" s="1"/>
  <c r="S147" i="4"/>
  <c r="U27" i="44" s="1"/>
  <c r="T147" i="4"/>
  <c r="T27" i="44" s="1"/>
  <c r="D148" i="4"/>
  <c r="G148" i="4"/>
  <c r="D28" i="44" s="1"/>
  <c r="J148" i="4"/>
  <c r="I28" i="44" s="1"/>
  <c r="K148" i="4"/>
  <c r="H28" i="44" s="1"/>
  <c r="M148" i="4"/>
  <c r="M28" i="44" s="1"/>
  <c r="N148" i="4"/>
  <c r="L28" i="44" s="1"/>
  <c r="P148" i="4"/>
  <c r="Q28" i="44" s="1"/>
  <c r="Q148" i="4"/>
  <c r="P28" i="44" s="1"/>
  <c r="S148" i="4"/>
  <c r="U28" i="44" s="1"/>
  <c r="T148" i="4"/>
  <c r="T28" i="44" s="1"/>
  <c r="D149" i="4"/>
  <c r="G149" i="4"/>
  <c r="J149" i="4"/>
  <c r="I29" i="44" s="1"/>
  <c r="K149" i="4"/>
  <c r="M149" i="4"/>
  <c r="M29" i="44" s="1"/>
  <c r="N149" i="4"/>
  <c r="P149" i="4"/>
  <c r="Q29" i="44" s="1"/>
  <c r="Q149" i="4"/>
  <c r="S149" i="4"/>
  <c r="U29" i="44" s="1"/>
  <c r="T149" i="4"/>
  <c r="S27" i="4"/>
  <c r="U26" i="43" s="1"/>
  <c r="P27" i="4"/>
  <c r="M27" i="4"/>
  <c r="E11" i="43"/>
  <c r="E27" i="4"/>
  <c r="E26" i="43" s="1"/>
  <c r="J27" i="4"/>
  <c r="I26" i="43" s="1"/>
  <c r="B27" i="30"/>
  <c r="H27" i="30"/>
  <c r="B28" i="30"/>
  <c r="H28" i="30"/>
  <c r="B29" i="30"/>
  <c r="H29" i="30"/>
  <c r="B52" i="30"/>
  <c r="H52" i="30"/>
  <c r="B53" i="30"/>
  <c r="H53" i="30"/>
  <c r="B54" i="30"/>
  <c r="H54" i="30"/>
  <c r="B127" i="30"/>
  <c r="H127" i="30"/>
  <c r="B128" i="30"/>
  <c r="H128" i="30"/>
  <c r="B129" i="30"/>
  <c r="H129" i="30"/>
  <c r="B102" i="30"/>
  <c r="B103" i="30"/>
  <c r="B104" i="30"/>
  <c r="B77" i="30"/>
  <c r="B78" i="30"/>
  <c r="B79" i="30"/>
  <c r="H205" i="4"/>
  <c r="C28" i="45" s="1"/>
  <c r="H28" i="4"/>
  <c r="C27" i="42" s="1"/>
  <c r="G27" i="42" s="1"/>
  <c r="K27" i="42" s="1"/>
  <c r="O27" i="42" s="1"/>
  <c r="S27" i="42" s="1"/>
  <c r="C16" i="44"/>
  <c r="C18" i="44"/>
  <c r="C19" i="44"/>
  <c r="E36" i="44" l="1"/>
  <c r="I36" i="44" s="1"/>
  <c r="E36" i="45"/>
  <c r="M36" i="45" s="1"/>
  <c r="W21" i="42"/>
  <c r="W13" i="42"/>
  <c r="W20" i="42"/>
  <c r="W12" i="42"/>
  <c r="W19" i="42"/>
  <c r="W11" i="42"/>
  <c r="W18" i="42"/>
  <c r="W14" i="42"/>
  <c r="W17" i="42"/>
  <c r="W16" i="42"/>
  <c r="W15" i="42"/>
  <c r="L26" i="44"/>
  <c r="L26" i="45"/>
  <c r="M26" i="43"/>
  <c r="M26" i="42" s="1"/>
  <c r="Q26" i="43"/>
  <c r="Q26" i="42" s="1"/>
  <c r="P26" i="46"/>
  <c r="P26" i="44"/>
  <c r="P26" i="45"/>
  <c r="L26" i="46"/>
  <c r="T29" i="44"/>
  <c r="D29" i="44"/>
  <c r="P29" i="44"/>
  <c r="L29" i="44"/>
  <c r="H29" i="44"/>
  <c r="U28" i="42"/>
  <c r="V28" i="42" s="1"/>
  <c r="E35" i="44"/>
  <c r="Q35" i="44" s="1"/>
  <c r="E35" i="46"/>
  <c r="M35" i="46" s="1"/>
  <c r="E36" i="46"/>
  <c r="M36" i="46" s="1"/>
  <c r="E35" i="45"/>
  <c r="I35" i="45" s="1"/>
  <c r="Q27" i="42"/>
  <c r="R27" i="42" s="1"/>
  <c r="E26" i="42"/>
  <c r="E28" i="42"/>
  <c r="F28" i="42" s="1"/>
  <c r="I28" i="42"/>
  <c r="J28" i="42" s="1"/>
  <c r="M27" i="42"/>
  <c r="N27" i="42" s="1"/>
  <c r="W103" i="42"/>
  <c r="U26" i="42"/>
  <c r="U27" i="42"/>
  <c r="V27" i="42" s="1"/>
  <c r="E27" i="42"/>
  <c r="F27" i="42" s="1"/>
  <c r="M28" i="42"/>
  <c r="N28" i="42" s="1"/>
  <c r="I27" i="42"/>
  <c r="J27" i="42" s="1"/>
  <c r="I26" i="42"/>
  <c r="Q28" i="42"/>
  <c r="R28" i="42" s="1"/>
  <c r="F19" i="44"/>
  <c r="G19" i="44"/>
  <c r="U34" i="45"/>
  <c r="I34" i="45"/>
  <c r="Q34" i="45"/>
  <c r="G18" i="44"/>
  <c r="F18" i="44"/>
  <c r="S60" i="43"/>
  <c r="G11" i="43"/>
  <c r="F11" i="43"/>
  <c r="G16" i="44"/>
  <c r="F16" i="44"/>
  <c r="F28" i="43"/>
  <c r="G28" i="43"/>
  <c r="R43" i="45"/>
  <c r="S43" i="45"/>
  <c r="V43" i="45" s="1"/>
  <c r="Q34" i="44"/>
  <c r="I34" i="44"/>
  <c r="M34" i="44"/>
  <c r="U34" i="44"/>
  <c r="H204" i="4"/>
  <c r="C27" i="45" s="1"/>
  <c r="C27" i="43"/>
  <c r="L28" i="4"/>
  <c r="G28" i="45"/>
  <c r="F28" i="45"/>
  <c r="Q36" i="45"/>
  <c r="U34" i="46"/>
  <c r="Q34" i="46"/>
  <c r="I34" i="46"/>
  <c r="M34" i="46"/>
  <c r="R82" i="43"/>
  <c r="S82" i="43"/>
  <c r="V82" i="43" s="1"/>
  <c r="D28" i="39"/>
  <c r="M28" i="39"/>
  <c r="J29" i="39"/>
  <c r="P28" i="39"/>
  <c r="O205" i="4"/>
  <c r="J28" i="39"/>
  <c r="M26" i="39"/>
  <c r="J27" i="39"/>
  <c r="M27" i="39"/>
  <c r="P26" i="39"/>
  <c r="J26" i="39"/>
  <c r="P27" i="39"/>
  <c r="P29" i="39"/>
  <c r="G29" i="39"/>
  <c r="M29" i="39"/>
  <c r="G28" i="39"/>
  <c r="G27" i="39"/>
  <c r="G26" i="39"/>
  <c r="D29" i="39"/>
  <c r="D26" i="39"/>
  <c r="D27" i="39"/>
  <c r="H284" i="4"/>
  <c r="H285" i="4"/>
  <c r="U205" i="4"/>
  <c r="R205" i="4"/>
  <c r="R28" i="4"/>
  <c r="L205" i="4"/>
  <c r="I205" i="4"/>
  <c r="H147" i="4"/>
  <c r="R29" i="4"/>
  <c r="H148" i="4"/>
  <c r="O28" i="4"/>
  <c r="U29" i="4"/>
  <c r="U28" i="4"/>
  <c r="O29" i="4"/>
  <c r="I29" i="4"/>
  <c r="I28" i="4"/>
  <c r="I36" i="45" l="1"/>
  <c r="M36" i="44"/>
  <c r="Q36" i="44"/>
  <c r="O204" i="4"/>
  <c r="M35" i="44"/>
  <c r="I36" i="46"/>
  <c r="Q36" i="46"/>
  <c r="I35" i="44"/>
  <c r="Q35" i="45"/>
  <c r="M35" i="45"/>
  <c r="Q35" i="46"/>
  <c r="I35" i="46"/>
  <c r="W28" i="42"/>
  <c r="W27" i="42"/>
  <c r="L204" i="4"/>
  <c r="I204" i="4"/>
  <c r="U204" i="4"/>
  <c r="R204" i="4"/>
  <c r="W82" i="43"/>
  <c r="G27" i="43"/>
  <c r="F27" i="43"/>
  <c r="K16" i="44"/>
  <c r="J16" i="44"/>
  <c r="G27" i="45"/>
  <c r="F27" i="45"/>
  <c r="J18" i="44"/>
  <c r="K18" i="44"/>
  <c r="C14" i="44"/>
  <c r="J19" i="44"/>
  <c r="K19" i="44"/>
  <c r="U147" i="4"/>
  <c r="C27" i="44"/>
  <c r="O284" i="4"/>
  <c r="C27" i="46"/>
  <c r="C21" i="44"/>
  <c r="C15" i="44"/>
  <c r="C17" i="44"/>
  <c r="C13" i="44"/>
  <c r="C20" i="44"/>
  <c r="R285" i="4"/>
  <c r="C28" i="46"/>
  <c r="I148" i="4"/>
  <c r="C28" i="44"/>
  <c r="J28" i="45"/>
  <c r="K28" i="45"/>
  <c r="K28" i="43"/>
  <c r="J28" i="43"/>
  <c r="K11" i="43"/>
  <c r="J11" i="43"/>
  <c r="W43" i="45"/>
  <c r="L284" i="4"/>
  <c r="U284" i="4"/>
  <c r="I284" i="4"/>
  <c r="R284" i="4"/>
  <c r="U285" i="4"/>
  <c r="I285" i="4"/>
  <c r="V205" i="4"/>
  <c r="X205" i="4" s="1"/>
  <c r="O285" i="4"/>
  <c r="L285" i="4"/>
  <c r="O148" i="4"/>
  <c r="R147" i="4"/>
  <c r="L147" i="4"/>
  <c r="I147" i="4"/>
  <c r="O147" i="4"/>
  <c r="R148" i="4"/>
  <c r="L148" i="4"/>
  <c r="U148" i="4"/>
  <c r="V29" i="4"/>
  <c r="X29" i="4" s="1"/>
  <c r="V28" i="4"/>
  <c r="X28" i="4" s="1"/>
  <c r="N28" i="39" l="1"/>
  <c r="V204" i="4"/>
  <c r="X204" i="4" s="1"/>
  <c r="K27" i="39"/>
  <c r="Q27" i="39"/>
  <c r="O28" i="43"/>
  <c r="N28" i="43"/>
  <c r="K27" i="45"/>
  <c r="J27" i="45"/>
  <c r="G13" i="44"/>
  <c r="F13" i="44"/>
  <c r="G28" i="46"/>
  <c r="F28" i="46"/>
  <c r="G21" i="44"/>
  <c r="F21" i="44"/>
  <c r="F14" i="44"/>
  <c r="G14" i="44"/>
  <c r="O19" i="44"/>
  <c r="N19" i="44"/>
  <c r="N28" i="45"/>
  <c r="O28" i="45"/>
  <c r="G17" i="44"/>
  <c r="F17" i="44"/>
  <c r="G27" i="46"/>
  <c r="F27" i="46"/>
  <c r="F20" i="44"/>
  <c r="G20" i="44"/>
  <c r="N16" i="44"/>
  <c r="O16" i="44"/>
  <c r="F15" i="44"/>
  <c r="G15" i="44"/>
  <c r="G27" i="44"/>
  <c r="F27" i="44"/>
  <c r="E28" i="39"/>
  <c r="O11" i="43"/>
  <c r="N11" i="43"/>
  <c r="G28" i="44"/>
  <c r="F28" i="44"/>
  <c r="O18" i="44"/>
  <c r="N18" i="44"/>
  <c r="K27" i="43"/>
  <c r="J27" i="43"/>
  <c r="H27" i="39"/>
  <c r="H28" i="39"/>
  <c r="N27" i="39"/>
  <c r="V284" i="4"/>
  <c r="X284" i="4" s="1"/>
  <c r="Q28" i="39"/>
  <c r="E27" i="39"/>
  <c r="K28" i="39"/>
  <c r="V285" i="4"/>
  <c r="X285" i="4" s="1"/>
  <c r="V147" i="4"/>
  <c r="X147" i="4" s="1"/>
  <c r="V148" i="4"/>
  <c r="X148" i="4" s="1"/>
  <c r="W38" i="4"/>
  <c r="R11" i="43" l="1"/>
  <c r="S11" i="43"/>
  <c r="V11" i="43" s="1"/>
  <c r="K27" i="46"/>
  <c r="J27" i="46"/>
  <c r="K21" i="44"/>
  <c r="J21" i="44"/>
  <c r="R16" i="44"/>
  <c r="S16" i="44"/>
  <c r="V16" i="44" s="1"/>
  <c r="K15" i="44"/>
  <c r="J15" i="44"/>
  <c r="K13" i="44"/>
  <c r="J13" i="44"/>
  <c r="J17" i="44"/>
  <c r="K17" i="44"/>
  <c r="S28" i="43"/>
  <c r="V28" i="43" s="1"/>
  <c r="R28" i="43"/>
  <c r="N27" i="43"/>
  <c r="O27" i="43"/>
  <c r="R28" i="45"/>
  <c r="S28" i="45"/>
  <c r="V28" i="45" s="1"/>
  <c r="N27" i="45"/>
  <c r="O27" i="45"/>
  <c r="J20" i="44"/>
  <c r="K20" i="44"/>
  <c r="K28" i="46"/>
  <c r="J28" i="46"/>
  <c r="R40" i="42"/>
  <c r="J14" i="44"/>
  <c r="K14" i="44"/>
  <c r="N40" i="42"/>
  <c r="R18" i="44"/>
  <c r="S18" i="44"/>
  <c r="V18" i="44" s="1"/>
  <c r="K28" i="44"/>
  <c r="J28" i="44"/>
  <c r="K27" i="44"/>
  <c r="J27" i="44"/>
  <c r="R19" i="44"/>
  <c r="S19" i="44"/>
  <c r="V19" i="44" s="1"/>
  <c r="R28" i="39"/>
  <c r="R27" i="39"/>
  <c r="W28" i="43" l="1"/>
  <c r="W18" i="44"/>
  <c r="W40" i="42"/>
  <c r="J40" i="42"/>
  <c r="W28" i="45"/>
  <c r="W16" i="44"/>
  <c r="W19" i="44"/>
  <c r="W11" i="43"/>
  <c r="N20" i="44"/>
  <c r="O20" i="44"/>
  <c r="R27" i="45"/>
  <c r="S27" i="45"/>
  <c r="V27" i="45" s="1"/>
  <c r="R27" i="43"/>
  <c r="S27" i="43"/>
  <c r="V27" i="43" s="1"/>
  <c r="N21" i="44"/>
  <c r="O21" i="44"/>
  <c r="N40" i="43"/>
  <c r="N27" i="46"/>
  <c r="O27" i="46"/>
  <c r="N14" i="44"/>
  <c r="O14" i="44"/>
  <c r="N15" i="44"/>
  <c r="O15" i="44"/>
  <c r="V23" i="45"/>
  <c r="S35" i="45" s="1"/>
  <c r="V35" i="45" s="1"/>
  <c r="N27" i="44"/>
  <c r="O27" i="44"/>
  <c r="N28" i="46"/>
  <c r="O28" i="46"/>
  <c r="O17" i="44"/>
  <c r="N17" i="44"/>
  <c r="O13" i="44"/>
  <c r="N13" i="44"/>
  <c r="N28" i="44"/>
  <c r="O28" i="44"/>
  <c r="R40" i="43"/>
  <c r="W27" i="45" l="1"/>
  <c r="W27" i="43"/>
  <c r="W40" i="43"/>
  <c r="S17" i="44"/>
  <c r="V17" i="44" s="1"/>
  <c r="R17" i="44"/>
  <c r="S15" i="44"/>
  <c r="V15" i="44" s="1"/>
  <c r="R15" i="44"/>
  <c r="R14" i="44"/>
  <c r="S14" i="44"/>
  <c r="V14" i="44" s="1"/>
  <c r="S28" i="44"/>
  <c r="V28" i="44" s="1"/>
  <c r="R28" i="44"/>
  <c r="R28" i="46"/>
  <c r="S28" i="46"/>
  <c r="V28" i="46" s="1"/>
  <c r="S13" i="44"/>
  <c r="V13" i="44" s="1"/>
  <c r="R13" i="44"/>
  <c r="J40" i="43"/>
  <c r="S27" i="44"/>
  <c r="V27" i="44" s="1"/>
  <c r="R27" i="44"/>
  <c r="S27" i="46"/>
  <c r="V27" i="46" s="1"/>
  <c r="R27" i="46"/>
  <c r="R21" i="44"/>
  <c r="S21" i="44"/>
  <c r="V21" i="44" s="1"/>
  <c r="R20" i="44"/>
  <c r="S20" i="44"/>
  <c r="V20" i="44" s="1"/>
  <c r="F11" i="39"/>
  <c r="W27" i="46" l="1"/>
  <c r="W20" i="44"/>
  <c r="W28" i="44"/>
  <c r="W27" i="44"/>
  <c r="W17" i="44"/>
  <c r="W13" i="44"/>
  <c r="W14" i="44"/>
  <c r="W15" i="44"/>
  <c r="W21" i="44"/>
  <c r="W28" i="46"/>
  <c r="T52" i="42"/>
  <c r="V52" i="42" s="1"/>
  <c r="Q56" i="4"/>
  <c r="N56" i="4"/>
  <c r="O56" i="4" s="1"/>
  <c r="K56" i="4"/>
  <c r="G56" i="4"/>
  <c r="T51" i="4"/>
  <c r="U51" i="4" s="1"/>
  <c r="Q51" i="4"/>
  <c r="R51" i="4" s="1"/>
  <c r="N51" i="4"/>
  <c r="O51" i="4" s="1"/>
  <c r="K51" i="4"/>
  <c r="L51" i="4" s="1"/>
  <c r="G51" i="4"/>
  <c r="I51" i="4" s="1"/>
  <c r="T50" i="4"/>
  <c r="U50" i="4" s="1"/>
  <c r="Q50" i="4"/>
  <c r="R50" i="4" s="1"/>
  <c r="N50" i="4"/>
  <c r="O50" i="4" s="1"/>
  <c r="K50" i="4"/>
  <c r="L50" i="4" s="1"/>
  <c r="G50" i="4"/>
  <c r="I50" i="4" s="1"/>
  <c r="T49" i="4"/>
  <c r="U49" i="4" s="1"/>
  <c r="Q49" i="4"/>
  <c r="R49" i="4" s="1"/>
  <c r="N49" i="4"/>
  <c r="O49" i="4" s="1"/>
  <c r="K49" i="4"/>
  <c r="L49" i="4" s="1"/>
  <c r="T45" i="4"/>
  <c r="U45" i="4" s="1"/>
  <c r="Q45" i="4"/>
  <c r="R45" i="4" s="1"/>
  <c r="N45" i="4"/>
  <c r="O45" i="4" s="1"/>
  <c r="K45" i="4"/>
  <c r="L45" i="4" s="1"/>
  <c r="G45" i="4"/>
  <c r="I45" i="4" s="1"/>
  <c r="T44" i="4"/>
  <c r="U44" i="4" s="1"/>
  <c r="Q44" i="4"/>
  <c r="R44" i="4" s="1"/>
  <c r="N44" i="4"/>
  <c r="O44" i="4" s="1"/>
  <c r="K44" i="4"/>
  <c r="L44" i="4" s="1"/>
  <c r="G44" i="4"/>
  <c r="I44" i="4" s="1"/>
  <c r="H52" i="42" l="1"/>
  <c r="J52" i="42" s="1"/>
  <c r="L56" i="4"/>
  <c r="P52" i="42"/>
  <c r="R52" i="42" s="1"/>
  <c r="R56" i="4"/>
  <c r="G57" i="4"/>
  <c r="D70" i="42" s="1"/>
  <c r="F70" i="42" s="1"/>
  <c r="D52" i="42"/>
  <c r="F52" i="42" s="1"/>
  <c r="L52" i="42"/>
  <c r="N52" i="42" s="1"/>
  <c r="T57" i="4"/>
  <c r="T70" i="42" s="1"/>
  <c r="V70" i="42" s="1"/>
  <c r="U56" i="4"/>
  <c r="K57" i="4"/>
  <c r="Q57" i="4"/>
  <c r="V48" i="4"/>
  <c r="X48" i="4" s="1"/>
  <c r="I56" i="4"/>
  <c r="I98" i="4"/>
  <c r="V42" i="4"/>
  <c r="N57" i="4"/>
  <c r="V45" i="4"/>
  <c r="X45" i="4" s="1"/>
  <c r="V51" i="4"/>
  <c r="X51" i="4" s="1"/>
  <c r="V44" i="4"/>
  <c r="X44" i="4" s="1"/>
  <c r="V50" i="4"/>
  <c r="X50" i="4" s="1"/>
  <c r="P70" i="42" l="1"/>
  <c r="R70" i="42" s="1"/>
  <c r="R57" i="4"/>
  <c r="R58" i="4" s="1"/>
  <c r="H70" i="42"/>
  <c r="J70" i="42" s="1"/>
  <c r="L57" i="4"/>
  <c r="L58" i="4" s="1"/>
  <c r="L70" i="42"/>
  <c r="N70" i="42" s="1"/>
  <c r="O57" i="4"/>
  <c r="O58" i="4" s="1"/>
  <c r="X42" i="4"/>
  <c r="D60" i="43"/>
  <c r="F60" i="43" s="1"/>
  <c r="I57" i="4"/>
  <c r="I58" i="4" s="1"/>
  <c r="W52" i="42"/>
  <c r="H60" i="43"/>
  <c r="J60" i="43" s="1"/>
  <c r="L60" i="43"/>
  <c r="N60" i="43" s="1"/>
  <c r="P60" i="43"/>
  <c r="R60" i="43" s="1"/>
  <c r="U57" i="4"/>
  <c r="U58" i="4" s="1"/>
  <c r="T60" i="43"/>
  <c r="V60" i="43" s="1"/>
  <c r="V54" i="4"/>
  <c r="V43" i="4"/>
  <c r="X43" i="4" s="1"/>
  <c r="V56" i="4"/>
  <c r="X56" i="4" s="1"/>
  <c r="V98" i="4"/>
  <c r="X98" i="4" s="1"/>
  <c r="V97" i="4"/>
  <c r="V49" i="4"/>
  <c r="X49" i="4" s="1"/>
  <c r="W70" i="42" l="1"/>
  <c r="W60" i="43"/>
  <c r="V57" i="4"/>
  <c r="X57" i="4" s="1"/>
  <c r="X54" i="4"/>
  <c r="X97" i="4"/>
  <c r="U249" i="4"/>
  <c r="R249" i="4"/>
  <c r="R253" i="4" s="1"/>
  <c r="O249" i="4"/>
  <c r="O253" i="4" s="1"/>
  <c r="L249" i="4"/>
  <c r="L253" i="4" s="1"/>
  <c r="I249" i="4"/>
  <c r="I253" i="4" s="1"/>
  <c r="U304" i="4"/>
  <c r="U226" i="4"/>
  <c r="O168" i="4"/>
  <c r="V58" i="4" l="1"/>
  <c r="X58" i="4"/>
  <c r="C11" i="44"/>
  <c r="C12" i="44"/>
  <c r="V249" i="4"/>
  <c r="O304" i="4"/>
  <c r="I304" i="4"/>
  <c r="L304" i="4"/>
  <c r="R304" i="4"/>
  <c r="I226" i="4"/>
  <c r="I237" i="4" s="1"/>
  <c r="L226" i="4"/>
  <c r="O226" i="4"/>
  <c r="I168" i="4"/>
  <c r="R226" i="4"/>
  <c r="R168" i="4"/>
  <c r="U168" i="4"/>
  <c r="L168" i="4"/>
  <c r="X249" i="4" l="1"/>
  <c r="X253" i="4" s="1"/>
  <c r="V253" i="4"/>
  <c r="G12" i="44"/>
  <c r="F12" i="44"/>
  <c r="F11" i="44"/>
  <c r="G11" i="44"/>
  <c r="V168" i="4"/>
  <c r="V226" i="4"/>
  <c r="V304" i="4"/>
  <c r="X304" i="4" s="1"/>
  <c r="J11" i="44" l="1"/>
  <c r="K11" i="44"/>
  <c r="K12" i="44"/>
  <c r="J12" i="44"/>
  <c r="X168" i="4"/>
  <c r="X226" i="4"/>
  <c r="U216" i="4"/>
  <c r="U215" i="4"/>
  <c r="U295" i="4"/>
  <c r="R295" i="4"/>
  <c r="O295" i="4"/>
  <c r="L295" i="4"/>
  <c r="U217" i="4"/>
  <c r="R217" i="4"/>
  <c r="O217" i="4"/>
  <c r="L217" i="4"/>
  <c r="I217" i="4"/>
  <c r="U303" i="4"/>
  <c r="U308" i="4" s="1"/>
  <c r="R303" i="4"/>
  <c r="R308" i="4" s="1"/>
  <c r="O303" i="4"/>
  <c r="O308" i="4" s="1"/>
  <c r="L303" i="4"/>
  <c r="L308" i="4" s="1"/>
  <c r="I303" i="4"/>
  <c r="I308" i="4" s="1"/>
  <c r="U225" i="4"/>
  <c r="U237" i="4" s="1"/>
  <c r="R225" i="4"/>
  <c r="R237" i="4" s="1"/>
  <c r="O225" i="4"/>
  <c r="O237" i="4" s="1"/>
  <c r="L225" i="4"/>
  <c r="L237" i="4" s="1"/>
  <c r="O12" i="44" l="1"/>
  <c r="N12" i="44"/>
  <c r="O11" i="44"/>
  <c r="N11" i="44"/>
  <c r="U218" i="4"/>
  <c r="R296" i="4"/>
  <c r="V217" i="4"/>
  <c r="X217" i="4" s="1"/>
  <c r="V295" i="4"/>
  <c r="X295" i="4" s="1"/>
  <c r="L296" i="4"/>
  <c r="O296" i="4"/>
  <c r="I215" i="4"/>
  <c r="I216" i="4"/>
  <c r="L216" i="4"/>
  <c r="L218" i="4" s="1"/>
  <c r="O216" i="4"/>
  <c r="O218" i="4" s="1"/>
  <c r="R216" i="4"/>
  <c r="R218" i="4" s="1"/>
  <c r="V303" i="4"/>
  <c r="V308" i="4" s="1"/>
  <c r="V225" i="4"/>
  <c r="V237" i="4" s="1"/>
  <c r="H120" i="42"/>
  <c r="J120" i="42" s="1"/>
  <c r="L120" i="42"/>
  <c r="N120" i="42" s="1"/>
  <c r="P120" i="42"/>
  <c r="R120" i="42" s="1"/>
  <c r="T120" i="42"/>
  <c r="V120" i="42" s="1"/>
  <c r="I218" i="4" l="1"/>
  <c r="X303" i="4"/>
  <c r="X308" i="4" s="1"/>
  <c r="D99" i="43"/>
  <c r="F99" i="43" s="1"/>
  <c r="D120" i="42"/>
  <c r="F120" i="42" s="1"/>
  <c r="W120" i="42" s="1"/>
  <c r="R11" i="44"/>
  <c r="S11" i="44"/>
  <c r="V11" i="44" s="1"/>
  <c r="H99" i="43"/>
  <c r="J99" i="43" s="1"/>
  <c r="S12" i="44"/>
  <c r="V12" i="44" s="1"/>
  <c r="R12" i="44"/>
  <c r="L99" i="43"/>
  <c r="N99" i="43" s="1"/>
  <c r="T99" i="43"/>
  <c r="V99" i="43" s="1"/>
  <c r="P99" i="43"/>
  <c r="R99" i="43" s="1"/>
  <c r="E58" i="41"/>
  <c r="H58" i="41"/>
  <c r="V312" i="4"/>
  <c r="X225" i="4"/>
  <c r="X237" i="4" s="1"/>
  <c r="V216" i="4"/>
  <c r="X216" i="4" s="1"/>
  <c r="V215" i="4"/>
  <c r="V218" i="4" s="1"/>
  <c r="W11" i="44" l="1"/>
  <c r="W99" i="43"/>
  <c r="W12" i="44"/>
  <c r="X215" i="4"/>
  <c r="X218" i="4" s="1"/>
  <c r="X312" i="4"/>
  <c r="X313" i="4" s="1"/>
  <c r="H286" i="4"/>
  <c r="C29" i="46" s="1"/>
  <c r="C64" i="42"/>
  <c r="G64" i="42" s="1"/>
  <c r="K64" i="42" s="1"/>
  <c r="O64" i="42" s="1"/>
  <c r="S64" i="42" s="1"/>
  <c r="C67" i="42"/>
  <c r="G67" i="42" s="1"/>
  <c r="K67" i="42" s="1"/>
  <c r="O67" i="42" s="1"/>
  <c r="S67" i="42" s="1"/>
  <c r="C117" i="43"/>
  <c r="G117" i="43" s="1"/>
  <c r="K117" i="43" s="1"/>
  <c r="O117" i="43" s="1"/>
  <c r="S117" i="43" s="1"/>
  <c r="W292" i="4"/>
  <c r="W212" i="4"/>
  <c r="E131" i="4"/>
  <c r="E10" i="44" s="1"/>
  <c r="W155" i="4"/>
  <c r="H126" i="30"/>
  <c r="B126" i="30"/>
  <c r="B76" i="30"/>
  <c r="B51" i="30"/>
  <c r="H26" i="30"/>
  <c r="B26" i="30"/>
  <c r="B101" i="30"/>
  <c r="H27" i="4"/>
  <c r="C116" i="42"/>
  <c r="G116" i="42" s="1"/>
  <c r="K116" i="42" s="1"/>
  <c r="O116" i="42" s="1"/>
  <c r="S116" i="42" s="1"/>
  <c r="F64" i="43"/>
  <c r="W177" i="4"/>
  <c r="T143" i="42"/>
  <c r="B143" i="42"/>
  <c r="T102" i="42"/>
  <c r="P102" i="42"/>
  <c r="L102" i="42"/>
  <c r="H102" i="42"/>
  <c r="D102" i="42"/>
  <c r="C102" i="42"/>
  <c r="B102" i="42"/>
  <c r="A102" i="42"/>
  <c r="W137" i="43"/>
  <c r="T117" i="43"/>
  <c r="P117" i="43"/>
  <c r="L117" i="43"/>
  <c r="H117" i="43"/>
  <c r="D117" i="43"/>
  <c r="B117" i="43"/>
  <c r="A117" i="43"/>
  <c r="T81" i="43"/>
  <c r="P81" i="43"/>
  <c r="L81" i="43"/>
  <c r="H81" i="43"/>
  <c r="D81" i="43"/>
  <c r="C81" i="43"/>
  <c r="G81" i="43" s="1"/>
  <c r="B81" i="43"/>
  <c r="A81" i="43"/>
  <c r="T75" i="43"/>
  <c r="P75" i="43"/>
  <c r="L75" i="43"/>
  <c r="H75" i="43"/>
  <c r="D75" i="43"/>
  <c r="C75" i="43"/>
  <c r="B75" i="43"/>
  <c r="A75" i="43"/>
  <c r="T74" i="43"/>
  <c r="P74" i="43"/>
  <c r="L74" i="43"/>
  <c r="H74" i="43"/>
  <c r="D74" i="43"/>
  <c r="C74" i="43"/>
  <c r="G74" i="43" s="1"/>
  <c r="B74" i="43"/>
  <c r="A74" i="43"/>
  <c r="T57" i="44"/>
  <c r="P57" i="44"/>
  <c r="L57" i="44"/>
  <c r="H57" i="44"/>
  <c r="D57" i="44"/>
  <c r="C57" i="44"/>
  <c r="B57" i="44"/>
  <c r="A57" i="44"/>
  <c r="C103" i="45"/>
  <c r="G103" i="45" s="1"/>
  <c r="B103" i="45"/>
  <c r="T78" i="45"/>
  <c r="P78" i="45"/>
  <c r="L78" i="45"/>
  <c r="H78" i="45"/>
  <c r="D78" i="45"/>
  <c r="B78" i="45"/>
  <c r="A78" i="45"/>
  <c r="T61" i="45"/>
  <c r="P61" i="45"/>
  <c r="L61" i="45"/>
  <c r="H61" i="45"/>
  <c r="D61" i="45"/>
  <c r="C61" i="45"/>
  <c r="G61" i="45" s="1"/>
  <c r="K61" i="45" s="1"/>
  <c r="O61" i="45" s="1"/>
  <c r="B61" i="45"/>
  <c r="A61" i="45"/>
  <c r="G107" i="30"/>
  <c r="F107" i="30"/>
  <c r="E107" i="30"/>
  <c r="G82" i="30"/>
  <c r="F82" i="30"/>
  <c r="E82" i="30"/>
  <c r="G57" i="30"/>
  <c r="F57" i="30"/>
  <c r="E57" i="30"/>
  <c r="G32" i="30"/>
  <c r="F32" i="30"/>
  <c r="E32" i="30"/>
  <c r="G7" i="30"/>
  <c r="F7" i="30"/>
  <c r="E7" i="30"/>
  <c r="T69" i="46"/>
  <c r="P69" i="46"/>
  <c r="L69" i="46"/>
  <c r="H69" i="46"/>
  <c r="D69" i="46"/>
  <c r="B69" i="46"/>
  <c r="A69" i="46"/>
  <c r="T54" i="46"/>
  <c r="P54" i="46"/>
  <c r="L54" i="46"/>
  <c r="H54" i="46"/>
  <c r="D54" i="46"/>
  <c r="C54" i="46"/>
  <c r="G54" i="46" s="1"/>
  <c r="B54" i="46"/>
  <c r="A54" i="46"/>
  <c r="W218" i="4"/>
  <c r="D128" i="4"/>
  <c r="V39" i="44"/>
  <c r="V40" i="44" s="1"/>
  <c r="R39" i="44"/>
  <c r="R40" i="44" s="1"/>
  <c r="N39" i="44"/>
  <c r="N40" i="44" s="1"/>
  <c r="J39" i="44"/>
  <c r="J40" i="44" s="1"/>
  <c r="F39" i="44"/>
  <c r="F40" i="44" s="1"/>
  <c r="V39" i="45"/>
  <c r="V40" i="45" s="1"/>
  <c r="R39" i="45"/>
  <c r="R40" i="45" s="1"/>
  <c r="N39" i="45"/>
  <c r="N40" i="45" s="1"/>
  <c r="J39" i="45"/>
  <c r="J40" i="45" s="1"/>
  <c r="F39" i="45"/>
  <c r="F40" i="45" s="1"/>
  <c r="V39" i="46"/>
  <c r="V40" i="46" s="1"/>
  <c r="R39" i="46"/>
  <c r="R40" i="46" s="1"/>
  <c r="N39" i="46"/>
  <c r="N40" i="46" s="1"/>
  <c r="J39" i="46"/>
  <c r="J40" i="46" s="1"/>
  <c r="F39" i="46"/>
  <c r="F40" i="46" s="1"/>
  <c r="F12" i="28"/>
  <c r="T170" i="42"/>
  <c r="V170" i="42" s="1"/>
  <c r="P103" i="45"/>
  <c r="H103" i="45"/>
  <c r="W256" i="4"/>
  <c r="W261" i="4" s="1"/>
  <c r="U299" i="4"/>
  <c r="R299" i="4"/>
  <c r="O299" i="4"/>
  <c r="L299" i="4"/>
  <c r="I299" i="4"/>
  <c r="U253" i="4"/>
  <c r="U222" i="4"/>
  <c r="V261" i="4"/>
  <c r="W253" i="4"/>
  <c r="U159" i="4"/>
  <c r="U160" i="4" s="1"/>
  <c r="R159" i="4"/>
  <c r="R160" i="4" s="1"/>
  <c r="O159" i="4"/>
  <c r="O160" i="4" s="1"/>
  <c r="L159" i="4"/>
  <c r="L160" i="4" s="1"/>
  <c r="I159" i="4"/>
  <c r="I160" i="4" s="1"/>
  <c r="U79" i="4"/>
  <c r="R79" i="4"/>
  <c r="O79" i="4"/>
  <c r="L79" i="4"/>
  <c r="I79" i="4"/>
  <c r="W313" i="4"/>
  <c r="I111" i="4"/>
  <c r="U111" i="4"/>
  <c r="R111" i="4"/>
  <c r="O111" i="4"/>
  <c r="L111" i="4"/>
  <c r="W296" i="4"/>
  <c r="I36" i="42"/>
  <c r="M36" i="42" s="1"/>
  <c r="Q36" i="42" s="1"/>
  <c r="D50" i="43"/>
  <c r="T126" i="42"/>
  <c r="P126" i="42"/>
  <c r="L126" i="42"/>
  <c r="H126" i="42"/>
  <c r="D126" i="42"/>
  <c r="G126" i="42"/>
  <c r="B126" i="42"/>
  <c r="A126" i="42"/>
  <c r="B151" i="42"/>
  <c r="C151" i="42"/>
  <c r="G151" i="42" s="1"/>
  <c r="K151" i="42" s="1"/>
  <c r="O151" i="42" s="1"/>
  <c r="S151" i="42" s="1"/>
  <c r="D151" i="42"/>
  <c r="H151" i="42"/>
  <c r="L151" i="42"/>
  <c r="P151" i="42"/>
  <c r="T151" i="42"/>
  <c r="T136" i="42"/>
  <c r="P136" i="42"/>
  <c r="L136" i="42"/>
  <c r="H136" i="42"/>
  <c r="D136" i="42"/>
  <c r="C136" i="42"/>
  <c r="G136" i="42" s="1"/>
  <c r="B136" i="42"/>
  <c r="A136" i="42"/>
  <c r="T116" i="42"/>
  <c r="P116" i="42"/>
  <c r="L116" i="42"/>
  <c r="H116" i="42"/>
  <c r="D116" i="42"/>
  <c r="B116" i="42"/>
  <c r="A116" i="42"/>
  <c r="A108" i="42"/>
  <c r="T108" i="42"/>
  <c r="P108" i="42"/>
  <c r="L108" i="42"/>
  <c r="H108" i="42"/>
  <c r="D108" i="42"/>
  <c r="C108" i="42"/>
  <c r="G108" i="42" s="1"/>
  <c r="B108" i="42"/>
  <c r="A92" i="42"/>
  <c r="A93" i="42"/>
  <c r="A94" i="42"/>
  <c r="B94" i="42"/>
  <c r="C94" i="42"/>
  <c r="G94" i="42" s="1"/>
  <c r="D94" i="42"/>
  <c r="H94" i="42"/>
  <c r="L94" i="42"/>
  <c r="P94" i="42"/>
  <c r="T94" i="42"/>
  <c r="A95" i="42"/>
  <c r="B95" i="42"/>
  <c r="C95" i="42"/>
  <c r="G95" i="42" s="1"/>
  <c r="K95" i="42" s="1"/>
  <c r="D95" i="42"/>
  <c r="H95" i="42"/>
  <c r="L95" i="42"/>
  <c r="P95" i="42"/>
  <c r="T95" i="42"/>
  <c r="A96" i="42"/>
  <c r="B96" i="42"/>
  <c r="C96" i="42"/>
  <c r="D96" i="42"/>
  <c r="H96" i="42"/>
  <c r="L96" i="42"/>
  <c r="P96" i="42"/>
  <c r="T96" i="42"/>
  <c r="A97" i="42"/>
  <c r="A98" i="42"/>
  <c r="B98" i="42"/>
  <c r="C98" i="42"/>
  <c r="D98" i="42"/>
  <c r="H98" i="42"/>
  <c r="L98" i="42"/>
  <c r="P98" i="42"/>
  <c r="T98" i="42"/>
  <c r="A99" i="42"/>
  <c r="B99" i="42"/>
  <c r="C99" i="42"/>
  <c r="G99" i="42" s="1"/>
  <c r="D99" i="42"/>
  <c r="H99" i="42"/>
  <c r="L99" i="42"/>
  <c r="P99" i="42"/>
  <c r="T99" i="42"/>
  <c r="A100" i="42"/>
  <c r="B100" i="42"/>
  <c r="C100" i="42"/>
  <c r="G100" i="42" s="1"/>
  <c r="D100" i="42"/>
  <c r="H100" i="42"/>
  <c r="L100" i="42"/>
  <c r="P100" i="42"/>
  <c r="T100" i="42"/>
  <c r="A101" i="42"/>
  <c r="A104" i="42"/>
  <c r="B104" i="42"/>
  <c r="C104" i="42"/>
  <c r="G104" i="42" s="1"/>
  <c r="D104" i="42"/>
  <c r="H104" i="42"/>
  <c r="L104" i="42"/>
  <c r="P104" i="42"/>
  <c r="T104" i="42"/>
  <c r="T82" i="42"/>
  <c r="P82" i="42"/>
  <c r="L82" i="42"/>
  <c r="H82" i="42"/>
  <c r="D82" i="42"/>
  <c r="C82" i="42"/>
  <c r="G82" i="42" s="1"/>
  <c r="K82" i="42" s="1"/>
  <c r="O82" i="42" s="1"/>
  <c r="B82" i="42"/>
  <c r="A82" i="42"/>
  <c r="T81" i="42"/>
  <c r="P81" i="42"/>
  <c r="L81" i="42"/>
  <c r="B81" i="42"/>
  <c r="A81" i="42"/>
  <c r="C68" i="42"/>
  <c r="G68" i="42" s="1"/>
  <c r="K68" i="42" s="1"/>
  <c r="O68" i="42" s="1"/>
  <c r="S68" i="42" s="1"/>
  <c r="B68" i="42"/>
  <c r="A68" i="42"/>
  <c r="B67" i="42"/>
  <c r="A67" i="42"/>
  <c r="C65" i="42"/>
  <c r="G65" i="42" s="1"/>
  <c r="K65" i="42" s="1"/>
  <c r="O65" i="42" s="1"/>
  <c r="S65" i="42" s="1"/>
  <c r="B65" i="42"/>
  <c r="A65" i="42"/>
  <c r="B64" i="42"/>
  <c r="A64" i="42"/>
  <c r="C50" i="42"/>
  <c r="G50" i="42" s="1"/>
  <c r="K50" i="42" s="1"/>
  <c r="O50" i="42" s="1"/>
  <c r="S50" i="42" s="1"/>
  <c r="A50" i="42"/>
  <c r="C49" i="42"/>
  <c r="G49" i="42" s="1"/>
  <c r="K49" i="42" s="1"/>
  <c r="O49" i="42" s="1"/>
  <c r="S49" i="42" s="1"/>
  <c r="B49" i="42"/>
  <c r="A49" i="42"/>
  <c r="T45" i="42"/>
  <c r="P45" i="42"/>
  <c r="L45" i="42"/>
  <c r="H45" i="42"/>
  <c r="D45" i="42"/>
  <c r="C45" i="42"/>
  <c r="G45" i="42" s="1"/>
  <c r="K45" i="42" s="1"/>
  <c r="O45" i="42" s="1"/>
  <c r="S45" i="42" s="1"/>
  <c r="B45" i="42"/>
  <c r="A45" i="42"/>
  <c r="T44" i="42"/>
  <c r="P44" i="42"/>
  <c r="L44" i="42"/>
  <c r="H44" i="42"/>
  <c r="D44" i="42"/>
  <c r="C44" i="42"/>
  <c r="G44" i="42" s="1"/>
  <c r="K44" i="42" s="1"/>
  <c r="O44" i="42" s="1"/>
  <c r="S44" i="42" s="1"/>
  <c r="B44" i="42"/>
  <c r="A44" i="42"/>
  <c r="A73" i="45"/>
  <c r="B73" i="45"/>
  <c r="C73" i="45"/>
  <c r="G73" i="45" s="1"/>
  <c r="K73" i="45" s="1"/>
  <c r="O73" i="45" s="1"/>
  <c r="S73" i="45" s="1"/>
  <c r="D73" i="45"/>
  <c r="H73" i="45"/>
  <c r="L73" i="45"/>
  <c r="P73" i="45"/>
  <c r="T73" i="45"/>
  <c r="T67" i="42"/>
  <c r="P67" i="42"/>
  <c r="H67" i="42"/>
  <c r="D57" i="43"/>
  <c r="W300" i="4"/>
  <c r="W164" i="4"/>
  <c r="U163" i="4"/>
  <c r="R163" i="4"/>
  <c r="O163" i="4"/>
  <c r="L163" i="4"/>
  <c r="I163" i="4"/>
  <c r="T29" i="42"/>
  <c r="P29" i="42"/>
  <c r="L29" i="42"/>
  <c r="H29" i="42"/>
  <c r="D29" i="42"/>
  <c r="B29" i="42"/>
  <c r="A29" i="42"/>
  <c r="J81" i="42"/>
  <c r="K81" i="42"/>
  <c r="O81" i="42" s="1"/>
  <c r="T48" i="46"/>
  <c r="P48" i="46"/>
  <c r="C48" i="46"/>
  <c r="G48" i="46" s="1"/>
  <c r="K48" i="46" s="1"/>
  <c r="O48" i="46" s="1"/>
  <c r="S48" i="46" s="1"/>
  <c r="B48" i="46"/>
  <c r="A48" i="46"/>
  <c r="W38" i="46"/>
  <c r="V70" i="45"/>
  <c r="R70" i="45"/>
  <c r="N70" i="45"/>
  <c r="J70" i="45"/>
  <c r="F70" i="45"/>
  <c r="T51" i="45"/>
  <c r="P51" i="45"/>
  <c r="C51" i="45"/>
  <c r="G51" i="45" s="1"/>
  <c r="K51" i="45" s="1"/>
  <c r="O51" i="45" s="1"/>
  <c r="S51" i="45" s="1"/>
  <c r="B51" i="45"/>
  <c r="A51" i="45"/>
  <c r="R52" i="45"/>
  <c r="N52" i="45"/>
  <c r="J52" i="45"/>
  <c r="F52" i="45"/>
  <c r="W38" i="45"/>
  <c r="T65" i="43"/>
  <c r="P65" i="43"/>
  <c r="L65" i="43"/>
  <c r="H65" i="43"/>
  <c r="D65" i="43"/>
  <c r="C65" i="43"/>
  <c r="G65" i="43" s="1"/>
  <c r="K65" i="43" s="1"/>
  <c r="B65" i="43"/>
  <c r="A65" i="43"/>
  <c r="T64" i="43"/>
  <c r="P64" i="43"/>
  <c r="L64" i="43"/>
  <c r="B64" i="43"/>
  <c r="A64" i="43"/>
  <c r="D20" i="28"/>
  <c r="U62" i="4"/>
  <c r="R62" i="4"/>
  <c r="O62" i="4"/>
  <c r="L62" i="4"/>
  <c r="I62" i="4"/>
  <c r="U61" i="4"/>
  <c r="R61" i="4"/>
  <c r="O61" i="4"/>
  <c r="T50" i="44"/>
  <c r="P50" i="44"/>
  <c r="C50" i="44"/>
  <c r="G50" i="44" s="1"/>
  <c r="K50" i="44" s="1"/>
  <c r="O50" i="44" s="1"/>
  <c r="S50" i="44" s="1"/>
  <c r="B50" i="44"/>
  <c r="J64" i="43"/>
  <c r="K64" i="43"/>
  <c r="O64" i="43" s="1"/>
  <c r="S64" i="43" s="1"/>
  <c r="V129" i="43"/>
  <c r="R129" i="43"/>
  <c r="N129" i="43"/>
  <c r="J129" i="43"/>
  <c r="F129" i="43"/>
  <c r="A121" i="43"/>
  <c r="B121" i="43"/>
  <c r="C121" i="43"/>
  <c r="G121" i="43" s="1"/>
  <c r="K121" i="43" s="1"/>
  <c r="O121" i="43" s="1"/>
  <c r="S121" i="43" s="1"/>
  <c r="A118" i="43"/>
  <c r="B114" i="43"/>
  <c r="C114" i="43"/>
  <c r="G114" i="43" s="1"/>
  <c r="K114" i="43" s="1"/>
  <c r="O114" i="43" s="1"/>
  <c r="D114" i="43"/>
  <c r="H114" i="43"/>
  <c r="L114" i="43"/>
  <c r="P114" i="43"/>
  <c r="T114" i="43"/>
  <c r="B116" i="43"/>
  <c r="C116" i="43"/>
  <c r="G116" i="43" s="1"/>
  <c r="K116" i="43" s="1"/>
  <c r="O116" i="43" s="1"/>
  <c r="S116" i="43" s="1"/>
  <c r="D116" i="43"/>
  <c r="H116" i="43"/>
  <c r="L116" i="43"/>
  <c r="P116" i="43"/>
  <c r="T116" i="43"/>
  <c r="A114" i="43"/>
  <c r="A116" i="43"/>
  <c r="A105" i="43"/>
  <c r="B105" i="43"/>
  <c r="D105" i="43"/>
  <c r="H105" i="43"/>
  <c r="L105" i="43"/>
  <c r="P105" i="43"/>
  <c r="T105" i="43"/>
  <c r="T95" i="43"/>
  <c r="P95" i="43"/>
  <c r="L95" i="43"/>
  <c r="H95" i="43"/>
  <c r="D95" i="43"/>
  <c r="B95" i="43"/>
  <c r="A95" i="43"/>
  <c r="T87" i="43"/>
  <c r="P87" i="43"/>
  <c r="L87" i="43"/>
  <c r="H87" i="43"/>
  <c r="D87" i="43"/>
  <c r="C87" i="43"/>
  <c r="B87" i="43"/>
  <c r="A87" i="43"/>
  <c r="A80" i="43"/>
  <c r="T79" i="43"/>
  <c r="P79" i="43"/>
  <c r="L79" i="43"/>
  <c r="H79" i="43"/>
  <c r="D79" i="43"/>
  <c r="C79" i="43"/>
  <c r="G79" i="43" s="1"/>
  <c r="B79" i="43"/>
  <c r="A79" i="43"/>
  <c r="T78" i="43"/>
  <c r="P78" i="43"/>
  <c r="L78" i="43"/>
  <c r="H78" i="43"/>
  <c r="D78" i="43"/>
  <c r="C78" i="43"/>
  <c r="G78" i="43" s="1"/>
  <c r="K78" i="43" s="1"/>
  <c r="B78" i="43"/>
  <c r="A78" i="43"/>
  <c r="T77" i="43"/>
  <c r="P77" i="43"/>
  <c r="L77" i="43"/>
  <c r="H77" i="43"/>
  <c r="D77" i="43"/>
  <c r="C77" i="43"/>
  <c r="G77" i="43" s="1"/>
  <c r="B77" i="43"/>
  <c r="A77" i="43"/>
  <c r="A76" i="43"/>
  <c r="T73" i="43"/>
  <c r="P73" i="43"/>
  <c r="L73" i="43"/>
  <c r="H73" i="43"/>
  <c r="D73" i="43"/>
  <c r="C73" i="43"/>
  <c r="G73" i="43" s="1"/>
  <c r="K73" i="43" s="1"/>
  <c r="B73" i="43"/>
  <c r="A73" i="43"/>
  <c r="A72" i="43"/>
  <c r="T50" i="43"/>
  <c r="P50" i="43"/>
  <c r="L50" i="43"/>
  <c r="H50" i="43"/>
  <c r="B50" i="43"/>
  <c r="A50" i="43"/>
  <c r="C58" i="43"/>
  <c r="G58" i="43" s="1"/>
  <c r="K58" i="43" s="1"/>
  <c r="O58" i="43" s="1"/>
  <c r="S58" i="43" s="1"/>
  <c r="B58" i="43"/>
  <c r="A58" i="43"/>
  <c r="B57" i="43"/>
  <c r="A57" i="43"/>
  <c r="C48" i="43"/>
  <c r="G48" i="43" s="1"/>
  <c r="K48" i="43" s="1"/>
  <c r="O48" i="43" s="1"/>
  <c r="S48" i="43" s="1"/>
  <c r="A48" i="43"/>
  <c r="C55" i="43"/>
  <c r="G55" i="43" s="1"/>
  <c r="K55" i="43" s="1"/>
  <c r="O55" i="43" s="1"/>
  <c r="S55" i="43" s="1"/>
  <c r="B55" i="43"/>
  <c r="A55" i="43"/>
  <c r="C54" i="43"/>
  <c r="G54" i="43" s="1"/>
  <c r="K54" i="43" s="1"/>
  <c r="O54" i="43" s="1"/>
  <c r="S54" i="43" s="1"/>
  <c r="B54" i="43"/>
  <c r="A54" i="43"/>
  <c r="C47" i="43"/>
  <c r="G47" i="43" s="1"/>
  <c r="K47" i="43" s="1"/>
  <c r="O47" i="43" s="1"/>
  <c r="S47" i="43" s="1"/>
  <c r="B47" i="43"/>
  <c r="A47" i="43"/>
  <c r="A45" i="43"/>
  <c r="T45" i="43"/>
  <c r="P45" i="43"/>
  <c r="L45" i="43"/>
  <c r="H45" i="43"/>
  <c r="D45" i="43"/>
  <c r="C45" i="43"/>
  <c r="G45" i="43" s="1"/>
  <c r="K45" i="43" s="1"/>
  <c r="O45" i="43" s="1"/>
  <c r="S45" i="43" s="1"/>
  <c r="B45" i="43"/>
  <c r="L64" i="42"/>
  <c r="T44" i="43"/>
  <c r="P44" i="43"/>
  <c r="L44" i="43"/>
  <c r="H44" i="43"/>
  <c r="D44" i="43"/>
  <c r="C44" i="43"/>
  <c r="B44" i="43"/>
  <c r="A44" i="43"/>
  <c r="T29" i="43"/>
  <c r="P29" i="43"/>
  <c r="L29" i="43"/>
  <c r="H29" i="43"/>
  <c r="D29" i="43"/>
  <c r="B29" i="43"/>
  <c r="A29" i="43"/>
  <c r="V61" i="46"/>
  <c r="R61" i="46"/>
  <c r="N61" i="46"/>
  <c r="J61" i="46"/>
  <c r="F61" i="46"/>
  <c r="V58" i="46"/>
  <c r="V62" i="46" s="1"/>
  <c r="R58" i="46"/>
  <c r="R62" i="46" s="1"/>
  <c r="N58" i="46"/>
  <c r="N59" i="46" s="1"/>
  <c r="J58" i="46"/>
  <c r="J62" i="46" s="1"/>
  <c r="F58" i="46"/>
  <c r="V67" i="45"/>
  <c r="V71" i="45" s="1"/>
  <c r="R67" i="45"/>
  <c r="R68" i="45" s="1"/>
  <c r="N67" i="45"/>
  <c r="N68" i="45" s="1"/>
  <c r="J67" i="45"/>
  <c r="J71" i="45" s="1"/>
  <c r="F67" i="45"/>
  <c r="F71" i="45" s="1"/>
  <c r="V63" i="44"/>
  <c r="R63" i="44"/>
  <c r="N63" i="44"/>
  <c r="J63" i="44"/>
  <c r="F63" i="44"/>
  <c r="V60" i="44"/>
  <c r="V64" i="44" s="1"/>
  <c r="R60" i="44"/>
  <c r="R64" i="44" s="1"/>
  <c r="N60" i="44"/>
  <c r="N61" i="44" s="1"/>
  <c r="J60" i="44"/>
  <c r="J64" i="44" s="1"/>
  <c r="F60" i="44"/>
  <c r="F64" i="44" s="1"/>
  <c r="W38" i="44"/>
  <c r="V134" i="43"/>
  <c r="R134" i="43"/>
  <c r="N134" i="43"/>
  <c r="J134" i="43"/>
  <c r="F134" i="43"/>
  <c r="W130" i="43"/>
  <c r="D50" i="44"/>
  <c r="H48" i="46"/>
  <c r="L48" i="46"/>
  <c r="D51" i="45"/>
  <c r="H51" i="45"/>
  <c r="L51" i="45"/>
  <c r="D48" i="46"/>
  <c r="L167" i="4"/>
  <c r="L172" i="4" s="1"/>
  <c r="H50" i="44"/>
  <c r="O167" i="4"/>
  <c r="O172" i="4" s="1"/>
  <c r="L50" i="44"/>
  <c r="R167" i="4"/>
  <c r="R172" i="4" s="1"/>
  <c r="U167" i="4"/>
  <c r="U172" i="4" s="1"/>
  <c r="I167" i="4"/>
  <c r="I172" i="4" s="1"/>
  <c r="U73" i="4"/>
  <c r="R73" i="4"/>
  <c r="O73" i="4"/>
  <c r="L73" i="4"/>
  <c r="I73" i="4"/>
  <c r="U72" i="4"/>
  <c r="R72" i="4"/>
  <c r="O72" i="4"/>
  <c r="L72" i="4"/>
  <c r="I72" i="4"/>
  <c r="U71" i="4"/>
  <c r="R71" i="4"/>
  <c r="O71" i="4"/>
  <c r="L71" i="4"/>
  <c r="I71" i="4"/>
  <c r="U76" i="4"/>
  <c r="R76" i="4"/>
  <c r="O76" i="4"/>
  <c r="L76" i="4"/>
  <c r="I76" i="4"/>
  <c r="U67" i="4"/>
  <c r="R67" i="4"/>
  <c r="O67" i="4"/>
  <c r="L67" i="4"/>
  <c r="I67" i="4"/>
  <c r="D22" i="28"/>
  <c r="I99" i="4"/>
  <c r="U77" i="4"/>
  <c r="U75" i="4"/>
  <c r="U64" i="4"/>
  <c r="T64" i="42"/>
  <c r="L112" i="4"/>
  <c r="M268" i="4"/>
  <c r="M10" i="46" s="1"/>
  <c r="N10" i="46" s="1"/>
  <c r="N23" i="46" s="1"/>
  <c r="K35" i="46" s="1"/>
  <c r="N35" i="46" s="1"/>
  <c r="M188" i="4"/>
  <c r="M10" i="45" s="1"/>
  <c r="N10" i="45" s="1"/>
  <c r="N23" i="45" s="1"/>
  <c r="K35" i="45" s="1"/>
  <c r="N35" i="45" s="1"/>
  <c r="M131" i="4"/>
  <c r="M10" i="44" s="1"/>
  <c r="M12" i="4"/>
  <c r="H61" i="30"/>
  <c r="P156" i="42"/>
  <c r="R156" i="42" s="1"/>
  <c r="L156" i="42"/>
  <c r="N156" i="42" s="1"/>
  <c r="H156" i="42"/>
  <c r="J156" i="42" s="1"/>
  <c r="U117" i="4"/>
  <c r="R117" i="4"/>
  <c r="O117" i="4"/>
  <c r="L117" i="4"/>
  <c r="I117" i="4"/>
  <c r="U119" i="4"/>
  <c r="R119" i="4"/>
  <c r="O119" i="4"/>
  <c r="L119" i="4"/>
  <c r="I119" i="4"/>
  <c r="W150" i="4"/>
  <c r="W287" i="4"/>
  <c r="G268" i="4"/>
  <c r="E268" i="4"/>
  <c r="E10" i="46" s="1"/>
  <c r="F10" i="46" s="1"/>
  <c r="L49" i="42"/>
  <c r="H49" i="42"/>
  <c r="T47" i="43"/>
  <c r="L55" i="43"/>
  <c r="D65" i="42"/>
  <c r="T65" i="42"/>
  <c r="H50" i="42"/>
  <c r="T50" i="42"/>
  <c r="P68" i="42"/>
  <c r="H58" i="43"/>
  <c r="D68" i="42"/>
  <c r="T68" i="42"/>
  <c r="R87" i="4"/>
  <c r="R89" i="4" s="1"/>
  <c r="G37" i="41" s="1"/>
  <c r="O87" i="4"/>
  <c r="L87" i="4"/>
  <c r="L89" i="4" s="1"/>
  <c r="E37" i="41" s="1"/>
  <c r="I87" i="4"/>
  <c r="I89" i="4" s="1"/>
  <c r="U87" i="4"/>
  <c r="U89" i="4" s="1"/>
  <c r="H37" i="41" s="1"/>
  <c r="W89" i="4"/>
  <c r="D21" i="28" s="1"/>
  <c r="R64" i="4"/>
  <c r="O64" i="4"/>
  <c r="R65" i="4"/>
  <c r="O65" i="4"/>
  <c r="L65" i="4"/>
  <c r="I65" i="4"/>
  <c r="U65" i="4"/>
  <c r="U68" i="4"/>
  <c r="R75" i="4"/>
  <c r="O75" i="4"/>
  <c r="L75" i="4"/>
  <c r="I75" i="4"/>
  <c r="R77" i="4"/>
  <c r="O77" i="4"/>
  <c r="L77" i="4"/>
  <c r="I77" i="4"/>
  <c r="I81" i="4"/>
  <c r="W32" i="4"/>
  <c r="D17" i="28" s="1"/>
  <c r="D18" i="28"/>
  <c r="W58" i="4"/>
  <c r="D19" i="28" s="1"/>
  <c r="D23" i="28"/>
  <c r="E12" i="4"/>
  <c r="J12" i="4"/>
  <c r="P12" i="4"/>
  <c r="Q10" i="43" s="1"/>
  <c r="R10" i="43" s="1"/>
  <c r="R23" i="43" s="1"/>
  <c r="O35" i="43" s="1"/>
  <c r="S12" i="4"/>
  <c r="U10" i="43" s="1"/>
  <c r="R109" i="4"/>
  <c r="R110" i="4"/>
  <c r="I112" i="4"/>
  <c r="O112" i="4"/>
  <c r="R112" i="4"/>
  <c r="U108" i="4"/>
  <c r="U109" i="4"/>
  <c r="U110" i="4"/>
  <c r="U112" i="4"/>
  <c r="Q131" i="4"/>
  <c r="P10" i="44" s="1"/>
  <c r="P131" i="4"/>
  <c r="Q10" i="44" s="1"/>
  <c r="N131" i="4"/>
  <c r="L10" i="44" s="1"/>
  <c r="K131" i="4"/>
  <c r="H10" i="44" s="1"/>
  <c r="J131" i="4"/>
  <c r="I10" i="44" s="1"/>
  <c r="G131" i="4"/>
  <c r="D10" i="44" s="1"/>
  <c r="T131" i="4"/>
  <c r="T10" i="44" s="1"/>
  <c r="S131" i="4"/>
  <c r="U10" i="44" s="1"/>
  <c r="Q188" i="4"/>
  <c r="P188" i="4"/>
  <c r="Q10" i="45" s="1"/>
  <c r="R10" i="45" s="1"/>
  <c r="R23" i="45" s="1"/>
  <c r="O35" i="45" s="1"/>
  <c r="R35" i="45" s="1"/>
  <c r="N188" i="4"/>
  <c r="K188" i="4"/>
  <c r="J188" i="4"/>
  <c r="I10" i="45" s="1"/>
  <c r="J10" i="45" s="1"/>
  <c r="J23" i="45" s="1"/>
  <c r="G35" i="45" s="1"/>
  <c r="J35" i="45" s="1"/>
  <c r="G188" i="4"/>
  <c r="E188" i="4"/>
  <c r="E10" i="45" s="1"/>
  <c r="F10" i="45" s="1"/>
  <c r="F23" i="45" s="1"/>
  <c r="C35" i="45" s="1"/>
  <c r="F35" i="45" s="1"/>
  <c r="T188" i="4"/>
  <c r="S188" i="4"/>
  <c r="U10" i="45" s="1"/>
  <c r="V10" i="45" s="1"/>
  <c r="Q268" i="4"/>
  <c r="P268" i="4"/>
  <c r="Q10" i="46" s="1"/>
  <c r="R10" i="46" s="1"/>
  <c r="R23" i="46" s="1"/>
  <c r="O35" i="46" s="1"/>
  <c r="R35" i="46" s="1"/>
  <c r="N268" i="4"/>
  <c r="K268" i="4"/>
  <c r="J268" i="4"/>
  <c r="I10" i="46" s="1"/>
  <c r="J10" i="46" s="1"/>
  <c r="J23" i="46" s="1"/>
  <c r="G35" i="46" s="1"/>
  <c r="J35" i="46" s="1"/>
  <c r="T268" i="4"/>
  <c r="S268" i="4"/>
  <c r="U10" i="46" s="1"/>
  <c r="V10" i="46" s="1"/>
  <c r="V23" i="46" s="1"/>
  <c r="S35" i="46" s="1"/>
  <c r="V35" i="46" s="1"/>
  <c r="I319" i="4"/>
  <c r="I321" i="4" s="1"/>
  <c r="L321" i="4"/>
  <c r="O321" i="4"/>
  <c r="R321" i="4"/>
  <c r="U321" i="4"/>
  <c r="W321" i="4"/>
  <c r="D43" i="28"/>
  <c r="F43" i="28"/>
  <c r="D37" i="28"/>
  <c r="B37" i="28"/>
  <c r="B47" i="28"/>
  <c r="E55" i="28"/>
  <c r="C31" i="28"/>
  <c r="C37" i="28"/>
  <c r="E34" i="28"/>
  <c r="E37" i="28"/>
  <c r="E40" i="28"/>
  <c r="E41" i="28"/>
  <c r="E42" i="28"/>
  <c r="E43" i="28"/>
  <c r="E44" i="28"/>
  <c r="E45" i="28"/>
  <c r="E46" i="28"/>
  <c r="F34" i="28"/>
  <c r="F37" i="28"/>
  <c r="F40" i="28"/>
  <c r="F41" i="28"/>
  <c r="F42" i="28"/>
  <c r="F44" i="28"/>
  <c r="F45" i="28"/>
  <c r="F46" i="28"/>
  <c r="O11" i="39"/>
  <c r="L11" i="39"/>
  <c r="I11" i="39"/>
  <c r="C11" i="39"/>
  <c r="C10" i="41"/>
  <c r="H10" i="41" s="1"/>
  <c r="C11" i="41"/>
  <c r="E11" i="41"/>
  <c r="C12" i="41"/>
  <c r="G12" i="41" s="1"/>
  <c r="I12" i="41" s="1"/>
  <c r="C13" i="41"/>
  <c r="C14" i="41"/>
  <c r="H14" i="41" s="1"/>
  <c r="C15" i="41"/>
  <c r="F15" i="41" s="1"/>
  <c r="C16" i="41"/>
  <c r="D16" i="41" s="1"/>
  <c r="C17" i="41"/>
  <c r="D17" i="41"/>
  <c r="C18" i="41"/>
  <c r="D18" i="41"/>
  <c r="C19" i="41"/>
  <c r="D19" i="41" s="1"/>
  <c r="C20" i="41"/>
  <c r="G20" i="41" s="1"/>
  <c r="I20" i="41" s="1"/>
  <c r="C21" i="41"/>
  <c r="G21" i="41" s="1"/>
  <c r="I21" i="41" s="1"/>
  <c r="C22" i="41"/>
  <c r="H22" i="41"/>
  <c r="C23" i="41"/>
  <c r="E23" i="41" s="1"/>
  <c r="C24" i="41"/>
  <c r="C27" i="41"/>
  <c r="H27" i="41"/>
  <c r="B54" i="41"/>
  <c r="B52" i="41"/>
  <c r="B50" i="41"/>
  <c r="D24" i="41"/>
  <c r="G15" i="41"/>
  <c r="I15" i="41"/>
  <c r="H13" i="41"/>
  <c r="F16" i="41"/>
  <c r="H21" i="41"/>
  <c r="D13" i="41"/>
  <c r="H24" i="41"/>
  <c r="E24" i="41"/>
  <c r="F24" i="41"/>
  <c r="G13" i="41"/>
  <c r="I13" i="41"/>
  <c r="F13" i="41"/>
  <c r="G16" i="41"/>
  <c r="I16" i="41" s="1"/>
  <c r="F21" i="41"/>
  <c r="G24" i="41"/>
  <c r="I24" i="41"/>
  <c r="G27" i="41"/>
  <c r="I27" i="41"/>
  <c r="D22" i="41"/>
  <c r="F22" i="41"/>
  <c r="E13" i="41"/>
  <c r="E17" i="41"/>
  <c r="E21" i="41"/>
  <c r="D23" i="41"/>
  <c r="E27" i="41"/>
  <c r="E22" i="41"/>
  <c r="G22" i="41"/>
  <c r="I22" i="41"/>
  <c r="D268" i="4"/>
  <c r="D188" i="4"/>
  <c r="D131" i="4"/>
  <c r="B111" i="30"/>
  <c r="B86" i="30"/>
  <c r="B61" i="30"/>
  <c r="B36" i="30"/>
  <c r="B11" i="30"/>
  <c r="H111" i="30"/>
  <c r="H86" i="30"/>
  <c r="H36" i="30"/>
  <c r="D185" i="4"/>
  <c r="D265" i="4"/>
  <c r="H11" i="30"/>
  <c r="F27" i="41"/>
  <c r="D27" i="41"/>
  <c r="G17" i="41"/>
  <c r="I17" i="41"/>
  <c r="F23" i="41"/>
  <c r="H16" i="41"/>
  <c r="G18" i="41"/>
  <c r="I18" i="41"/>
  <c r="H18" i="41"/>
  <c r="E18" i="41"/>
  <c r="F18" i="41"/>
  <c r="E16" i="41"/>
  <c r="D15" i="41"/>
  <c r="F17" i="41"/>
  <c r="H17" i="41"/>
  <c r="E15" i="41"/>
  <c r="G23" i="41"/>
  <c r="I23" i="41"/>
  <c r="H23" i="41"/>
  <c r="F12" i="41"/>
  <c r="H15" i="41"/>
  <c r="G19" i="41"/>
  <c r="I19" i="41"/>
  <c r="D20" i="41"/>
  <c r="E20" i="41"/>
  <c r="D12" i="41"/>
  <c r="H12" i="41"/>
  <c r="F20" i="41"/>
  <c r="E12" i="41"/>
  <c r="H20" i="41"/>
  <c r="E54" i="28"/>
  <c r="E47" i="28"/>
  <c r="D47" i="28"/>
  <c r="I108" i="4"/>
  <c r="C105" i="43"/>
  <c r="G105" i="43" s="1"/>
  <c r="K105" i="43" s="1"/>
  <c r="O105" i="43" s="1"/>
  <c r="S105" i="43" s="1"/>
  <c r="H19" i="41"/>
  <c r="H11" i="41"/>
  <c r="E19" i="41"/>
  <c r="G11" i="41"/>
  <c r="I11" i="41" s="1"/>
  <c r="F19" i="41"/>
  <c r="F11" i="41"/>
  <c r="D11" i="41"/>
  <c r="F47" i="28"/>
  <c r="L108" i="4"/>
  <c r="L110" i="4"/>
  <c r="O110" i="4"/>
  <c r="L109" i="4"/>
  <c r="I109" i="4"/>
  <c r="O109" i="4"/>
  <c r="R108" i="4"/>
  <c r="O108" i="4"/>
  <c r="I110" i="4"/>
  <c r="F77" i="44"/>
  <c r="J77" i="44"/>
  <c r="N77" i="44"/>
  <c r="V77" i="44"/>
  <c r="R77" i="44"/>
  <c r="C25" i="28"/>
  <c r="O114" i="4" l="1"/>
  <c r="F41" i="41" s="1"/>
  <c r="R114" i="4"/>
  <c r="W35" i="45"/>
  <c r="Q10" i="42"/>
  <c r="R10" i="42" s="1"/>
  <c r="R23" i="42" s="1"/>
  <c r="O35" i="42" s="1"/>
  <c r="R35" i="42" s="1"/>
  <c r="O12" i="4"/>
  <c r="O35" i="4" s="1"/>
  <c r="M10" i="43"/>
  <c r="N10" i="43" s="1"/>
  <c r="N23" i="43" s="1"/>
  <c r="K35" i="43" s="1"/>
  <c r="L27" i="4"/>
  <c r="R27" i="4"/>
  <c r="O27" i="4"/>
  <c r="W10" i="45"/>
  <c r="W23" i="45" s="1"/>
  <c r="U10" i="42"/>
  <c r="V10" i="42" s="1"/>
  <c r="V23" i="42" s="1"/>
  <c r="S35" i="42" s="1"/>
  <c r="V35" i="42" s="1"/>
  <c r="V10" i="43"/>
  <c r="V23" i="43" s="1"/>
  <c r="S35" i="43" s="1"/>
  <c r="L12" i="4"/>
  <c r="L35" i="4" s="1"/>
  <c r="I10" i="43"/>
  <c r="J10" i="43" s="1"/>
  <c r="J23" i="43" s="1"/>
  <c r="G35" i="43" s="1"/>
  <c r="I12" i="4"/>
  <c r="I35" i="4" s="1"/>
  <c r="E10" i="42"/>
  <c r="F10" i="42" s="1"/>
  <c r="E10" i="43"/>
  <c r="F10" i="43" s="1"/>
  <c r="F23" i="46"/>
  <c r="C35" i="46" s="1"/>
  <c r="F35" i="46" s="1"/>
  <c r="W35" i="46" s="1"/>
  <c r="W10" i="46"/>
  <c r="W23" i="46" s="1"/>
  <c r="I82" i="4"/>
  <c r="W315" i="4"/>
  <c r="L114" i="4"/>
  <c r="E41" i="41" s="1"/>
  <c r="I114" i="4"/>
  <c r="D41" i="41" s="1"/>
  <c r="W263" i="4"/>
  <c r="C52" i="28"/>
  <c r="C56" i="28" s="1"/>
  <c r="C26" i="42"/>
  <c r="F26" i="42" s="1"/>
  <c r="D170" i="42"/>
  <c r="F170" i="42" s="1"/>
  <c r="W170" i="42" s="1"/>
  <c r="N71" i="45"/>
  <c r="U124" i="4"/>
  <c r="T156" i="42"/>
  <c r="V156" i="42" s="1"/>
  <c r="I124" i="4"/>
  <c r="D156" i="42"/>
  <c r="F156" i="42" s="1"/>
  <c r="C87" i="42"/>
  <c r="R59" i="46"/>
  <c r="U114" i="4"/>
  <c r="H41" i="41" s="1"/>
  <c r="D103" i="45"/>
  <c r="F103" i="45" s="1"/>
  <c r="D37" i="41"/>
  <c r="C26" i="43"/>
  <c r="I27" i="4"/>
  <c r="G41" i="41"/>
  <c r="G29" i="46"/>
  <c r="F29" i="46"/>
  <c r="R12" i="4"/>
  <c r="U12" i="4"/>
  <c r="N62" i="46"/>
  <c r="J59" i="46"/>
  <c r="V59" i="46"/>
  <c r="J68" i="45"/>
  <c r="F68" i="45"/>
  <c r="R71" i="45"/>
  <c r="W67" i="45"/>
  <c r="W40" i="45"/>
  <c r="W39" i="45"/>
  <c r="W70" i="45"/>
  <c r="V68" i="45"/>
  <c r="V61" i="44"/>
  <c r="W63" i="44"/>
  <c r="W39" i="44"/>
  <c r="R61" i="44"/>
  <c r="W40" i="44"/>
  <c r="J61" i="44"/>
  <c r="W60" i="44"/>
  <c r="F61" i="44"/>
  <c r="N64" i="44"/>
  <c r="W64" i="44" s="1"/>
  <c r="G44" i="43"/>
  <c r="K44" i="43" s="1"/>
  <c r="O44" i="43" s="1"/>
  <c r="S44" i="43" s="1"/>
  <c r="W134" i="43"/>
  <c r="N64" i="43"/>
  <c r="R64" i="43"/>
  <c r="V64" i="43"/>
  <c r="C49" i="28"/>
  <c r="H203" i="4"/>
  <c r="H283" i="4"/>
  <c r="I286" i="4"/>
  <c r="U286" i="4"/>
  <c r="R286" i="4"/>
  <c r="L286" i="4"/>
  <c r="O286" i="4"/>
  <c r="C29" i="43"/>
  <c r="G29" i="43" s="1"/>
  <c r="K29" i="43" s="1"/>
  <c r="O29" i="43" s="1"/>
  <c r="H206" i="4"/>
  <c r="C29" i="45" s="1"/>
  <c r="R30" i="4"/>
  <c r="H149" i="4"/>
  <c r="H146" i="4"/>
  <c r="D10" i="41"/>
  <c r="E10" i="41"/>
  <c r="G10" i="41"/>
  <c r="I10" i="41" s="1"/>
  <c r="G14" i="41"/>
  <c r="I14" i="41" s="1"/>
  <c r="D21" i="41"/>
  <c r="E14" i="41"/>
  <c r="F14" i="41"/>
  <c r="F10" i="41"/>
  <c r="D14" i="41"/>
  <c r="T57" i="43"/>
  <c r="L164" i="4"/>
  <c r="I68" i="4"/>
  <c r="I84" i="4" s="1"/>
  <c r="O68" i="4"/>
  <c r="O84" i="4" s="1"/>
  <c r="R68" i="4"/>
  <c r="L68" i="4"/>
  <c r="Q29" i="43"/>
  <c r="Q29" i="42" s="1"/>
  <c r="I103" i="4"/>
  <c r="I300" i="4"/>
  <c r="O103" i="4"/>
  <c r="O105" i="4" s="1"/>
  <c r="R164" i="4"/>
  <c r="R103" i="4"/>
  <c r="R105" i="4" s="1"/>
  <c r="C57" i="43"/>
  <c r="G57" i="43" s="1"/>
  <c r="K57" i="43" s="1"/>
  <c r="O57" i="43" s="1"/>
  <c r="S57" i="43" s="1"/>
  <c r="U103" i="4"/>
  <c r="U105" i="4" s="1"/>
  <c r="F78" i="45"/>
  <c r="C98" i="45" s="1"/>
  <c r="F98" i="45" s="1"/>
  <c r="L47" i="43"/>
  <c r="N47" i="43" s="1"/>
  <c r="H121" i="43"/>
  <c r="J121" i="43" s="1"/>
  <c r="U27" i="4"/>
  <c r="L177" i="4"/>
  <c r="J51" i="45"/>
  <c r="J59" i="45" s="1"/>
  <c r="I30" i="4"/>
  <c r="F82" i="42"/>
  <c r="F81" i="42"/>
  <c r="P58" i="43"/>
  <c r="J50" i="44"/>
  <c r="J54" i="44" s="1"/>
  <c r="O300" i="4"/>
  <c r="R120" i="4"/>
  <c r="F99" i="42"/>
  <c r="F57" i="44"/>
  <c r="F58" i="44" s="1"/>
  <c r="M29" i="43"/>
  <c r="M29" i="42" s="1"/>
  <c r="O30" i="4"/>
  <c r="T55" i="43"/>
  <c r="V55" i="43" s="1"/>
  <c r="F117" i="43"/>
  <c r="C29" i="42"/>
  <c r="G29" i="42" s="1"/>
  <c r="K29" i="42" s="1"/>
  <c r="O29" i="42" s="1"/>
  <c r="S29" i="42" s="1"/>
  <c r="V77" i="4"/>
  <c r="X77" i="4" s="1"/>
  <c r="P57" i="43"/>
  <c r="F65" i="42"/>
  <c r="J50" i="42"/>
  <c r="L120" i="4"/>
  <c r="T103" i="45"/>
  <c r="I120" i="4"/>
  <c r="O120" i="4"/>
  <c r="F45" i="43"/>
  <c r="U120" i="4"/>
  <c r="J105" i="43"/>
  <c r="F77" i="43"/>
  <c r="U164" i="4"/>
  <c r="U300" i="4"/>
  <c r="R82" i="4"/>
  <c r="J116" i="42"/>
  <c r="J124" i="42" s="1"/>
  <c r="F116" i="42"/>
  <c r="F124" i="42" s="1"/>
  <c r="K79" i="43"/>
  <c r="O79" i="43" s="1"/>
  <c r="R79" i="43" s="1"/>
  <c r="J79" i="43"/>
  <c r="H48" i="43"/>
  <c r="J48" i="43" s="1"/>
  <c r="O73" i="43"/>
  <c r="S73" i="43" s="1"/>
  <c r="V73" i="43" s="1"/>
  <c r="N73" i="43"/>
  <c r="V110" i="4"/>
  <c r="X110" i="4" s="1"/>
  <c r="T58" i="43"/>
  <c r="P47" i="43"/>
  <c r="D55" i="43"/>
  <c r="F55" i="43" s="1"/>
  <c r="V111" i="4"/>
  <c r="X111" i="4" s="1"/>
  <c r="U177" i="4"/>
  <c r="U84" i="4"/>
  <c r="D11" i="39"/>
  <c r="J58" i="43"/>
  <c r="D67" i="42"/>
  <c r="F67" i="42" s="1"/>
  <c r="S114" i="43"/>
  <c r="V114" i="43" s="1"/>
  <c r="R114" i="43"/>
  <c r="V64" i="4"/>
  <c r="X64" i="4" s="1"/>
  <c r="P48" i="43"/>
  <c r="R48" i="43" s="1"/>
  <c r="D50" i="42"/>
  <c r="F50" i="42" s="1"/>
  <c r="D48" i="43"/>
  <c r="F48" i="43" s="1"/>
  <c r="L65" i="42"/>
  <c r="N65" i="42" s="1"/>
  <c r="F50" i="44"/>
  <c r="F54" i="44" s="1"/>
  <c r="F73" i="45"/>
  <c r="F75" i="45" s="1"/>
  <c r="L50" i="42"/>
  <c r="N50" i="42" s="1"/>
  <c r="L48" i="43"/>
  <c r="N48" i="43" s="1"/>
  <c r="C95" i="43"/>
  <c r="E29" i="43"/>
  <c r="E29" i="42" s="1"/>
  <c r="P65" i="42"/>
  <c r="R65" i="42" s="1"/>
  <c r="P55" i="43"/>
  <c r="R55" i="43" s="1"/>
  <c r="H64" i="42"/>
  <c r="J64" i="42" s="1"/>
  <c r="L67" i="42"/>
  <c r="L57" i="43"/>
  <c r="F81" i="43"/>
  <c r="F69" i="46"/>
  <c r="L300" i="4"/>
  <c r="J114" i="43"/>
  <c r="F105" i="43"/>
  <c r="J49" i="42"/>
  <c r="L121" i="43"/>
  <c r="N121" i="43" s="1"/>
  <c r="F48" i="46"/>
  <c r="F116" i="43"/>
  <c r="J116" i="43"/>
  <c r="V50" i="42"/>
  <c r="N49" i="42"/>
  <c r="N78" i="43"/>
  <c r="O78" i="43"/>
  <c r="S78" i="43" s="1"/>
  <c r="V78" i="43" s="1"/>
  <c r="H47" i="43"/>
  <c r="J47" i="43" s="1"/>
  <c r="I100" i="4"/>
  <c r="J45" i="43"/>
  <c r="C50" i="43"/>
  <c r="G50" i="43" s="1"/>
  <c r="K50" i="43" s="1"/>
  <c r="O50" i="43" s="1"/>
  <c r="S50" i="43" s="1"/>
  <c r="H54" i="43"/>
  <c r="J54" i="43" s="1"/>
  <c r="L54" i="43"/>
  <c r="N54" i="43" s="1"/>
  <c r="H57" i="43"/>
  <c r="N117" i="43"/>
  <c r="F68" i="42"/>
  <c r="H268" i="4"/>
  <c r="N55" i="43"/>
  <c r="D121" i="43"/>
  <c r="F121" i="43" s="1"/>
  <c r="F61" i="45"/>
  <c r="F65" i="45" s="1"/>
  <c r="T48" i="43"/>
  <c r="V48" i="43" s="1"/>
  <c r="F78" i="43"/>
  <c r="F73" i="43"/>
  <c r="V108" i="4"/>
  <c r="H188" i="4"/>
  <c r="H131" i="4"/>
  <c r="C10" i="44" s="1"/>
  <c r="R68" i="42"/>
  <c r="F143" i="42"/>
  <c r="C165" i="42" s="1"/>
  <c r="V321" i="4"/>
  <c r="G11" i="39"/>
  <c r="D25" i="28"/>
  <c r="V117" i="4"/>
  <c r="V112" i="4"/>
  <c r="X112" i="4" s="1"/>
  <c r="V67" i="4"/>
  <c r="V71" i="4"/>
  <c r="X71" i="4" s="1"/>
  <c r="U82" i="4"/>
  <c r="J78" i="43"/>
  <c r="F79" i="43"/>
  <c r="V61" i="4"/>
  <c r="F65" i="43"/>
  <c r="W129" i="43"/>
  <c r="W77" i="44"/>
  <c r="L313" i="4"/>
  <c r="U296" i="4"/>
  <c r="K103" i="45"/>
  <c r="O103" i="45" s="1"/>
  <c r="J103" i="45"/>
  <c r="F51" i="45"/>
  <c r="F59" i="45" s="1"/>
  <c r="N51" i="45"/>
  <c r="N59" i="45" s="1"/>
  <c r="F72" i="44"/>
  <c r="V163" i="4"/>
  <c r="X163" i="4" s="1"/>
  <c r="I164" i="4"/>
  <c r="U30" i="4"/>
  <c r="V109" i="4"/>
  <c r="X109" i="4" s="1"/>
  <c r="L124" i="4"/>
  <c r="N143" i="42"/>
  <c r="K165" i="42" s="1"/>
  <c r="N165" i="42" s="1"/>
  <c r="J143" i="42"/>
  <c r="G165" i="42" s="1"/>
  <c r="J165" i="42" s="1"/>
  <c r="P49" i="42"/>
  <c r="R49" i="42" s="1"/>
  <c r="N50" i="44"/>
  <c r="N54" i="44" s="1"/>
  <c r="O82" i="4"/>
  <c r="V319" i="4"/>
  <c r="X319" i="4" s="1"/>
  <c r="T121" i="43"/>
  <c r="V121" i="43" s="1"/>
  <c r="V51" i="45"/>
  <c r="V59" i="45" s="1"/>
  <c r="R51" i="45"/>
  <c r="R59" i="45" s="1"/>
  <c r="L30" i="4"/>
  <c r="T54" i="43"/>
  <c r="V99" i="4"/>
  <c r="X99" i="4" s="1"/>
  <c r="V76" i="4"/>
  <c r="X76" i="4" s="1"/>
  <c r="V73" i="4"/>
  <c r="X73" i="4" s="1"/>
  <c r="D58" i="43"/>
  <c r="F58" i="43" s="1"/>
  <c r="O124" i="4"/>
  <c r="U29" i="43"/>
  <c r="U29" i="42" s="1"/>
  <c r="I29" i="43"/>
  <c r="I29" i="42" s="1"/>
  <c r="V81" i="4"/>
  <c r="X81" i="4" s="1"/>
  <c r="N116" i="43"/>
  <c r="V79" i="4"/>
  <c r="X79" i="4" s="1"/>
  <c r="V299" i="4"/>
  <c r="X299" i="4" s="1"/>
  <c r="V167" i="4"/>
  <c r="V172" i="4" s="1"/>
  <c r="J65" i="43"/>
  <c r="F114" i="43"/>
  <c r="K81" i="43"/>
  <c r="J81" i="43"/>
  <c r="G57" i="44"/>
  <c r="F74" i="43"/>
  <c r="N105" i="43"/>
  <c r="D49" i="42"/>
  <c r="F49" i="42" s="1"/>
  <c r="D47" i="43"/>
  <c r="F47" i="43" s="1"/>
  <c r="L58" i="43"/>
  <c r="L68" i="42"/>
  <c r="N68" i="42" s="1"/>
  <c r="P64" i="42"/>
  <c r="R64" i="42" s="1"/>
  <c r="P54" i="43"/>
  <c r="M11" i="39"/>
  <c r="H55" i="43"/>
  <c r="J55" i="43" s="1"/>
  <c r="H65" i="42"/>
  <c r="J65" i="42" s="1"/>
  <c r="P50" i="42"/>
  <c r="R50" i="42" s="1"/>
  <c r="J11" i="39"/>
  <c r="O89" i="4"/>
  <c r="F37" i="41" s="1"/>
  <c r="V87" i="4"/>
  <c r="L82" i="4"/>
  <c r="V75" i="4"/>
  <c r="X75" i="4" s="1"/>
  <c r="V65" i="4"/>
  <c r="X65" i="4" s="1"/>
  <c r="D54" i="43"/>
  <c r="F54" i="43" s="1"/>
  <c r="D64" i="42"/>
  <c r="F64" i="42" s="1"/>
  <c r="P11" i="39"/>
  <c r="H68" i="42"/>
  <c r="J68" i="42" s="1"/>
  <c r="O164" i="4"/>
  <c r="T49" i="42"/>
  <c r="V49" i="42" s="1"/>
  <c r="V119" i="4"/>
  <c r="X119" i="4" s="1"/>
  <c r="R124" i="4"/>
  <c r="P121" i="43"/>
  <c r="R121" i="43" s="1"/>
  <c r="V72" i="4"/>
  <c r="G87" i="43"/>
  <c r="F87" i="43"/>
  <c r="N65" i="43"/>
  <c r="O65" i="43"/>
  <c r="F44" i="43"/>
  <c r="J73" i="43"/>
  <c r="K77" i="43"/>
  <c r="J77" i="43"/>
  <c r="V62" i="4"/>
  <c r="N114" i="43"/>
  <c r="J73" i="45"/>
  <c r="J75" i="45" s="1"/>
  <c r="R300" i="4"/>
  <c r="N48" i="46"/>
  <c r="R82" i="42"/>
  <c r="S82" i="42"/>
  <c r="V82" i="42" s="1"/>
  <c r="I313" i="4"/>
  <c r="J94" i="42"/>
  <c r="N82" i="42"/>
  <c r="F136" i="42"/>
  <c r="V159" i="4"/>
  <c r="V160" i="4" s="1"/>
  <c r="L103" i="45"/>
  <c r="K74" i="43"/>
  <c r="J74" i="43"/>
  <c r="F75" i="43"/>
  <c r="G75" i="43"/>
  <c r="J61" i="45"/>
  <c r="J69" i="46"/>
  <c r="G78" i="46" s="1"/>
  <c r="K54" i="46"/>
  <c r="J54" i="46"/>
  <c r="F54" i="46"/>
  <c r="W61" i="46"/>
  <c r="F59" i="46"/>
  <c r="W58" i="46"/>
  <c r="F62" i="46"/>
  <c r="R69" i="46"/>
  <c r="O78" i="46" s="1"/>
  <c r="V69" i="46"/>
  <c r="S78" i="46" s="1"/>
  <c r="W40" i="46"/>
  <c r="W39" i="46"/>
  <c r="N69" i="46"/>
  <c r="K78" i="46" s="1"/>
  <c r="K108" i="42"/>
  <c r="J108" i="42"/>
  <c r="J110" i="42" s="1"/>
  <c r="K126" i="42"/>
  <c r="J126" i="42"/>
  <c r="J45" i="42"/>
  <c r="N45" i="42"/>
  <c r="K94" i="42"/>
  <c r="N94" i="42" s="1"/>
  <c r="F126" i="42"/>
  <c r="F133" i="42" s="1"/>
  <c r="J95" i="42"/>
  <c r="F94" i="42"/>
  <c r="V64" i="42"/>
  <c r="N64" i="42"/>
  <c r="N81" i="42"/>
  <c r="F44" i="42"/>
  <c r="F45" i="42"/>
  <c r="V68" i="42"/>
  <c r="J82" i="42"/>
  <c r="F104" i="42"/>
  <c r="J151" i="42"/>
  <c r="F108" i="42"/>
  <c r="F110" i="42" s="1"/>
  <c r="F100" i="42"/>
  <c r="F151" i="42"/>
  <c r="V65" i="42"/>
  <c r="J104" i="42"/>
  <c r="K104" i="42"/>
  <c r="J44" i="42"/>
  <c r="K136" i="42"/>
  <c r="J136" i="42"/>
  <c r="R81" i="42"/>
  <c r="S81" i="42"/>
  <c r="V81" i="42" s="1"/>
  <c r="N95" i="42"/>
  <c r="O95" i="42"/>
  <c r="K100" i="42"/>
  <c r="J100" i="42"/>
  <c r="N44" i="42"/>
  <c r="N151" i="42"/>
  <c r="J99" i="42"/>
  <c r="K99" i="42"/>
  <c r="G98" i="42"/>
  <c r="F98" i="42"/>
  <c r="F96" i="42"/>
  <c r="F95" i="42"/>
  <c r="G96" i="42"/>
  <c r="F102" i="42"/>
  <c r="G102" i="42"/>
  <c r="I126" i="4" l="1"/>
  <c r="U126" i="4"/>
  <c r="M10" i="42"/>
  <c r="N10" i="42" s="1"/>
  <c r="N23" i="42" s="1"/>
  <c r="K35" i="42" s="1"/>
  <c r="N35" i="42" s="1"/>
  <c r="I36" i="4"/>
  <c r="I38" i="4" s="1"/>
  <c r="F165" i="42"/>
  <c r="U36" i="4"/>
  <c r="O36" i="4"/>
  <c r="R36" i="4"/>
  <c r="L36" i="4"/>
  <c r="L38" i="4" s="1"/>
  <c r="F79" i="42"/>
  <c r="W71" i="45"/>
  <c r="R84" i="4"/>
  <c r="C26" i="46"/>
  <c r="F26" i="46" s="1"/>
  <c r="F30" i="46" s="1"/>
  <c r="R283" i="4"/>
  <c r="R291" i="4" s="1"/>
  <c r="O283" i="4"/>
  <c r="O291" i="4" s="1"/>
  <c r="W10" i="43"/>
  <c r="W23" i="43" s="1"/>
  <c r="F23" i="43"/>
  <c r="C35" i="43" s="1"/>
  <c r="O203" i="4"/>
  <c r="R203" i="4"/>
  <c r="F23" i="42"/>
  <c r="C35" i="42" s="1"/>
  <c r="F35" i="42" s="1"/>
  <c r="F10" i="44"/>
  <c r="F23" i="44" s="1"/>
  <c r="G10" i="44"/>
  <c r="I10" i="42"/>
  <c r="J10" i="42" s="1"/>
  <c r="J23" i="42" s="1"/>
  <c r="G35" i="42" s="1"/>
  <c r="J35" i="42" s="1"/>
  <c r="C26" i="44"/>
  <c r="G26" i="44" s="1"/>
  <c r="R146" i="4"/>
  <c r="O146" i="4"/>
  <c r="R126" i="4"/>
  <c r="O126" i="4"/>
  <c r="L126" i="4"/>
  <c r="I32" i="4"/>
  <c r="D29" i="41" s="1"/>
  <c r="L84" i="4"/>
  <c r="E35" i="41" s="1"/>
  <c r="V12" i="4"/>
  <c r="X12" i="4" s="1"/>
  <c r="R35" i="4"/>
  <c r="R32" i="4"/>
  <c r="G29" i="41" s="1"/>
  <c r="O32" i="4"/>
  <c r="F29" i="41" s="1"/>
  <c r="X321" i="4"/>
  <c r="I105" i="4"/>
  <c r="D39" i="41" s="1"/>
  <c r="V114" i="4"/>
  <c r="B23" i="28" s="1"/>
  <c r="F23" i="28" s="1"/>
  <c r="X61" i="4"/>
  <c r="C60" i="28"/>
  <c r="D43" i="41"/>
  <c r="X159" i="4"/>
  <c r="X160" i="4" s="1"/>
  <c r="G26" i="42"/>
  <c r="K26" i="42" s="1"/>
  <c r="C29" i="44"/>
  <c r="G29" i="44" s="1"/>
  <c r="U35" i="4"/>
  <c r="H43" i="41"/>
  <c r="J44" i="43"/>
  <c r="W156" i="42"/>
  <c r="J158" i="42"/>
  <c r="G35" i="41"/>
  <c r="D35" i="41"/>
  <c r="F158" i="42"/>
  <c r="C78" i="46"/>
  <c r="F78" i="46" s="1"/>
  <c r="F71" i="46"/>
  <c r="V8" i="43"/>
  <c r="V8" i="42"/>
  <c r="R8" i="43"/>
  <c r="O34" i="43" s="1"/>
  <c r="R8" i="42"/>
  <c r="N8" i="43"/>
  <c r="N8" i="42"/>
  <c r="F8" i="43"/>
  <c r="F8" i="42"/>
  <c r="C34" i="42" s="1"/>
  <c r="F34" i="42" s="1"/>
  <c r="J8" i="43"/>
  <c r="F87" i="42"/>
  <c r="G87" i="42"/>
  <c r="W62" i="46"/>
  <c r="L188" i="4"/>
  <c r="L131" i="4"/>
  <c r="H35" i="41"/>
  <c r="W59" i="46"/>
  <c r="X117" i="4"/>
  <c r="F35" i="41"/>
  <c r="G29" i="45"/>
  <c r="F29" i="45"/>
  <c r="U203" i="4"/>
  <c r="C26" i="45"/>
  <c r="G26" i="43"/>
  <c r="F26" i="43"/>
  <c r="J29" i="46"/>
  <c r="K29" i="46"/>
  <c r="U268" i="4"/>
  <c r="U290" i="4" s="1"/>
  <c r="G26" i="46"/>
  <c r="I37" i="41"/>
  <c r="J78" i="46"/>
  <c r="W68" i="45"/>
  <c r="W61" i="44"/>
  <c r="F95" i="43"/>
  <c r="F103" i="43" s="1"/>
  <c r="G95" i="43"/>
  <c r="K95" i="43" s="1"/>
  <c r="O95" i="43" s="1"/>
  <c r="S95" i="43" s="1"/>
  <c r="N44" i="43"/>
  <c r="W64" i="43"/>
  <c r="X108" i="4"/>
  <c r="X114" i="4" s="1"/>
  <c r="X67" i="4"/>
  <c r="V27" i="4"/>
  <c r="X27" i="4" s="1"/>
  <c r="L32" i="4"/>
  <c r="E29" i="41" s="1"/>
  <c r="I131" i="4"/>
  <c r="U32" i="4"/>
  <c r="H29" i="41" s="1"/>
  <c r="X167" i="4"/>
  <c r="X172" i="4" s="1"/>
  <c r="X256" i="4"/>
  <c r="X261" i="4" s="1"/>
  <c r="D29" i="28"/>
  <c r="I58" i="41"/>
  <c r="R177" i="4"/>
  <c r="L203" i="4"/>
  <c r="I203" i="4"/>
  <c r="F39" i="41"/>
  <c r="E39" i="41"/>
  <c r="H39" i="41"/>
  <c r="G39" i="41"/>
  <c r="J29" i="43"/>
  <c r="N29" i="43"/>
  <c r="V286" i="4"/>
  <c r="X286" i="4" s="1"/>
  <c r="F29" i="43"/>
  <c r="I283" i="4"/>
  <c r="I291" i="4" s="1"/>
  <c r="U283" i="4"/>
  <c r="U291" i="4" s="1"/>
  <c r="L283" i="4"/>
  <c r="L291" i="4" s="1"/>
  <c r="L206" i="4"/>
  <c r="R206" i="4"/>
  <c r="U206" i="4"/>
  <c r="I206" i="4"/>
  <c r="O206" i="4"/>
  <c r="I146" i="4"/>
  <c r="U146" i="4"/>
  <c r="L146" i="4"/>
  <c r="U149" i="4"/>
  <c r="I149" i="4"/>
  <c r="L149" i="4"/>
  <c r="R149" i="4"/>
  <c r="O149" i="4"/>
  <c r="V57" i="43"/>
  <c r="R143" i="42"/>
  <c r="O165" i="42" s="1"/>
  <c r="R165" i="42" s="1"/>
  <c r="D33" i="41"/>
  <c r="V68" i="4"/>
  <c r="X68" i="4" s="1"/>
  <c r="V29" i="42"/>
  <c r="F33" i="41"/>
  <c r="V103" i="4"/>
  <c r="F68" i="44"/>
  <c r="N68" i="44"/>
  <c r="R57" i="43"/>
  <c r="J57" i="43"/>
  <c r="F57" i="43"/>
  <c r="N67" i="42"/>
  <c r="N57" i="43"/>
  <c r="F66" i="46"/>
  <c r="L268" i="4"/>
  <c r="R268" i="4"/>
  <c r="O131" i="4"/>
  <c r="O268" i="4"/>
  <c r="N29" i="42"/>
  <c r="V117" i="43"/>
  <c r="F29" i="42"/>
  <c r="F30" i="42" s="1"/>
  <c r="J78" i="45"/>
  <c r="G98" i="45" s="1"/>
  <c r="J98" i="45" s="1"/>
  <c r="R29" i="42"/>
  <c r="J29" i="42"/>
  <c r="J117" i="43"/>
  <c r="J123" i="43" s="1"/>
  <c r="O188" i="4"/>
  <c r="V67" i="42"/>
  <c r="J68" i="44"/>
  <c r="O313" i="4"/>
  <c r="W50" i="42"/>
  <c r="U131" i="4"/>
  <c r="U153" i="4" s="1"/>
  <c r="N103" i="45"/>
  <c r="I268" i="4"/>
  <c r="N58" i="43"/>
  <c r="W121" i="43"/>
  <c r="V120" i="4"/>
  <c r="X120" i="4" s="1"/>
  <c r="F50" i="43"/>
  <c r="G33" i="41"/>
  <c r="J50" i="43"/>
  <c r="W49" i="42"/>
  <c r="W48" i="43"/>
  <c r="S79" i="43"/>
  <c r="V79" i="43" s="1"/>
  <c r="R73" i="43"/>
  <c r="W73" i="43" s="1"/>
  <c r="N79" i="43"/>
  <c r="W68" i="42"/>
  <c r="W114" i="43"/>
  <c r="W55" i="43"/>
  <c r="F123" i="43"/>
  <c r="V58" i="43"/>
  <c r="R58" i="43"/>
  <c r="N78" i="45"/>
  <c r="K98" i="45" s="1"/>
  <c r="N98" i="45" s="1"/>
  <c r="R78" i="43"/>
  <c r="W78" i="43" s="1"/>
  <c r="V100" i="4"/>
  <c r="X100" i="4" s="1"/>
  <c r="O177" i="4"/>
  <c r="R131" i="4"/>
  <c r="N50" i="43"/>
  <c r="I188" i="4"/>
  <c r="U188" i="4"/>
  <c r="U210" i="4" s="1"/>
  <c r="R188" i="4"/>
  <c r="I41" i="41"/>
  <c r="W51" i="45"/>
  <c r="W59" i="45" s="1"/>
  <c r="U313" i="4"/>
  <c r="J66" i="46"/>
  <c r="S103" i="45"/>
  <c r="V103" i="45" s="1"/>
  <c r="R103" i="45"/>
  <c r="F91" i="45"/>
  <c r="J57" i="44"/>
  <c r="J58" i="44" s="1"/>
  <c r="K57" i="44"/>
  <c r="V116" i="43"/>
  <c r="R116" i="43"/>
  <c r="V30" i="4"/>
  <c r="X30" i="4" s="1"/>
  <c r="S29" i="43"/>
  <c r="V29" i="43" s="1"/>
  <c r="R29" i="43"/>
  <c r="W64" i="42"/>
  <c r="V48" i="46"/>
  <c r="F111" i="43"/>
  <c r="V50" i="44"/>
  <c r="V54" i="44" s="1"/>
  <c r="R50" i="44"/>
  <c r="R54" i="44" s="1"/>
  <c r="N123" i="43"/>
  <c r="N81" i="43"/>
  <c r="O81" i="43"/>
  <c r="K87" i="43"/>
  <c r="J87" i="43"/>
  <c r="J89" i="43" s="1"/>
  <c r="W65" i="42"/>
  <c r="V54" i="43"/>
  <c r="R54" i="43"/>
  <c r="R65" i="43"/>
  <c r="S65" i="43"/>
  <c r="V65" i="43" s="1"/>
  <c r="N45" i="43"/>
  <c r="V47" i="43"/>
  <c r="R47" i="43"/>
  <c r="V105" i="43"/>
  <c r="V111" i="43" s="1"/>
  <c r="R105" i="43"/>
  <c r="R111" i="43" s="1"/>
  <c r="X300" i="4"/>
  <c r="V300" i="4"/>
  <c r="J67" i="42"/>
  <c r="F56" i="46"/>
  <c r="N73" i="45"/>
  <c r="O77" i="43"/>
  <c r="N77" i="43"/>
  <c r="V124" i="4"/>
  <c r="V164" i="4"/>
  <c r="X164" i="4"/>
  <c r="X87" i="4"/>
  <c r="V89" i="4"/>
  <c r="O74" i="43"/>
  <c r="N74" i="43"/>
  <c r="R313" i="4"/>
  <c r="V44" i="43"/>
  <c r="R44" i="43"/>
  <c r="J65" i="45"/>
  <c r="W82" i="42"/>
  <c r="N61" i="45"/>
  <c r="X72" i="4"/>
  <c r="X82" i="4" s="1"/>
  <c r="V82" i="4"/>
  <c r="X62" i="4"/>
  <c r="J75" i="43"/>
  <c r="K75" i="43"/>
  <c r="F89" i="43"/>
  <c r="J48" i="46"/>
  <c r="H33" i="41"/>
  <c r="E33" i="41"/>
  <c r="O54" i="46"/>
  <c r="N54" i="46"/>
  <c r="W69" i="46"/>
  <c r="R45" i="42"/>
  <c r="O126" i="42"/>
  <c r="N126" i="42"/>
  <c r="O108" i="42"/>
  <c r="N108" i="42"/>
  <c r="N110" i="42" s="1"/>
  <c r="O94" i="42"/>
  <c r="S94" i="42" s="1"/>
  <c r="V94" i="42" s="1"/>
  <c r="R95" i="42"/>
  <c r="S95" i="42"/>
  <c r="V95" i="42" s="1"/>
  <c r="O136" i="42"/>
  <c r="N136" i="42"/>
  <c r="N158" i="42" s="1"/>
  <c r="O104" i="42"/>
  <c r="N104" i="42"/>
  <c r="K98" i="42"/>
  <c r="J98" i="42"/>
  <c r="R44" i="42"/>
  <c r="V44" i="42"/>
  <c r="W81" i="42"/>
  <c r="O99" i="42"/>
  <c r="N99" i="42"/>
  <c r="K102" i="42"/>
  <c r="J102" i="42"/>
  <c r="V151" i="42"/>
  <c r="R151" i="42"/>
  <c r="K96" i="42"/>
  <c r="J96" i="42"/>
  <c r="N100" i="42"/>
  <c r="O100" i="42"/>
  <c r="R38" i="4" l="1"/>
  <c r="I211" i="4"/>
  <c r="I154" i="4"/>
  <c r="L211" i="4"/>
  <c r="F30" i="43"/>
  <c r="C36" i="43" s="1"/>
  <c r="V84" i="4"/>
  <c r="B20" i="28" s="1"/>
  <c r="F20" i="28" s="1"/>
  <c r="R211" i="4"/>
  <c r="O154" i="4"/>
  <c r="O211" i="4"/>
  <c r="L154" i="4"/>
  <c r="R154" i="4"/>
  <c r="U154" i="4"/>
  <c r="U211" i="4"/>
  <c r="U212" i="4" s="1"/>
  <c r="V36" i="4"/>
  <c r="X36" i="4" s="1"/>
  <c r="F26" i="44"/>
  <c r="J10" i="44"/>
  <c r="J23" i="44" s="1"/>
  <c r="G35" i="44" s="1"/>
  <c r="J35" i="44" s="1"/>
  <c r="K10" i="44"/>
  <c r="C35" i="44"/>
  <c r="F35" i="44" s="1"/>
  <c r="W35" i="42"/>
  <c r="W10" i="42"/>
  <c r="W23" i="42" s="1"/>
  <c r="V291" i="4"/>
  <c r="X291" i="4" s="1"/>
  <c r="O34" i="42"/>
  <c r="R34" i="42" s="1"/>
  <c r="S34" i="42"/>
  <c r="V34" i="42" s="1"/>
  <c r="K34" i="42"/>
  <c r="N34" i="42" s="1"/>
  <c r="K34" i="43"/>
  <c r="N34" i="43" s="1"/>
  <c r="G34" i="43"/>
  <c r="J34" i="43" s="1"/>
  <c r="S34" i="43"/>
  <c r="V34" i="43" s="1"/>
  <c r="I150" i="4"/>
  <c r="I153" i="4"/>
  <c r="R210" i="4"/>
  <c r="R207" i="4"/>
  <c r="X84" i="4"/>
  <c r="I207" i="4"/>
  <c r="I210" i="4"/>
  <c r="I287" i="4"/>
  <c r="I290" i="4"/>
  <c r="I292" i="4" s="1"/>
  <c r="O153" i="4"/>
  <c r="O150" i="4"/>
  <c r="L153" i="4"/>
  <c r="L150" i="4"/>
  <c r="R153" i="4"/>
  <c r="R150" i="4"/>
  <c r="R290" i="4"/>
  <c r="R287" i="4"/>
  <c r="O287" i="4"/>
  <c r="O290" i="4"/>
  <c r="O292" i="4" s="1"/>
  <c r="V146" i="4"/>
  <c r="X146" i="4" s="1"/>
  <c r="L290" i="4"/>
  <c r="L292" i="4" s="1"/>
  <c r="L287" i="4"/>
  <c r="V126" i="4"/>
  <c r="B24" i="28" s="1"/>
  <c r="O210" i="4"/>
  <c r="O207" i="4"/>
  <c r="V105" i="4"/>
  <c r="B22" i="28" s="1"/>
  <c r="V149" i="4"/>
  <c r="X149" i="4" s="1"/>
  <c r="L210" i="4"/>
  <c r="L207" i="4"/>
  <c r="J26" i="42"/>
  <c r="J30" i="42" s="1"/>
  <c r="F29" i="44"/>
  <c r="L181" i="4"/>
  <c r="U181" i="4"/>
  <c r="R181" i="4"/>
  <c r="O181" i="4"/>
  <c r="I181" i="4"/>
  <c r="F32" i="42"/>
  <c r="O26" i="42"/>
  <c r="N26" i="42"/>
  <c r="N30" i="42" s="1"/>
  <c r="J95" i="43"/>
  <c r="J103" i="43" s="1"/>
  <c r="C34" i="43"/>
  <c r="F34" i="43" s="1"/>
  <c r="J87" i="42"/>
  <c r="J106" i="42" s="1"/>
  <c r="K87" i="42"/>
  <c r="J8" i="42"/>
  <c r="G34" i="42" s="1"/>
  <c r="G26" i="45"/>
  <c r="F26" i="45"/>
  <c r="F30" i="45" s="1"/>
  <c r="K29" i="44"/>
  <c r="J29" i="44"/>
  <c r="R34" i="43"/>
  <c r="W8" i="43"/>
  <c r="C36" i="46"/>
  <c r="F36" i="46" s="1"/>
  <c r="O29" i="46"/>
  <c r="N29" i="46"/>
  <c r="K29" i="45"/>
  <c r="J29" i="45"/>
  <c r="J26" i="46"/>
  <c r="J30" i="46" s="1"/>
  <c r="K26" i="46"/>
  <c r="J26" i="44"/>
  <c r="K26" i="44"/>
  <c r="J26" i="43"/>
  <c r="J30" i="43" s="1"/>
  <c r="K26" i="43"/>
  <c r="N78" i="46"/>
  <c r="R78" i="46"/>
  <c r="V78" i="46"/>
  <c r="O38" i="4"/>
  <c r="F31" i="41" s="1"/>
  <c r="U38" i="4"/>
  <c r="H31" i="41" s="1"/>
  <c r="H44" i="41" s="1"/>
  <c r="U287" i="4"/>
  <c r="U292" i="4"/>
  <c r="U207" i="4"/>
  <c r="U150" i="4"/>
  <c r="X32" i="4"/>
  <c r="V32" i="4"/>
  <c r="B17" i="28" s="1"/>
  <c r="X103" i="4"/>
  <c r="X105" i="4" s="1"/>
  <c r="V313" i="4"/>
  <c r="E29" i="39"/>
  <c r="V203" i="4"/>
  <c r="X203" i="4" s="1"/>
  <c r="Q29" i="39"/>
  <c r="N29" i="39"/>
  <c r="K26" i="39"/>
  <c r="Q26" i="39"/>
  <c r="E26" i="39"/>
  <c r="N26" i="39"/>
  <c r="H29" i="39"/>
  <c r="H26" i="39"/>
  <c r="K29" i="39"/>
  <c r="V283" i="4"/>
  <c r="X283" i="4" s="1"/>
  <c r="V206" i="4"/>
  <c r="X206" i="4" s="1"/>
  <c r="D31" i="41"/>
  <c r="G31" i="41"/>
  <c r="E31" i="41"/>
  <c r="H11" i="39"/>
  <c r="E43" i="41"/>
  <c r="G43" i="41"/>
  <c r="F43" i="41"/>
  <c r="V143" i="42"/>
  <c r="R117" i="43"/>
  <c r="R123" i="43" s="1"/>
  <c r="I35" i="41"/>
  <c r="N116" i="42"/>
  <c r="N124" i="42" s="1"/>
  <c r="F85" i="43"/>
  <c r="F106" i="42"/>
  <c r="F62" i="43"/>
  <c r="W57" i="43"/>
  <c r="R67" i="42"/>
  <c r="W67" i="42" s="1"/>
  <c r="R48" i="46"/>
  <c r="W48" i="46" s="1"/>
  <c r="I39" i="41"/>
  <c r="R68" i="44"/>
  <c r="V123" i="43"/>
  <c r="W79" i="43"/>
  <c r="K11" i="39"/>
  <c r="R66" i="46"/>
  <c r="Q11" i="39"/>
  <c r="C36" i="42"/>
  <c r="F36" i="42" s="1"/>
  <c r="W29" i="42"/>
  <c r="Y28" i="42" s="1"/>
  <c r="V268" i="4"/>
  <c r="E23" i="28"/>
  <c r="N66" i="46"/>
  <c r="W58" i="43"/>
  <c r="J62" i="43"/>
  <c r="N11" i="39"/>
  <c r="W29" i="43"/>
  <c r="V68" i="44"/>
  <c r="W50" i="44"/>
  <c r="W54" i="44" s="1"/>
  <c r="W116" i="43"/>
  <c r="E11" i="39"/>
  <c r="V131" i="4"/>
  <c r="W103" i="45"/>
  <c r="V188" i="4"/>
  <c r="N62" i="43"/>
  <c r="F52" i="46"/>
  <c r="R78" i="45"/>
  <c r="O98" i="45" s="1"/>
  <c r="R98" i="45" s="1"/>
  <c r="V78" i="45"/>
  <c r="S98" i="45" s="1"/>
  <c r="V98" i="45" s="1"/>
  <c r="R50" i="43"/>
  <c r="V50" i="43"/>
  <c r="W47" i="43"/>
  <c r="J72" i="44"/>
  <c r="V66" i="46"/>
  <c r="R81" i="43"/>
  <c r="S81" i="43"/>
  <c r="V81" i="43" s="1"/>
  <c r="W54" i="43"/>
  <c r="O57" i="44"/>
  <c r="N57" i="44"/>
  <c r="N58" i="44" s="1"/>
  <c r="V45" i="42"/>
  <c r="W45" i="42" s="1"/>
  <c r="J91" i="45"/>
  <c r="N65" i="45"/>
  <c r="V35" i="4"/>
  <c r="R94" i="42"/>
  <c r="W94" i="42" s="1"/>
  <c r="I33" i="41"/>
  <c r="X296" i="4"/>
  <c r="V296" i="4"/>
  <c r="O75" i="43"/>
  <c r="N75" i="43"/>
  <c r="W105" i="43"/>
  <c r="W65" i="43"/>
  <c r="X177" i="4"/>
  <c r="V177" i="4"/>
  <c r="O87" i="43"/>
  <c r="N87" i="43"/>
  <c r="R73" i="45"/>
  <c r="R75" i="45" s="1"/>
  <c r="V73" i="45"/>
  <c r="V75" i="45" s="1"/>
  <c r="J56" i="46"/>
  <c r="I29" i="41"/>
  <c r="N75" i="45"/>
  <c r="W44" i="43"/>
  <c r="S77" i="43"/>
  <c r="V77" i="43" s="1"/>
  <c r="R77" i="43"/>
  <c r="J71" i="46"/>
  <c r="S61" i="45"/>
  <c r="V61" i="45" s="1"/>
  <c r="R61" i="45"/>
  <c r="B21" i="28"/>
  <c r="X89" i="4"/>
  <c r="J85" i="43"/>
  <c r="R74" i="43"/>
  <c r="S74" i="43"/>
  <c r="V74" i="43" s="1"/>
  <c r="X124" i="4"/>
  <c r="X126" i="4" s="1"/>
  <c r="J111" i="43"/>
  <c r="V45" i="43"/>
  <c r="R45" i="43"/>
  <c r="S54" i="46"/>
  <c r="V54" i="46" s="1"/>
  <c r="R54" i="46"/>
  <c r="W95" i="42"/>
  <c r="W151" i="42"/>
  <c r="S126" i="42"/>
  <c r="V126" i="42" s="1"/>
  <c r="R126" i="42"/>
  <c r="R108" i="42"/>
  <c r="S108" i="42"/>
  <c r="V108" i="42" s="1"/>
  <c r="V110" i="42" s="1"/>
  <c r="O102" i="42"/>
  <c r="N102" i="42"/>
  <c r="S136" i="42"/>
  <c r="V136" i="42" s="1"/>
  <c r="R136" i="42"/>
  <c r="R158" i="42" s="1"/>
  <c r="J133" i="42"/>
  <c r="V116" i="42"/>
  <c r="V124" i="42" s="1"/>
  <c r="R116" i="42"/>
  <c r="R124" i="42" s="1"/>
  <c r="S100" i="42"/>
  <c r="V100" i="42" s="1"/>
  <c r="R100" i="42"/>
  <c r="O96" i="42"/>
  <c r="N96" i="42"/>
  <c r="W44" i="42"/>
  <c r="R104" i="42"/>
  <c r="S104" i="42"/>
  <c r="V104" i="42" s="1"/>
  <c r="S99" i="42"/>
  <c r="V99" i="42" s="1"/>
  <c r="R99" i="42"/>
  <c r="N98" i="42"/>
  <c r="O98" i="42"/>
  <c r="F30" i="44" l="1"/>
  <c r="C36" i="44" s="1"/>
  <c r="L212" i="4"/>
  <c r="L263" i="4" s="1"/>
  <c r="O155" i="4"/>
  <c r="O183" i="4" s="1"/>
  <c r="O212" i="4"/>
  <c r="O263" i="4" s="1"/>
  <c r="V211" i="4"/>
  <c r="X211" i="4" s="1"/>
  <c r="J30" i="44"/>
  <c r="G36" i="44" s="1"/>
  <c r="V153" i="4"/>
  <c r="U315" i="4"/>
  <c r="N10" i="44"/>
  <c r="O10" i="44"/>
  <c r="I315" i="4"/>
  <c r="G36" i="42"/>
  <c r="J36" i="42" s="1"/>
  <c r="G36" i="43"/>
  <c r="J36" i="43" s="1"/>
  <c r="G36" i="46"/>
  <c r="J36" i="46" s="1"/>
  <c r="O315" i="4"/>
  <c r="V207" i="4"/>
  <c r="V150" i="4"/>
  <c r="V287" i="4"/>
  <c r="L155" i="4"/>
  <c r="L183" i="4" s="1"/>
  <c r="R212" i="4"/>
  <c r="R263" i="4" s="1"/>
  <c r="V210" i="4"/>
  <c r="I155" i="4"/>
  <c r="I183" i="4" s="1"/>
  <c r="L315" i="4"/>
  <c r="R292" i="4"/>
  <c r="R315" i="4" s="1"/>
  <c r="V290" i="4"/>
  <c r="I212" i="4"/>
  <c r="I263" i="4" s="1"/>
  <c r="U263" i="4"/>
  <c r="R155" i="4"/>
  <c r="R183" i="4" s="1"/>
  <c r="Q30" i="39"/>
  <c r="H30" i="39"/>
  <c r="E30" i="39"/>
  <c r="N30" i="39"/>
  <c r="K30" i="39"/>
  <c r="W181" i="4"/>
  <c r="X181" i="4"/>
  <c r="V62" i="43"/>
  <c r="V158" i="42"/>
  <c r="W79" i="42"/>
  <c r="S26" i="42"/>
  <c r="V26" i="42" s="1"/>
  <c r="R26" i="42"/>
  <c r="W34" i="43"/>
  <c r="K36" i="42"/>
  <c r="W143" i="42"/>
  <c r="S165" i="42"/>
  <c r="V165" i="42" s="1"/>
  <c r="W165" i="42" s="1"/>
  <c r="H46" i="41"/>
  <c r="H48" i="41" s="1"/>
  <c r="S163" i="42"/>
  <c r="V163" i="42" s="1"/>
  <c r="W8" i="42"/>
  <c r="J34" i="42"/>
  <c r="W34" i="42" s="1"/>
  <c r="N87" i="42"/>
  <c r="O87" i="42"/>
  <c r="O26" i="44"/>
  <c r="N26" i="44"/>
  <c r="N29" i="44"/>
  <c r="O29" i="44"/>
  <c r="J8" i="46"/>
  <c r="C36" i="45"/>
  <c r="F36" i="45" s="1"/>
  <c r="F8" i="46"/>
  <c r="K26" i="45"/>
  <c r="J26" i="45"/>
  <c r="O26" i="46"/>
  <c r="N26" i="46"/>
  <c r="N30" i="46" s="1"/>
  <c r="F8" i="45"/>
  <c r="N29" i="45"/>
  <c r="O29" i="45"/>
  <c r="J8" i="44"/>
  <c r="G34" i="44" s="1"/>
  <c r="J34" i="44" s="1"/>
  <c r="O26" i="43"/>
  <c r="N26" i="43"/>
  <c r="J8" i="45"/>
  <c r="G34" i="45" s="1"/>
  <c r="J34" i="45" s="1"/>
  <c r="F8" i="44"/>
  <c r="C34" i="44" s="1"/>
  <c r="R29" i="46"/>
  <c r="S29" i="46"/>
  <c r="V29" i="46" s="1"/>
  <c r="W78" i="46"/>
  <c r="W98" i="45"/>
  <c r="F35" i="43"/>
  <c r="U155" i="4"/>
  <c r="U183" i="4" s="1"/>
  <c r="X188" i="4"/>
  <c r="X207" i="4" s="1"/>
  <c r="X268" i="4"/>
  <c r="X287" i="4" s="1"/>
  <c r="V38" i="4"/>
  <c r="B18" i="28" s="1"/>
  <c r="X131" i="4"/>
  <c r="X150" i="4" s="1"/>
  <c r="R26" i="39"/>
  <c r="R29" i="39"/>
  <c r="E44" i="41"/>
  <c r="V154" i="4"/>
  <c r="X154" i="4" s="1"/>
  <c r="G44" i="41"/>
  <c r="I43" i="41"/>
  <c r="F44" i="41"/>
  <c r="W117" i="43"/>
  <c r="N95" i="43"/>
  <c r="N103" i="43" s="1"/>
  <c r="B19" i="28"/>
  <c r="F19" i="28" s="1"/>
  <c r="W66" i="46"/>
  <c r="W123" i="43"/>
  <c r="E20" i="28"/>
  <c r="W68" i="44"/>
  <c r="W78" i="45"/>
  <c r="R11" i="39"/>
  <c r="F22" i="28"/>
  <c r="E22" i="28"/>
  <c r="W50" i="43"/>
  <c r="F37" i="42"/>
  <c r="F42" i="42" s="1"/>
  <c r="F160" i="42" s="1"/>
  <c r="W45" i="43"/>
  <c r="W81" i="43"/>
  <c r="I31" i="41"/>
  <c r="R95" i="43"/>
  <c r="R103" i="43" s="1"/>
  <c r="V95" i="43"/>
  <c r="V103" i="43" s="1"/>
  <c r="W54" i="46"/>
  <c r="W74" i="43"/>
  <c r="W73" i="45"/>
  <c r="W75" i="45" s="1"/>
  <c r="W126" i="42"/>
  <c r="S57" i="44"/>
  <c r="V57" i="44" s="1"/>
  <c r="V58" i="44" s="1"/>
  <c r="R57" i="44"/>
  <c r="R58" i="44" s="1"/>
  <c r="D30" i="28"/>
  <c r="D44" i="41"/>
  <c r="N85" i="43"/>
  <c r="J79" i="42"/>
  <c r="R62" i="43"/>
  <c r="W77" i="43"/>
  <c r="F24" i="28"/>
  <c r="E24" i="28"/>
  <c r="E21" i="28"/>
  <c r="F21" i="28"/>
  <c r="N71" i="46"/>
  <c r="N89" i="43"/>
  <c r="N91" i="45"/>
  <c r="W61" i="45"/>
  <c r="W65" i="45" s="1"/>
  <c r="S87" i="43"/>
  <c r="V87" i="43" s="1"/>
  <c r="V89" i="43" s="1"/>
  <c r="R87" i="43"/>
  <c r="R89" i="43" s="1"/>
  <c r="S75" i="43"/>
  <c r="V75" i="43" s="1"/>
  <c r="R75" i="43"/>
  <c r="X35" i="4"/>
  <c r="N56" i="46"/>
  <c r="W104" i="42"/>
  <c r="W100" i="42"/>
  <c r="N72" i="44"/>
  <c r="J52" i="46"/>
  <c r="F32" i="43"/>
  <c r="F36" i="43"/>
  <c r="V65" i="45"/>
  <c r="F17" i="28"/>
  <c r="E17" i="28"/>
  <c r="N111" i="43"/>
  <c r="W111" i="43" s="1"/>
  <c r="W99" i="42"/>
  <c r="R110" i="42"/>
  <c r="W110" i="42" s="1"/>
  <c r="W108" i="42"/>
  <c r="R96" i="42"/>
  <c r="S96" i="42"/>
  <c r="V96" i="42" s="1"/>
  <c r="N133" i="42"/>
  <c r="R98" i="42"/>
  <c r="S98" i="42"/>
  <c r="V98" i="42" s="1"/>
  <c r="R102" i="42"/>
  <c r="S102" i="42"/>
  <c r="V102" i="42" s="1"/>
  <c r="W116" i="42"/>
  <c r="W124" i="42" s="1"/>
  <c r="W136" i="42"/>
  <c r="J32" i="42"/>
  <c r="V212" i="4" l="1"/>
  <c r="V263" i="4" s="1"/>
  <c r="V30" i="42"/>
  <c r="S36" i="42" s="1"/>
  <c r="V36" i="42" s="1"/>
  <c r="V37" i="42" s="1"/>
  <c r="V42" i="42" s="1"/>
  <c r="R30" i="42"/>
  <c r="O36" i="42" s="1"/>
  <c r="R36" i="42" s="1"/>
  <c r="R37" i="42" s="1"/>
  <c r="R42" i="42" s="1"/>
  <c r="N30" i="44"/>
  <c r="K36" i="44" s="1"/>
  <c r="N30" i="43"/>
  <c r="K36" i="43" s="1"/>
  <c r="N36" i="43" s="1"/>
  <c r="J30" i="45"/>
  <c r="G36" i="45" s="1"/>
  <c r="J36" i="45" s="1"/>
  <c r="J37" i="45" s="1"/>
  <c r="J41" i="45" s="1"/>
  <c r="I323" i="4"/>
  <c r="I326" i="4" s="1"/>
  <c r="I328" i="4" s="1"/>
  <c r="U323" i="4"/>
  <c r="U326" i="4" s="1"/>
  <c r="U328" i="4" s="1"/>
  <c r="O323" i="4"/>
  <c r="O326" i="4" s="1"/>
  <c r="O328" i="4" s="1"/>
  <c r="R10" i="44"/>
  <c r="R23" i="44" s="1"/>
  <c r="O35" i="44" s="1"/>
  <c r="R35" i="44" s="1"/>
  <c r="S10" i="44"/>
  <c r="V10" i="44" s="1"/>
  <c r="V23" i="44" s="1"/>
  <c r="S35" i="44" s="1"/>
  <c r="V35" i="44" s="1"/>
  <c r="N23" i="44"/>
  <c r="K35" i="44" s="1"/>
  <c r="N35" i="44" s="1"/>
  <c r="W58" i="44"/>
  <c r="G34" i="46"/>
  <c r="J34" i="46" s="1"/>
  <c r="J37" i="46" s="1"/>
  <c r="J42" i="46" s="1"/>
  <c r="L323" i="4"/>
  <c r="L326" i="4" s="1"/>
  <c r="L328" i="4" s="1"/>
  <c r="V292" i="4"/>
  <c r="V315" i="4" s="1"/>
  <c r="X290" i="4"/>
  <c r="X292" i="4" s="1"/>
  <c r="X315" i="4" s="1"/>
  <c r="R323" i="4"/>
  <c r="R326" i="4" s="1"/>
  <c r="R328" i="4" s="1"/>
  <c r="V155" i="4"/>
  <c r="V183" i="4" s="1"/>
  <c r="W183" i="4"/>
  <c r="W323" i="4" s="1"/>
  <c r="R30" i="39"/>
  <c r="W62" i="43"/>
  <c r="F32" i="45"/>
  <c r="W158" i="42"/>
  <c r="W26" i="42"/>
  <c r="W30" i="42" s="1"/>
  <c r="J37" i="42"/>
  <c r="J42" i="42" s="1"/>
  <c r="J160" i="42" s="1"/>
  <c r="D46" i="41"/>
  <c r="D48" i="41" s="1"/>
  <c r="C163" i="42"/>
  <c r="C164" i="42" s="1"/>
  <c r="F46" i="41"/>
  <c r="F48" i="41" s="1"/>
  <c r="K163" i="42"/>
  <c r="N163" i="42" s="1"/>
  <c r="G46" i="41"/>
  <c r="G48" i="41" s="1"/>
  <c r="O163" i="42"/>
  <c r="R163" i="42" s="1"/>
  <c r="E46" i="41"/>
  <c r="E48" i="41" s="1"/>
  <c r="G163" i="42"/>
  <c r="J163" i="42" s="1"/>
  <c r="W29" i="46"/>
  <c r="R87" i="42"/>
  <c r="S87" i="42"/>
  <c r="V87" i="42" s="1"/>
  <c r="V106" i="42" s="1"/>
  <c r="J32" i="46"/>
  <c r="F34" i="44"/>
  <c r="O26" i="45"/>
  <c r="N26" i="45"/>
  <c r="S29" i="44"/>
  <c r="V29" i="44" s="1"/>
  <c r="R29" i="44"/>
  <c r="S29" i="45"/>
  <c r="V29" i="45" s="1"/>
  <c r="R29" i="45"/>
  <c r="C34" i="46"/>
  <c r="F34" i="46" s="1"/>
  <c r="F32" i="46"/>
  <c r="N8" i="44"/>
  <c r="K34" i="44" s="1"/>
  <c r="N34" i="44" s="1"/>
  <c r="C34" i="45"/>
  <c r="F34" i="45" s="1"/>
  <c r="F37" i="45" s="1"/>
  <c r="F41" i="45" s="1"/>
  <c r="F37" i="43"/>
  <c r="R26" i="44"/>
  <c r="S26" i="44"/>
  <c r="V26" i="44" s="1"/>
  <c r="F32" i="44"/>
  <c r="F36" i="44" s="1"/>
  <c r="S26" i="43"/>
  <c r="V26" i="43" s="1"/>
  <c r="R26" i="43"/>
  <c r="S26" i="46"/>
  <c r="V26" i="46" s="1"/>
  <c r="V30" i="46" s="1"/>
  <c r="R26" i="46"/>
  <c r="R30" i="46" s="1"/>
  <c r="J32" i="44"/>
  <c r="J36" i="44" s="1"/>
  <c r="J37" i="44" s="1"/>
  <c r="J35" i="43"/>
  <c r="X38" i="4"/>
  <c r="X153" i="4"/>
  <c r="X155" i="4" s="1"/>
  <c r="X183" i="4" s="1"/>
  <c r="I44" i="41"/>
  <c r="E51" i="41"/>
  <c r="F51" i="41"/>
  <c r="D51" i="41"/>
  <c r="G51" i="41"/>
  <c r="E19" i="28"/>
  <c r="B25" i="28"/>
  <c r="J32" i="43"/>
  <c r="W57" i="44"/>
  <c r="W95" i="43"/>
  <c r="W103" i="43" s="1"/>
  <c r="W75" i="43"/>
  <c r="R133" i="42"/>
  <c r="V72" i="44"/>
  <c r="R85" i="43"/>
  <c r="R72" i="44"/>
  <c r="N52" i="46"/>
  <c r="N79" i="42"/>
  <c r="N32" i="42"/>
  <c r="H51" i="41"/>
  <c r="R56" i="46"/>
  <c r="W87" i="43"/>
  <c r="R71" i="46"/>
  <c r="V71" i="46"/>
  <c r="V85" i="43"/>
  <c r="W96" i="42"/>
  <c r="V91" i="45"/>
  <c r="W89" i="43"/>
  <c r="R91" i="45"/>
  <c r="N106" i="42"/>
  <c r="W98" i="42"/>
  <c r="E18" i="28"/>
  <c r="F18" i="28"/>
  <c r="F25" i="28" s="1"/>
  <c r="R65" i="45"/>
  <c r="W102" i="42"/>
  <c r="V133" i="42"/>
  <c r="V30" i="44" l="1"/>
  <c r="J32" i="45"/>
  <c r="J93" i="45" s="1"/>
  <c r="R30" i="44"/>
  <c r="V30" i="43"/>
  <c r="S36" i="43" s="1"/>
  <c r="V36" i="43" s="1"/>
  <c r="R30" i="43"/>
  <c r="O36" i="43" s="1"/>
  <c r="R36" i="43" s="1"/>
  <c r="N30" i="45"/>
  <c r="K36" i="45" s="1"/>
  <c r="N36" i="45" s="1"/>
  <c r="F163" i="42"/>
  <c r="W163" i="42" s="1"/>
  <c r="W10" i="44"/>
  <c r="W23" i="44" s="1"/>
  <c r="Y23" i="42" s="1"/>
  <c r="W35" i="44"/>
  <c r="S36" i="46"/>
  <c r="V36" i="46" s="1"/>
  <c r="K36" i="46"/>
  <c r="N36" i="46" s="1"/>
  <c r="O36" i="46"/>
  <c r="R36" i="46" s="1"/>
  <c r="W328" i="4"/>
  <c r="D28" i="28"/>
  <c r="D31" i="28" s="1"/>
  <c r="D49" i="28" s="1"/>
  <c r="D60" i="28" s="1"/>
  <c r="V323" i="4"/>
  <c r="V326" i="4"/>
  <c r="X326" i="4" s="1"/>
  <c r="B52" i="28"/>
  <c r="E52" i="28" s="1"/>
  <c r="G164" i="42"/>
  <c r="J164" i="42" s="1"/>
  <c r="W87" i="42"/>
  <c r="W106" i="42" s="1"/>
  <c r="R106" i="42"/>
  <c r="J73" i="46"/>
  <c r="G77" i="46" s="1"/>
  <c r="J77" i="46" s="1"/>
  <c r="J80" i="46" s="1"/>
  <c r="J82" i="46" s="1"/>
  <c r="J84" i="46" s="1"/>
  <c r="O36" i="44"/>
  <c r="W29" i="45"/>
  <c r="W26" i="43"/>
  <c r="W30" i="43" s="1"/>
  <c r="I46" i="41"/>
  <c r="I48" i="41" s="1"/>
  <c r="W29" i="44"/>
  <c r="F37" i="44"/>
  <c r="F42" i="44" s="1"/>
  <c r="N8" i="45"/>
  <c r="V8" i="44"/>
  <c r="S34" i="44" s="1"/>
  <c r="V34" i="44" s="1"/>
  <c r="V8" i="45"/>
  <c r="R8" i="45"/>
  <c r="O34" i="45" s="1"/>
  <c r="R34" i="45" s="1"/>
  <c r="W26" i="44"/>
  <c r="W26" i="46"/>
  <c r="W30" i="46" s="1"/>
  <c r="S26" i="45"/>
  <c r="V26" i="45" s="1"/>
  <c r="R26" i="45"/>
  <c r="R8" i="46"/>
  <c r="V8" i="46"/>
  <c r="F37" i="46"/>
  <c r="F42" i="46" s="1"/>
  <c r="F73" i="46" s="1"/>
  <c r="N8" i="46"/>
  <c r="K34" i="46" s="1"/>
  <c r="S36" i="44"/>
  <c r="N32" i="44"/>
  <c r="N36" i="44" s="1"/>
  <c r="J42" i="44"/>
  <c r="J74" i="44" s="1"/>
  <c r="J37" i="43"/>
  <c r="J42" i="43" s="1"/>
  <c r="J125" i="43" s="1"/>
  <c r="G128" i="43" s="1"/>
  <c r="J128" i="43" s="1"/>
  <c r="J131" i="43" s="1"/>
  <c r="J133" i="43" s="1"/>
  <c r="J135" i="43" s="1"/>
  <c r="N35" i="43"/>
  <c r="N37" i="43" s="1"/>
  <c r="N42" i="43" s="1"/>
  <c r="B28" i="28"/>
  <c r="X210" i="4"/>
  <c r="X212" i="4" s="1"/>
  <c r="X263" i="4" s="1"/>
  <c r="E25" i="28"/>
  <c r="W85" i="43"/>
  <c r="R32" i="42"/>
  <c r="R52" i="46"/>
  <c r="N32" i="43"/>
  <c r="R79" i="42"/>
  <c r="W72" i="44"/>
  <c r="I51" i="41"/>
  <c r="V52" i="46"/>
  <c r="V79" i="42"/>
  <c r="F93" i="45"/>
  <c r="V32" i="42"/>
  <c r="F42" i="43"/>
  <c r="W71" i="46"/>
  <c r="W133" i="42"/>
  <c r="V56" i="46"/>
  <c r="W56" i="46" s="1"/>
  <c r="N36" i="42"/>
  <c r="W36" i="42" s="1"/>
  <c r="W91" i="45"/>
  <c r="F28" i="28" l="1"/>
  <c r="Y106" i="42"/>
  <c r="W30" i="44"/>
  <c r="N32" i="45"/>
  <c r="V30" i="45"/>
  <c r="S36" i="45" s="1"/>
  <c r="V36" i="45" s="1"/>
  <c r="R30" i="45"/>
  <c r="O36" i="45" s="1"/>
  <c r="R36" i="45" s="1"/>
  <c r="F164" i="42"/>
  <c r="F166" i="42" s="1"/>
  <c r="C77" i="46"/>
  <c r="F77" i="46" s="1"/>
  <c r="F80" i="46" s="1"/>
  <c r="F82" i="46" s="1"/>
  <c r="F84" i="46" s="1"/>
  <c r="F62" i="28"/>
  <c r="W36" i="46"/>
  <c r="S34" i="46"/>
  <c r="V34" i="46" s="1"/>
  <c r="V37" i="46" s="1"/>
  <c r="V42" i="46" s="1"/>
  <c r="O34" i="46"/>
  <c r="R34" i="46" s="1"/>
  <c r="V328" i="4"/>
  <c r="X323" i="4"/>
  <c r="X328" i="4" s="1"/>
  <c r="W26" i="45"/>
  <c r="W30" i="45" s="1"/>
  <c r="V32" i="46"/>
  <c r="S34" i="45"/>
  <c r="V34" i="45" s="1"/>
  <c r="R8" i="44"/>
  <c r="R32" i="44" s="1"/>
  <c r="R36" i="44" s="1"/>
  <c r="N34" i="46"/>
  <c r="W8" i="46"/>
  <c r="W32" i="46" s="1"/>
  <c r="N32" i="46"/>
  <c r="K34" i="45"/>
  <c r="N34" i="45" s="1"/>
  <c r="N37" i="45" s="1"/>
  <c r="W8" i="45"/>
  <c r="R32" i="46"/>
  <c r="C97" i="45"/>
  <c r="F97" i="45" s="1"/>
  <c r="F100" i="45" s="1"/>
  <c r="G97" i="45"/>
  <c r="J97" i="45" s="1"/>
  <c r="J100" i="45" s="1"/>
  <c r="J102" i="45" s="1"/>
  <c r="J108" i="45" s="1"/>
  <c r="G78" i="44"/>
  <c r="J78" i="44" s="1"/>
  <c r="J81" i="44" s="1"/>
  <c r="J83" i="44" s="1"/>
  <c r="J85" i="44" s="1"/>
  <c r="N37" i="44"/>
  <c r="N42" i="44" s="1"/>
  <c r="N74" i="44" s="1"/>
  <c r="V32" i="44"/>
  <c r="V36" i="44" s="1"/>
  <c r="R35" i="43"/>
  <c r="V35" i="43"/>
  <c r="E28" i="28"/>
  <c r="D53" i="41"/>
  <c r="G53" i="41"/>
  <c r="E53" i="41"/>
  <c r="H53" i="41"/>
  <c r="F53" i="41"/>
  <c r="W52" i="46"/>
  <c r="W32" i="42"/>
  <c r="W36" i="43"/>
  <c r="N125" i="43"/>
  <c r="K128" i="43" s="1"/>
  <c r="N128" i="43" s="1"/>
  <c r="N131" i="43" s="1"/>
  <c r="N133" i="43" s="1"/>
  <c r="N135" i="43" s="1"/>
  <c r="R160" i="42"/>
  <c r="V160" i="42"/>
  <c r="S164" i="42" s="1"/>
  <c r="V164" i="42" s="1"/>
  <c r="N37" i="42"/>
  <c r="V32" i="43"/>
  <c r="F125" i="43"/>
  <c r="F74" i="44"/>
  <c r="C78" i="44" s="1"/>
  <c r="R32" i="43"/>
  <c r="Y30" i="42" l="1"/>
  <c r="O164" i="42"/>
  <c r="R164" i="42" s="1"/>
  <c r="V32" i="45"/>
  <c r="R32" i="45"/>
  <c r="R37" i="45"/>
  <c r="R41" i="45" s="1"/>
  <c r="W36" i="45"/>
  <c r="W32" i="45"/>
  <c r="V73" i="46"/>
  <c r="S77" i="46" s="1"/>
  <c r="V77" i="46" s="1"/>
  <c r="V80" i="46" s="1"/>
  <c r="V82" i="46" s="1"/>
  <c r="V84" i="46" s="1"/>
  <c r="W36" i="44"/>
  <c r="R37" i="43"/>
  <c r="R42" i="43" s="1"/>
  <c r="V37" i="43"/>
  <c r="V42" i="43" s="1"/>
  <c r="V125" i="43" s="1"/>
  <c r="S128" i="43" s="1"/>
  <c r="V128" i="43" s="1"/>
  <c r="V131" i="43" s="1"/>
  <c r="V133" i="43" s="1"/>
  <c r="V135" i="43" s="1"/>
  <c r="N37" i="46"/>
  <c r="N42" i="46" s="1"/>
  <c r="N73" i="46" s="1"/>
  <c r="W34" i="46"/>
  <c r="O34" i="44"/>
  <c r="R34" i="44" s="1"/>
  <c r="W34" i="44" s="1"/>
  <c r="W8" i="44"/>
  <c r="W32" i="44" s="1"/>
  <c r="W34" i="45"/>
  <c r="V37" i="45"/>
  <c r="K78" i="44"/>
  <c r="N78" i="44" s="1"/>
  <c r="N81" i="44" s="1"/>
  <c r="N83" i="44" s="1"/>
  <c r="N85" i="44" s="1"/>
  <c r="V37" i="44"/>
  <c r="V42" i="44" s="1"/>
  <c r="W35" i="43"/>
  <c r="I53" i="41"/>
  <c r="B29" i="28"/>
  <c r="W32" i="43"/>
  <c r="N42" i="42"/>
  <c r="W37" i="42"/>
  <c r="C128" i="43"/>
  <c r="F128" i="43" s="1"/>
  <c r="F78" i="44"/>
  <c r="F81" i="44" s="1"/>
  <c r="F102" i="45"/>
  <c r="F108" i="45" s="1"/>
  <c r="R37" i="46"/>
  <c r="N41" i="45"/>
  <c r="R93" i="45" l="1"/>
  <c r="O97" i="45" s="1"/>
  <c r="R97" i="45" s="1"/>
  <c r="R100" i="45" s="1"/>
  <c r="R102" i="45" s="1"/>
  <c r="R108" i="45" s="1"/>
  <c r="V41" i="45"/>
  <c r="V93" i="45" s="1"/>
  <c r="S97" i="45" s="1"/>
  <c r="V97" i="45" s="1"/>
  <c r="V100" i="45" s="1"/>
  <c r="V102" i="45" s="1"/>
  <c r="V108" i="45" s="1"/>
  <c r="W37" i="43"/>
  <c r="W42" i="43"/>
  <c r="W125" i="43" s="1"/>
  <c r="R37" i="44"/>
  <c r="R42" i="44" s="1"/>
  <c r="R74" i="44" s="1"/>
  <c r="O78" i="44" s="1"/>
  <c r="R78" i="44" s="1"/>
  <c r="R81" i="44" s="1"/>
  <c r="R83" i="44" s="1"/>
  <c r="R85" i="44" s="1"/>
  <c r="E29" i="28"/>
  <c r="F29" i="28"/>
  <c r="K77" i="46"/>
  <c r="N77" i="46" s="1"/>
  <c r="W37" i="45"/>
  <c r="V74" i="44"/>
  <c r="G55" i="41"/>
  <c r="G56" i="41" s="1"/>
  <c r="G59" i="41" s="1"/>
  <c r="G61" i="41" s="1"/>
  <c r="F55" i="41"/>
  <c r="F56" i="41" s="1"/>
  <c r="F59" i="41" s="1"/>
  <c r="F61" i="41" s="1"/>
  <c r="H55" i="41"/>
  <c r="H56" i="41" s="1"/>
  <c r="H59" i="41" s="1"/>
  <c r="H61" i="41" s="1"/>
  <c r="D55" i="41"/>
  <c r="N160" i="42"/>
  <c r="K164" i="42" s="1"/>
  <c r="W42" i="42"/>
  <c r="W160" i="42" s="1"/>
  <c r="R125" i="43"/>
  <c r="F83" i="44"/>
  <c r="F85" i="44" s="1"/>
  <c r="F131" i="43"/>
  <c r="F133" i="43" s="1"/>
  <c r="N93" i="45"/>
  <c r="R42" i="46"/>
  <c r="W37" i="46"/>
  <c r="N164" i="42" l="1"/>
  <c r="W164" i="42" s="1"/>
  <c r="W41" i="45"/>
  <c r="W93" i="45" s="1"/>
  <c r="W42" i="44"/>
  <c r="W74" i="44" s="1"/>
  <c r="W37" i="44"/>
  <c r="N80" i="46"/>
  <c r="N82" i="46" s="1"/>
  <c r="N84" i="46" s="1"/>
  <c r="K97" i="45"/>
  <c r="N97" i="45" s="1"/>
  <c r="W97" i="45" s="1"/>
  <c r="S78" i="44"/>
  <c r="V78" i="44" s="1"/>
  <c r="E55" i="41"/>
  <c r="E56" i="41" s="1"/>
  <c r="E59" i="41" s="1"/>
  <c r="E61" i="41" s="1"/>
  <c r="J166" i="42" s="1"/>
  <c r="J168" i="42" s="1"/>
  <c r="J175" i="42" s="1"/>
  <c r="V166" i="42"/>
  <c r="V168" i="42" s="1"/>
  <c r="V175" i="42" s="1"/>
  <c r="H63" i="41"/>
  <c r="G63" i="41"/>
  <c r="R166" i="42"/>
  <c r="F63" i="41"/>
  <c r="B30" i="28"/>
  <c r="D56" i="41"/>
  <c r="D59" i="41" s="1"/>
  <c r="D61" i="41" s="1"/>
  <c r="F135" i="43"/>
  <c r="W42" i="46"/>
  <c r="W73" i="46" s="1"/>
  <c r="R73" i="46"/>
  <c r="O77" i="46" s="1"/>
  <c r="R77" i="46" s="1"/>
  <c r="W77" i="46" s="1"/>
  <c r="O128" i="43"/>
  <c r="R128" i="43" s="1"/>
  <c r="R168" i="42" l="1"/>
  <c r="R175" i="42" s="1"/>
  <c r="N166" i="42"/>
  <c r="N168" i="42" s="1"/>
  <c r="V81" i="44"/>
  <c r="V83" i="44" s="1"/>
  <c r="V85" i="44" s="1"/>
  <c r="W85" i="44" s="1"/>
  <c r="W78" i="44"/>
  <c r="W81" i="44" s="1"/>
  <c r="I55" i="41"/>
  <c r="I56" i="41" s="1"/>
  <c r="E63" i="41"/>
  <c r="D63" i="41"/>
  <c r="I59" i="41"/>
  <c r="I61" i="41" s="1"/>
  <c r="E30" i="28"/>
  <c r="E31" i="28" s="1"/>
  <c r="E49" i="28" s="1"/>
  <c r="F30" i="28"/>
  <c r="F31" i="28" s="1"/>
  <c r="B31" i="28"/>
  <c r="R131" i="43"/>
  <c r="R133" i="43" s="1"/>
  <c r="W128" i="43"/>
  <c r="W131" i="43" s="1"/>
  <c r="R80" i="46"/>
  <c r="R82" i="46" s="1"/>
  <c r="W80" i="46"/>
  <c r="N100" i="45"/>
  <c r="N102" i="45" s="1"/>
  <c r="N108" i="45" s="1"/>
  <c r="W100" i="45"/>
  <c r="N175" i="42" l="1"/>
  <c r="F49" i="28"/>
  <c r="W83" i="44"/>
  <c r="F168" i="42"/>
  <c r="F175" i="42" s="1"/>
  <c r="B53" i="28"/>
  <c r="I63" i="41"/>
  <c r="B49" i="28"/>
  <c r="W102" i="45"/>
  <c r="W108" i="45" s="1"/>
  <c r="R84" i="46"/>
  <c r="W82" i="46"/>
  <c r="W84" i="46" s="1"/>
  <c r="R135" i="43"/>
  <c r="W135" i="43" s="1"/>
  <c r="W133" i="43"/>
  <c r="W168" i="42" l="1"/>
  <c r="W166" i="42"/>
  <c r="B56" i="28"/>
  <c r="E53" i="28"/>
  <c r="W175" i="42" l="1"/>
  <c r="Y104" i="42"/>
  <c r="E56" i="28"/>
  <c r="E60" i="28" l="1"/>
  <c r="F60" i="28"/>
  <c r="Y82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tc={248657ED-2449-490E-8BDD-43F8FBA0C9E8}</author>
    <author>tc={85225663-03AB-498F-9822-997443A004AC}</author>
    <author>tc={6A59F2BF-26F9-4FE6-8E2D-571620DE0EBE}</author>
    <author>tc={41572160-DBE6-4608-9840-1157A1557AFD}</author>
    <author>tc={71C7531D-F2F5-465D-86EC-2CB83D365246}</author>
    <author>tc={4519C939-8D28-4770-B2C2-7A11D077F3FE}</author>
    <author>tc={3DE6C23A-8106-44BC-A906-662B8193A6AF}</author>
    <author>tc={DD853D84-E0E1-483C-BA3E-FD0BE2956B17}</author>
    <author>tc={42F7DB6C-DDE3-439A-9CFE-9D5685A8901A}</author>
    <author>tc={8F5893C1-B8F4-48FF-BD91-8BEB43F9FCEC}</author>
    <author>tc={3E3622D7-579D-43C0-9509-6405CEB20635}</author>
    <author>tc={474EAD58-2949-49CA-A33E-3E7A4958FCAD}</author>
    <author>tc={CCA56C4A-DAA1-44B5-A85E-D06F1A2C8511}</author>
    <author>tc={AC2A3201-0E45-4B93-A2BD-5DA51DE7A72F}</author>
    <author>tc={487EEA16-11C6-4BBF-8B56-FC5935BC4F42}</author>
  </authors>
  <commentList>
    <comment ref="A26" authorId="0" shapeId="0" xr:uid="{248657ED-2449-490E-8BDD-43F8FBA0C9E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clear on the role of this position vs Associate Director. For the project, only one position will be allowed to bill the project.</t>
      </text>
    </comment>
    <comment ref="A27" authorId="1" shapeId="0" xr:uid="{85225663-03AB-498F-9822-997443A004AC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clear on the role of this position</t>
      </text>
    </comment>
    <comment ref="A44" authorId="2" shapeId="0" xr:uid="{6A59F2BF-26F9-4FE6-8E2D-571620DE0EBE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 two trips per year for HQ staff</t>
      </text>
    </comment>
    <comment ref="A49" authorId="3" shapeId="0" xr:uid="{41572160-DBE6-4608-9840-1157A1557AFD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 to two ground transportation trip for HQ staff.</t>
      </text>
    </comment>
    <comment ref="A65" authorId="4" shapeId="0" xr:uid="{71C7531D-F2F5-465D-86EC-2CB83D365246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 to two "Other Travel Related Expenses" for HQ</t>
      </text>
    </comment>
    <comment ref="A66" authorId="5" shapeId="0" xr:uid="{4519C939-8D28-4770-B2C2-7A11D077F3FE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 to two visa cost for HQ staff.</t>
      </text>
    </comment>
    <comment ref="A83" authorId="6" shapeId="0" xr:uid="{3DE6C23A-8106-44BC-A906-662B8193A6AF}">
      <text>
        <t>[Threaded comment]
Your version of Excel allows you to read this threaded comment; however, any edits to it will get removed if the file is opened in a newer version of Excel. Learn more: https://go.microsoft.com/fwlink/?linkid=870924
Comment:
    See C-2 for USDA instructions</t>
      </text>
    </comment>
    <comment ref="A88" authorId="7" shapeId="0" xr:uid="{DD853D84-E0E1-483C-BA3E-FD0BE2956B17}">
      <text>
        <t>[Threaded comment]
Your version of Excel allows you to read this threaded comment; however, any edits to it will get removed if the file is opened in a newer version of Excel. Learn more: https://go.microsoft.com/fwlink/?linkid=870924
Comment:
    Who is "short-term Administrative Support Consultant"? What role does she/he have on the project. What is the value of this consultant vs Associate Director and or Senior Project Director?</t>
      </text>
    </comment>
    <comment ref="A90" authorId="8" shapeId="0" xr:uid="{42F7DB6C-DDE3-439A-9CFE-9D5685A8901A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Pending: See C-2 
Reply:
    Addressed in C-2</t>
      </text>
    </comment>
    <comment ref="A91" authorId="9" shapeId="0" xr:uid="{8F5893C1-B8F4-48FF-BD91-8BEB43F9FCE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 you justify why a consultant is recruited throughout the LOA? </t>
      </text>
    </comment>
    <comment ref="A104" authorId="10" shapeId="0" xr:uid="{3E3622D7-579D-43C0-9509-6405CEB20635}">
      <text>
        <t>[Threaded comment]
Your version of Excel allows you to read this threaded comment; however, any edits to it will get removed if the file is opened in a newer version of Excel. Learn more: https://go.microsoft.com/fwlink/?linkid=870924
Comment:
    How will this be sustainable after the project is completed? Is there a way to find a better and cost-effective platform that beneficiaries could afford after the project ends.</t>
      </text>
    </comment>
    <comment ref="A113" authorId="11" shapeId="0" xr:uid="{474EAD58-2949-49CA-A33E-3E7A4958FCAD}">
      <text>
        <t>[Threaded comment]
Your version of Excel allows you to read this threaded comment; however, any edits to it will get removed if the file is opened in a newer version of Excel. Learn more: https://go.microsoft.com/fwlink/?linkid=870924
Comment:
    What is the stipend for? Please remove.
Reply:
    Addressed in C-2</t>
      </text>
    </comment>
    <comment ref="A136" authorId="12" shapeId="0" xr:uid="{CCA56C4A-DAA1-44B5-A85E-D06F1A2C8511}">
      <text>
        <t>[Threaded comment]
Your version of Excel allows you to read this threaded comment; however, any edits to it will get removed if the file is opened in a newer version of Excel. Learn more: https://go.microsoft.com/fwlink/?linkid=870924
Comment:
    What is the difference between this and subsequent conferences, training, workshops etc below.</t>
      </text>
    </comment>
    <comment ref="A139" authorId="13" shapeId="0" xr:uid="{AC2A3201-0E45-4B93-A2BD-5DA51DE7A72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For a three-day conference, this cost seems overpriced at roughly $33,000 per day while other conferences are $1, 719 or 1,824 per day. Not sure why. This is unreasonable. Please reduce to proportionally reflect the average cost for such an event.   </t>
      </text>
    </comment>
    <comment ref="A170" authorId="14" shapeId="0" xr:uid="{487EEA16-11C6-4BBF-8B56-FC5935BC4F42}">
      <text>
        <t>[Threaded comment]
Your version of Excel allows you to read this threaded comment; however, any edits to it will get removed if the file is opened in a newer version of Excel. Learn more: https://go.microsoft.com/fwlink/?linkid=870924
Comment:
    It is hard to distinguish between USDA funding, private sector (local or international), and POA funding who is providing what and by how much?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tc={2DD90931-FFD8-48D9-9E2A-58CDA53E849E}</author>
  </authors>
  <commentList>
    <comment ref="A82" authorId="0" shapeId="0" xr:uid="{2DD90931-FFD8-48D9-9E2A-58CDA53E849E}">
      <text>
        <t>[Threaded comment]
Your version of Excel allows you to read this threaded comment; however, any edits to it will get removed if the file is opened in a newer version of Excel. Learn more: https://go.microsoft.com/fwlink/?linkid=870924
Comment:
    See comments from the Detail Budget.
Reply:
    Addressed in C-2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tc={BBC9C5D9-4C17-4CB5-A1C7-9C2826823B33}</author>
  </authors>
  <commentList>
    <comment ref="A25" authorId="0" shapeId="0" xr:uid="{BBC9C5D9-4C17-4CB5-A1C7-9C2826823B33}">
      <text>
        <t>[Threaded comment]
Your version of Excel allows you to read this threaded comment; however, any edits to it will get removed if the file is opened in a newer version of Excel. Learn more: https://go.microsoft.com/fwlink/?linkid=870924
Comment:
    Is the per diem identified is for international or local purposes. Please differentiate.</t>
      </text>
    </comment>
  </commentList>
</comments>
</file>

<file path=xl/sharedStrings.xml><?xml version="1.0" encoding="utf-8"?>
<sst xmlns="http://schemas.openxmlformats.org/spreadsheetml/2006/main" count="1637" uniqueCount="531">
  <si>
    <t>C-1</t>
  </si>
  <si>
    <t>Proposed Budget Summary</t>
  </si>
  <si>
    <t>Program (FFPr or MGD):</t>
  </si>
  <si>
    <t>FFPr</t>
  </si>
  <si>
    <t xml:space="preserve">Country of Operation: </t>
  </si>
  <si>
    <t>Nigeria (Non-priority country)</t>
  </si>
  <si>
    <t>Implementing Organization:</t>
  </si>
  <si>
    <t>Partners of the Americas Inc.</t>
  </si>
  <si>
    <t xml:space="preserve">Fiscal Year:  </t>
  </si>
  <si>
    <t>2025</t>
  </si>
  <si>
    <t xml:space="preserve">Agreement Number: </t>
  </si>
  <si>
    <t>USDA-FAS-10.606-0700-25(000)</t>
  </si>
  <si>
    <t>Total Amount of Federal Funds Requested</t>
  </si>
  <si>
    <t>Funding Source
(FAS for MGD)
(CCC for FFPr)</t>
  </si>
  <si>
    <t>Funding Year</t>
  </si>
  <si>
    <t>Commodity Cost</t>
  </si>
  <si>
    <t>Freight Cost</t>
  </si>
  <si>
    <t>Administrative Costs (cash portion)</t>
  </si>
  <si>
    <t>Total Federal Funding Obligated</t>
  </si>
  <si>
    <t>Project Operating Budget</t>
  </si>
  <si>
    <t>Expense Type</t>
  </si>
  <si>
    <t>Monetization Proceeds (FFPr Only)</t>
  </si>
  <si>
    <t>FAS or CCC Funds (CCC is Admin Only)</t>
  </si>
  <si>
    <t>Cost Share</t>
  </si>
  <si>
    <t>Total w/out Cost Share</t>
  </si>
  <si>
    <t>Total w/Cost Share</t>
  </si>
  <si>
    <t xml:space="preserve">Administration </t>
  </si>
  <si>
    <t>Salaries/Personnel</t>
  </si>
  <si>
    <t>Benefits</t>
  </si>
  <si>
    <t>Travel</t>
  </si>
  <si>
    <t>Professional Services/Contractual</t>
  </si>
  <si>
    <t>Equipment</t>
  </si>
  <si>
    <t>Office</t>
  </si>
  <si>
    <t>Supplies</t>
  </si>
  <si>
    <t>Other</t>
  </si>
  <si>
    <t>Total Administration</t>
  </si>
  <si>
    <t xml:space="preserve">Activities </t>
  </si>
  <si>
    <t xml:space="preserve">Activity 1: Increase Agricultural Productivity &amp; Trade through Livestock Production </t>
  </si>
  <si>
    <t>Activity 2: Improve Trade Finance Capacity to Increase US Exports to Nigeria</t>
  </si>
  <si>
    <t xml:space="preserve">Activity 3: Expand Trade by Reducing Non-Tariff Trade Barriers </t>
  </si>
  <si>
    <t>Total Activities</t>
  </si>
  <si>
    <t>Commodity and Food Purchases (N/A to FFPr)</t>
  </si>
  <si>
    <t>Commodity Procurement</t>
  </si>
  <si>
    <t>Food Vouchers (N/A to MGD)</t>
  </si>
  <si>
    <t>Cash Transfers (N/A to MGD)</t>
  </si>
  <si>
    <t>Total Commodity Procurement</t>
  </si>
  <si>
    <t>ITSH (N/A to FFPr)</t>
  </si>
  <si>
    <t>Salaries</t>
  </si>
  <si>
    <t>Transportation</t>
  </si>
  <si>
    <t>Professional Services</t>
  </si>
  <si>
    <t>Warehouse</t>
  </si>
  <si>
    <t>Total ITSH</t>
  </si>
  <si>
    <t>Total Direct Costs</t>
  </si>
  <si>
    <t>Indirect Costs</t>
  </si>
  <si>
    <t>ICR on Administration</t>
  </si>
  <si>
    <t>ICR on Activities</t>
  </si>
  <si>
    <t>ICR on Commodity and Food Purchases (N/A to FFPr)</t>
  </si>
  <si>
    <t>ICR on ITSH (N/A to FFPr)</t>
  </si>
  <si>
    <t>Total Indirect Costs</t>
  </si>
  <si>
    <t>Anticipated Program Income</t>
  </si>
  <si>
    <t>Grand Total Costs</t>
  </si>
  <si>
    <t>Total Amount of Federal Award (Total Federal Funds Requested Plus Cost Share):</t>
  </si>
  <si>
    <t>Item</t>
  </si>
  <si>
    <t>Type of Unit</t>
  </si>
  <si>
    <t>Year 1</t>
  </si>
  <si>
    <t>Year 2</t>
  </si>
  <si>
    <t>Year 3</t>
  </si>
  <si>
    <t>Year 4</t>
  </si>
  <si>
    <t>Year 5</t>
  </si>
  <si>
    <t>Total</t>
  </si>
  <si>
    <t>Cost</t>
  </si>
  <si>
    <t>Quantity</t>
  </si>
  <si>
    <t>Percent Allocated</t>
  </si>
  <si>
    <t xml:space="preserve">Direct Costs </t>
  </si>
  <si>
    <t>USN/TCN Staff</t>
  </si>
  <si>
    <t>None</t>
  </si>
  <si>
    <t>Total: Expatriate Salaries &amp; Wages</t>
  </si>
  <si>
    <t>CNN Staff</t>
  </si>
  <si>
    <t>Total Local Salary Cost</t>
  </si>
  <si>
    <t xml:space="preserve"> HQ Staff</t>
  </si>
  <si>
    <t>Total HQ Staff</t>
  </si>
  <si>
    <t>Subtotal: Salaries &amp; Wages</t>
  </si>
  <si>
    <t xml:space="preserve"> Fringe</t>
  </si>
  <si>
    <t>HQ Staff</t>
  </si>
  <si>
    <t xml:space="preserve">Total: Fringe Benefits  </t>
  </si>
  <si>
    <t>Allowances</t>
  </si>
  <si>
    <t>Total: Allowances</t>
  </si>
  <si>
    <t>Subtotal: Benefits</t>
  </si>
  <si>
    <t>International Travel</t>
  </si>
  <si>
    <t>Local Travel</t>
  </si>
  <si>
    <t>Vehicle Fuel</t>
  </si>
  <si>
    <t>Per Diem &amp; Lodging</t>
  </si>
  <si>
    <t>Subtotal: Travel</t>
  </si>
  <si>
    <t>Subtotal: Professional Services/Contractual</t>
  </si>
  <si>
    <t>Equipment (&gt;$5000/unit)</t>
  </si>
  <si>
    <t>Subtotal: Equipment</t>
  </si>
  <si>
    <t>Home Office</t>
  </si>
  <si>
    <t>Field Office</t>
  </si>
  <si>
    <t>Subtotal: Office</t>
  </si>
  <si>
    <t>Subtotal: Supplies</t>
  </si>
  <si>
    <t>Other Direct Cost</t>
  </si>
  <si>
    <t>Training &amp; Meetings</t>
  </si>
  <si>
    <t>Subawards</t>
  </si>
  <si>
    <t>Grants</t>
  </si>
  <si>
    <t>Communications</t>
  </si>
  <si>
    <t>Maintenance</t>
  </si>
  <si>
    <t>Insurance</t>
  </si>
  <si>
    <t>Subtotal: Other Direct Cost</t>
  </si>
  <si>
    <t>Total Direct Cost</t>
  </si>
  <si>
    <t>%</t>
  </si>
  <si>
    <t>ICR on Activities (Total Direct Activities Costs Less Subawards)</t>
  </si>
  <si>
    <t>ICR on Activities (Subawards)</t>
  </si>
  <si>
    <t>Subtotal Indirect Cost</t>
  </si>
  <si>
    <t>Total Estimated Cost (Direct Cost + Indirect Cost)</t>
  </si>
  <si>
    <t>Total Estimated Cost (Direct Cost + Indirect Cost+ Cost Share)</t>
  </si>
  <si>
    <t>Anticipated Program Income (baked in costs and this is for reference)</t>
  </si>
  <si>
    <t>Training</t>
  </si>
  <si>
    <t>Repair &amp; Maintenance</t>
  </si>
  <si>
    <t>Total Cost Share (for reference)</t>
  </si>
  <si>
    <t>CCN Staff</t>
  </si>
  <si>
    <t xml:space="preserve"> Fringe Benefits</t>
  </si>
  <si>
    <t>CCN - Nigeria (above $3,500 monthly)</t>
  </si>
  <si>
    <t>Subaward</t>
  </si>
  <si>
    <t>Trainings &amp; Meetings</t>
  </si>
  <si>
    <t>FFPr Nigeria</t>
  </si>
  <si>
    <t>Country of Operation: Nigeria</t>
  </si>
  <si>
    <t>Implementing Organization: CABI</t>
  </si>
  <si>
    <t xml:space="preserve"> Project Dates: October 1, 2025 - September 30, 2029</t>
  </si>
  <si>
    <t>Budget Assumptions</t>
  </si>
  <si>
    <t>Inflation - Locally Purchased Goods/Services - 5%</t>
  </si>
  <si>
    <t>Merit Based Increases for Staff - 5%</t>
  </si>
  <si>
    <t xml:space="preserve">SPS Advisor </t>
  </si>
  <si>
    <t>Day</t>
  </si>
  <si>
    <t>Audit Technical Lead</t>
  </si>
  <si>
    <t>Communication Expert</t>
  </si>
  <si>
    <t>Enumerators</t>
  </si>
  <si>
    <t xml:space="preserve">CABI Staff Fringe Benefits </t>
  </si>
  <si>
    <t>Subtotal: Fringe Benefits</t>
  </si>
  <si>
    <t>International Airfare from Kenya to Nigeria (CABI Staff)</t>
  </si>
  <si>
    <t>Trip</t>
  </si>
  <si>
    <t>Domestic Flights to 12 Ports/Borders (CABI Staff)</t>
  </si>
  <si>
    <t>Local Transportation (CABI Staff)</t>
  </si>
  <si>
    <t>Days</t>
  </si>
  <si>
    <t>Per Diem</t>
  </si>
  <si>
    <t>Lodging for Domestic Travel (CABI)</t>
  </si>
  <si>
    <t>M&amp;IE for Domestic Travel (CABI)</t>
  </si>
  <si>
    <t>Unit</t>
  </si>
  <si>
    <t>Month</t>
  </si>
  <si>
    <t>Office Supplies</t>
  </si>
  <si>
    <t>SPS and Customs Roadmap and Audit Inception Workshop (Activity 3.1.1)</t>
  </si>
  <si>
    <t>Workshop</t>
  </si>
  <si>
    <t>Audit Roadmap &amp; Action Plan Workshop (Activity 3.1.3)</t>
  </si>
  <si>
    <t>Comparative Lab Sampling and Testing of Nigeria Lab Effectiveness (Activity 3.1.2)</t>
  </si>
  <si>
    <t>Lab Tests</t>
  </si>
  <si>
    <t xml:space="preserve">ICR on Salaries and Fringe </t>
  </si>
  <si>
    <t xml:space="preserve"> Budget FFPr</t>
  </si>
  <si>
    <t>Implementing Organization: U.S. Soybean Export Council (USSEC)</t>
  </si>
  <si>
    <t>Project Director</t>
  </si>
  <si>
    <t>Staff Accountant</t>
  </si>
  <si>
    <t>Fringe rate</t>
  </si>
  <si>
    <t>Staff transportation for group trainings</t>
  </si>
  <si>
    <t>Staff transportation for 1-1 trainings</t>
  </si>
  <si>
    <t>Local Per Diem</t>
  </si>
  <si>
    <t>Lodging and M&amp;IE for group trainings in Nigeria</t>
  </si>
  <si>
    <t>Lodging and M&amp;IE for 1-1 trainings in Nigeria</t>
  </si>
  <si>
    <t>Program Manager</t>
  </si>
  <si>
    <t>Admin/budget Manager</t>
  </si>
  <si>
    <t>Digital programming/manager</t>
  </si>
  <si>
    <t>Community Manager</t>
  </si>
  <si>
    <t>Technical experts</t>
  </si>
  <si>
    <t>Virtual Training Program (virtual training program including training speakers &amp; technical experts for  Q&amp;A + moderator - Estimated participants  =100-150 participants per event)</t>
  </si>
  <si>
    <t>In person Training Program (training program including training speakers &amp; technical experts for  Q&amp;A + moderator + venue/ AV equipment rental. Estimated participants =50 per event)</t>
  </si>
  <si>
    <t>In person 1 to 1 training-on-site (technical experts provide 1-3 day in-person trainings for poultry, aquaculture, feed mills at their company location)</t>
  </si>
  <si>
    <t>De minimis indirect cost rate</t>
  </si>
  <si>
    <t>Partners of the Americas – FY 2025 FFPr Nigeria</t>
  </si>
  <si>
    <t>NOFO: USDA-FAS-10.606-0700-25(000)</t>
  </si>
  <si>
    <t>Duration: 4 Years</t>
  </si>
  <si>
    <t>Country: Nigeria</t>
  </si>
  <si>
    <t>Budget Assumptions:</t>
  </si>
  <si>
    <t>Inflation Increases</t>
  </si>
  <si>
    <t>Merit Based Increases for HQ &amp; Field Staff</t>
  </si>
  <si>
    <t>BUDGET ITEM</t>
  </si>
  <si>
    <t>Level of Effort (LOE) Year 1</t>
  </si>
  <si>
    <t>UNIT</t>
  </si>
  <si>
    <t># of Units</t>
  </si>
  <si>
    <t>RATE/ UNIT</t>
  </si>
  <si>
    <t>YEAR 1</t>
  </si>
  <si>
    <t>Level of Effort (LOE) Year 2</t>
  </si>
  <si>
    <t>YEAR 2</t>
  </si>
  <si>
    <t>Level of Effort (LOE) Year 3</t>
  </si>
  <si>
    <t>YEAR 3</t>
  </si>
  <si>
    <t>Level of Effort (LOE) Year 4</t>
  </si>
  <si>
    <t>YEAR 4</t>
  </si>
  <si>
    <t>Level of Effort (LOE) Year 5</t>
  </si>
  <si>
    <t>YEAR 5</t>
  </si>
  <si>
    <t>TOTAL USDA</t>
  </si>
  <si>
    <t>TOTAL COST SHARE</t>
  </si>
  <si>
    <t>PROJECT GRAND TOTAL</t>
  </si>
  <si>
    <t>Salaries/Personnel (Administration)</t>
  </si>
  <si>
    <t>CCN Nigeria Field Staff (LOE)</t>
  </si>
  <si>
    <t>Key Personnel: Chief of Party</t>
  </si>
  <si>
    <t>Technical Director</t>
  </si>
  <si>
    <t>Technical Lead - Activity 2 US Exports</t>
  </si>
  <si>
    <t>Technical Lead - Activity 2 Access to Finance Specialist</t>
  </si>
  <si>
    <t>Communications/Strategic Partnerships Manager</t>
  </si>
  <si>
    <t xml:space="preserve">M&amp;E Director </t>
  </si>
  <si>
    <t>M&amp;E Specialist</t>
  </si>
  <si>
    <t xml:space="preserve">Key Personnel: Finance &amp; Administration (F&amp;A) Director </t>
  </si>
  <si>
    <t xml:space="preserve">Accountant </t>
  </si>
  <si>
    <t>Administration/ HR Manager</t>
  </si>
  <si>
    <t>Grants &amp; Contracts Manager</t>
  </si>
  <si>
    <t>Compliance &amp; Procurement Specialist</t>
  </si>
  <si>
    <t>Driver</t>
  </si>
  <si>
    <t>Home Office (HO) (LOE)</t>
  </si>
  <si>
    <t>Senior Vice President of Programs</t>
  </si>
  <si>
    <t xml:space="preserve">Senior Program Director </t>
  </si>
  <si>
    <t>Associate Director</t>
  </si>
  <si>
    <t>Compliance &amp; Contracts Director</t>
  </si>
  <si>
    <t>Finance, HR, &amp; Administration Home Office Support</t>
  </si>
  <si>
    <t>Total Personnel</t>
  </si>
  <si>
    <t>Fringe Benefits</t>
  </si>
  <si>
    <t>Fringe Benefits CCN - Nigeria</t>
  </si>
  <si>
    <t>Fringe Benefits - HO</t>
  </si>
  <si>
    <t>Total Fringe Benefits</t>
  </si>
  <si>
    <t>HO Staff Travel - International</t>
  </si>
  <si>
    <t>Airfare - DC-Nigeria - HO Project Management Trip</t>
  </si>
  <si>
    <t>-</t>
  </si>
  <si>
    <t>Lodging and M&amp;IE - HO Project Management Trip</t>
  </si>
  <si>
    <t>Ground Transportation – HO Project Management Trip</t>
  </si>
  <si>
    <t>Other Travel Related Expenses – HO Project Management Trip</t>
  </si>
  <si>
    <t>Visa Cost for US Staff Travel</t>
  </si>
  <si>
    <t xml:space="preserve">Nigeria Staff Travel - International </t>
  </si>
  <si>
    <t>Airfare - Roundtrip - Nigeria to USA</t>
  </si>
  <si>
    <t>Lodging and M&amp;IE for Nigeria Staff Travel</t>
  </si>
  <si>
    <t>Ground Transportation for Nigeria Staff Travel</t>
  </si>
  <si>
    <t>Other Travel Related Expenses for Nigeria Staff Travel</t>
  </si>
  <si>
    <t>Visa Cost for Nigerian Staff Travel</t>
  </si>
  <si>
    <t xml:space="preserve">Nigeria Staff Travel - Domestic </t>
  </si>
  <si>
    <t>Vehicle Fuel Expense (for Field Office Vehicles)</t>
  </si>
  <si>
    <t>Roundtrip Domestic Airfare - Lagos to Implementing Regions  – Training, M&amp;E, &amp; Data Collection</t>
  </si>
  <si>
    <t>Local Transportation (Car Rental, Taxis)  – Training, M&amp;E, &amp; Data Collection</t>
  </si>
  <si>
    <t>Lodging and M&amp;IE - Training, M&amp;E, &amp; Data Collection</t>
  </si>
  <si>
    <t>Total Travel</t>
  </si>
  <si>
    <t>Monetization Agent Fee</t>
  </si>
  <si>
    <t>Monetization Impact Assessment</t>
  </si>
  <si>
    <t xml:space="preserve">Single Audit </t>
  </si>
  <si>
    <t>Year</t>
  </si>
  <si>
    <t>Payroll Processing and Local Accounting Books Preparation</t>
  </si>
  <si>
    <t>Legal &amp; Registration Fees</t>
  </si>
  <si>
    <t>IT Services &amp; Management</t>
  </si>
  <si>
    <t>Security Services, Risk Assessments, &amp; Security Assessment</t>
  </si>
  <si>
    <t>Short-Term Administrative Support Consultants</t>
  </si>
  <si>
    <t>Monitoring, Evaluation, and Collection of Reliable Data</t>
  </si>
  <si>
    <t>Evaluations</t>
  </si>
  <si>
    <t>Baseline Evaluation</t>
  </si>
  <si>
    <t>Midterm Evaluation</t>
  </si>
  <si>
    <t>Final Evaluation</t>
  </si>
  <si>
    <t>Monitoring Guidelines Development</t>
  </si>
  <si>
    <t>Monitoring Guidelines Creation &amp; Printing</t>
  </si>
  <si>
    <t>Document</t>
  </si>
  <si>
    <t>Monitoring Guidelines Revision &amp; Printing</t>
  </si>
  <si>
    <t>Monitoring Guidelines Staff Training on Indicators and Data Collection/Analysis</t>
  </si>
  <si>
    <t xml:space="preserve">Workshop </t>
  </si>
  <si>
    <t>M&amp;E Database</t>
  </si>
  <si>
    <t>M&amp;E Database Trainings</t>
  </si>
  <si>
    <t>M&amp;E Database Platform Startup</t>
  </si>
  <si>
    <t>M&amp;E Database Platform Subscription Fee (Annual)</t>
  </si>
  <si>
    <t>Monitoring, Evaluation, and Collection of Reliable Data Subtotal</t>
  </si>
  <si>
    <t>Total Professional Services/Contractual</t>
  </si>
  <si>
    <t>Vehicles for Field Office</t>
  </si>
  <si>
    <t>Total Equipment</t>
  </si>
  <si>
    <t>Office Expenses</t>
  </si>
  <si>
    <t>Home Office Costs</t>
  </si>
  <si>
    <t>Banking and Cash Handling Fees (HO)</t>
  </si>
  <si>
    <t>IT &amp; Communications Stipend for HO Staff</t>
  </si>
  <si>
    <t>Office in Lagos</t>
  </si>
  <si>
    <t>Banking and Cash Handling Fees (Nigeria)</t>
  </si>
  <si>
    <t>Communications Costs (Internet, Phone, Data) (Lagos)</t>
  </si>
  <si>
    <t>Office Rent, Utilities &amp; Cleaning (Lagos) (Coworking Space, rental price includes all costs)</t>
  </si>
  <si>
    <t>Courier fees/Services/Postage</t>
  </si>
  <si>
    <t xml:space="preserve">Recruitment/Procurement Advertising </t>
  </si>
  <si>
    <t>Meeting Expenses - Room Rental and A/V Equipment (for Small Meeting, Rooms Space Rented per Hour)</t>
  </si>
  <si>
    <t>Hours</t>
  </si>
  <si>
    <t>Accounting Platform (Sage Intacct &amp; QuickBooks)</t>
  </si>
  <si>
    <t>Licenses &amp; Subscriptions (Microsoft 365, Replicon, PandaDoc, TripLog, Adobe, DeepL &amp; Visual Compliance)</t>
  </si>
  <si>
    <t>Total Office Expenses</t>
  </si>
  <si>
    <t xml:space="preserve">Desktop/Laptop Computers </t>
  </si>
  <si>
    <t>All in One: Printer, Photocopier &amp; Scanner</t>
  </si>
  <si>
    <t>Projector and Video Conferencing Equipment</t>
  </si>
  <si>
    <t>Shelves and Filing Cabinets, &amp; Safe for Office Storage</t>
  </si>
  <si>
    <t xml:space="preserve">Office Supplies </t>
  </si>
  <si>
    <t>Total Office Supplies</t>
  </si>
  <si>
    <t xml:space="preserve">Training, Workshops, Conference and Registration Fees </t>
  </si>
  <si>
    <t>Equipment and Office Repairs and Maintenance</t>
  </si>
  <si>
    <t>Vehicle Maintenance/Repairs/Spare Parts</t>
  </si>
  <si>
    <t>Property, Business, &amp; Liability Insurance</t>
  </si>
  <si>
    <t>Annual Vehicle Registration</t>
  </si>
  <si>
    <t>Vehicle</t>
  </si>
  <si>
    <t>Vehicle Insurance</t>
  </si>
  <si>
    <t>Total Other</t>
  </si>
  <si>
    <t>Activities/Costs</t>
  </si>
  <si>
    <t>Personnel Costs for Activity 1</t>
  </si>
  <si>
    <t>Total Personnel Costs for Activity 1</t>
  </si>
  <si>
    <t>Fringe Benefit Costs for Activity 1</t>
  </si>
  <si>
    <t>Total Fringe Benefit Costs for Activity 1</t>
  </si>
  <si>
    <t>Professional Services/Contractual for Activity 1</t>
  </si>
  <si>
    <t>Contract for Nation-wide Poultry Consumption Campaign</t>
  </si>
  <si>
    <t>Total Professional Services/Contractual for Activity 1</t>
  </si>
  <si>
    <t>Supplies for Activity 1</t>
  </si>
  <si>
    <t>Total Supplies for Activity 1</t>
  </si>
  <si>
    <t>Travel for Activity 1</t>
  </si>
  <si>
    <t>Vehicle Fuel Expense (for Field Office Vehicle)</t>
  </si>
  <si>
    <t>Local Transportation (Taxis/Ubers)  for Project Implementation</t>
  </si>
  <si>
    <t>Roundtrip Domestic Airfare - Lagos to Implementing Regions for Trainings on Activity 1</t>
  </si>
  <si>
    <t>Local Transportation (Car Rental, Taxis) for Trainings on Activity 1</t>
  </si>
  <si>
    <t>Lodging and M&amp;IE for Trainings on Activity 1</t>
  </si>
  <si>
    <t>Total Travel for Activity 1</t>
  </si>
  <si>
    <t>Other for Activity 1</t>
  </si>
  <si>
    <t>Subrecipient:  U.S. Soybean Export Council (USSEC)</t>
  </si>
  <si>
    <t>Total Other for Activity 1</t>
  </si>
  <si>
    <t>Cost Share for Activity 1</t>
  </si>
  <si>
    <t>Public &amp; Private Sector Support for Nation-wide Poultry Consumption Campaign</t>
  </si>
  <si>
    <t>Total Cost Share for Activity 1</t>
  </si>
  <si>
    <t>Total Activity 1</t>
  </si>
  <si>
    <t>Personnel Costs for Activity 2</t>
  </si>
  <si>
    <t>Total Personnel Costs for Activity 2</t>
  </si>
  <si>
    <t>Fringe Benefit Costs for Activity 2</t>
  </si>
  <si>
    <t>Total Fringe Benefit Costs for Activity 2</t>
  </si>
  <si>
    <t>Professional Services/Contractual for Activity 2</t>
  </si>
  <si>
    <t>Contracts for Trade Finance Capacity Building for American Producers and Cooperators (Nigerian)</t>
  </si>
  <si>
    <t>Lumpsum</t>
  </si>
  <si>
    <t>Expert Consultant on Trade Finance &amp; Exports (US based)</t>
  </si>
  <si>
    <t>Total Professional Services/Contractual for Activity 2</t>
  </si>
  <si>
    <t>Supplies for Activity 2</t>
  </si>
  <si>
    <t>Webinar Platform (Zoom) for Trainings</t>
  </si>
  <si>
    <t>Total Supplies for Activity 2</t>
  </si>
  <si>
    <t>Travel for Activity 2</t>
  </si>
  <si>
    <t>Roundtrip Domestic Airfare - Lagos to Implementing Regions for Trainings on Activity 2</t>
  </si>
  <si>
    <t>Local Transportation (Car Rental, Taxis) for Trainings on Activity 2</t>
  </si>
  <si>
    <t>Lodging and M&amp;IE for Trainings on Activity 2</t>
  </si>
  <si>
    <t>Airfare - Roundtrip - USA to Nigeria - Buyer Conferences for American Farmers, Ranchers and Agricultural Professionals - 50% of Cost</t>
  </si>
  <si>
    <t>Lodging and M&amp;IE - Buyer Conferences for American Farmers, Ranchers and Agricultural Professionals - 50% of Cost</t>
  </si>
  <si>
    <t>Airfare - Roundtrip - USA to Nigeria - Trade Finance &amp; Export Consultant</t>
  </si>
  <si>
    <t>Lodging and M&amp;IE - Trade Finance &amp; Export Consultant</t>
  </si>
  <si>
    <t>Ground Transportation – Trade Finance &amp; Export Consultant</t>
  </si>
  <si>
    <t>Other Travel Related Expenses &amp; Visa – Trade Finance &amp; Export Consultant</t>
  </si>
  <si>
    <t>Visa Cost - Trade Finance &amp; Expert Consultant</t>
  </si>
  <si>
    <t>Total Travel for Activity 2</t>
  </si>
  <si>
    <t>Other for Activity 2</t>
  </si>
  <si>
    <t>Subrecipient: None</t>
  </si>
  <si>
    <t>One-Day Workshops for Nigerian Banks and Importers on FAS Programs</t>
  </si>
  <si>
    <t>One-Day Workshops for Nigerian Banks and Importers on Foreign Currency Risk</t>
  </si>
  <si>
    <t>Three-Day Buyers Conferences</t>
  </si>
  <si>
    <t>Conference</t>
  </si>
  <si>
    <t>One-Day Workshop for Institutions, Ministries and Private Sector - Identify &amp; Prioritize Financing Solutions</t>
  </si>
  <si>
    <t>Ongoing Technical Assistance for Access to Local Trade Finance</t>
  </si>
  <si>
    <t>Co-Investment Agribusiness Grants</t>
  </si>
  <si>
    <t>Small Grants to Producers &amp; Processors</t>
  </si>
  <si>
    <t>Communications Cost to Release RFP on Co-Investment Agribusiness Grants</t>
  </si>
  <si>
    <t>Total Other for Activity 2</t>
  </si>
  <si>
    <t>Cost Share for Activity 2</t>
  </si>
  <si>
    <t>Co-Investment Agribusiness Grants (Matching)</t>
  </si>
  <si>
    <t>Ground Transportation –  Buyer Conferences for Nigerian Producers and Agricultural Professionals</t>
  </si>
  <si>
    <t>Visa Cost for Buyer Conferences for Nigerian Producers and Agricultural Professionals</t>
  </si>
  <si>
    <t>Total Cost Share for Activity 2</t>
  </si>
  <si>
    <t>Total Activity 2</t>
  </si>
  <si>
    <t>Personnel Costs for Activity 3</t>
  </si>
  <si>
    <t>Total Personnel Costs for Activity 3</t>
  </si>
  <si>
    <t>Fringe Benefit Costs for Activity 3</t>
  </si>
  <si>
    <t>Total Fringe Benefit Costs for Activity 3</t>
  </si>
  <si>
    <t>Professional Services/Contractual for Activity 3</t>
  </si>
  <si>
    <t>Total Professional Services/Contractual for Activity 3</t>
  </si>
  <si>
    <t>Supplies for Activity 3</t>
  </si>
  <si>
    <t>Total Supplies for Activity 3</t>
  </si>
  <si>
    <t>Travel for Activity 3</t>
  </si>
  <si>
    <t>Roundtrip Domestic Airfare - Lagos to Implementing Regions for Trainings on Activity 3</t>
  </si>
  <si>
    <t>Local Transportation (Car Rental, Taxis) for Trainings on Activity 3</t>
  </si>
  <si>
    <t>Lodging and M&amp;IE for Trainings on Activity 3</t>
  </si>
  <si>
    <t>Total Travel for Activity 3</t>
  </si>
  <si>
    <t>Other for Activity 3</t>
  </si>
  <si>
    <t>Subrecipient: CABI</t>
  </si>
  <si>
    <t>Total Other Expenses for Activity 3</t>
  </si>
  <si>
    <t>Total Activity 3</t>
  </si>
  <si>
    <t>Internal Transportation Storage and Handling (ITSH)</t>
  </si>
  <si>
    <t>Total Internal Transportation Storage and Handling (ITSH)</t>
  </si>
  <si>
    <t>Total Indirect Costs (NICRA) on Subawards</t>
  </si>
  <si>
    <t>Total Indirect Costs (NICRA) on Total Direct Costs Less Subawards</t>
  </si>
  <si>
    <t>TOTAL COSTS</t>
  </si>
  <si>
    <t>Duration: 5 Years</t>
  </si>
  <si>
    <t>Summary of Indirect Cost Rates Applied</t>
  </si>
  <si>
    <t>Administration Salaries/Personnel</t>
  </si>
  <si>
    <t>CCN Colombia National Staff (LOE)</t>
  </si>
  <si>
    <t xml:space="preserve">Key Personnel: Expat Chief of Party </t>
  </si>
  <si>
    <t xml:space="preserve">Key Personnel: Deputy Chief of Party </t>
  </si>
  <si>
    <t xml:space="preserve">F&amp;A Director </t>
  </si>
  <si>
    <t xml:space="preserve">M&amp;E Specialists </t>
  </si>
  <si>
    <t>Activity Lead RCP Manager</t>
  </si>
  <si>
    <t xml:space="preserve">Activity Lead Agribusiness Specialist </t>
  </si>
  <si>
    <t xml:space="preserve">Compliance Officer </t>
  </si>
  <si>
    <t xml:space="preserve">Administrative Assistant </t>
  </si>
  <si>
    <t>Home Office Support (LOE)</t>
  </si>
  <si>
    <t xml:space="preserve">HQ Senior Program Officer </t>
  </si>
  <si>
    <t>Administration Fringe Benefits</t>
  </si>
  <si>
    <t>Administration Travel</t>
  </si>
  <si>
    <t>Administration Professional Services/Contractual</t>
  </si>
  <si>
    <t>Administration Equipment</t>
  </si>
  <si>
    <t>Administration Office Expenses</t>
  </si>
  <si>
    <t>Administration Office Supplies</t>
  </si>
  <si>
    <t>Administration Other</t>
  </si>
  <si>
    <t>Total Administration Direct Costs</t>
  </si>
  <si>
    <t>Total Indirect Costs (NICRA) on Administration</t>
  </si>
  <si>
    <t>TOTAL ADMINISTRATION INDIRECT COSTS</t>
  </si>
  <si>
    <t xml:space="preserve">Total Activities Direct Costs </t>
  </si>
  <si>
    <t>Total Indirect Costs (NICRA) on Subawards (Activities)</t>
  </si>
  <si>
    <t>Total Indirect Costs (NICRA) on Total Direct Activities Costs Less Subawards</t>
  </si>
  <si>
    <t>TOTAL ACTIVITIES INDIRECT COSTS</t>
  </si>
  <si>
    <t>TOTAL INDIRECT COSTS</t>
  </si>
  <si>
    <t>Level of Effort (LOE) Breakdown by Activity</t>
  </si>
  <si>
    <t>Administration</t>
  </si>
  <si>
    <t>Total LOE</t>
  </si>
  <si>
    <t xml:space="preserve">LOE </t>
  </si>
  <si>
    <t>LOE</t>
  </si>
  <si>
    <t>Personnel (Administration)</t>
  </si>
  <si>
    <t xml:space="preserve">Nigeria National Staff </t>
  </si>
  <si>
    <t xml:space="preserve">Home Office Support </t>
  </si>
  <si>
    <t xml:space="preserve">Kenyan National Staff </t>
  </si>
  <si>
    <t>Months in Year 1</t>
  </si>
  <si>
    <t>Year 1 LOE</t>
  </si>
  <si>
    <t>Total Salary Amount Year 1</t>
  </si>
  <si>
    <t>Months in Year 2</t>
  </si>
  <si>
    <t>Year 2 LOE</t>
  </si>
  <si>
    <t>Total Salary Amount Year 2</t>
  </si>
  <si>
    <t>Months in Year 3</t>
  </si>
  <si>
    <t>Year 3 LOE</t>
  </si>
  <si>
    <t>Total Salary Amount Year 3</t>
  </si>
  <si>
    <t>Months in Year 4</t>
  </si>
  <si>
    <t>Year 4 LOE</t>
  </si>
  <si>
    <t>Total Salary Amount Year 4</t>
  </si>
  <si>
    <t>Months in Year 5</t>
  </si>
  <si>
    <t>Year 5 LOE</t>
  </si>
  <si>
    <t>Total Salary Amount Year 5</t>
  </si>
  <si>
    <t>Total Amount LOP</t>
  </si>
  <si>
    <t>Program/Dept.:</t>
  </si>
  <si>
    <t>Funder Grant:</t>
  </si>
  <si>
    <t>Activity Code</t>
  </si>
  <si>
    <t>Account Code</t>
  </si>
  <si>
    <t>Country Code</t>
  </si>
  <si>
    <t>USDA602</t>
  </si>
  <si>
    <t>30100</t>
  </si>
  <si>
    <t>PERSNL</t>
  </si>
  <si>
    <t>USA</t>
  </si>
  <si>
    <t>FRINGE</t>
  </si>
  <si>
    <t>STFTRAVEL</t>
  </si>
  <si>
    <t>STFTRVCTS</t>
  </si>
  <si>
    <t>86030 Lodging/ 
86050 M&amp;IE</t>
  </si>
  <si>
    <t>INTLTRVL</t>
  </si>
  <si>
    <t>LOCAL TRVL</t>
  </si>
  <si>
    <t>FUEL</t>
  </si>
  <si>
    <t>MONETIZE</t>
  </si>
  <si>
    <t>MONEASSMT</t>
  </si>
  <si>
    <t>AUDIT</t>
  </si>
  <si>
    <t>LEGAL</t>
  </si>
  <si>
    <t>SECURITY</t>
  </si>
  <si>
    <t>CONSULT</t>
  </si>
  <si>
    <t>ITSERVICE</t>
  </si>
  <si>
    <t>81030 (Payroll Services)/ 
82105 (Accounting)</t>
  </si>
  <si>
    <t>PAYROLL</t>
  </si>
  <si>
    <t>BASELINE</t>
  </si>
  <si>
    <t>MIDTERM</t>
  </si>
  <si>
    <t>ENDLINE</t>
  </si>
  <si>
    <t>M&amp;ETRAIN</t>
  </si>
  <si>
    <t>81021 (Translation)/ 85300 (Printing)</t>
  </si>
  <si>
    <t>M&amp;EDATA</t>
  </si>
  <si>
    <t>VEHICLE</t>
  </si>
  <si>
    <t>IDC</t>
  </si>
  <si>
    <t>BANK FEES</t>
  </si>
  <si>
    <t>ITCOMM</t>
  </si>
  <si>
    <t>COMM</t>
  </si>
  <si>
    <t>RENT &amp; UT</t>
  </si>
  <si>
    <t>COURIER</t>
  </si>
  <si>
    <t>ADVERTISIN</t>
  </si>
  <si>
    <t>MEETING</t>
  </si>
  <si>
    <t>SUBSCRIPT</t>
  </si>
  <si>
    <t>ACCOUNT</t>
  </si>
  <si>
    <t>SUPPLIES</t>
  </si>
  <si>
    <t>WORKSHOP</t>
  </si>
  <si>
    <t>EQ.MNT REP</t>
  </si>
  <si>
    <t>INSURANCE</t>
  </si>
  <si>
    <t>NGA</t>
  </si>
  <si>
    <t>NGA/USA</t>
  </si>
  <si>
    <t>BANKFEENG</t>
  </si>
  <si>
    <t>USA/ NGA</t>
  </si>
  <si>
    <t>PERSNL-1</t>
  </si>
  <si>
    <t>PERSNL-2</t>
  </si>
  <si>
    <t>PERSNL-3</t>
  </si>
  <si>
    <t>FRINGE-1</t>
  </si>
  <si>
    <t>FRINGE-2</t>
  </si>
  <si>
    <t>FRINGE-3</t>
  </si>
  <si>
    <t>SECURITY-3</t>
  </si>
  <si>
    <t>SECURITY-2</t>
  </si>
  <si>
    <t>SECURITY-1</t>
  </si>
  <si>
    <t>POULTRYCAM</t>
  </si>
  <si>
    <t>FUEL-1</t>
  </si>
  <si>
    <t>FUEL-2</t>
  </si>
  <si>
    <t>FUEL-3</t>
  </si>
  <si>
    <t>LOCALTRV-1</t>
  </si>
  <si>
    <t>86030 Lodging/
86050 M&amp;IE</t>
  </si>
  <si>
    <t>LOCALTRV-2</t>
  </si>
  <si>
    <t>LOCALTRV-3</t>
  </si>
  <si>
    <t>SUBCABI</t>
  </si>
  <si>
    <t>SUBUSSEC</t>
  </si>
  <si>
    <t>COSTSHAR-1</t>
  </si>
  <si>
    <t>COSTSHAR-2</t>
  </si>
  <si>
    <t>LOCTRVPI-3</t>
  </si>
  <si>
    <t>LOCTRVPI-2</t>
  </si>
  <si>
    <t>LOCTRVPI-1</t>
  </si>
  <si>
    <t>WEBINAR</t>
  </si>
  <si>
    <t>81000 (Consulting)/ 81010 (Professional Fees)</t>
  </si>
  <si>
    <t>TRADECONTR</t>
  </si>
  <si>
    <t>CONSULTFIN</t>
  </si>
  <si>
    <t>TRVLTRADE</t>
  </si>
  <si>
    <t>TRVLBUYCON</t>
  </si>
  <si>
    <t>COMMCOST-2</t>
  </si>
  <si>
    <t>AGBUSGRANT</t>
  </si>
  <si>
    <t>PRODGRANT</t>
  </si>
  <si>
    <t>BUYERCONF</t>
  </si>
  <si>
    <t>FINWORKSHP</t>
  </si>
  <si>
    <t>FASWORKSHP</t>
  </si>
  <si>
    <t>CURWORKSHP</t>
  </si>
  <si>
    <t>87000 (Workshop/Training)/ 87010 (Meeting)</t>
  </si>
  <si>
    <t>TECHASSIST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</si>
</sst>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8">
    <numFmt numFmtId="5" formatCode="&quot;$&quot;#,##0_);\(&quot;$&quot;#,##0\)"/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-* #,##0.00\ &quot;Bs&quot;_-;\-* #,##0.00\ &quot;Bs&quot;_-;_-* &quot;-&quot;??\ &quot;Bs&quot;_-;_-@_-"/>
    <numFmt numFmtId="166" formatCode="_-* #,##0.00\ _B_s_-;\-* #,##0.00\ _B_s_-;_-* &quot;-&quot;??\ _B_s_-;_-@_-"/>
    <numFmt numFmtId="167" formatCode="_-* #,##0\ _B_s_-;\-* #,##0\ _B_s_-;_-* &quot;-&quot;??\ _B_s_-;_-@_-"/>
    <numFmt numFmtId="168" formatCode="&quot;On&quot;;&quot;On&quot;;&quot;Off&quot;"/>
    <numFmt numFmtId="169" formatCode="&quot;$&quot;#,##0.00"/>
    <numFmt numFmtId="170" formatCode="0.0%"/>
    <numFmt numFmtId="171" formatCode="_([$$-409]* #,##0.00_);_([$$-409]* \(#,##0.00\);_([$$-409]* &quot;-&quot;??_);_(@_)"/>
    <numFmt numFmtId="172" formatCode="_(&quot;$&quot;* #,##0_);_(&quot;$&quot;* \(#,##0\);_(&quot;$&quot;* &quot;-&quot;??_);_(@_)"/>
    <numFmt numFmtId="173" formatCode="_([$$-409]* #,##0_);_([$$-409]* \(#,##0\);_([$$-409]* &quot;-&quot;??_);_(@_)"/>
    <numFmt numFmtId="174" formatCode="&quot;$&quot;#,##0"/>
    <numFmt numFmtId="175" formatCode="\$#,##0.00;\$#,##0.00"/>
    <numFmt numFmtId="176" formatCode="\$###0.00;\$###0.00"/>
    <numFmt numFmtId="177" formatCode="0_)"/>
    <numFmt numFmtId="178" formatCode="_([$€-2]* #,##0.00_);_([$€-2]* \(#,##0.00\);_([$€-2]* &quot;-&quot;??_)"/>
    <numFmt numFmtId="179" formatCode="00\-0000\-00\-0000\-000"/>
    <numFmt numFmtId="180" formatCode="#,##0."/>
    <numFmt numFmtId="181" formatCode="#,###,##0.00;\(#,###,##0.00\)"/>
    <numFmt numFmtId="182" formatCode="&quot;$&quot;#,###,##0.00;\(&quot;$&quot;#,###,##0.00\)"/>
    <numFmt numFmtId="183" formatCode="#,##0.00%;\(#,##0.00%\)"/>
    <numFmt numFmtId="184" formatCode="mm/dd/yy"/>
    <numFmt numFmtId="185" formatCode="#,##0;#,##0;;"/>
    <numFmt numFmtId="186" formatCode="0.00_)"/>
    <numFmt numFmtId="187" formatCode="General_)"/>
    <numFmt numFmtId="188" formatCode="#,##0.000_);[Red]\(#,##0.000\)"/>
    <numFmt numFmtId="189" formatCode="&quot;FY94P&quot;#"/>
    <numFmt numFmtId="190" formatCode="00\-0000\-00\-0000"/>
    <numFmt numFmtId="191" formatCode="_(* #,##0,_);_(* \(#,##0,\);_(@_)"/>
    <numFmt numFmtId="192" formatCode="_(* #,##0.00_);[Red]_(* \(#,##0.00\);_(* &quot;-&quot;??_);_(@_)"/>
    <numFmt numFmtId="193" formatCode="#,##0.0"/>
    <numFmt numFmtId="194" formatCode="_-* #,##0.0\ _B_s_-;\-* #,##0.0\ _B_s_-;_-* &quot;-&quot;??\ _B_s_-;_-@_-"/>
    <numFmt numFmtId="195" formatCode="#,##0.000000"/>
    <numFmt numFmtId="196" formatCode="&quot;$&quot;#,##0.000"/>
    <numFmt numFmtId="197" formatCode="#,##0.00000000"/>
  </numFmts>
  <fonts count="142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17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2"/>
      <color indexed="8"/>
      <name val="Times New Roman"/>
      <family val="1"/>
    </font>
    <font>
      <sz val="12"/>
      <name val="Arial"/>
      <family val="2"/>
    </font>
    <font>
      <sz val="9"/>
      <name val="Arial"/>
      <family val="2"/>
    </font>
    <font>
      <sz val="12"/>
      <color indexed="8"/>
      <name val="Arial"/>
      <family val="2"/>
    </font>
    <font>
      <b/>
      <sz val="12"/>
      <name val="Arial"/>
      <family val="2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4"/>
      <color indexed="8"/>
      <name val="Arial"/>
      <family val="2"/>
    </font>
    <font>
      <sz val="11"/>
      <name val="Arial"/>
      <family val="2"/>
    </font>
    <font>
      <sz val="10"/>
      <name val="Arial"/>
      <family val="2"/>
      <charset val="204"/>
    </font>
    <font>
      <sz val="12"/>
      <name val="Times New Roman"/>
      <family val="1"/>
    </font>
    <font>
      <sz val="11"/>
      <name val="Arial"/>
      <family val="2"/>
      <charset val="204"/>
    </font>
    <font>
      <sz val="10"/>
      <name val="Helv"/>
    </font>
    <font>
      <sz val="1"/>
      <color indexed="8"/>
      <name val="Courier"/>
      <family val="3"/>
    </font>
    <font>
      <i/>
      <sz val="9"/>
      <name val="Helv"/>
    </font>
    <font>
      <sz val="10"/>
      <name val="MS Sans Serif"/>
      <family val="2"/>
    </font>
    <font>
      <sz val="12"/>
      <color indexed="24"/>
      <name val="Arial"/>
      <family val="2"/>
    </font>
    <font>
      <sz val="10"/>
      <color indexed="0"/>
      <name val="Arial"/>
      <family val="2"/>
    </font>
    <font>
      <sz val="9"/>
      <name val="Tms Rmn"/>
    </font>
    <font>
      <sz val="12"/>
      <name val="Tms Rmn"/>
    </font>
    <font>
      <u/>
      <sz val="6"/>
      <color indexed="12"/>
      <name val="Helv"/>
    </font>
    <font>
      <u/>
      <sz val="7"/>
      <color indexed="12"/>
      <name val="Helv"/>
    </font>
    <font>
      <sz val="10"/>
      <name val="Times New Roman"/>
      <family val="1"/>
    </font>
    <font>
      <sz val="12"/>
      <name val="Helv"/>
    </font>
    <font>
      <sz val="9"/>
      <name val="Helv"/>
    </font>
    <font>
      <b/>
      <i/>
      <sz val="16"/>
      <name val="Helv"/>
    </font>
    <font>
      <b/>
      <sz val="10"/>
      <name val="MS Sans Serif"/>
      <family val="2"/>
    </font>
    <font>
      <sz val="10"/>
      <name val="Arial MT"/>
    </font>
    <font>
      <b/>
      <i/>
      <sz val="10"/>
      <color indexed="8"/>
      <name val="Times New Roman"/>
      <family val="1"/>
    </font>
    <font>
      <sz val="10"/>
      <color indexed="12"/>
      <name val="Times New Roman"/>
      <family val="1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2"/>
      <name val="Calibri"/>
      <family val="2"/>
    </font>
    <font>
      <sz val="8"/>
      <name val="Times New Roman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Helv"/>
    </font>
    <font>
      <u/>
      <sz val="11"/>
      <color theme="10"/>
      <name val="Calibri"/>
      <family val="2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0"/>
      <name val="Times New Roman"/>
      <family val="1"/>
    </font>
    <font>
      <b/>
      <sz val="10"/>
      <color theme="0"/>
      <name val="Times New Roman"/>
      <family val="1"/>
    </font>
    <font>
      <b/>
      <sz val="10"/>
      <color theme="1"/>
      <name val="Times New Roman"/>
      <family val="1"/>
    </font>
    <font>
      <i/>
      <u/>
      <sz val="10"/>
      <name val="Times New Roman"/>
      <family val="1"/>
    </font>
    <font>
      <sz val="10"/>
      <color rgb="FFFF0000"/>
      <name val="Times New Roman"/>
      <family val="1"/>
    </font>
    <font>
      <i/>
      <sz val="10"/>
      <name val="Times New Roman"/>
      <family val="1"/>
    </font>
    <font>
      <u/>
      <sz val="10"/>
      <name val="Times New Roman"/>
      <family val="1"/>
    </font>
    <font>
      <b/>
      <i/>
      <sz val="11"/>
      <name val="Times New Roman"/>
      <family val="1"/>
    </font>
    <font>
      <b/>
      <i/>
      <u/>
      <sz val="10"/>
      <name val="Times New Roman"/>
      <family val="1"/>
    </font>
    <font>
      <sz val="10"/>
      <color indexed="10"/>
      <name val="Times New Roman"/>
      <family val="1"/>
    </font>
    <font>
      <sz val="11"/>
      <name val="Calibri"/>
      <family val="2"/>
      <scheme val="minor"/>
    </font>
    <font>
      <b/>
      <sz val="16"/>
      <color indexed="8"/>
      <name val="Calibri"/>
      <family val="2"/>
      <scheme val="minor"/>
    </font>
    <font>
      <b/>
      <sz val="16"/>
      <name val="Calibri"/>
      <family val="2"/>
      <scheme val="minor"/>
    </font>
    <font>
      <sz val="11"/>
      <color theme="9" tint="0.3999755851924192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2"/>
      <color theme="4"/>
      <name val="Calibri"/>
      <family val="2"/>
      <scheme val="minor"/>
    </font>
    <font>
      <i/>
      <sz val="11"/>
      <color rgb="FF000000"/>
      <name val="Times New Roman"/>
      <family val="1"/>
    </font>
    <font>
      <b/>
      <sz val="11"/>
      <color theme="9" tint="-0.499984740745262"/>
      <name val="Calibri"/>
      <family val="2"/>
      <scheme val="minor"/>
    </font>
    <font>
      <sz val="11"/>
      <color rgb="FF00B0F0"/>
      <name val="Calibri"/>
      <family val="2"/>
      <scheme val="minor"/>
    </font>
    <font>
      <sz val="1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indexed="8"/>
      <name val="Times New Roman"/>
      <family val="1"/>
    </font>
    <font>
      <sz val="14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i/>
      <sz val="11"/>
      <name val="Calibri"/>
      <family val="2"/>
      <scheme val="minor"/>
    </font>
    <font>
      <i/>
      <sz val="16"/>
      <color indexed="8"/>
      <name val="Calibri"/>
      <family val="2"/>
      <scheme val="minor"/>
    </font>
    <font>
      <i/>
      <sz val="14"/>
      <name val="Calibri"/>
      <family val="2"/>
      <scheme val="minor"/>
    </font>
    <font>
      <i/>
      <sz val="12"/>
      <color theme="4"/>
      <name val="Calibri"/>
      <family val="2"/>
      <scheme val="minor"/>
    </font>
    <font>
      <i/>
      <sz val="12"/>
      <name val="Calibri"/>
      <family val="2"/>
      <scheme val="minor"/>
    </font>
    <font>
      <i/>
      <sz val="16"/>
      <name val="Calibri"/>
      <family val="2"/>
      <scheme val="minor"/>
    </font>
    <font>
      <i/>
      <u/>
      <sz val="10"/>
      <color rgb="FF000000"/>
      <name val="Times New Roman"/>
      <family val="1"/>
    </font>
    <font>
      <sz val="12"/>
      <color theme="1"/>
      <name val="Calibri"/>
      <family val="2"/>
      <scheme val="minor"/>
    </font>
    <font>
      <sz val="11"/>
      <color theme="1"/>
      <name val="Calibri"/>
      <scheme val="minor"/>
    </font>
    <font>
      <sz val="10"/>
      <color rgb="FF000000"/>
      <name val="Times New Roman"/>
      <family val="1"/>
    </font>
    <font>
      <strike/>
      <sz val="10"/>
      <name val="Times New Roman"/>
      <family val="1"/>
    </font>
    <font>
      <b/>
      <i/>
      <sz val="12"/>
      <color theme="1"/>
      <name val="time"/>
    </font>
    <font>
      <sz val="12"/>
      <color theme="1"/>
      <name val="time"/>
    </font>
    <font>
      <b/>
      <sz val="12"/>
      <color theme="1"/>
      <name val="time"/>
    </font>
    <font>
      <i/>
      <sz val="12"/>
      <color theme="1"/>
      <name val="Times New Roman"/>
      <family val="1"/>
    </font>
    <font>
      <b/>
      <i/>
      <sz val="12"/>
      <name val="Times New Roman"/>
      <family val="1"/>
    </font>
    <font>
      <b/>
      <sz val="12"/>
      <color rgb="FFFF0000"/>
      <name val="Times New Roman"/>
      <family val="1"/>
    </font>
    <font>
      <sz val="11"/>
      <color rgb="FF000000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</fonts>
  <fills count="75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1"/>
        <bgColor indexed="64"/>
      </patternFill>
    </fill>
    <fill>
      <patternFill patternType="mediumGray">
        <fgColor indexed="2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lightUp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3367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8" tint="0.39997558519241921"/>
        <bgColor indexed="64"/>
      </patternFill>
    </fill>
  </fills>
  <borders count="1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424242"/>
      </bottom>
      <diagonal/>
    </border>
    <border>
      <left style="thin">
        <color rgb="FF424242"/>
      </left>
      <right style="thin">
        <color rgb="FF424242"/>
      </right>
      <top style="thin">
        <color rgb="FF424242"/>
      </top>
      <bottom style="thin">
        <color rgb="FF424242"/>
      </bottom>
      <diagonal/>
    </border>
    <border>
      <left style="thin">
        <color rgb="FFA09D94"/>
      </left>
      <right/>
      <top style="thin">
        <color rgb="FF424242"/>
      </top>
      <bottom style="thin">
        <color rgb="FF424242"/>
      </bottom>
      <diagonal/>
    </border>
    <border>
      <left style="thin">
        <color rgb="FF424242"/>
      </left>
      <right/>
      <top style="thin">
        <color rgb="FF424242"/>
      </top>
      <bottom style="thin">
        <color rgb="FF424242"/>
      </bottom>
      <diagonal/>
    </border>
    <border>
      <left/>
      <right/>
      <top style="thin">
        <color rgb="FF424242"/>
      </top>
      <bottom/>
      <diagonal/>
    </border>
    <border>
      <left style="thin">
        <color rgb="FF424242"/>
      </left>
      <right/>
      <top/>
      <bottom style="thin">
        <color rgb="FF424242"/>
      </bottom>
      <diagonal/>
    </border>
    <border>
      <left style="thin">
        <color rgb="FFA09D94"/>
      </left>
      <right/>
      <top/>
      <bottom style="thin">
        <color rgb="FF424242"/>
      </bottom>
      <diagonal/>
    </border>
    <border>
      <left style="thin">
        <color rgb="FF424242"/>
      </left>
      <right style="thin">
        <color indexed="64"/>
      </right>
      <top style="thin">
        <color rgb="FF424242"/>
      </top>
      <bottom style="thin">
        <color rgb="FF424242"/>
      </bottom>
      <diagonal/>
    </border>
    <border>
      <left style="thin">
        <color rgb="FF424242"/>
      </left>
      <right style="thin">
        <color rgb="FF424242"/>
      </right>
      <top/>
      <bottom style="thin">
        <color rgb="FF424242"/>
      </bottom>
      <diagonal/>
    </border>
    <border>
      <left style="thin">
        <color indexed="64"/>
      </left>
      <right style="thin">
        <color rgb="FFAFAFAF"/>
      </right>
      <top style="thin">
        <color rgb="FFA09D94"/>
      </top>
      <bottom style="thin">
        <color indexed="64"/>
      </bottom>
      <diagonal/>
    </border>
    <border>
      <left style="thin">
        <color rgb="FF424242"/>
      </left>
      <right style="thin">
        <color rgb="FF424242"/>
      </right>
      <top style="thin">
        <color rgb="FF424242"/>
      </top>
      <bottom style="thin">
        <color rgb="FFAFAFAF"/>
      </bottom>
      <diagonal/>
    </border>
    <border>
      <left/>
      <right/>
      <top/>
      <bottom style="thin">
        <color rgb="FF424242"/>
      </bottom>
      <diagonal/>
    </border>
    <border>
      <left/>
      <right/>
      <top style="thin">
        <color rgb="FF424242"/>
      </top>
      <bottom style="thin">
        <color rgb="FF424242"/>
      </bottom>
      <diagonal/>
    </border>
    <border>
      <left/>
      <right/>
      <top style="thin">
        <color rgb="FFAFAFAF"/>
      </top>
      <bottom style="thin">
        <color rgb="FF424242"/>
      </bottom>
      <diagonal/>
    </border>
    <border>
      <left style="thin">
        <color rgb="FF424242"/>
      </left>
      <right/>
      <top style="thin">
        <color rgb="FF424242"/>
      </top>
      <bottom/>
      <diagonal/>
    </border>
    <border>
      <left/>
      <right/>
      <top style="thin">
        <color rgb="FF424242"/>
      </top>
      <bottom style="thin">
        <color rgb="FFAFAFAF"/>
      </bottom>
      <diagonal/>
    </border>
    <border>
      <left/>
      <right style="thin">
        <color rgb="FFAFAFAF"/>
      </right>
      <top style="thin">
        <color rgb="FFAFAFAF"/>
      </top>
      <bottom style="thin">
        <color rgb="FFAFAFAF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FAFAF"/>
      </right>
      <top style="thin">
        <color rgb="FF424242"/>
      </top>
      <bottom/>
      <diagonal/>
    </border>
    <border>
      <left/>
      <right style="thin">
        <color rgb="FF424242"/>
      </right>
      <top style="thin">
        <color rgb="FF424242"/>
      </top>
      <bottom/>
      <diagonal/>
    </border>
    <border>
      <left style="thin">
        <color rgb="FFA09D94"/>
      </left>
      <right/>
      <top style="thin">
        <color rgb="FFA09D94"/>
      </top>
      <bottom style="thin">
        <color rgb="FFA09D94"/>
      </bottom>
      <diagonal/>
    </border>
    <border>
      <left/>
      <right/>
      <top style="thin">
        <color rgb="FFA09D94"/>
      </top>
      <bottom style="thin">
        <color rgb="FFA09D94"/>
      </bottom>
      <diagonal/>
    </border>
    <border>
      <left/>
      <right style="thin">
        <color rgb="FFA09D94"/>
      </right>
      <top style="thin">
        <color rgb="FFA09D94"/>
      </top>
      <bottom style="thin">
        <color rgb="FFA09D94"/>
      </bottom>
      <diagonal/>
    </border>
    <border>
      <left style="thin">
        <color rgb="FFAFAFAF"/>
      </left>
      <right/>
      <top style="thin">
        <color rgb="FFAFAFAF"/>
      </top>
      <bottom style="thin">
        <color rgb="FFAFAFAF"/>
      </bottom>
      <diagonal/>
    </border>
    <border>
      <left/>
      <right/>
      <top style="thin">
        <color rgb="FFAFAFAF"/>
      </top>
      <bottom style="thin">
        <color rgb="FFAFAFA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auto="1"/>
      </left>
      <right style="thin">
        <color auto="1"/>
      </right>
      <top style="medium">
        <color rgb="FF000000"/>
      </top>
      <bottom/>
      <diagonal/>
    </border>
    <border>
      <left style="thin">
        <color indexed="64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424242"/>
      </right>
      <top/>
      <bottom/>
      <diagonal/>
    </border>
    <border>
      <left style="medium">
        <color indexed="64"/>
      </left>
      <right style="thin">
        <color rgb="FF424242"/>
      </right>
      <top/>
      <bottom style="thin">
        <color rgb="FFAFAFAF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42">
    <xf numFmtId="0" fontId="0" fillId="0" borderId="0"/>
    <xf numFmtId="178" fontId="71" fillId="30" borderId="0" applyNumberFormat="0" applyBorder="0" applyAlignment="0" applyProtection="0"/>
    <xf numFmtId="178" fontId="71" fillId="31" borderId="0" applyNumberFormat="0" applyBorder="0" applyAlignment="0" applyProtection="0"/>
    <xf numFmtId="178" fontId="71" fillId="32" borderId="0" applyNumberFormat="0" applyBorder="0" applyAlignment="0" applyProtection="0"/>
    <xf numFmtId="178" fontId="18" fillId="4" borderId="0" applyNumberFormat="0" applyBorder="0" applyAlignment="0" applyProtection="0"/>
    <xf numFmtId="178" fontId="71" fillId="33" borderId="0" applyNumberFormat="0" applyBorder="0" applyAlignment="0" applyProtection="0"/>
    <xf numFmtId="178" fontId="71" fillId="34" borderId="0" applyNumberFormat="0" applyBorder="0" applyAlignment="0" applyProtection="0"/>
    <xf numFmtId="178" fontId="71" fillId="35" borderId="0" applyNumberFormat="0" applyBorder="0" applyAlignment="0" applyProtection="0"/>
    <xf numFmtId="178" fontId="29" fillId="6" borderId="0" applyNumberFormat="0" applyBorder="0" applyAlignment="0" applyProtection="0">
      <alignment vertical="center"/>
    </xf>
    <xf numFmtId="178" fontId="29" fillId="7" borderId="0" applyNumberFormat="0" applyBorder="0" applyAlignment="0" applyProtection="0">
      <alignment vertical="center"/>
    </xf>
    <xf numFmtId="178" fontId="29" fillId="8" borderId="0" applyNumberFormat="0" applyBorder="0" applyAlignment="0" applyProtection="0">
      <alignment vertical="center"/>
    </xf>
    <xf numFmtId="178" fontId="29" fillId="4" borderId="0" applyNumberFormat="0" applyBorder="0" applyAlignment="0" applyProtection="0">
      <alignment vertical="center"/>
    </xf>
    <xf numFmtId="178" fontId="29" fillId="5" borderId="0" applyNumberFormat="0" applyBorder="0" applyAlignment="0" applyProtection="0">
      <alignment vertical="center"/>
    </xf>
    <xf numFmtId="178" fontId="29" fillId="2" borderId="0" applyNumberFormat="0" applyBorder="0" applyAlignment="0" applyProtection="0">
      <alignment vertical="center"/>
    </xf>
    <xf numFmtId="178" fontId="71" fillId="36" borderId="0" applyNumberFormat="0" applyBorder="0" applyAlignment="0" applyProtection="0"/>
    <xf numFmtId="178" fontId="71" fillId="37" borderId="0" applyNumberFormat="0" applyBorder="0" applyAlignment="0" applyProtection="0"/>
    <xf numFmtId="178" fontId="71" fillId="38" borderId="0" applyNumberFormat="0" applyBorder="0" applyAlignment="0" applyProtection="0"/>
    <xf numFmtId="178" fontId="71" fillId="39" borderId="0" applyNumberFormat="0" applyBorder="0" applyAlignment="0" applyProtection="0"/>
    <xf numFmtId="178" fontId="71" fillId="40" borderId="0" applyNumberFormat="0" applyBorder="0" applyAlignment="0" applyProtection="0"/>
    <xf numFmtId="178" fontId="71" fillId="41" borderId="0" applyNumberFormat="0" applyBorder="0" applyAlignment="0" applyProtection="0"/>
    <xf numFmtId="178" fontId="29" fillId="12" borderId="0" applyNumberFormat="0" applyBorder="0" applyAlignment="0" applyProtection="0">
      <alignment vertical="center"/>
    </xf>
    <xf numFmtId="178" fontId="29" fillId="10" borderId="0" applyNumberFormat="0" applyBorder="0" applyAlignment="0" applyProtection="0">
      <alignment vertical="center"/>
    </xf>
    <xf numFmtId="178" fontId="29" fillId="13" borderId="0" applyNumberFormat="0" applyBorder="0" applyAlignment="0" applyProtection="0">
      <alignment vertical="center"/>
    </xf>
    <xf numFmtId="178" fontId="29" fillId="4" borderId="0" applyNumberFormat="0" applyBorder="0" applyAlignment="0" applyProtection="0">
      <alignment vertical="center"/>
    </xf>
    <xf numFmtId="178" fontId="29" fillId="12" borderId="0" applyNumberFormat="0" applyBorder="0" applyAlignment="0" applyProtection="0">
      <alignment vertical="center"/>
    </xf>
    <xf numFmtId="178" fontId="29" fillId="14" borderId="0" applyNumberFormat="0" applyBorder="0" applyAlignment="0" applyProtection="0">
      <alignment vertical="center"/>
    </xf>
    <xf numFmtId="178" fontId="72" fillId="42" borderId="0" applyNumberFormat="0" applyBorder="0" applyAlignment="0" applyProtection="0"/>
    <xf numFmtId="178" fontId="72" fillId="43" borderId="0" applyNumberFormat="0" applyBorder="0" applyAlignment="0" applyProtection="0"/>
    <xf numFmtId="178" fontId="72" fillId="44" borderId="0" applyNumberFormat="0" applyBorder="0" applyAlignment="0" applyProtection="0"/>
    <xf numFmtId="178" fontId="72" fillId="45" borderId="0" applyNumberFormat="0" applyBorder="0" applyAlignment="0" applyProtection="0"/>
    <xf numFmtId="178" fontId="72" fillId="46" borderId="0" applyNumberFormat="0" applyBorder="0" applyAlignment="0" applyProtection="0"/>
    <xf numFmtId="178" fontId="72" fillId="47" borderId="0" applyNumberFormat="0" applyBorder="0" applyAlignment="0" applyProtection="0"/>
    <xf numFmtId="178" fontId="30" fillId="16" borderId="0" applyNumberFormat="0" applyBorder="0" applyAlignment="0" applyProtection="0">
      <alignment vertical="center"/>
    </xf>
    <xf numFmtId="178" fontId="30" fillId="10" borderId="0" applyNumberFormat="0" applyBorder="0" applyAlignment="0" applyProtection="0">
      <alignment vertical="center"/>
    </xf>
    <xf numFmtId="178" fontId="30" fillId="13" borderId="0" applyNumberFormat="0" applyBorder="0" applyAlignment="0" applyProtection="0">
      <alignment vertical="center"/>
    </xf>
    <xf numFmtId="178" fontId="30" fillId="17" borderId="0" applyNumberFormat="0" applyBorder="0" applyAlignment="0" applyProtection="0">
      <alignment vertical="center"/>
    </xf>
    <xf numFmtId="178" fontId="30" fillId="15" borderId="0" applyNumberFormat="0" applyBorder="0" applyAlignment="0" applyProtection="0">
      <alignment vertical="center"/>
    </xf>
    <xf numFmtId="178" fontId="30" fillId="18" borderId="0" applyNumberFormat="0" applyBorder="0" applyAlignment="0" applyProtection="0">
      <alignment vertical="center"/>
    </xf>
    <xf numFmtId="178" fontId="72" fillId="48" borderId="0" applyNumberFormat="0" applyBorder="0" applyAlignment="0" applyProtection="0"/>
    <xf numFmtId="178" fontId="19" fillId="19" borderId="0" applyNumberFormat="0" applyBorder="0" applyAlignment="0" applyProtection="0"/>
    <xf numFmtId="178" fontId="72" fillId="49" borderId="0" applyNumberFormat="0" applyBorder="0" applyAlignment="0" applyProtection="0"/>
    <xf numFmtId="178" fontId="72" fillId="50" borderId="0" applyNumberFormat="0" applyBorder="0" applyAlignment="0" applyProtection="0"/>
    <xf numFmtId="178" fontId="72" fillId="51" borderId="0" applyNumberFormat="0" applyBorder="0" applyAlignment="0" applyProtection="0"/>
    <xf numFmtId="178" fontId="72" fillId="52" borderId="0" applyNumberFormat="0" applyBorder="0" applyAlignment="0" applyProtection="0"/>
    <xf numFmtId="178" fontId="72" fillId="53" borderId="0" applyNumberFormat="0" applyBorder="0" applyAlignment="0" applyProtection="0"/>
    <xf numFmtId="3" fontId="27" fillId="0" borderId="0" applyNumberFormat="0" applyFill="0" applyBorder="0" applyAlignment="0" applyProtection="0"/>
    <xf numFmtId="3" fontId="31" fillId="0" borderId="0" applyNumberFormat="0" applyFill="0" applyBorder="0" applyAlignment="0" applyProtection="0"/>
    <xf numFmtId="179" fontId="10" fillId="0" borderId="0" applyFont="0" applyFill="0" applyBorder="0" applyAlignment="0" applyProtection="0"/>
    <xf numFmtId="178" fontId="73" fillId="54" borderId="0" applyNumberFormat="0" applyBorder="0" applyAlignment="0" applyProtection="0"/>
    <xf numFmtId="178" fontId="74" fillId="55" borderId="27" applyNumberFormat="0" applyAlignment="0" applyProtection="0"/>
    <xf numFmtId="178" fontId="20" fillId="21" borderId="2" applyNumberFormat="0" applyAlignment="0" applyProtection="0"/>
    <xf numFmtId="178" fontId="75" fillId="56" borderId="28" applyNumberFormat="0" applyAlignment="0" applyProtection="0"/>
    <xf numFmtId="166" fontId="9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4" fontId="34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1" fillId="0" borderId="0" applyFont="0" applyFill="0" applyBorder="0" applyAlignment="0" applyProtection="0"/>
    <xf numFmtId="3" fontId="11" fillId="0" borderId="0" applyFont="0" applyFill="0" applyBorder="0" applyAlignment="0" applyProtection="0"/>
    <xf numFmtId="178" fontId="36" fillId="0" borderId="0"/>
    <xf numFmtId="178" fontId="36" fillId="0" borderId="0"/>
    <xf numFmtId="3" fontId="11" fillId="0" borderId="0" applyFont="0" applyFill="0" applyBorder="0" applyAlignment="0" applyProtection="0"/>
    <xf numFmtId="3" fontId="11" fillId="0" borderId="0" applyFont="0" applyFill="0" applyBorder="0" applyAlignment="0" applyProtection="0"/>
    <xf numFmtId="3" fontId="11" fillId="0" borderId="0" applyFont="0" applyFill="0" applyBorder="0" applyAlignment="0" applyProtection="0"/>
    <xf numFmtId="180" fontId="37" fillId="0" borderId="0">
      <protection locked="0"/>
    </xf>
    <xf numFmtId="178" fontId="36" fillId="0" borderId="0"/>
    <xf numFmtId="178" fontId="36" fillId="0" borderId="0"/>
    <xf numFmtId="178" fontId="36" fillId="0" borderId="0"/>
    <xf numFmtId="178" fontId="36" fillId="0" borderId="0"/>
    <xf numFmtId="178" fontId="36" fillId="0" borderId="0"/>
    <xf numFmtId="178" fontId="36" fillId="0" borderId="0"/>
    <xf numFmtId="165" fontId="9" fillId="0" borderId="0" applyFont="0" applyFill="0" applyBorder="0" applyAlignment="0" applyProtection="0"/>
    <xf numFmtId="44" fontId="71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71" fillId="0" borderId="0" applyFont="0" applyFill="0" applyBorder="0" applyAlignment="0" applyProtection="0"/>
    <xf numFmtId="44" fontId="33" fillId="0" borderId="0" applyFont="0" applyFill="0" applyBorder="0" applyAlignment="0" applyProtection="0"/>
    <xf numFmtId="44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71" fillId="0" borderId="0" applyFont="0" applyFill="0" applyBorder="0" applyAlignment="0" applyProtection="0"/>
    <xf numFmtId="44" fontId="33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69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5" fontId="11" fillId="0" borderId="0" applyFont="0" applyFill="0" applyBorder="0" applyAlignment="0" applyProtection="0"/>
    <xf numFmtId="14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22" fontId="11" fillId="0" borderId="0" applyFont="0" applyFill="0" applyBorder="0" applyAlignment="0" applyProtection="0"/>
    <xf numFmtId="178" fontId="38" fillId="0" borderId="0">
      <alignment horizontal="left" vertical="top" wrapText="1"/>
    </xf>
    <xf numFmtId="7" fontId="3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76" fillId="0" borderId="0" applyNumberFormat="0" applyFill="0" applyBorder="0" applyAlignment="0" applyProtection="0"/>
    <xf numFmtId="178" fontId="40" fillId="0" borderId="0" applyProtection="0"/>
    <xf numFmtId="178" fontId="40" fillId="0" borderId="0" applyProtection="0"/>
    <xf numFmtId="178" fontId="40" fillId="0" borderId="0" applyProtection="0"/>
    <xf numFmtId="178" fontId="40" fillId="0" borderId="0" applyProtection="0"/>
    <xf numFmtId="178" fontId="40" fillId="0" borderId="0" applyProtection="0"/>
    <xf numFmtId="178" fontId="40" fillId="0" borderId="0" applyProtection="0"/>
    <xf numFmtId="178" fontId="40" fillId="0" borderId="0" applyProtection="0"/>
    <xf numFmtId="2" fontId="11" fillId="0" borderId="0" applyFont="0" applyFill="0" applyBorder="0" applyAlignment="0" applyProtection="0"/>
    <xf numFmtId="2" fontId="11" fillId="0" borderId="0" applyFont="0" applyFill="0" applyBorder="0" applyAlignment="0" applyProtection="0"/>
    <xf numFmtId="181" fontId="41" fillId="0" borderId="0"/>
    <xf numFmtId="182" fontId="41" fillId="0" borderId="0"/>
    <xf numFmtId="183" fontId="41" fillId="0" borderId="0"/>
    <xf numFmtId="178" fontId="21" fillId="8" borderId="0" applyNumberFormat="0" applyBorder="0" applyAlignment="0" applyProtection="0"/>
    <xf numFmtId="0" fontId="77" fillId="57" borderId="0" applyNumberFormat="0" applyBorder="0" applyAlignment="0" applyProtection="0"/>
    <xf numFmtId="178" fontId="77" fillId="57" borderId="0" applyNumberFormat="0" applyBorder="0" applyAlignment="0" applyProtection="0"/>
    <xf numFmtId="178" fontId="42" fillId="22" borderId="3"/>
    <xf numFmtId="178" fontId="42" fillId="22" borderId="3"/>
    <xf numFmtId="178" fontId="42" fillId="22" borderId="3"/>
    <xf numFmtId="178" fontId="42" fillId="22" borderId="3"/>
    <xf numFmtId="178" fontId="42" fillId="22" borderId="3"/>
    <xf numFmtId="178" fontId="42" fillId="22" borderId="3"/>
    <xf numFmtId="178" fontId="42" fillId="22" borderId="3"/>
    <xf numFmtId="178" fontId="42" fillId="22" borderId="3"/>
    <xf numFmtId="178" fontId="42" fillId="22" borderId="3"/>
    <xf numFmtId="178" fontId="42" fillId="22" borderId="3"/>
    <xf numFmtId="178" fontId="42" fillId="22" borderId="3"/>
    <xf numFmtId="178" fontId="42" fillId="22" borderId="3"/>
    <xf numFmtId="178" fontId="42" fillId="22" borderId="3"/>
    <xf numFmtId="178" fontId="42" fillId="22" borderId="3"/>
    <xf numFmtId="178" fontId="42" fillId="22" borderId="3"/>
    <xf numFmtId="38" fontId="10" fillId="23" borderId="0" applyNumberFormat="0" applyBorder="0" applyAlignment="0" applyProtection="0"/>
    <xf numFmtId="1" fontId="43" fillId="0" borderId="4" applyBorder="0">
      <protection locked="0"/>
    </xf>
    <xf numFmtId="178" fontId="28" fillId="0" borderId="5" applyNumberFormat="0" applyAlignment="0" applyProtection="0">
      <alignment horizontal="left" vertical="center"/>
    </xf>
    <xf numFmtId="178" fontId="28" fillId="0" borderId="6">
      <alignment horizontal="left" vertical="center"/>
    </xf>
    <xf numFmtId="178" fontId="28" fillId="0" borderId="6">
      <alignment horizontal="left" vertical="center"/>
    </xf>
    <xf numFmtId="178" fontId="28" fillId="0" borderId="6">
      <alignment horizontal="left" vertical="center"/>
    </xf>
    <xf numFmtId="178" fontId="28" fillId="0" borderId="6">
      <alignment horizontal="left" vertical="center"/>
    </xf>
    <xf numFmtId="178" fontId="28" fillId="0" borderId="6">
      <alignment horizontal="left" vertical="center"/>
    </xf>
    <xf numFmtId="178" fontId="28" fillId="0" borderId="6">
      <alignment horizontal="left" vertical="center"/>
    </xf>
    <xf numFmtId="178" fontId="28" fillId="0" borderId="6">
      <alignment horizontal="left" vertical="center"/>
    </xf>
    <xf numFmtId="178" fontId="28" fillId="0" borderId="6">
      <alignment horizontal="left" vertical="center"/>
    </xf>
    <xf numFmtId="178" fontId="28" fillId="0" borderId="6">
      <alignment horizontal="left" vertical="center"/>
    </xf>
    <xf numFmtId="178" fontId="28" fillId="0" borderId="6">
      <alignment horizontal="left" vertical="center"/>
    </xf>
    <xf numFmtId="178" fontId="28" fillId="0" borderId="6">
      <alignment horizontal="left" vertical="center"/>
    </xf>
    <xf numFmtId="178" fontId="78" fillId="0" borderId="29" applyNumberFormat="0" applyFill="0" applyAlignment="0" applyProtection="0"/>
    <xf numFmtId="178" fontId="79" fillId="0" borderId="30" applyNumberFormat="0" applyFill="0" applyAlignment="0" applyProtection="0"/>
    <xf numFmtId="178" fontId="80" fillId="0" borderId="31" applyNumberFormat="0" applyFill="0" applyAlignment="0" applyProtection="0"/>
    <xf numFmtId="178" fontId="80" fillId="0" borderId="0" applyNumberFormat="0" applyFill="0" applyBorder="0" applyAlignment="0" applyProtection="0"/>
    <xf numFmtId="178" fontId="40" fillId="0" borderId="0" applyProtection="0"/>
    <xf numFmtId="178" fontId="40" fillId="0" borderId="0" applyProtection="0"/>
    <xf numFmtId="178" fontId="81" fillId="0" borderId="0" applyNumberFormat="0" applyFill="0" applyBorder="0" applyAlignment="0" applyProtection="0"/>
    <xf numFmtId="178" fontId="44" fillId="0" borderId="0" applyNumberFormat="0" applyFill="0" applyBorder="0" applyAlignment="0" applyProtection="0">
      <alignment vertical="top"/>
      <protection locked="0"/>
    </xf>
    <xf numFmtId="178" fontId="44" fillId="0" borderId="0" applyNumberFormat="0" applyFill="0" applyBorder="0" applyAlignment="0" applyProtection="0">
      <alignment vertical="top"/>
      <protection locked="0"/>
    </xf>
    <xf numFmtId="178" fontId="45" fillId="0" borderId="0" applyNumberFormat="0" applyFill="0" applyBorder="0" applyAlignment="0" applyProtection="0">
      <alignment vertical="top"/>
      <protection locked="0"/>
    </xf>
    <xf numFmtId="178" fontId="45" fillId="0" borderId="0" applyNumberFormat="0" applyFill="0" applyBorder="0" applyAlignment="0" applyProtection="0">
      <alignment vertical="top"/>
      <protection locked="0"/>
    </xf>
    <xf numFmtId="178" fontId="45" fillId="0" borderId="0" applyNumberFormat="0" applyFill="0" applyBorder="0" applyAlignment="0" applyProtection="0">
      <alignment vertical="top"/>
      <protection locked="0"/>
    </xf>
    <xf numFmtId="178" fontId="45" fillId="0" borderId="0" applyNumberFormat="0" applyFill="0" applyBorder="0" applyAlignment="0" applyProtection="0">
      <alignment vertical="top"/>
      <protection locked="0"/>
    </xf>
    <xf numFmtId="178" fontId="45" fillId="0" borderId="0" applyNumberFormat="0" applyFill="0" applyBorder="0" applyAlignment="0" applyProtection="0">
      <alignment vertical="top"/>
      <protection locked="0"/>
    </xf>
    <xf numFmtId="178" fontId="82" fillId="0" borderId="0" applyNumberFormat="0" applyFill="0" applyBorder="0" applyAlignment="0" applyProtection="0">
      <alignment vertical="top"/>
      <protection locked="0"/>
    </xf>
    <xf numFmtId="178" fontId="83" fillId="0" borderId="0" applyNumberFormat="0" applyFill="0" applyBorder="0" applyAlignment="0" applyProtection="0">
      <alignment vertical="top"/>
      <protection locked="0"/>
    </xf>
    <xf numFmtId="10" fontId="10" fillId="24" borderId="3" applyNumberFormat="0" applyBorder="0" applyAlignment="0" applyProtection="0"/>
    <xf numFmtId="10" fontId="10" fillId="24" borderId="3" applyNumberFormat="0" applyBorder="0" applyAlignment="0" applyProtection="0"/>
    <xf numFmtId="10" fontId="10" fillId="24" borderId="3" applyNumberFormat="0" applyBorder="0" applyAlignment="0" applyProtection="0"/>
    <xf numFmtId="10" fontId="10" fillId="24" borderId="3" applyNumberFormat="0" applyBorder="0" applyAlignment="0" applyProtection="0"/>
    <xf numFmtId="10" fontId="10" fillId="24" borderId="3" applyNumberFormat="0" applyBorder="0" applyAlignment="0" applyProtection="0"/>
    <xf numFmtId="10" fontId="10" fillId="24" borderId="3" applyNumberFormat="0" applyBorder="0" applyAlignment="0" applyProtection="0"/>
    <xf numFmtId="10" fontId="10" fillId="24" borderId="3" applyNumberFormat="0" applyBorder="0" applyAlignment="0" applyProtection="0"/>
    <xf numFmtId="10" fontId="10" fillId="24" borderId="3" applyNumberFormat="0" applyBorder="0" applyAlignment="0" applyProtection="0"/>
    <xf numFmtId="10" fontId="10" fillId="24" borderId="3" applyNumberFormat="0" applyBorder="0" applyAlignment="0" applyProtection="0"/>
    <xf numFmtId="10" fontId="10" fillId="24" borderId="3" applyNumberFormat="0" applyBorder="0" applyAlignment="0" applyProtection="0"/>
    <xf numFmtId="10" fontId="10" fillId="24" borderId="3" applyNumberFormat="0" applyBorder="0" applyAlignment="0" applyProtection="0"/>
    <xf numFmtId="10" fontId="10" fillId="24" borderId="3" applyNumberFormat="0" applyBorder="0" applyAlignment="0" applyProtection="0"/>
    <xf numFmtId="10" fontId="10" fillId="24" borderId="3" applyNumberFormat="0" applyBorder="0" applyAlignment="0" applyProtection="0"/>
    <xf numFmtId="10" fontId="10" fillId="24" borderId="3" applyNumberFormat="0" applyBorder="0" applyAlignment="0" applyProtection="0"/>
    <xf numFmtId="10" fontId="10" fillId="24" borderId="3" applyNumberFormat="0" applyBorder="0" applyAlignment="0" applyProtection="0"/>
    <xf numFmtId="178" fontId="84" fillId="58" borderId="27" applyNumberFormat="0" applyAlignment="0" applyProtection="0"/>
    <xf numFmtId="178" fontId="11" fillId="25" borderId="3" applyFont="0" applyFill="0" applyBorder="0" applyAlignment="0" applyProtection="0">
      <alignment horizontal="center"/>
      <protection locked="0"/>
    </xf>
    <xf numFmtId="178" fontId="11" fillId="25" borderId="3" applyFont="0" applyFill="0" applyBorder="0" applyAlignment="0" applyProtection="0">
      <alignment horizontal="center"/>
      <protection locked="0"/>
    </xf>
    <xf numFmtId="178" fontId="11" fillId="25" borderId="3" applyFont="0" applyFill="0" applyBorder="0" applyAlignment="0" applyProtection="0">
      <alignment horizontal="center"/>
      <protection locked="0"/>
    </xf>
    <xf numFmtId="178" fontId="11" fillId="25" borderId="3" applyFont="0" applyFill="0" applyBorder="0" applyAlignment="0" applyProtection="0">
      <alignment horizontal="center"/>
      <protection locked="0"/>
    </xf>
    <xf numFmtId="178" fontId="11" fillId="25" borderId="3" applyFont="0" applyFill="0" applyBorder="0" applyAlignment="0" applyProtection="0">
      <alignment horizontal="center"/>
      <protection locked="0"/>
    </xf>
    <xf numFmtId="178" fontId="11" fillId="25" borderId="3" applyFont="0" applyFill="0" applyBorder="0" applyAlignment="0" applyProtection="0">
      <alignment horizontal="center"/>
      <protection locked="0"/>
    </xf>
    <xf numFmtId="178" fontId="11" fillId="25" borderId="3" applyFont="0" applyFill="0" applyBorder="0" applyAlignment="0" applyProtection="0">
      <alignment horizontal="center"/>
      <protection locked="0"/>
    </xf>
    <xf numFmtId="178" fontId="11" fillId="25" borderId="3" applyFont="0" applyFill="0" applyBorder="0" applyAlignment="0" applyProtection="0">
      <alignment horizontal="center"/>
      <protection locked="0"/>
    </xf>
    <xf numFmtId="178" fontId="11" fillId="25" borderId="3" applyFont="0" applyFill="0" applyBorder="0" applyAlignment="0" applyProtection="0">
      <alignment horizontal="center"/>
      <protection locked="0"/>
    </xf>
    <xf numFmtId="178" fontId="11" fillId="25" borderId="3" applyFont="0" applyFill="0" applyBorder="0" applyAlignment="0" applyProtection="0">
      <alignment horizontal="center"/>
      <protection locked="0"/>
    </xf>
    <xf numFmtId="178" fontId="11" fillId="25" borderId="3" applyFont="0" applyFill="0" applyBorder="0" applyAlignment="0" applyProtection="0">
      <alignment horizontal="center"/>
      <protection locked="0"/>
    </xf>
    <xf numFmtId="178" fontId="11" fillId="25" borderId="3" applyFont="0" applyFill="0" applyBorder="0" applyAlignment="0" applyProtection="0">
      <alignment horizontal="center"/>
      <protection locked="0"/>
    </xf>
    <xf numFmtId="178" fontId="11" fillId="25" borderId="3" applyFont="0" applyFill="0" applyBorder="0" applyAlignment="0" applyProtection="0">
      <alignment horizontal="center"/>
      <protection locked="0"/>
    </xf>
    <xf numFmtId="178" fontId="11" fillId="25" borderId="3" applyFont="0" applyFill="0" applyBorder="0" applyAlignment="0" applyProtection="0">
      <alignment horizontal="center"/>
      <protection locked="0"/>
    </xf>
    <xf numFmtId="178" fontId="11" fillId="25" borderId="3" applyFont="0" applyFill="0" applyBorder="0" applyAlignment="0" applyProtection="0">
      <alignment horizontal="center"/>
      <protection locked="0"/>
    </xf>
    <xf numFmtId="178" fontId="22" fillId="0" borderId="8" applyNumberFormat="0" applyFill="0" applyAlignment="0" applyProtection="0"/>
    <xf numFmtId="178" fontId="85" fillId="0" borderId="32" applyNumberFormat="0" applyFill="0" applyAlignment="0" applyProtection="0"/>
    <xf numFmtId="178" fontId="46" fillId="23" borderId="0" applyNumberFormat="0" applyBorder="0" applyAlignment="0"/>
    <xf numFmtId="14" fontId="47" fillId="0" borderId="0" applyFont="0" applyFill="0" applyBorder="0" applyAlignment="0" applyProtection="0"/>
    <xf numFmtId="184" fontId="47" fillId="0" borderId="0" applyFont="0" applyFill="0" applyBorder="0" applyAlignment="0" applyProtection="0"/>
    <xf numFmtId="185" fontId="48" fillId="0" borderId="0" applyFont="0" applyFill="0" applyBorder="0"/>
    <xf numFmtId="178" fontId="23" fillId="11" borderId="0" applyNumberFormat="0" applyBorder="0" applyAlignment="0" applyProtection="0"/>
    <xf numFmtId="178" fontId="86" fillId="59" borderId="0" applyNumberFormat="0" applyBorder="0" applyAlignment="0" applyProtection="0"/>
    <xf numFmtId="186" fontId="49" fillId="0" borderId="0"/>
    <xf numFmtId="178" fontId="71" fillId="0" borderId="0"/>
    <xf numFmtId="177" fontId="25" fillId="0" borderId="0"/>
    <xf numFmtId="0" fontId="11" fillId="0" borderId="0"/>
    <xf numFmtId="178" fontId="71" fillId="0" borderId="0"/>
    <xf numFmtId="178" fontId="11" fillId="0" borderId="0">
      <alignment horizontal="left"/>
    </xf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0" fontId="13" fillId="0" borderId="0"/>
    <xf numFmtId="178" fontId="33" fillId="0" borderId="0"/>
    <xf numFmtId="178" fontId="33" fillId="0" borderId="0"/>
    <xf numFmtId="178" fontId="33" fillId="0" borderId="0"/>
    <xf numFmtId="178" fontId="33" fillId="0" borderId="0"/>
    <xf numFmtId="178" fontId="33" fillId="0" borderId="0"/>
    <xf numFmtId="178" fontId="33" fillId="0" borderId="0"/>
    <xf numFmtId="178" fontId="33" fillId="0" borderId="0"/>
    <xf numFmtId="178" fontId="33" fillId="0" borderId="0"/>
    <xf numFmtId="178" fontId="34" fillId="0" borderId="0"/>
    <xf numFmtId="177" fontId="25" fillId="0" borderId="0"/>
    <xf numFmtId="0" fontId="11" fillId="0" borderId="0"/>
    <xf numFmtId="168" fontId="36" fillId="0" borderId="0"/>
    <xf numFmtId="0" fontId="71" fillId="0" borderId="0"/>
    <xf numFmtId="178" fontId="33" fillId="0" borderId="0"/>
    <xf numFmtId="178" fontId="11" fillId="0" borderId="0">
      <alignment wrapText="1"/>
    </xf>
    <xf numFmtId="0" fontId="11" fillId="0" borderId="0"/>
    <xf numFmtId="178" fontId="11" fillId="0" borderId="0"/>
    <xf numFmtId="178" fontId="33" fillId="0" borderId="0"/>
    <xf numFmtId="178" fontId="46" fillId="0" borderId="0"/>
    <xf numFmtId="178" fontId="33" fillId="0" borderId="0"/>
    <xf numFmtId="178" fontId="33" fillId="0" borderId="0"/>
    <xf numFmtId="178" fontId="33" fillId="0" borderId="0"/>
    <xf numFmtId="178" fontId="33" fillId="0" borderId="0"/>
    <xf numFmtId="178" fontId="33" fillId="0" borderId="0"/>
    <xf numFmtId="178" fontId="33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0" fontId="11" fillId="0" borderId="0"/>
    <xf numFmtId="178" fontId="33" fillId="0" borderId="0"/>
    <xf numFmtId="178" fontId="11" fillId="0" borderId="0"/>
    <xf numFmtId="178" fontId="11" fillId="0" borderId="0"/>
    <xf numFmtId="0" fontId="11" fillId="0" borderId="0"/>
    <xf numFmtId="174" fontId="36" fillId="0" borderId="0"/>
    <xf numFmtId="0" fontId="11" fillId="0" borderId="0"/>
    <xf numFmtId="178" fontId="11" fillId="0" borderId="0"/>
    <xf numFmtId="178" fontId="11" fillId="0" borderId="0"/>
    <xf numFmtId="178" fontId="11" fillId="0" borderId="0">
      <alignment horizontal="left"/>
    </xf>
    <xf numFmtId="178" fontId="11" fillId="0" borderId="0"/>
    <xf numFmtId="178" fontId="11" fillId="0" borderId="0"/>
    <xf numFmtId="178" fontId="11" fillId="0" borderId="0"/>
    <xf numFmtId="178" fontId="11" fillId="0" borderId="0">
      <alignment wrapText="1"/>
    </xf>
    <xf numFmtId="0" fontId="71" fillId="0" borderId="0"/>
    <xf numFmtId="192" fontId="69" fillId="0" borderId="0" applyBorder="0"/>
    <xf numFmtId="0" fontId="11" fillId="0" borderId="0"/>
    <xf numFmtId="178" fontId="71" fillId="0" borderId="0"/>
    <xf numFmtId="0" fontId="71" fillId="0" borderId="0"/>
    <xf numFmtId="178" fontId="71" fillId="0" borderId="0"/>
    <xf numFmtId="0" fontId="70" fillId="0" borderId="0"/>
    <xf numFmtId="178" fontId="11" fillId="0" borderId="0"/>
    <xf numFmtId="178" fontId="33" fillId="0" borderId="0"/>
    <xf numFmtId="178" fontId="33" fillId="0" borderId="0"/>
    <xf numFmtId="178" fontId="11" fillId="0" borderId="0"/>
    <xf numFmtId="178" fontId="11" fillId="0" borderId="0"/>
    <xf numFmtId="177" fontId="25" fillId="0" borderId="0"/>
    <xf numFmtId="178" fontId="11" fillId="0" borderId="0"/>
    <xf numFmtId="187" fontId="36" fillId="0" borderId="0"/>
    <xf numFmtId="178" fontId="71" fillId="0" borderId="0"/>
    <xf numFmtId="178" fontId="71" fillId="0" borderId="0"/>
    <xf numFmtId="178" fontId="71" fillId="0" borderId="0"/>
    <xf numFmtId="178" fontId="71" fillId="0" borderId="0"/>
    <xf numFmtId="178" fontId="18" fillId="0" borderId="0"/>
    <xf numFmtId="178" fontId="71" fillId="0" borderId="0"/>
    <xf numFmtId="178" fontId="71" fillId="0" borderId="0"/>
    <xf numFmtId="178" fontId="18" fillId="0" borderId="0"/>
    <xf numFmtId="178" fontId="71" fillId="0" borderId="0"/>
    <xf numFmtId="178" fontId="71" fillId="0" borderId="0"/>
    <xf numFmtId="0" fontId="11" fillId="0" borderId="0"/>
    <xf numFmtId="178" fontId="18" fillId="0" borderId="0"/>
    <xf numFmtId="177" fontId="25" fillId="0" borderId="0"/>
    <xf numFmtId="178" fontId="87" fillId="0" borderId="0"/>
    <xf numFmtId="178" fontId="11" fillId="0" borderId="0"/>
    <xf numFmtId="178" fontId="71" fillId="0" borderId="0"/>
    <xf numFmtId="187" fontId="36" fillId="0" borderId="0"/>
    <xf numFmtId="178" fontId="71" fillId="0" borderId="0"/>
    <xf numFmtId="178" fontId="18" fillId="0" borderId="0"/>
    <xf numFmtId="177" fontId="25" fillId="0" borderId="0"/>
    <xf numFmtId="178" fontId="88" fillId="0" borderId="0"/>
    <xf numFmtId="178" fontId="71" fillId="60" borderId="33" applyNumberFormat="0" applyFont="0" applyAlignment="0" applyProtection="0"/>
    <xf numFmtId="38" fontId="11" fillId="0" borderId="0"/>
    <xf numFmtId="40" fontId="11" fillId="0" borderId="10"/>
    <xf numFmtId="188" fontId="11" fillId="0" borderId="11"/>
    <xf numFmtId="188" fontId="11" fillId="0" borderId="11"/>
    <xf numFmtId="178" fontId="11" fillId="0" borderId="0"/>
    <xf numFmtId="178" fontId="89" fillId="55" borderId="34" applyNumberFormat="0" applyAlignment="0" applyProtection="0"/>
    <xf numFmtId="178" fontId="36" fillId="0" borderId="0"/>
    <xf numFmtId="178" fontId="36" fillId="0" borderId="0"/>
    <xf numFmtId="9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10" fontId="11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7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7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71" fillId="0" borderId="0" applyFont="0" applyFill="0" applyBorder="0" applyAlignment="0" applyProtection="0"/>
    <xf numFmtId="189" fontId="48" fillId="0" borderId="0" applyFont="0" applyFill="0" applyBorder="0" applyProtection="0">
      <alignment horizontal="center"/>
    </xf>
    <xf numFmtId="190" fontId="10" fillId="0" borderId="0" applyFont="0" applyFill="0" applyBorder="0" applyAlignment="0" applyProtection="0"/>
    <xf numFmtId="178" fontId="39" fillId="0" borderId="0" applyNumberFormat="0" applyFont="0" applyFill="0" applyBorder="0" applyAlignment="0" applyProtection="0">
      <alignment horizontal="left"/>
    </xf>
    <xf numFmtId="15" fontId="39" fillId="0" borderId="0" applyFont="0" applyFill="0" applyBorder="0" applyAlignment="0" applyProtection="0"/>
    <xf numFmtId="4" fontId="39" fillId="0" borderId="0" applyFont="0" applyFill="0" applyBorder="0" applyAlignment="0" applyProtection="0"/>
    <xf numFmtId="178" fontId="50" fillId="0" borderId="13">
      <alignment horizontal="center"/>
    </xf>
    <xf numFmtId="3" fontId="39" fillId="0" borderId="0" applyFont="0" applyFill="0" applyBorder="0" applyAlignment="0" applyProtection="0"/>
    <xf numFmtId="178" fontId="39" fillId="26" borderId="0" applyNumberFormat="0" applyFont="0" applyBorder="0" applyAlignment="0" applyProtection="0"/>
    <xf numFmtId="3" fontId="26" fillId="0" borderId="0" applyFill="0" applyBorder="0" applyAlignment="0" applyProtection="0"/>
    <xf numFmtId="3" fontId="25" fillId="0" borderId="0" applyFill="0" applyBorder="0" applyAlignment="0" applyProtection="0"/>
    <xf numFmtId="3" fontId="26" fillId="0" borderId="0" applyFill="0" applyBorder="0" applyAlignment="0" applyProtection="0"/>
    <xf numFmtId="178" fontId="51" fillId="0" borderId="0"/>
    <xf numFmtId="178" fontId="36" fillId="0" borderId="0"/>
    <xf numFmtId="178" fontId="11" fillId="0" borderId="0" applyNumberFormat="0" applyFill="0" applyBorder="0" applyProtection="0">
      <alignment horizontal="right"/>
    </xf>
    <xf numFmtId="178" fontId="12" fillId="0" borderId="0" applyNumberFormat="0" applyFill="0" applyBorder="0" applyProtection="0">
      <alignment horizontal="right"/>
    </xf>
    <xf numFmtId="178" fontId="11" fillId="0" borderId="0" applyNumberFormat="0" applyFill="0" applyBorder="0" applyProtection="0">
      <alignment horizontal="left"/>
    </xf>
    <xf numFmtId="178" fontId="12" fillId="0" borderId="0" applyNumberFormat="0" applyFill="0" applyBorder="0" applyProtection="0">
      <alignment horizontal="left"/>
    </xf>
    <xf numFmtId="178" fontId="12" fillId="0" borderId="0" applyNumberFormat="0" applyFill="0" applyBorder="0" applyProtection="0">
      <alignment horizontal="left"/>
    </xf>
    <xf numFmtId="178" fontId="11" fillId="0" borderId="14" applyNumberFormat="0" applyFont="0" applyFill="0" applyAlignment="0" applyProtection="0"/>
    <xf numFmtId="178" fontId="11" fillId="0" borderId="0" applyNumberFormat="0" applyFont="0" applyFill="0" applyBorder="0" applyProtection="0">
      <alignment wrapText="1"/>
    </xf>
    <xf numFmtId="178" fontId="14" fillId="0" borderId="0" applyNumberFormat="0" applyBorder="0" applyAlignment="0"/>
    <xf numFmtId="178" fontId="14" fillId="0" borderId="0" applyNumberFormat="0" applyBorder="0" applyAlignment="0"/>
    <xf numFmtId="178" fontId="14" fillId="0" borderId="0" applyNumberFormat="0" applyBorder="0" applyAlignment="0"/>
    <xf numFmtId="178" fontId="24" fillId="0" borderId="0" applyNumberFormat="0" applyBorder="0" applyAlignment="0"/>
    <xf numFmtId="178" fontId="16" fillId="0" borderId="0" applyNumberFormat="0" applyBorder="0" applyAlignment="0"/>
    <xf numFmtId="178" fontId="52" fillId="0" borderId="0" applyNumberFormat="0" applyBorder="0" applyAlignment="0"/>
    <xf numFmtId="178" fontId="52" fillId="0" borderId="0" applyNumberFormat="0" applyBorder="0" applyAlignment="0"/>
    <xf numFmtId="178" fontId="11" fillId="0" borderId="0"/>
    <xf numFmtId="191" fontId="11" fillId="0" borderId="0" applyFont="0" applyFill="0" applyBorder="0" applyAlignment="0" applyProtection="0"/>
    <xf numFmtId="178" fontId="90" fillId="0" borderId="0" applyNumberFormat="0" applyFill="0" applyBorder="0" applyAlignment="0" applyProtection="0"/>
    <xf numFmtId="178" fontId="91" fillId="0" borderId="35" applyNumberFormat="0" applyFill="0" applyAlignment="0" applyProtection="0"/>
    <xf numFmtId="178" fontId="11" fillId="0" borderId="0"/>
    <xf numFmtId="178" fontId="53" fillId="0" borderId="0" applyNumberFormat="0" applyBorder="0" applyAlignment="0">
      <protection locked="0"/>
    </xf>
    <xf numFmtId="178" fontId="92" fillId="0" borderId="0" applyNumberFormat="0" applyFill="0" applyBorder="0" applyAlignment="0" applyProtection="0"/>
    <xf numFmtId="178" fontId="11" fillId="0" borderId="0"/>
    <xf numFmtId="178" fontId="30" fillId="27" borderId="0" applyNumberFormat="0" applyBorder="0" applyAlignment="0" applyProtection="0">
      <alignment vertical="center"/>
    </xf>
    <xf numFmtId="178" fontId="30" fillId="19" borderId="0" applyNumberFormat="0" applyBorder="0" applyAlignment="0" applyProtection="0">
      <alignment vertical="center"/>
    </xf>
    <xf numFmtId="178" fontId="30" fillId="28" borderId="0" applyNumberFormat="0" applyBorder="0" applyAlignment="0" applyProtection="0">
      <alignment vertical="center"/>
    </xf>
    <xf numFmtId="178" fontId="30" fillId="17" borderId="0" applyNumberFormat="0" applyBorder="0" applyAlignment="0" applyProtection="0">
      <alignment vertical="center"/>
    </xf>
    <xf numFmtId="178" fontId="30" fillId="15" borderId="0" applyNumberFormat="0" applyBorder="0" applyAlignment="0" applyProtection="0">
      <alignment vertical="center"/>
    </xf>
    <xf numFmtId="178" fontId="30" fillId="20" borderId="0" applyNumberFormat="0" applyBorder="0" applyAlignment="0" applyProtection="0">
      <alignment vertical="center"/>
    </xf>
    <xf numFmtId="178" fontId="54" fillId="0" borderId="0" applyNumberFormat="0" applyFill="0" applyBorder="0" applyAlignment="0" applyProtection="0">
      <alignment vertical="center"/>
    </xf>
    <xf numFmtId="178" fontId="55" fillId="21" borderId="2" applyNumberFormat="0" applyAlignment="0" applyProtection="0">
      <alignment vertical="center"/>
    </xf>
    <xf numFmtId="178" fontId="56" fillId="11" borderId="0" applyNumberFormat="0" applyBorder="0" applyAlignment="0" applyProtection="0">
      <alignment vertical="center"/>
    </xf>
    <xf numFmtId="178" fontId="11" fillId="3" borderId="9" applyNumberFormat="0" applyFont="0" applyAlignment="0" applyProtection="0">
      <alignment vertical="center"/>
    </xf>
    <xf numFmtId="178" fontId="11" fillId="3" borderId="9" applyNumberFormat="0" applyFont="0" applyAlignment="0" applyProtection="0">
      <alignment vertical="center"/>
    </xf>
    <xf numFmtId="178" fontId="11" fillId="3" borderId="9" applyNumberFormat="0" applyFont="0" applyAlignment="0" applyProtection="0">
      <alignment vertical="center"/>
    </xf>
    <xf numFmtId="178" fontId="11" fillId="3" borderId="9" applyNumberFormat="0" applyFont="0" applyAlignment="0" applyProtection="0">
      <alignment vertical="center"/>
    </xf>
    <xf numFmtId="178" fontId="11" fillId="3" borderId="9" applyNumberFormat="0" applyFont="0" applyAlignment="0" applyProtection="0">
      <alignment vertical="center"/>
    </xf>
    <xf numFmtId="178" fontId="11" fillId="3" borderId="9" applyNumberFormat="0" applyFont="0" applyAlignment="0" applyProtection="0">
      <alignment vertical="center"/>
    </xf>
    <xf numFmtId="178" fontId="11" fillId="3" borderId="9" applyNumberFormat="0" applyFont="0" applyAlignment="0" applyProtection="0">
      <alignment vertical="center"/>
    </xf>
    <xf numFmtId="178" fontId="11" fillId="3" borderId="9" applyNumberFormat="0" applyFont="0" applyAlignment="0" applyProtection="0">
      <alignment vertical="center"/>
    </xf>
    <xf numFmtId="178" fontId="11" fillId="3" borderId="9" applyNumberFormat="0" applyFont="0" applyAlignment="0" applyProtection="0">
      <alignment vertical="center"/>
    </xf>
    <xf numFmtId="178" fontId="11" fillId="3" borderId="9" applyNumberFormat="0" applyFont="0" applyAlignment="0" applyProtection="0">
      <alignment vertical="center"/>
    </xf>
    <xf numFmtId="178" fontId="11" fillId="3" borderId="9" applyNumberFormat="0" applyFont="0" applyAlignment="0" applyProtection="0">
      <alignment vertical="center"/>
    </xf>
    <xf numFmtId="178" fontId="11" fillId="3" borderId="9" applyNumberFormat="0" applyFont="0" applyAlignment="0" applyProtection="0">
      <alignment vertical="center"/>
    </xf>
    <xf numFmtId="178" fontId="11" fillId="3" borderId="9" applyNumberFormat="0" applyFont="0" applyAlignment="0" applyProtection="0">
      <alignment vertical="center"/>
    </xf>
    <xf numFmtId="178" fontId="11" fillId="3" borderId="9" applyNumberFormat="0" applyFont="0" applyAlignment="0" applyProtection="0">
      <alignment vertical="center"/>
    </xf>
    <xf numFmtId="178" fontId="11" fillId="3" borderId="9" applyNumberFormat="0" applyFont="0" applyAlignment="0" applyProtection="0">
      <alignment vertical="center"/>
    </xf>
    <xf numFmtId="178" fontId="11" fillId="3" borderId="9" applyNumberFormat="0" applyFont="0" applyAlignment="0" applyProtection="0">
      <alignment vertical="center"/>
    </xf>
    <xf numFmtId="178" fontId="11" fillId="3" borderId="9" applyNumberFormat="0" applyFont="0" applyAlignment="0" applyProtection="0">
      <alignment vertical="center"/>
    </xf>
    <xf numFmtId="178" fontId="11" fillId="3" borderId="9" applyNumberFormat="0" applyFont="0" applyAlignment="0" applyProtection="0">
      <alignment vertical="center"/>
    </xf>
    <xf numFmtId="178" fontId="11" fillId="3" borderId="9" applyNumberFormat="0" applyFont="0" applyAlignment="0" applyProtection="0">
      <alignment vertical="center"/>
    </xf>
    <xf numFmtId="178" fontId="11" fillId="3" borderId="9" applyNumberFormat="0" applyFont="0" applyAlignment="0" applyProtection="0">
      <alignment vertical="center"/>
    </xf>
    <xf numFmtId="178" fontId="57" fillId="0" borderId="8" applyNumberFormat="0" applyFill="0" applyAlignment="0" applyProtection="0">
      <alignment vertical="center"/>
    </xf>
    <xf numFmtId="178" fontId="58" fillId="2" borderId="1" applyNumberFormat="0" applyAlignment="0" applyProtection="0">
      <alignment vertical="center"/>
    </xf>
    <xf numFmtId="178" fontId="58" fillId="2" borderId="1" applyNumberFormat="0" applyAlignment="0" applyProtection="0">
      <alignment vertical="center"/>
    </xf>
    <xf numFmtId="178" fontId="58" fillId="2" borderId="1" applyNumberFormat="0" applyAlignment="0" applyProtection="0">
      <alignment vertical="center"/>
    </xf>
    <xf numFmtId="178" fontId="58" fillId="2" borderId="1" applyNumberFormat="0" applyAlignment="0" applyProtection="0">
      <alignment vertical="center"/>
    </xf>
    <xf numFmtId="178" fontId="58" fillId="2" borderId="1" applyNumberFormat="0" applyAlignment="0" applyProtection="0">
      <alignment vertical="center"/>
    </xf>
    <xf numFmtId="178" fontId="58" fillId="2" borderId="1" applyNumberFormat="0" applyAlignment="0" applyProtection="0">
      <alignment vertical="center"/>
    </xf>
    <xf numFmtId="178" fontId="58" fillId="2" borderId="1" applyNumberFormat="0" applyAlignment="0" applyProtection="0">
      <alignment vertical="center"/>
    </xf>
    <xf numFmtId="178" fontId="58" fillId="2" borderId="1" applyNumberFormat="0" applyAlignment="0" applyProtection="0">
      <alignment vertical="center"/>
    </xf>
    <xf numFmtId="178" fontId="58" fillId="2" borderId="1" applyNumberFormat="0" applyAlignment="0" applyProtection="0">
      <alignment vertical="center"/>
    </xf>
    <xf numFmtId="178" fontId="58" fillId="2" borderId="1" applyNumberFormat="0" applyAlignment="0" applyProtection="0">
      <alignment vertical="center"/>
    </xf>
    <xf numFmtId="178" fontId="58" fillId="2" borderId="1" applyNumberFormat="0" applyAlignment="0" applyProtection="0">
      <alignment vertical="center"/>
    </xf>
    <xf numFmtId="178" fontId="58" fillId="2" borderId="1" applyNumberFormat="0" applyAlignment="0" applyProtection="0">
      <alignment vertical="center"/>
    </xf>
    <xf numFmtId="178" fontId="58" fillId="2" borderId="1" applyNumberFormat="0" applyAlignment="0" applyProtection="0">
      <alignment vertical="center"/>
    </xf>
    <xf numFmtId="178" fontId="58" fillId="2" borderId="1" applyNumberFormat="0" applyAlignment="0" applyProtection="0">
      <alignment vertical="center"/>
    </xf>
    <xf numFmtId="178" fontId="58" fillId="2" borderId="1" applyNumberFormat="0" applyAlignment="0" applyProtection="0">
      <alignment vertical="center"/>
    </xf>
    <xf numFmtId="178" fontId="58" fillId="2" borderId="1" applyNumberFormat="0" applyAlignment="0" applyProtection="0">
      <alignment vertical="center"/>
    </xf>
    <xf numFmtId="178" fontId="58" fillId="2" borderId="1" applyNumberFormat="0" applyAlignment="0" applyProtection="0">
      <alignment vertical="center"/>
    </xf>
    <xf numFmtId="178" fontId="58" fillId="2" borderId="1" applyNumberFormat="0" applyAlignment="0" applyProtection="0">
      <alignment vertical="center"/>
    </xf>
    <xf numFmtId="178" fontId="58" fillId="2" borderId="1" applyNumberFormat="0" applyAlignment="0" applyProtection="0">
      <alignment vertical="center"/>
    </xf>
    <xf numFmtId="178" fontId="58" fillId="2" borderId="1" applyNumberFormat="0" applyAlignment="0" applyProtection="0">
      <alignment vertical="center"/>
    </xf>
    <xf numFmtId="178" fontId="59" fillId="9" borderId="12" applyNumberFormat="0" applyAlignment="0" applyProtection="0">
      <alignment vertical="center"/>
    </xf>
    <xf numFmtId="178" fontId="59" fillId="9" borderId="12" applyNumberFormat="0" applyAlignment="0" applyProtection="0">
      <alignment vertical="center"/>
    </xf>
    <xf numFmtId="178" fontId="59" fillId="9" borderId="12" applyNumberFormat="0" applyAlignment="0" applyProtection="0">
      <alignment vertical="center"/>
    </xf>
    <xf numFmtId="178" fontId="59" fillId="9" borderId="12" applyNumberFormat="0" applyAlignment="0" applyProtection="0">
      <alignment vertical="center"/>
    </xf>
    <xf numFmtId="178" fontId="59" fillId="9" borderId="12" applyNumberFormat="0" applyAlignment="0" applyProtection="0">
      <alignment vertical="center"/>
    </xf>
    <xf numFmtId="178" fontId="59" fillId="9" borderId="12" applyNumberFormat="0" applyAlignment="0" applyProtection="0">
      <alignment vertical="center"/>
    </xf>
    <xf numFmtId="178" fontId="59" fillId="9" borderId="12" applyNumberFormat="0" applyAlignment="0" applyProtection="0">
      <alignment vertical="center"/>
    </xf>
    <xf numFmtId="178" fontId="59" fillId="9" borderId="12" applyNumberFormat="0" applyAlignment="0" applyProtection="0">
      <alignment vertical="center"/>
    </xf>
    <xf numFmtId="178" fontId="59" fillId="9" borderId="12" applyNumberFormat="0" applyAlignment="0" applyProtection="0">
      <alignment vertical="center"/>
    </xf>
    <xf numFmtId="178" fontId="59" fillId="9" borderId="12" applyNumberFormat="0" applyAlignment="0" applyProtection="0">
      <alignment vertical="center"/>
    </xf>
    <xf numFmtId="178" fontId="59" fillId="9" borderId="12" applyNumberFormat="0" applyAlignment="0" applyProtection="0">
      <alignment vertical="center"/>
    </xf>
    <xf numFmtId="178" fontId="59" fillId="9" borderId="12" applyNumberFormat="0" applyAlignment="0" applyProtection="0">
      <alignment vertical="center"/>
    </xf>
    <xf numFmtId="178" fontId="59" fillId="9" borderId="12" applyNumberFormat="0" applyAlignment="0" applyProtection="0">
      <alignment vertical="center"/>
    </xf>
    <xf numFmtId="178" fontId="59" fillId="9" borderId="12" applyNumberFormat="0" applyAlignment="0" applyProtection="0">
      <alignment vertical="center"/>
    </xf>
    <xf numFmtId="178" fontId="59" fillId="9" borderId="12" applyNumberFormat="0" applyAlignment="0" applyProtection="0">
      <alignment vertical="center"/>
    </xf>
    <xf numFmtId="178" fontId="59" fillId="9" borderId="12" applyNumberFormat="0" applyAlignment="0" applyProtection="0">
      <alignment vertical="center"/>
    </xf>
    <xf numFmtId="178" fontId="59" fillId="9" borderId="12" applyNumberFormat="0" applyAlignment="0" applyProtection="0">
      <alignment vertical="center"/>
    </xf>
    <xf numFmtId="178" fontId="59" fillId="9" borderId="12" applyNumberFormat="0" applyAlignment="0" applyProtection="0">
      <alignment vertical="center"/>
    </xf>
    <xf numFmtId="178" fontId="59" fillId="9" borderId="12" applyNumberFormat="0" applyAlignment="0" applyProtection="0">
      <alignment vertical="center"/>
    </xf>
    <xf numFmtId="178" fontId="59" fillId="9" borderId="12" applyNumberFormat="0" applyAlignment="0" applyProtection="0">
      <alignment vertical="center"/>
    </xf>
    <xf numFmtId="178" fontId="60" fillId="7" borderId="0" applyNumberFormat="0" applyBorder="0" applyAlignment="0" applyProtection="0">
      <alignment vertical="center"/>
    </xf>
    <xf numFmtId="178" fontId="61" fillId="8" borderId="0" applyNumberFormat="0" applyBorder="0" applyAlignment="0" applyProtection="0">
      <alignment vertical="center"/>
    </xf>
    <xf numFmtId="178" fontId="62" fillId="0" borderId="15" applyNumberFormat="0" applyFill="0" applyAlignment="0" applyProtection="0">
      <alignment vertical="center"/>
    </xf>
    <xf numFmtId="178" fontId="63" fillId="0" borderId="7" applyNumberFormat="0" applyFill="0" applyAlignment="0" applyProtection="0">
      <alignment vertical="center"/>
    </xf>
    <xf numFmtId="178" fontId="64" fillId="0" borderId="16" applyNumberFormat="0" applyFill="0" applyAlignment="0" applyProtection="0">
      <alignment vertical="center"/>
    </xf>
    <xf numFmtId="178" fontId="64" fillId="0" borderId="0" applyNumberFormat="0" applyFill="0" applyBorder="0" applyAlignment="0" applyProtection="0">
      <alignment vertical="center"/>
    </xf>
    <xf numFmtId="178" fontId="65" fillId="9" borderId="1" applyNumberFormat="0" applyAlignment="0" applyProtection="0">
      <alignment vertical="center"/>
    </xf>
    <xf numFmtId="178" fontId="65" fillId="9" borderId="1" applyNumberFormat="0" applyAlignment="0" applyProtection="0">
      <alignment vertical="center"/>
    </xf>
    <xf numFmtId="178" fontId="65" fillId="9" borderId="1" applyNumberFormat="0" applyAlignment="0" applyProtection="0">
      <alignment vertical="center"/>
    </xf>
    <xf numFmtId="178" fontId="65" fillId="9" borderId="1" applyNumberFormat="0" applyAlignment="0" applyProtection="0">
      <alignment vertical="center"/>
    </xf>
    <xf numFmtId="178" fontId="65" fillId="9" borderId="1" applyNumberFormat="0" applyAlignment="0" applyProtection="0">
      <alignment vertical="center"/>
    </xf>
    <xf numFmtId="178" fontId="65" fillId="9" borderId="1" applyNumberFormat="0" applyAlignment="0" applyProtection="0">
      <alignment vertical="center"/>
    </xf>
    <xf numFmtId="178" fontId="65" fillId="9" borderId="1" applyNumberFormat="0" applyAlignment="0" applyProtection="0">
      <alignment vertical="center"/>
    </xf>
    <xf numFmtId="178" fontId="65" fillId="9" borderId="1" applyNumberFormat="0" applyAlignment="0" applyProtection="0">
      <alignment vertical="center"/>
    </xf>
    <xf numFmtId="178" fontId="65" fillId="9" borderId="1" applyNumberFormat="0" applyAlignment="0" applyProtection="0">
      <alignment vertical="center"/>
    </xf>
    <xf numFmtId="178" fontId="65" fillId="9" borderId="1" applyNumberFormat="0" applyAlignment="0" applyProtection="0">
      <alignment vertical="center"/>
    </xf>
    <xf numFmtId="178" fontId="65" fillId="9" borderId="1" applyNumberFormat="0" applyAlignment="0" applyProtection="0">
      <alignment vertical="center"/>
    </xf>
    <xf numFmtId="178" fontId="65" fillId="9" borderId="1" applyNumberFormat="0" applyAlignment="0" applyProtection="0">
      <alignment vertical="center"/>
    </xf>
    <xf numFmtId="178" fontId="65" fillId="9" borderId="1" applyNumberFormat="0" applyAlignment="0" applyProtection="0">
      <alignment vertical="center"/>
    </xf>
    <xf numFmtId="178" fontId="65" fillId="9" borderId="1" applyNumberFormat="0" applyAlignment="0" applyProtection="0">
      <alignment vertical="center"/>
    </xf>
    <xf numFmtId="178" fontId="65" fillId="9" borderId="1" applyNumberFormat="0" applyAlignment="0" applyProtection="0">
      <alignment vertical="center"/>
    </xf>
    <xf numFmtId="178" fontId="65" fillId="9" borderId="1" applyNumberFormat="0" applyAlignment="0" applyProtection="0">
      <alignment vertical="center"/>
    </xf>
    <xf numFmtId="178" fontId="65" fillId="9" borderId="1" applyNumberFormat="0" applyAlignment="0" applyProtection="0">
      <alignment vertical="center"/>
    </xf>
    <xf numFmtId="178" fontId="65" fillId="9" borderId="1" applyNumberFormat="0" applyAlignment="0" applyProtection="0">
      <alignment vertical="center"/>
    </xf>
    <xf numFmtId="178" fontId="65" fillId="9" borderId="1" applyNumberFormat="0" applyAlignment="0" applyProtection="0">
      <alignment vertical="center"/>
    </xf>
    <xf numFmtId="178" fontId="65" fillId="9" borderId="1" applyNumberFormat="0" applyAlignment="0" applyProtection="0">
      <alignment vertical="center"/>
    </xf>
    <xf numFmtId="178" fontId="66" fillId="0" borderId="0" applyNumberFormat="0" applyFill="0" applyBorder="0" applyAlignment="0" applyProtection="0">
      <alignment vertical="center"/>
    </xf>
    <xf numFmtId="178" fontId="67" fillId="0" borderId="0" applyNumberFormat="0" applyFill="0" applyBorder="0" applyAlignment="0" applyProtection="0">
      <alignment vertical="center"/>
    </xf>
    <xf numFmtId="178" fontId="68" fillId="0" borderId="17" applyNumberFormat="0" applyFill="0" applyAlignment="0" applyProtection="0">
      <alignment vertical="center"/>
    </xf>
    <xf numFmtId="178" fontId="68" fillId="0" borderId="17" applyNumberFormat="0" applyFill="0" applyAlignment="0" applyProtection="0">
      <alignment vertical="center"/>
    </xf>
    <xf numFmtId="178" fontId="68" fillId="0" borderId="17" applyNumberFormat="0" applyFill="0" applyAlignment="0" applyProtection="0">
      <alignment vertical="center"/>
    </xf>
    <xf numFmtId="178" fontId="68" fillId="0" borderId="17" applyNumberFormat="0" applyFill="0" applyAlignment="0" applyProtection="0">
      <alignment vertical="center"/>
    </xf>
    <xf numFmtId="178" fontId="68" fillId="0" borderId="17" applyNumberFormat="0" applyFill="0" applyAlignment="0" applyProtection="0">
      <alignment vertical="center"/>
    </xf>
    <xf numFmtId="178" fontId="68" fillId="0" borderId="17" applyNumberFormat="0" applyFill="0" applyAlignment="0" applyProtection="0">
      <alignment vertical="center"/>
    </xf>
    <xf numFmtId="178" fontId="68" fillId="0" borderId="17" applyNumberFormat="0" applyFill="0" applyAlignment="0" applyProtection="0">
      <alignment vertical="center"/>
    </xf>
    <xf numFmtId="178" fontId="68" fillId="0" borderId="17" applyNumberFormat="0" applyFill="0" applyAlignment="0" applyProtection="0">
      <alignment vertical="center"/>
    </xf>
    <xf numFmtId="178" fontId="68" fillId="0" borderId="17" applyNumberFormat="0" applyFill="0" applyAlignment="0" applyProtection="0">
      <alignment vertical="center"/>
    </xf>
    <xf numFmtId="178" fontId="68" fillId="0" borderId="17" applyNumberFormat="0" applyFill="0" applyAlignment="0" applyProtection="0">
      <alignment vertical="center"/>
    </xf>
    <xf numFmtId="178" fontId="68" fillId="0" borderId="17" applyNumberFormat="0" applyFill="0" applyAlignment="0" applyProtection="0">
      <alignment vertical="center"/>
    </xf>
    <xf numFmtId="178" fontId="68" fillId="0" borderId="17" applyNumberFormat="0" applyFill="0" applyAlignment="0" applyProtection="0">
      <alignment vertical="center"/>
    </xf>
    <xf numFmtId="178" fontId="68" fillId="0" borderId="17" applyNumberFormat="0" applyFill="0" applyAlignment="0" applyProtection="0">
      <alignment vertical="center"/>
    </xf>
    <xf numFmtId="178" fontId="68" fillId="0" borderId="17" applyNumberFormat="0" applyFill="0" applyAlignment="0" applyProtection="0">
      <alignment vertical="center"/>
    </xf>
    <xf numFmtId="178" fontId="68" fillId="0" borderId="17" applyNumberFormat="0" applyFill="0" applyAlignment="0" applyProtection="0">
      <alignment vertical="center"/>
    </xf>
    <xf numFmtId="178" fontId="68" fillId="0" borderId="17" applyNumberFormat="0" applyFill="0" applyAlignment="0" applyProtection="0">
      <alignment vertical="center"/>
    </xf>
    <xf numFmtId="178" fontId="68" fillId="0" borderId="17" applyNumberFormat="0" applyFill="0" applyAlignment="0" applyProtection="0">
      <alignment vertical="center"/>
    </xf>
    <xf numFmtId="178" fontId="68" fillId="0" borderId="17" applyNumberFormat="0" applyFill="0" applyAlignment="0" applyProtection="0">
      <alignment vertical="center"/>
    </xf>
    <xf numFmtId="178" fontId="68" fillId="0" borderId="17" applyNumberFormat="0" applyFill="0" applyAlignment="0" applyProtection="0">
      <alignment vertical="center"/>
    </xf>
    <xf numFmtId="178" fontId="68" fillId="0" borderId="17" applyNumberFormat="0" applyFill="0" applyAlignment="0" applyProtection="0">
      <alignment vertical="center"/>
    </xf>
    <xf numFmtId="0" fontId="8" fillId="0" borderId="0"/>
    <xf numFmtId="166" fontId="9" fillId="0" borderId="0" applyFont="0" applyFill="0" applyBorder="0" applyAlignment="0" applyProtection="0"/>
    <xf numFmtId="0" fontId="7" fillId="0" borderId="0"/>
    <xf numFmtId="0" fontId="6" fillId="0" borderId="0"/>
    <xf numFmtId="0" fontId="9" fillId="0" borderId="0"/>
    <xf numFmtId="0" fontId="5" fillId="0" borderId="0"/>
    <xf numFmtId="0" fontId="9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5" fillId="70" borderId="0" applyBorder="0"/>
    <xf numFmtId="44" fontId="9" fillId="0" borderId="0" applyFont="0" applyFill="0" applyBorder="0" applyAlignment="0" applyProtection="0"/>
    <xf numFmtId="0" fontId="4" fillId="0" borderId="0"/>
    <xf numFmtId="9" fontId="9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129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129" fillId="0" borderId="0" applyFont="0" applyFill="0" applyBorder="0" applyAlignment="0" applyProtection="0"/>
    <xf numFmtId="0" fontId="130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914">
    <xf numFmtId="0" fontId="0" fillId="0" borderId="0" xfId="0"/>
    <xf numFmtId="0" fontId="93" fillId="0" borderId="0" xfId="0" applyFont="1" applyAlignment="1">
      <alignment horizontal="center" vertical="center" wrapText="1"/>
    </xf>
    <xf numFmtId="0" fontId="93" fillId="0" borderId="4" xfId="0" applyFont="1" applyBorder="1" applyAlignment="1">
      <alignment horizontal="center" vertical="center" wrapText="1"/>
    </xf>
    <xf numFmtId="171" fontId="93" fillId="0" borderId="0" xfId="98" applyNumberFormat="1" applyFont="1" applyFill="1" applyBorder="1" applyAlignment="1">
      <alignment horizontal="center" vertical="center" wrapText="1"/>
    </xf>
    <xf numFmtId="0" fontId="46" fillId="0" borderId="3" xfId="0" applyFont="1" applyBorder="1" applyAlignment="1">
      <alignment horizontal="center" vertical="center"/>
    </xf>
    <xf numFmtId="0" fontId="46" fillId="0" borderId="0" xfId="0" applyFont="1"/>
    <xf numFmtId="0" fontId="46" fillId="0" borderId="0" xfId="0" applyFont="1" applyAlignment="1">
      <alignment horizontal="center"/>
    </xf>
    <xf numFmtId="0" fontId="46" fillId="0" borderId="0" xfId="0" applyFont="1" applyAlignment="1">
      <alignment wrapText="1"/>
    </xf>
    <xf numFmtId="0" fontId="46" fillId="0" borderId="0" xfId="0" applyFont="1" applyAlignment="1">
      <alignment horizontal="left"/>
    </xf>
    <xf numFmtId="171" fontId="46" fillId="0" borderId="0" xfId="98" applyNumberFormat="1" applyFont="1" applyAlignment="1">
      <alignment horizontal="center"/>
    </xf>
    <xf numFmtId="9" fontId="46" fillId="0" borderId="0" xfId="345" applyFont="1" applyAlignment="1">
      <alignment horizontal="center"/>
    </xf>
    <xf numFmtId="0" fontId="94" fillId="69" borderId="3" xfId="0" applyFont="1" applyFill="1" applyBorder="1" applyAlignment="1">
      <alignment horizontal="center" vertical="center" wrapText="1"/>
    </xf>
    <xf numFmtId="171" fontId="94" fillId="69" borderId="3" xfId="98" applyNumberFormat="1" applyFont="1" applyFill="1" applyBorder="1" applyAlignment="1">
      <alignment horizontal="center" vertical="center" wrapText="1"/>
    </xf>
    <xf numFmtId="0" fontId="95" fillId="0" borderId="3" xfId="0" applyFont="1" applyBorder="1" applyAlignment="1">
      <alignment horizontal="center" vertical="top"/>
    </xf>
    <xf numFmtId="0" fontId="17" fillId="0" borderId="3" xfId="0" applyFont="1" applyBorder="1" applyAlignment="1">
      <alignment horizontal="center" vertical="center"/>
    </xf>
    <xf numFmtId="171" fontId="17" fillId="0" borderId="3" xfId="98" applyNumberFormat="1" applyFont="1" applyBorder="1" applyAlignment="1">
      <alignment horizontal="center" vertical="center"/>
    </xf>
    <xf numFmtId="0" fontId="95" fillId="0" borderId="0" xfId="0" applyFont="1" applyAlignment="1">
      <alignment horizontal="center" vertical="top"/>
    </xf>
    <xf numFmtId="0" fontId="17" fillId="63" borderId="3" xfId="0" applyFont="1" applyFill="1" applyBorder="1" applyAlignment="1">
      <alignment vertical="center" wrapText="1"/>
    </xf>
    <xf numFmtId="171" fontId="17" fillId="63" borderId="3" xfId="98" applyNumberFormat="1" applyFont="1" applyFill="1" applyBorder="1" applyAlignment="1">
      <alignment vertical="center" wrapText="1"/>
    </xf>
    <xf numFmtId="0" fontId="96" fillId="62" borderId="3" xfId="0" applyFont="1" applyFill="1" applyBorder="1" applyAlignment="1">
      <alignment wrapText="1"/>
    </xf>
    <xf numFmtId="171" fontId="96" fillId="62" borderId="3" xfId="98" applyNumberFormat="1" applyFont="1" applyFill="1" applyBorder="1" applyAlignment="1">
      <alignment wrapText="1"/>
    </xf>
    <xf numFmtId="0" fontId="46" fillId="0" borderId="3" xfId="0" applyFont="1" applyBorder="1" applyAlignment="1">
      <alignment wrapText="1"/>
    </xf>
    <xf numFmtId="9" fontId="46" fillId="0" borderId="3" xfId="337" applyFont="1" applyFill="1" applyBorder="1" applyAlignment="1">
      <alignment horizontal="center" wrapText="1"/>
    </xf>
    <xf numFmtId="173" fontId="46" fillId="0" borderId="3" xfId="98" applyNumberFormat="1" applyFont="1" applyFill="1" applyBorder="1" applyAlignment="1">
      <alignment horizontal="center" wrapText="1"/>
    </xf>
    <xf numFmtId="0" fontId="97" fillId="0" borderId="0" xfId="0" applyFont="1" applyAlignment="1">
      <alignment wrapText="1"/>
    </xf>
    <xf numFmtId="9" fontId="96" fillId="62" borderId="3" xfId="337" applyFont="1" applyFill="1" applyBorder="1" applyAlignment="1">
      <alignment wrapText="1"/>
    </xf>
    <xf numFmtId="0" fontId="17" fillId="61" borderId="3" xfId="0" applyFont="1" applyFill="1" applyBorder="1" applyAlignment="1">
      <alignment wrapText="1"/>
    </xf>
    <xf numFmtId="9" fontId="17" fillId="61" borderId="3" xfId="337" applyFont="1" applyFill="1" applyBorder="1" applyAlignment="1">
      <alignment wrapText="1"/>
    </xf>
    <xf numFmtId="173" fontId="17" fillId="61" borderId="3" xfId="337" applyNumberFormat="1" applyFont="1" applyFill="1" applyBorder="1" applyAlignment="1">
      <alignment wrapText="1"/>
    </xf>
    <xf numFmtId="3" fontId="46" fillId="0" borderId="0" xfId="0" applyNumberFormat="1" applyFont="1" applyAlignment="1">
      <alignment horizontal="center"/>
    </xf>
    <xf numFmtId="0" fontId="17" fillId="0" borderId="0" xfId="0" applyFont="1"/>
    <xf numFmtId="3" fontId="46" fillId="0" borderId="0" xfId="0" applyNumberFormat="1" applyFont="1"/>
    <xf numFmtId="171" fontId="46" fillId="0" borderId="0" xfId="0" applyNumberFormat="1" applyFont="1"/>
    <xf numFmtId="0" fontId="17" fillId="63" borderId="0" xfId="0" applyFont="1" applyFill="1" applyAlignment="1">
      <alignment vertical="center" wrapText="1"/>
    </xf>
    <xf numFmtId="0" fontId="17" fillId="63" borderId="0" xfId="0" applyFont="1" applyFill="1" applyAlignment="1">
      <alignment wrapText="1"/>
    </xf>
    <xf numFmtId="3" fontId="17" fillId="63" borderId="0" xfId="0" applyNumberFormat="1" applyFont="1" applyFill="1" applyAlignment="1">
      <alignment wrapText="1"/>
    </xf>
    <xf numFmtId="3" fontId="46" fillId="63" borderId="0" xfId="0" applyNumberFormat="1" applyFont="1" applyFill="1"/>
    <xf numFmtId="0" fontId="93" fillId="61" borderId="0" xfId="0" applyFont="1" applyFill="1" applyAlignment="1">
      <alignment horizontal="left" wrapText="1"/>
    </xf>
    <xf numFmtId="3" fontId="17" fillId="0" borderId="0" xfId="0" applyNumberFormat="1" applyFont="1" applyAlignment="1">
      <alignment horizontal="right" wrapText="1"/>
    </xf>
    <xf numFmtId="3" fontId="46" fillId="0" borderId="0" xfId="0" applyNumberFormat="1" applyFont="1" applyAlignment="1">
      <alignment horizontal="right" wrapText="1"/>
    </xf>
    <xf numFmtId="167" fontId="46" fillId="0" borderId="0" xfId="0" applyNumberFormat="1" applyFont="1" applyAlignment="1">
      <alignment horizontal="right" wrapText="1"/>
    </xf>
    <xf numFmtId="0" fontId="46" fillId="0" borderId="0" xfId="0" applyFont="1" applyAlignment="1">
      <alignment horizontal="left" wrapText="1"/>
    </xf>
    <xf numFmtId="0" fontId="17" fillId="61" borderId="0" xfId="0" applyFont="1" applyFill="1" applyAlignment="1">
      <alignment horizontal="left" vertical="top"/>
    </xf>
    <xf numFmtId="167" fontId="17" fillId="61" borderId="0" xfId="0" applyNumberFormat="1" applyFont="1" applyFill="1" applyAlignment="1">
      <alignment horizontal="right" wrapText="1"/>
    </xf>
    <xf numFmtId="167" fontId="98" fillId="61" borderId="0" xfId="0" applyNumberFormat="1" applyFont="1" applyFill="1" applyAlignment="1">
      <alignment horizontal="right" wrapText="1"/>
    </xf>
    <xf numFmtId="0" fontId="46" fillId="0" borderId="0" xfId="0" applyFont="1" applyAlignment="1">
      <alignment horizontal="left" vertical="top" wrapText="1"/>
    </xf>
    <xf numFmtId="0" fontId="46" fillId="0" borderId="0" xfId="0" applyFont="1" applyAlignment="1">
      <alignment horizontal="left" vertical="top"/>
    </xf>
    <xf numFmtId="3" fontId="46" fillId="0" borderId="0" xfId="0" applyNumberFormat="1" applyFont="1" applyAlignment="1">
      <alignment wrapText="1"/>
    </xf>
    <xf numFmtId="2" fontId="46" fillId="0" borderId="0" xfId="0" applyNumberFormat="1" applyFont="1"/>
    <xf numFmtId="167" fontId="46" fillId="0" borderId="0" xfId="52" applyNumberFormat="1" applyFont="1" applyFill="1" applyAlignment="1">
      <alignment horizontal="right" wrapText="1"/>
    </xf>
    <xf numFmtId="0" fontId="99" fillId="0" borderId="0" xfId="0" applyFont="1" applyAlignment="1">
      <alignment wrapText="1"/>
    </xf>
    <xf numFmtId="0" fontId="17" fillId="0" borderId="0" xfId="0" applyFont="1" applyAlignment="1">
      <alignment wrapText="1"/>
    </xf>
    <xf numFmtId="172" fontId="46" fillId="0" borderId="0" xfId="0" applyNumberFormat="1" applyFont="1" applyAlignment="1">
      <alignment horizontal="right" wrapText="1"/>
    </xf>
    <xf numFmtId="171" fontId="46" fillId="0" borderId="0" xfId="98" applyNumberFormat="1" applyFont="1"/>
    <xf numFmtId="167" fontId="17" fillId="0" borderId="0" xfId="0" applyNumberFormat="1" applyFont="1" applyAlignment="1">
      <alignment horizontal="right" wrapText="1"/>
    </xf>
    <xf numFmtId="10" fontId="46" fillId="0" borderId="0" xfId="0" applyNumberFormat="1" applyFont="1" applyAlignment="1">
      <alignment horizontal="right" wrapText="1"/>
    </xf>
    <xf numFmtId="43" fontId="46" fillId="0" borderId="0" xfId="0" applyNumberFormat="1" applyFont="1"/>
    <xf numFmtId="175" fontId="46" fillId="0" borderId="0" xfId="0" applyNumberFormat="1" applyFont="1"/>
    <xf numFmtId="169" fontId="46" fillId="0" borderId="0" xfId="0" applyNumberFormat="1" applyFont="1"/>
    <xf numFmtId="2" fontId="96" fillId="62" borderId="3" xfId="337" applyNumberFormat="1" applyFont="1" applyFill="1" applyBorder="1" applyAlignment="1">
      <alignment wrapText="1"/>
    </xf>
    <xf numFmtId="1" fontId="46" fillId="0" borderId="3" xfId="337" applyNumberFormat="1" applyFont="1" applyFill="1" applyBorder="1" applyAlignment="1">
      <alignment horizontal="center" wrapText="1"/>
    </xf>
    <xf numFmtId="0" fontId="96" fillId="62" borderId="0" xfId="0" applyFont="1" applyFill="1" applyAlignment="1">
      <alignment wrapText="1"/>
    </xf>
    <xf numFmtId="0" fontId="17" fillId="62" borderId="0" xfId="0" applyFont="1" applyFill="1" applyAlignment="1">
      <alignment horizontal="left" vertical="top"/>
    </xf>
    <xf numFmtId="0" fontId="17" fillId="62" borderId="0" xfId="0" applyFont="1" applyFill="1" applyAlignment="1">
      <alignment horizontal="right" wrapText="1"/>
    </xf>
    <xf numFmtId="3" fontId="17" fillId="62" borderId="0" xfId="0" applyNumberFormat="1" applyFont="1" applyFill="1" applyAlignment="1">
      <alignment horizontal="right" wrapText="1"/>
    </xf>
    <xf numFmtId="3" fontId="46" fillId="62" borderId="0" xfId="0" applyNumberFormat="1" applyFont="1" applyFill="1" applyAlignment="1">
      <alignment horizontal="right" wrapText="1"/>
    </xf>
    <xf numFmtId="167" fontId="46" fillId="62" borderId="0" xfId="0" applyNumberFormat="1" applyFont="1" applyFill="1" applyAlignment="1">
      <alignment horizontal="right" wrapText="1"/>
    </xf>
    <xf numFmtId="0" fontId="17" fillId="0" borderId="0" xfId="0" applyFont="1" applyAlignment="1">
      <alignment horizontal="left" vertical="top"/>
    </xf>
    <xf numFmtId="9" fontId="46" fillId="0" borderId="0" xfId="0" applyNumberFormat="1" applyFont="1" applyAlignment="1">
      <alignment horizontal="left" vertical="top" wrapText="1"/>
    </xf>
    <xf numFmtId="0" fontId="46" fillId="62" borderId="0" xfId="0" applyFont="1" applyFill="1" applyAlignment="1">
      <alignment wrapText="1"/>
    </xf>
    <xf numFmtId="3" fontId="46" fillId="62" borderId="0" xfId="0" applyNumberFormat="1" applyFont="1" applyFill="1" applyAlignment="1">
      <alignment wrapText="1"/>
    </xf>
    <xf numFmtId="0" fontId="97" fillId="0" borderId="0" xfId="0" applyFont="1" applyAlignment="1">
      <alignment horizontal="right"/>
    </xf>
    <xf numFmtId="0" fontId="93" fillId="68" borderId="0" xfId="0" applyFont="1" applyFill="1" applyAlignment="1">
      <alignment wrapText="1"/>
    </xf>
    <xf numFmtId="9" fontId="46" fillId="68" borderId="0" xfId="0" applyNumberFormat="1" applyFont="1" applyFill="1" applyAlignment="1">
      <alignment horizontal="left" vertical="top" wrapText="1"/>
    </xf>
    <xf numFmtId="0" fontId="46" fillId="68" borderId="0" xfId="0" applyFont="1" applyFill="1" applyAlignment="1">
      <alignment wrapText="1"/>
    </xf>
    <xf numFmtId="170" fontId="46" fillId="68" borderId="0" xfId="0" applyNumberFormat="1" applyFont="1" applyFill="1" applyAlignment="1">
      <alignment wrapText="1"/>
    </xf>
    <xf numFmtId="167" fontId="46" fillId="68" borderId="0" xfId="0" applyNumberFormat="1" applyFont="1" applyFill="1" applyAlignment="1">
      <alignment horizontal="right" wrapText="1"/>
    </xf>
    <xf numFmtId="0" fontId="96" fillId="62" borderId="0" xfId="0" applyFont="1" applyFill="1" applyAlignment="1">
      <alignment horizontal="left" wrapText="1"/>
    </xf>
    <xf numFmtId="3" fontId="46" fillId="62" borderId="0" xfId="0" applyNumberFormat="1" applyFont="1" applyFill="1"/>
    <xf numFmtId="0" fontId="17" fillId="62" borderId="0" xfId="0" applyFont="1" applyFill="1" applyAlignment="1">
      <alignment wrapText="1"/>
    </xf>
    <xf numFmtId="167" fontId="17" fillId="62" borderId="0" xfId="0" applyNumberFormat="1" applyFont="1" applyFill="1" applyAlignment="1">
      <alignment horizontal="right" wrapText="1"/>
    </xf>
    <xf numFmtId="9" fontId="93" fillId="68" borderId="0" xfId="0" applyNumberFormat="1" applyFont="1" applyFill="1" applyAlignment="1">
      <alignment horizontal="left" vertical="top" wrapText="1"/>
    </xf>
    <xf numFmtId="167" fontId="93" fillId="68" borderId="0" xfId="0" applyNumberFormat="1" applyFont="1" applyFill="1" applyAlignment="1">
      <alignment horizontal="right" wrapText="1"/>
    </xf>
    <xf numFmtId="0" fontId="93" fillId="0" borderId="0" xfId="0" applyFont="1"/>
    <xf numFmtId="0" fontId="17" fillId="63" borderId="0" xfId="0" applyFont="1" applyFill="1" applyAlignment="1">
      <alignment vertical="center"/>
    </xf>
    <xf numFmtId="3" fontId="17" fillId="63" borderId="0" xfId="0" applyNumberFormat="1" applyFont="1" applyFill="1"/>
    <xf numFmtId="167" fontId="17" fillId="63" borderId="0" xfId="0" applyNumberFormat="1" applyFont="1" applyFill="1" applyAlignment="1">
      <alignment horizontal="right" wrapText="1"/>
    </xf>
    <xf numFmtId="0" fontId="17" fillId="67" borderId="0" xfId="0" applyFont="1" applyFill="1" applyAlignment="1">
      <alignment horizontal="left" wrapText="1"/>
    </xf>
    <xf numFmtId="0" fontId="17" fillId="67" borderId="0" xfId="0" applyFont="1" applyFill="1" applyAlignment="1">
      <alignment horizontal="left" vertical="top"/>
    </xf>
    <xf numFmtId="167" fontId="17" fillId="67" borderId="0" xfId="0" applyNumberFormat="1" applyFont="1" applyFill="1" applyAlignment="1">
      <alignment horizontal="right" wrapText="1"/>
    </xf>
    <xf numFmtId="0" fontId="93" fillId="0" borderId="0" xfId="0" applyFont="1" applyAlignment="1">
      <alignment horizontal="left" wrapText="1"/>
    </xf>
    <xf numFmtId="167" fontId="98" fillId="0" borderId="0" xfId="0" applyNumberFormat="1" applyFont="1" applyAlignment="1">
      <alignment horizontal="right" wrapText="1"/>
    </xf>
    <xf numFmtId="0" fontId="97" fillId="0" borderId="0" xfId="0" applyFont="1"/>
    <xf numFmtId="10" fontId="17" fillId="0" borderId="0" xfId="0" applyNumberFormat="1" applyFont="1"/>
    <xf numFmtId="173" fontId="46" fillId="0" borderId="0" xfId="0" applyNumberFormat="1" applyFont="1" applyAlignment="1">
      <alignment horizontal="right" wrapText="1"/>
    </xf>
    <xf numFmtId="0" fontId="17" fillId="62" borderId="18" xfId="0" applyFont="1" applyFill="1" applyBorder="1" applyAlignment="1">
      <alignment wrapText="1"/>
    </xf>
    <xf numFmtId="3" fontId="17" fillId="62" borderId="18" xfId="0" applyNumberFormat="1" applyFont="1" applyFill="1" applyBorder="1" applyAlignment="1">
      <alignment horizontal="right" wrapText="1"/>
    </xf>
    <xf numFmtId="173" fontId="17" fillId="62" borderId="18" xfId="98" applyNumberFormat="1" applyFont="1" applyFill="1" applyBorder="1" applyAlignment="1">
      <alignment horizontal="right" wrapText="1"/>
    </xf>
    <xf numFmtId="0" fontId="102" fillId="0" borderId="0" xfId="0" applyFont="1" applyAlignment="1">
      <alignment wrapText="1"/>
    </xf>
    <xf numFmtId="9" fontId="46" fillId="0" borderId="3" xfId="337" applyFont="1" applyBorder="1" applyAlignment="1">
      <alignment horizontal="center" wrapText="1"/>
    </xf>
    <xf numFmtId="9" fontId="17" fillId="63" borderId="0" xfId="337" applyFont="1" applyFill="1" applyBorder="1" applyAlignment="1">
      <alignment horizontal="center" vertical="center" wrapText="1"/>
    </xf>
    <xf numFmtId="9" fontId="96" fillId="62" borderId="0" xfId="337" applyFont="1" applyFill="1" applyBorder="1" applyAlignment="1">
      <alignment horizontal="center" wrapText="1"/>
    </xf>
    <xf numFmtId="9" fontId="46" fillId="0" borderId="0" xfId="337" applyFont="1" applyBorder="1" applyAlignment="1">
      <alignment horizontal="center" wrapText="1"/>
    </xf>
    <xf numFmtId="9" fontId="46" fillId="0" borderId="0" xfId="337" applyFont="1" applyFill="1" applyBorder="1" applyAlignment="1">
      <alignment horizontal="center" wrapText="1"/>
    </xf>
    <xf numFmtId="0" fontId="17" fillId="0" borderId="0" xfId="0" applyFont="1" applyAlignment="1">
      <alignment horizontal="center" vertical="top"/>
    </xf>
    <xf numFmtId="9" fontId="17" fillId="63" borderId="0" xfId="337" applyFont="1" applyFill="1" applyAlignment="1">
      <alignment horizontal="center" wrapText="1"/>
    </xf>
    <xf numFmtId="9" fontId="46" fillId="0" borderId="0" xfId="337" applyFont="1" applyFill="1" applyAlignment="1">
      <alignment horizontal="center" wrapText="1"/>
    </xf>
    <xf numFmtId="9" fontId="96" fillId="62" borderId="0" xfId="337" applyFont="1" applyFill="1" applyAlignment="1">
      <alignment horizontal="center" wrapText="1"/>
    </xf>
    <xf numFmtId="9" fontId="46" fillId="0" borderId="0" xfId="337" applyFont="1" applyAlignment="1">
      <alignment horizontal="center" wrapText="1"/>
    </xf>
    <xf numFmtId="9" fontId="93" fillId="68" borderId="0" xfId="337" applyFont="1" applyFill="1" applyAlignment="1">
      <alignment horizontal="center" wrapText="1"/>
    </xf>
    <xf numFmtId="9" fontId="17" fillId="63" borderId="0" xfId="337" applyFont="1" applyFill="1" applyBorder="1" applyAlignment="1">
      <alignment horizontal="center" vertical="center"/>
    </xf>
    <xf numFmtId="9" fontId="17" fillId="67" borderId="0" xfId="337" applyFont="1" applyFill="1" applyAlignment="1">
      <alignment horizontal="center" wrapText="1"/>
    </xf>
    <xf numFmtId="9" fontId="17" fillId="61" borderId="0" xfId="337" applyFont="1" applyFill="1" applyAlignment="1">
      <alignment horizontal="center" wrapText="1"/>
    </xf>
    <xf numFmtId="9" fontId="17" fillId="0" borderId="0" xfId="337" applyFont="1" applyFill="1" applyAlignment="1">
      <alignment horizontal="center" wrapText="1"/>
    </xf>
    <xf numFmtId="0" fontId="96" fillId="62" borderId="0" xfId="0" applyFont="1" applyFill="1" applyAlignment="1">
      <alignment horizontal="center" wrapText="1"/>
    </xf>
    <xf numFmtId="9" fontId="98" fillId="61" borderId="0" xfId="337" applyFont="1" applyFill="1" applyAlignment="1">
      <alignment horizontal="center" wrapText="1"/>
    </xf>
    <xf numFmtId="9" fontId="17" fillId="0" borderId="0" xfId="337" applyFont="1" applyFill="1" applyBorder="1" applyAlignment="1">
      <alignment horizontal="center" wrapText="1"/>
    </xf>
    <xf numFmtId="9" fontId="99" fillId="0" borderId="0" xfId="337" applyFont="1" applyAlignment="1">
      <alignment horizontal="center" wrapText="1"/>
    </xf>
    <xf numFmtId="9" fontId="97" fillId="0" borderId="0" xfId="337" applyFont="1" applyFill="1" applyAlignment="1">
      <alignment horizontal="center"/>
    </xf>
    <xf numFmtId="9" fontId="17" fillId="62" borderId="18" xfId="337" applyFont="1" applyFill="1" applyBorder="1" applyAlignment="1">
      <alignment horizontal="center" wrapText="1"/>
    </xf>
    <xf numFmtId="9" fontId="102" fillId="0" borderId="0" xfId="337" applyFont="1" applyFill="1" applyAlignment="1">
      <alignment horizontal="center" wrapText="1"/>
    </xf>
    <xf numFmtId="9" fontId="102" fillId="0" borderId="0" xfId="337" applyFont="1" applyAlignment="1">
      <alignment horizontal="center" wrapText="1"/>
    </xf>
    <xf numFmtId="173" fontId="46" fillId="0" borderId="0" xfId="0" applyNumberFormat="1" applyFont="1" applyAlignment="1">
      <alignment wrapText="1"/>
    </xf>
    <xf numFmtId="0" fontId="17" fillId="61" borderId="0" xfId="0" applyFont="1" applyFill="1" applyAlignment="1">
      <alignment wrapText="1"/>
    </xf>
    <xf numFmtId="3" fontId="17" fillId="61" borderId="0" xfId="0" applyNumberFormat="1" applyFont="1" applyFill="1" applyAlignment="1">
      <alignment wrapText="1"/>
    </xf>
    <xf numFmtId="173" fontId="17" fillId="61" borderId="0" xfId="98" applyNumberFormat="1" applyFont="1" applyFill="1" applyBorder="1" applyAlignment="1">
      <alignment horizontal="right" wrapText="1"/>
    </xf>
    <xf numFmtId="0" fontId="17" fillId="0" borderId="0" xfId="0" applyFont="1" applyAlignment="1">
      <alignment horizontal="center" wrapText="1"/>
    </xf>
    <xf numFmtId="3" fontId="17" fillId="0" borderId="0" xfId="0" applyNumberFormat="1" applyFont="1" applyAlignment="1">
      <alignment horizontal="center" wrapText="1"/>
    </xf>
    <xf numFmtId="3" fontId="17" fillId="0" borderId="0" xfId="0" applyNumberFormat="1" applyFont="1" applyAlignment="1">
      <alignment horizontal="center"/>
    </xf>
    <xf numFmtId="172" fontId="17" fillId="61" borderId="0" xfId="0" applyNumberFormat="1" applyFont="1" applyFill="1" applyAlignment="1">
      <alignment horizontal="right" wrapText="1"/>
    </xf>
    <xf numFmtId="173" fontId="17" fillId="61" borderId="0" xfId="0" applyNumberFormat="1" applyFont="1" applyFill="1" applyAlignment="1">
      <alignment horizontal="right" wrapText="1"/>
    </xf>
    <xf numFmtId="0" fontId="17" fillId="61" borderId="0" xfId="0" applyFont="1" applyFill="1" applyAlignment="1">
      <alignment horizontal="left" wrapText="1"/>
    </xf>
    <xf numFmtId="3" fontId="17" fillId="61" borderId="0" xfId="0" applyNumberFormat="1" applyFont="1" applyFill="1" applyAlignment="1">
      <alignment horizontal="right" wrapText="1"/>
    </xf>
    <xf numFmtId="44" fontId="46" fillId="0" borderId="0" xfId="0" applyNumberFormat="1" applyFont="1"/>
    <xf numFmtId="10" fontId="46" fillId="0" borderId="0" xfId="0" applyNumberFormat="1" applyFont="1" applyAlignment="1">
      <alignment wrapText="1"/>
    </xf>
    <xf numFmtId="173" fontId="17" fillId="0" borderId="3" xfId="98" applyNumberFormat="1" applyFont="1" applyFill="1" applyBorder="1" applyAlignment="1">
      <alignment horizontal="center" wrapText="1"/>
    </xf>
    <xf numFmtId="173" fontId="101" fillId="62" borderId="3" xfId="337" applyNumberFormat="1" applyFont="1" applyFill="1" applyBorder="1" applyAlignment="1">
      <alignment wrapText="1"/>
    </xf>
    <xf numFmtId="174" fontId="103" fillId="0" borderId="0" xfId="521" applyNumberFormat="1" applyFont="1"/>
    <xf numFmtId="44" fontId="103" fillId="0" borderId="0" xfId="522" applyFont="1"/>
    <xf numFmtId="2" fontId="103" fillId="0" borderId="0" xfId="521" applyNumberFormat="1" applyFont="1"/>
    <xf numFmtId="10" fontId="103" fillId="0" borderId="0" xfId="521" applyNumberFormat="1" applyFont="1"/>
    <xf numFmtId="9" fontId="103" fillId="0" borderId="0" xfId="523" applyFont="1"/>
    <xf numFmtId="37" fontId="103" fillId="0" borderId="0" xfId="522" applyNumberFormat="1" applyFont="1" applyAlignment="1">
      <alignment horizontal="center"/>
    </xf>
    <xf numFmtId="37" fontId="106" fillId="0" borderId="0" xfId="522" applyNumberFormat="1" applyFont="1" applyAlignment="1">
      <alignment horizontal="center"/>
    </xf>
    <xf numFmtId="44" fontId="104" fillId="64" borderId="24" xfId="522" applyFont="1" applyFill="1" applyBorder="1" applyAlignment="1">
      <alignment horizontal="center" vertical="center" wrapText="1"/>
    </xf>
    <xf numFmtId="2" fontId="104" fillId="64" borderId="24" xfId="524" applyNumberFormat="1" applyFont="1" applyFill="1" applyBorder="1" applyAlignment="1">
      <alignment horizontal="center" vertical="center" wrapText="1"/>
    </xf>
    <xf numFmtId="10" fontId="104" fillId="64" borderId="24" xfId="524" applyNumberFormat="1" applyFont="1" applyFill="1" applyBorder="1" applyAlignment="1">
      <alignment horizontal="center" vertical="center" wrapText="1"/>
    </xf>
    <xf numFmtId="9" fontId="104" fillId="64" borderId="24" xfId="523" applyFont="1" applyFill="1" applyBorder="1" applyAlignment="1">
      <alignment horizontal="center" vertical="center" wrapText="1"/>
    </xf>
    <xf numFmtId="174" fontId="108" fillId="71" borderId="25" xfId="524" applyNumberFormat="1" applyFont="1" applyFill="1" applyBorder="1"/>
    <xf numFmtId="44" fontId="108" fillId="71" borderId="20" xfId="522" applyFont="1" applyFill="1" applyBorder="1"/>
    <xf numFmtId="2" fontId="108" fillId="71" borderId="24" xfId="524" applyNumberFormat="1" applyFont="1" applyFill="1" applyBorder="1"/>
    <xf numFmtId="10" fontId="108" fillId="71" borderId="24" xfId="524" applyNumberFormat="1" applyFont="1" applyFill="1" applyBorder="1"/>
    <xf numFmtId="9" fontId="108" fillId="71" borderId="24" xfId="523" applyFont="1" applyFill="1" applyBorder="1"/>
    <xf numFmtId="44" fontId="108" fillId="71" borderId="24" xfId="522" applyFont="1" applyFill="1" applyBorder="1"/>
    <xf numFmtId="174" fontId="107" fillId="0" borderId="69" xfId="521" applyNumberFormat="1" applyFont="1" applyBorder="1"/>
    <xf numFmtId="174" fontId="108" fillId="0" borderId="19" xfId="521" applyNumberFormat="1" applyFont="1" applyBorder="1"/>
    <xf numFmtId="44" fontId="108" fillId="0" borderId="0" xfId="522" applyFont="1" applyAlignment="1">
      <alignment horizontal="right"/>
    </xf>
    <xf numFmtId="2" fontId="108" fillId="0" borderId="0" xfId="521" applyNumberFormat="1" applyFont="1" applyAlignment="1">
      <alignment horizontal="right"/>
    </xf>
    <xf numFmtId="10" fontId="108" fillId="0" borderId="0" xfId="521" applyNumberFormat="1" applyFont="1" applyAlignment="1">
      <alignment horizontal="right"/>
    </xf>
    <xf numFmtId="174" fontId="108" fillId="0" borderId="4" xfId="521" applyNumberFormat="1" applyFont="1" applyBorder="1" applyAlignment="1">
      <alignment horizontal="right"/>
    </xf>
    <xf numFmtId="9" fontId="108" fillId="0" borderId="0" xfId="523" applyFont="1" applyAlignment="1">
      <alignment horizontal="right"/>
    </xf>
    <xf numFmtId="174" fontId="109" fillId="0" borderId="0" xfId="521" applyNumberFormat="1" applyFont="1"/>
    <xf numFmtId="174" fontId="108" fillId="0" borderId="0" xfId="521" applyNumberFormat="1" applyFont="1"/>
    <xf numFmtId="174" fontId="110" fillId="0" borderId="69" xfId="521" applyNumberFormat="1" applyFont="1" applyBorder="1"/>
    <xf numFmtId="174" fontId="108" fillId="0" borderId="21" xfId="521" applyNumberFormat="1" applyFont="1" applyBorder="1"/>
    <xf numFmtId="193" fontId="109" fillId="0" borderId="0" xfId="521" applyNumberFormat="1" applyFont="1" applyAlignment="1">
      <alignment horizontal="left"/>
    </xf>
    <xf numFmtId="0" fontId="111" fillId="0" borderId="4" xfId="526" applyFont="1" applyBorder="1" applyAlignment="1">
      <alignment horizontal="left" vertical="top" wrapText="1"/>
    </xf>
    <xf numFmtId="174" fontId="103" fillId="0" borderId="4" xfId="521" applyNumberFormat="1" applyFont="1" applyBorder="1"/>
    <xf numFmtId="44" fontId="103" fillId="0" borderId="0" xfId="522" applyFont="1" applyAlignment="1">
      <alignment horizontal="right"/>
    </xf>
    <xf numFmtId="2" fontId="103" fillId="0" borderId="0" xfId="523" applyNumberFormat="1" applyFont="1" applyAlignment="1">
      <alignment horizontal="right"/>
    </xf>
    <xf numFmtId="10" fontId="103" fillId="0" borderId="0" xfId="521" applyNumberFormat="1" applyFont="1" applyAlignment="1">
      <alignment horizontal="right"/>
    </xf>
    <xf numFmtId="174" fontId="103" fillId="0" borderId="4" xfId="525" applyNumberFormat="1" applyFont="1" applyBorder="1"/>
    <xf numFmtId="9" fontId="103" fillId="0" borderId="0" xfId="523" applyFont="1" applyAlignment="1">
      <alignment horizontal="right"/>
    </xf>
    <xf numFmtId="3" fontId="109" fillId="0" borderId="0" xfId="521" applyNumberFormat="1" applyFont="1" applyAlignment="1">
      <alignment horizontal="left"/>
    </xf>
    <xf numFmtId="174" fontId="112" fillId="0" borderId="0" xfId="521" applyNumberFormat="1" applyFont="1"/>
    <xf numFmtId="174" fontId="107" fillId="0" borderId="22" xfId="521" applyNumberFormat="1" applyFont="1" applyBorder="1" applyAlignment="1">
      <alignment horizontal="left"/>
    </xf>
    <xf numFmtId="174" fontId="103" fillId="0" borderId="3" xfId="524" quotePrefix="1" applyNumberFormat="1" applyFont="1" applyFill="1" applyBorder="1" applyAlignment="1">
      <alignment horizontal="center"/>
    </xf>
    <xf numFmtId="44" fontId="103" fillId="66" borderId="6" xfId="522" applyFont="1" applyFill="1" applyBorder="1"/>
    <xf numFmtId="2" fontId="103" fillId="66" borderId="6" xfId="525" applyNumberFormat="1" applyFont="1" applyFill="1" applyBorder="1"/>
    <xf numFmtId="10" fontId="103" fillId="0" borderId="6" xfId="521" applyNumberFormat="1" applyFont="1" applyBorder="1"/>
    <xf numFmtId="9" fontId="103" fillId="0" borderId="6" xfId="523" applyFont="1" applyBorder="1"/>
    <xf numFmtId="174" fontId="103" fillId="0" borderId="21" xfId="524" quotePrefix="1" applyNumberFormat="1" applyFont="1" applyFill="1" applyBorder="1" applyAlignment="1">
      <alignment horizontal="center"/>
    </xf>
    <xf numFmtId="44" fontId="103" fillId="0" borderId="0" xfId="522" applyFont="1" applyBorder="1"/>
    <xf numFmtId="2" fontId="103" fillId="0" borderId="0" xfId="525" applyNumberFormat="1" applyFont="1" applyBorder="1"/>
    <xf numFmtId="10" fontId="113" fillId="0" borderId="0" xfId="521" applyNumberFormat="1" applyFont="1"/>
    <xf numFmtId="9" fontId="113" fillId="0" borderId="0" xfId="523" applyFont="1"/>
    <xf numFmtId="174" fontId="103" fillId="0" borderId="69" xfId="524" applyNumberFormat="1" applyFont="1" applyFill="1" applyBorder="1" applyAlignment="1">
      <alignment horizontal="left" indent="1"/>
    </xf>
    <xf numFmtId="174" fontId="107" fillId="72" borderId="22" xfId="524" applyNumberFormat="1" applyFont="1" applyFill="1" applyBorder="1"/>
    <xf numFmtId="174" fontId="108" fillId="72" borderId="3" xfId="524" applyNumberFormat="1" applyFont="1" applyFill="1" applyBorder="1"/>
    <xf numFmtId="44" fontId="108" fillId="72" borderId="6" xfId="522" applyFont="1" applyFill="1" applyBorder="1"/>
    <xf numFmtId="2" fontId="108" fillId="72" borderId="6" xfId="525" applyNumberFormat="1" applyFont="1" applyFill="1" applyBorder="1"/>
    <xf numFmtId="10" fontId="108" fillId="72" borderId="6" xfId="525" applyNumberFormat="1" applyFont="1" applyFill="1" applyBorder="1"/>
    <xf numFmtId="9" fontId="108" fillId="72" borderId="6" xfId="523" applyFont="1" applyFill="1" applyBorder="1"/>
    <xf numFmtId="37" fontId="106" fillId="0" borderId="24" xfId="522" applyNumberFormat="1" applyFont="1" applyBorder="1" applyAlignment="1">
      <alignment horizontal="center"/>
    </xf>
    <xf numFmtId="174" fontId="103" fillId="0" borderId="24" xfId="521" applyNumberFormat="1" applyFont="1" applyBorder="1"/>
    <xf numFmtId="174" fontId="108" fillId="0" borderId="24" xfId="521" applyNumberFormat="1" applyFont="1" applyBorder="1"/>
    <xf numFmtId="174" fontId="114" fillId="0" borderId="69" xfId="524" applyNumberFormat="1" applyFont="1" applyFill="1" applyBorder="1" applyAlignment="1">
      <alignment horizontal="left" indent="1"/>
    </xf>
    <xf numFmtId="174" fontId="103" fillId="0" borderId="4" xfId="524" quotePrefix="1" applyNumberFormat="1" applyFont="1" applyFill="1" applyBorder="1" applyAlignment="1">
      <alignment horizontal="center"/>
    </xf>
    <xf numFmtId="174" fontId="114" fillId="0" borderId="68" xfId="521" applyNumberFormat="1" applyFont="1" applyBorder="1" applyAlignment="1">
      <alignment horizontal="left" indent="1"/>
    </xf>
    <xf numFmtId="174" fontId="103" fillId="0" borderId="11" xfId="524" quotePrefix="1" applyNumberFormat="1" applyFont="1" applyFill="1" applyBorder="1" applyAlignment="1">
      <alignment horizontal="center"/>
    </xf>
    <xf numFmtId="44" fontId="103" fillId="0" borderId="24" xfId="522" applyFont="1" applyBorder="1"/>
    <xf numFmtId="2" fontId="103" fillId="0" borderId="24" xfId="525" applyNumberFormat="1" applyFont="1" applyBorder="1"/>
    <xf numFmtId="10" fontId="103" fillId="0" borderId="24" xfId="521" applyNumberFormat="1" applyFont="1" applyBorder="1"/>
    <xf numFmtId="174" fontId="103" fillId="0" borderId="10" xfId="525" applyNumberFormat="1" applyFont="1" applyBorder="1"/>
    <xf numFmtId="174" fontId="103" fillId="0" borderId="21" xfId="524" quotePrefix="1" applyNumberFormat="1" applyFont="1" applyFill="1" applyBorder="1"/>
    <xf numFmtId="174" fontId="103" fillId="0" borderId="4" xfId="524" applyNumberFormat="1" applyFont="1" applyFill="1" applyBorder="1"/>
    <xf numFmtId="174" fontId="107" fillId="72" borderId="68" xfId="524" applyNumberFormat="1" applyFont="1" applyFill="1" applyBorder="1"/>
    <xf numFmtId="174" fontId="108" fillId="72" borderId="11" xfId="524" applyNumberFormat="1" applyFont="1" applyFill="1" applyBorder="1"/>
    <xf numFmtId="44" fontId="108" fillId="72" borderId="24" xfId="522" applyFont="1" applyFill="1" applyBorder="1"/>
    <xf numFmtId="2" fontId="108" fillId="72" borderId="24" xfId="525" applyNumberFormat="1" applyFont="1" applyFill="1" applyBorder="1"/>
    <xf numFmtId="10" fontId="108" fillId="72" borderId="24" xfId="525" applyNumberFormat="1" applyFont="1" applyFill="1" applyBorder="1"/>
    <xf numFmtId="9" fontId="108" fillId="72" borderId="24" xfId="523" applyFont="1" applyFill="1" applyBorder="1"/>
    <xf numFmtId="174" fontId="115" fillId="0" borderId="24" xfId="521" applyNumberFormat="1" applyFont="1" applyBorder="1"/>
    <xf numFmtId="174" fontId="115" fillId="0" borderId="0" xfId="521" applyNumberFormat="1" applyFont="1"/>
    <xf numFmtId="174" fontId="107" fillId="72" borderId="3" xfId="524" applyNumberFormat="1" applyFont="1" applyFill="1" applyBorder="1"/>
    <xf numFmtId="2" fontId="108" fillId="72" borderId="6" xfId="524" applyNumberFormat="1" applyFont="1" applyFill="1" applyBorder="1"/>
    <xf numFmtId="10" fontId="108" fillId="72" borderId="6" xfId="524" applyNumberFormat="1" applyFont="1" applyFill="1" applyBorder="1"/>
    <xf numFmtId="174" fontId="103" fillId="0" borderId="21" xfId="524" applyNumberFormat="1" applyFont="1" applyFill="1" applyBorder="1"/>
    <xf numFmtId="2" fontId="103" fillId="0" borderId="0" xfId="525" applyNumberFormat="1" applyFont="1"/>
    <xf numFmtId="10" fontId="103" fillId="0" borderId="0" xfId="524" applyNumberFormat="1" applyFont="1" applyFill="1"/>
    <xf numFmtId="9" fontId="103" fillId="0" borderId="0" xfId="523" applyFont="1" applyFill="1"/>
    <xf numFmtId="174" fontId="114" fillId="0" borderId="21" xfId="524" applyNumberFormat="1" applyFont="1" applyFill="1" applyBorder="1" applyAlignment="1">
      <alignment horizontal="left" indent="1"/>
    </xf>
    <xf numFmtId="44" fontId="103" fillId="0" borderId="0" xfId="522" applyFont="1" applyFill="1"/>
    <xf numFmtId="2" fontId="103" fillId="0" borderId="0" xfId="525" applyNumberFormat="1" applyFont="1" applyFill="1"/>
    <xf numFmtId="174" fontId="103" fillId="0" borderId="19" xfId="524" quotePrefix="1" applyNumberFormat="1" applyFont="1" applyFill="1" applyBorder="1" applyAlignment="1">
      <alignment horizontal="center"/>
    </xf>
    <xf numFmtId="2" fontId="103" fillId="0" borderId="0" xfId="523" applyNumberFormat="1" applyFont="1"/>
    <xf numFmtId="174" fontId="116" fillId="0" borderId="4" xfId="521" applyNumberFormat="1" applyFont="1" applyBorder="1"/>
    <xf numFmtId="44" fontId="103" fillId="0" borderId="0" xfId="522" applyFont="1" applyFill="1" applyBorder="1"/>
    <xf numFmtId="2" fontId="103" fillId="0" borderId="0" xfId="525" applyNumberFormat="1" applyFont="1" applyFill="1" applyBorder="1"/>
    <xf numFmtId="44" fontId="103" fillId="0" borderId="24" xfId="522" applyFont="1" applyFill="1" applyBorder="1"/>
    <xf numFmtId="2" fontId="103" fillId="0" borderId="24" xfId="525" applyNumberFormat="1" applyFont="1" applyFill="1" applyBorder="1"/>
    <xf numFmtId="174" fontId="114" fillId="0" borderId="10" xfId="524" applyNumberFormat="1" applyFont="1" applyFill="1" applyBorder="1" applyAlignment="1">
      <alignment horizontal="left" indent="1"/>
    </xf>
    <xf numFmtId="174" fontId="107" fillId="72" borderId="11" xfId="524" applyNumberFormat="1" applyFont="1" applyFill="1" applyBorder="1"/>
    <xf numFmtId="10" fontId="108" fillId="72" borderId="24" xfId="524" applyNumberFormat="1" applyFont="1" applyFill="1" applyBorder="1"/>
    <xf numFmtId="174" fontId="114" fillId="0" borderId="26" xfId="524" applyNumberFormat="1" applyFont="1" applyFill="1" applyBorder="1" applyAlignment="1">
      <alignment horizontal="left" indent="1"/>
    </xf>
    <xf numFmtId="174" fontId="107" fillId="73" borderId="3" xfId="525" applyNumberFormat="1" applyFont="1" applyFill="1" applyBorder="1"/>
    <xf numFmtId="174" fontId="108" fillId="73" borderId="23" xfId="524" applyNumberFormat="1" applyFont="1" applyFill="1" applyBorder="1" applyAlignment="1">
      <alignment horizontal="center"/>
    </xf>
    <xf numFmtId="44" fontId="108" fillId="73" borderId="6" xfId="522" applyFont="1" applyFill="1" applyBorder="1"/>
    <xf numFmtId="2" fontId="108" fillId="73" borderId="6" xfId="524" applyNumberFormat="1" applyFont="1" applyFill="1" applyBorder="1"/>
    <xf numFmtId="10" fontId="108" fillId="73" borderId="6" xfId="524" applyNumberFormat="1" applyFont="1" applyFill="1" applyBorder="1"/>
    <xf numFmtId="9" fontId="108" fillId="73" borderId="6" xfId="523" applyFont="1" applyFill="1" applyBorder="1"/>
    <xf numFmtId="174" fontId="105" fillId="65" borderId="3" xfId="524" applyNumberFormat="1" applyFont="1" applyFill="1" applyBorder="1"/>
    <xf numFmtId="174" fontId="107" fillId="65" borderId="23" xfId="524" applyNumberFormat="1" applyFont="1" applyFill="1" applyBorder="1"/>
    <xf numFmtId="174" fontId="107" fillId="65" borderId="6" xfId="524" applyNumberFormat="1" applyFont="1" applyFill="1" applyBorder="1"/>
    <xf numFmtId="0" fontId="117" fillId="0" borderId="46" xfId="526" applyFont="1" applyBorder="1" applyAlignment="1">
      <alignment horizontal="left" vertical="top" wrapText="1"/>
    </xf>
    <xf numFmtId="0" fontId="15" fillId="0" borderId="48" xfId="526" applyFont="1" applyBorder="1" applyAlignment="1">
      <alignment horizontal="left" vertical="top" wrapText="1"/>
    </xf>
    <xf numFmtId="2" fontId="103" fillId="0" borderId="0" xfId="523" applyNumberFormat="1" applyFont="1" applyFill="1"/>
    <xf numFmtId="10" fontId="103" fillId="0" borderId="0" xfId="527" applyNumberFormat="1" applyFont="1" applyAlignment="1">
      <alignment horizontal="right"/>
    </xf>
    <xf numFmtId="174" fontId="103" fillId="0" borderId="10" xfId="524" quotePrefix="1" applyNumberFormat="1" applyFont="1" applyFill="1" applyBorder="1" applyAlignment="1">
      <alignment horizontal="center"/>
    </xf>
    <xf numFmtId="2" fontId="103" fillId="0" borderId="24" xfId="523" applyNumberFormat="1" applyFont="1" applyFill="1" applyBorder="1"/>
    <xf numFmtId="10" fontId="103" fillId="0" borderId="24" xfId="527" applyNumberFormat="1" applyFont="1" applyBorder="1" applyAlignment="1">
      <alignment horizontal="right"/>
    </xf>
    <xf numFmtId="9" fontId="103" fillId="0" borderId="24" xfId="523" applyFont="1" applyBorder="1" applyAlignment="1">
      <alignment horizontal="right"/>
    </xf>
    <xf numFmtId="174" fontId="107" fillId="64" borderId="11" xfId="525" applyNumberFormat="1" applyFont="1" applyFill="1" applyBorder="1"/>
    <xf numFmtId="174" fontId="108" fillId="64" borderId="10" xfId="525" applyNumberFormat="1" applyFont="1" applyFill="1" applyBorder="1" applyAlignment="1">
      <alignment horizontal="center"/>
    </xf>
    <xf numFmtId="44" fontId="108" fillId="64" borderId="24" xfId="522" applyFont="1" applyFill="1" applyBorder="1"/>
    <xf numFmtId="2" fontId="108" fillId="64" borderId="24" xfId="525" applyNumberFormat="1" applyFont="1" applyFill="1" applyBorder="1"/>
    <xf numFmtId="10" fontId="108" fillId="64" borderId="24" xfId="525" applyNumberFormat="1" applyFont="1" applyFill="1" applyBorder="1"/>
    <xf numFmtId="9" fontId="108" fillId="64" borderId="24" xfId="523" applyFont="1" applyFill="1" applyBorder="1"/>
    <xf numFmtId="174" fontId="114" fillId="0" borderId="10" xfId="521" applyNumberFormat="1" applyFont="1" applyBorder="1"/>
    <xf numFmtId="174" fontId="103" fillId="0" borderId="10" xfId="521" applyNumberFormat="1" applyFont="1" applyBorder="1"/>
    <xf numFmtId="2" fontId="103" fillId="0" borderId="24" xfId="521" applyNumberFormat="1" applyFont="1" applyBorder="1"/>
    <xf numFmtId="9" fontId="103" fillId="0" borderId="24" xfId="523" applyFont="1" applyBorder="1"/>
    <xf numFmtId="174" fontId="116" fillId="74" borderId="3" xfId="524" applyNumberFormat="1" applyFont="1" applyFill="1" applyBorder="1" applyAlignment="1">
      <alignment horizontal="left" wrapText="1"/>
    </xf>
    <xf numFmtId="174" fontId="103" fillId="74" borderId="23" xfId="521" applyNumberFormat="1" applyFont="1" applyFill="1" applyBorder="1" applyAlignment="1">
      <alignment horizontal="center"/>
    </xf>
    <xf numFmtId="44" fontId="103" fillId="74" borderId="6" xfId="522" applyFont="1" applyFill="1" applyBorder="1"/>
    <xf numFmtId="2" fontId="103" fillId="74" borderId="6" xfId="521" applyNumberFormat="1" applyFont="1" applyFill="1" applyBorder="1"/>
    <xf numFmtId="10" fontId="103" fillId="74" borderId="6" xfId="521" applyNumberFormat="1" applyFont="1" applyFill="1" applyBorder="1"/>
    <xf numFmtId="9" fontId="103" fillId="74" borderId="6" xfId="523" applyFont="1" applyFill="1" applyBorder="1"/>
    <xf numFmtId="174" fontId="105" fillId="71" borderId="22" xfId="524" applyNumberFormat="1" applyFont="1" applyFill="1" applyBorder="1" applyAlignment="1">
      <alignment horizontal="center"/>
    </xf>
    <xf numFmtId="174" fontId="103" fillId="0" borderId="21" xfId="521" applyNumberFormat="1" applyFont="1" applyBorder="1" applyAlignment="1">
      <alignment horizontal="left" indent="1"/>
    </xf>
    <xf numFmtId="174" fontId="103" fillId="0" borderId="21" xfId="524" applyNumberFormat="1" applyFont="1" applyFill="1" applyBorder="1" applyAlignment="1">
      <alignment horizontal="left" indent="1"/>
    </xf>
    <xf numFmtId="174" fontId="103" fillId="0" borderId="10" xfId="524" applyNumberFormat="1" applyFont="1" applyFill="1" applyBorder="1" applyAlignment="1">
      <alignment horizontal="left" indent="1"/>
    </xf>
    <xf numFmtId="174" fontId="103" fillId="0" borderId="26" xfId="524" applyNumberFormat="1" applyFont="1" applyFill="1" applyBorder="1" applyAlignment="1">
      <alignment horizontal="left" indent="1"/>
    </xf>
    <xf numFmtId="174" fontId="103" fillId="0" borderId="4" xfId="524" applyNumberFormat="1" applyFont="1" applyFill="1" applyBorder="1" applyAlignment="1">
      <alignment horizontal="left" indent="1"/>
    </xf>
    <xf numFmtId="172" fontId="103" fillId="0" borderId="0" xfId="522" applyNumberFormat="1" applyFont="1"/>
    <xf numFmtId="174" fontId="103" fillId="0" borderId="0" xfId="522" applyNumberFormat="1" applyFont="1" applyBorder="1"/>
    <xf numFmtId="174" fontId="103" fillId="0" borderId="24" xfId="522" applyNumberFormat="1" applyFont="1" applyBorder="1"/>
    <xf numFmtId="174" fontId="107" fillId="0" borderId="68" xfId="521" applyNumberFormat="1" applyFont="1" applyBorder="1" applyAlignment="1">
      <alignment horizontal="left"/>
    </xf>
    <xf numFmtId="44" fontId="103" fillId="66" borderId="24" xfId="522" applyFont="1" applyFill="1" applyBorder="1"/>
    <xf numFmtId="2" fontId="103" fillId="66" borderId="24" xfId="525" applyNumberFormat="1" applyFont="1" applyFill="1" applyBorder="1"/>
    <xf numFmtId="174" fontId="118" fillId="0" borderId="4" xfId="524" applyNumberFormat="1" applyFont="1" applyFill="1" applyBorder="1" applyAlignment="1">
      <alignment horizontal="left"/>
    </xf>
    <xf numFmtId="172" fontId="104" fillId="64" borderId="24" xfId="522" applyNumberFormat="1" applyFont="1" applyFill="1" applyBorder="1" applyAlignment="1">
      <alignment horizontal="center" vertical="center" wrapText="1"/>
    </xf>
    <xf numFmtId="172" fontId="108" fillId="71" borderId="24" xfId="522" applyNumberFormat="1" applyFont="1" applyFill="1" applyBorder="1"/>
    <xf numFmtId="172" fontId="108" fillId="0" borderId="0" xfId="522" applyNumberFormat="1" applyFont="1" applyAlignment="1">
      <alignment horizontal="right"/>
    </xf>
    <xf numFmtId="172" fontId="103" fillId="0" borderId="0" xfId="522" applyNumberFormat="1" applyFont="1" applyAlignment="1">
      <alignment horizontal="right"/>
    </xf>
    <xf numFmtId="172" fontId="103" fillId="66" borderId="6" xfId="522" applyNumberFormat="1" applyFont="1" applyFill="1" applyBorder="1"/>
    <xf numFmtId="172" fontId="103" fillId="0" borderId="0" xfId="522" applyNumberFormat="1" applyFont="1" applyBorder="1"/>
    <xf numFmtId="172" fontId="108" fillId="72" borderId="6" xfId="522" applyNumberFormat="1" applyFont="1" applyFill="1" applyBorder="1"/>
    <xf numFmtId="172" fontId="108" fillId="72" borderId="24" xfId="522" applyNumberFormat="1" applyFont="1" applyFill="1" applyBorder="1"/>
    <xf numFmtId="172" fontId="103" fillId="0" borderId="0" xfId="522" applyNumberFormat="1" applyFont="1" applyFill="1"/>
    <xf numFmtId="172" fontId="103" fillId="0" borderId="0" xfId="522" applyNumberFormat="1" applyFont="1" applyFill="1" applyBorder="1"/>
    <xf numFmtId="172" fontId="103" fillId="0" borderId="24" xfId="522" applyNumberFormat="1" applyFont="1" applyFill="1" applyBorder="1"/>
    <xf numFmtId="172" fontId="108" fillId="73" borderId="6" xfId="522" applyNumberFormat="1" applyFont="1" applyFill="1" applyBorder="1"/>
    <xf numFmtId="172" fontId="107" fillId="65" borderId="6" xfId="524" applyNumberFormat="1" applyFont="1" applyFill="1" applyBorder="1"/>
    <xf numFmtId="172" fontId="108" fillId="64" borderId="24" xfId="522" applyNumberFormat="1" applyFont="1" applyFill="1" applyBorder="1"/>
    <xf numFmtId="172" fontId="103" fillId="74" borderId="6" xfId="522" applyNumberFormat="1" applyFont="1" applyFill="1" applyBorder="1"/>
    <xf numFmtId="172" fontId="108" fillId="71" borderId="20" xfId="522" applyNumberFormat="1" applyFont="1" applyFill="1" applyBorder="1"/>
    <xf numFmtId="172" fontId="103" fillId="0" borderId="0" xfId="522" applyNumberFormat="1" applyFont="1" applyFill="1" applyAlignment="1">
      <alignment horizontal="right"/>
    </xf>
    <xf numFmtId="2" fontId="103" fillId="0" borderId="0" xfId="523" applyNumberFormat="1" applyFont="1" applyFill="1" applyAlignment="1">
      <alignment horizontal="right"/>
    </xf>
    <xf numFmtId="0" fontId="34" fillId="0" borderId="0" xfId="0" applyFont="1"/>
    <xf numFmtId="175" fontId="34" fillId="0" borderId="0" xfId="0" applyNumberFormat="1" applyFont="1"/>
    <xf numFmtId="169" fontId="34" fillId="0" borderId="0" xfId="0" applyNumberFormat="1" applyFont="1"/>
    <xf numFmtId="0" fontId="119" fillId="0" borderId="0" xfId="0" applyFont="1" applyAlignment="1">
      <alignment horizontal="right"/>
    </xf>
    <xf numFmtId="175" fontId="120" fillId="0" borderId="0" xfId="0" applyNumberFormat="1" applyFont="1" applyAlignment="1">
      <alignment horizontal="left"/>
    </xf>
    <xf numFmtId="49" fontId="120" fillId="0" borderId="0" xfId="0" applyNumberFormat="1" applyFont="1" applyAlignment="1">
      <alignment horizontal="left"/>
    </xf>
    <xf numFmtId="0" fontId="24" fillId="65" borderId="36" xfId="0" applyFont="1" applyFill="1" applyBorder="1" applyAlignment="1">
      <alignment horizontal="center" vertical="top" wrapText="1"/>
    </xf>
    <xf numFmtId="175" fontId="24" fillId="65" borderId="36" xfId="0" applyNumberFormat="1" applyFont="1" applyFill="1" applyBorder="1" applyAlignment="1">
      <alignment horizontal="center" vertical="top" wrapText="1"/>
    </xf>
    <xf numFmtId="169" fontId="24" fillId="65" borderId="36" xfId="0" applyNumberFormat="1" applyFont="1" applyFill="1" applyBorder="1" applyAlignment="1">
      <alignment horizontal="center" vertical="top" wrapText="1"/>
    </xf>
    <xf numFmtId="0" fontId="117" fillId="0" borderId="36" xfId="0" applyFont="1" applyBorder="1" applyAlignment="1">
      <alignment horizontal="left" vertical="top" wrapText="1"/>
    </xf>
    <xf numFmtId="49" fontId="117" fillId="0" borderId="36" xfId="0" applyNumberFormat="1" applyFont="1" applyBorder="1" applyAlignment="1">
      <alignment horizontal="center" vertical="top" wrapText="1"/>
    </xf>
    <xf numFmtId="175" fontId="117" fillId="0" borderId="36" xfId="0" applyNumberFormat="1" applyFont="1" applyBorder="1" applyAlignment="1">
      <alignment horizontal="center" vertical="top" wrapText="1"/>
    </xf>
    <xf numFmtId="169" fontId="117" fillId="0" borderId="36" xfId="0" applyNumberFormat="1" applyFont="1" applyBorder="1" applyAlignment="1">
      <alignment horizontal="center" vertical="top" wrapText="1"/>
    </xf>
    <xf numFmtId="0" fontId="117" fillId="0" borderId="0" xfId="0" applyFont="1" applyAlignment="1">
      <alignment horizontal="left" vertical="top" wrapText="1"/>
    </xf>
    <xf numFmtId="175" fontId="117" fillId="0" borderId="0" xfId="0" applyNumberFormat="1" applyFont="1" applyAlignment="1">
      <alignment horizontal="center" vertical="top" wrapText="1"/>
    </xf>
    <xf numFmtId="169" fontId="117" fillId="0" borderId="0" xfId="0" applyNumberFormat="1" applyFont="1" applyAlignment="1">
      <alignment horizontal="center" vertical="top" wrapText="1"/>
    </xf>
    <xf numFmtId="175" fontId="117" fillId="0" borderId="37" xfId="0" applyNumberFormat="1" applyFont="1" applyBorder="1" applyAlignment="1">
      <alignment horizontal="center" vertical="top" wrapText="1"/>
    </xf>
    <xf numFmtId="0" fontId="24" fillId="65" borderId="38" xfId="0" applyFont="1" applyFill="1" applyBorder="1" applyAlignment="1">
      <alignment horizontal="center" vertical="top" wrapText="1"/>
    </xf>
    <xf numFmtId="175" fontId="24" fillId="65" borderId="38" xfId="0" applyNumberFormat="1" applyFont="1" applyFill="1" applyBorder="1" applyAlignment="1">
      <alignment horizontal="center" vertical="top" wrapText="1"/>
    </xf>
    <xf numFmtId="169" fontId="24" fillId="65" borderId="38" xfId="0" applyNumberFormat="1" applyFont="1" applyFill="1" applyBorder="1" applyAlignment="1">
      <alignment horizontal="center" vertical="top" wrapText="1"/>
    </xf>
    <xf numFmtId="0" fontId="117" fillId="0" borderId="39" xfId="0" applyFont="1" applyBorder="1" applyAlignment="1">
      <alignment horizontal="left" vertical="top" wrapText="1"/>
    </xf>
    <xf numFmtId="175" fontId="117" fillId="0" borderId="39" xfId="0" applyNumberFormat="1" applyFont="1" applyBorder="1" applyAlignment="1">
      <alignment horizontal="right" vertical="top" wrapText="1"/>
    </xf>
    <xf numFmtId="169" fontId="117" fillId="0" borderId="39" xfId="0" applyNumberFormat="1" applyFont="1" applyBorder="1" applyAlignment="1">
      <alignment horizontal="right" vertical="top" wrapText="1"/>
    </xf>
    <xf numFmtId="0" fontId="24" fillId="0" borderId="39" xfId="0" applyFont="1" applyBorder="1" applyAlignment="1">
      <alignment horizontal="left" vertical="top" wrapText="1"/>
    </xf>
    <xf numFmtId="175" fontId="24" fillId="0" borderId="39" xfId="0" applyNumberFormat="1" applyFont="1" applyBorder="1" applyAlignment="1">
      <alignment horizontal="right" vertical="top" wrapText="1"/>
    </xf>
    <xf numFmtId="175" fontId="117" fillId="0" borderId="0" xfId="0" applyNumberFormat="1" applyFont="1" applyAlignment="1">
      <alignment horizontal="right" vertical="top" wrapText="1"/>
    </xf>
    <xf numFmtId="0" fontId="117" fillId="0" borderId="40" xfId="0" applyFont="1" applyBorder="1" applyAlignment="1">
      <alignment horizontal="left" vertical="top" wrapText="1"/>
    </xf>
    <xf numFmtId="175" fontId="117" fillId="0" borderId="3" xfId="0" applyNumberFormat="1" applyFont="1" applyBorder="1" applyAlignment="1">
      <alignment horizontal="right" vertical="top" wrapText="1"/>
    </xf>
    <xf numFmtId="0" fontId="24" fillId="0" borderId="41" xfId="0" applyFont="1" applyBorder="1" applyAlignment="1">
      <alignment horizontal="left" vertical="top" wrapText="1"/>
    </xf>
    <xf numFmtId="175" fontId="24" fillId="0" borderId="3" xfId="0" applyNumberFormat="1" applyFont="1" applyBorder="1" applyAlignment="1">
      <alignment horizontal="right" vertical="top" wrapText="1"/>
    </xf>
    <xf numFmtId="169" fontId="24" fillId="0" borderId="3" xfId="0" applyNumberFormat="1" applyFont="1" applyBorder="1" applyAlignment="1">
      <alignment horizontal="right" vertical="top" wrapText="1"/>
    </xf>
    <xf numFmtId="0" fontId="24" fillId="0" borderId="42" xfId="0" applyFont="1" applyBorder="1" applyAlignment="1">
      <alignment horizontal="left" vertical="top" wrapText="1"/>
    </xf>
    <xf numFmtId="176" fontId="117" fillId="0" borderId="0" xfId="0" applyNumberFormat="1" applyFont="1" applyAlignment="1">
      <alignment horizontal="right" vertical="top" wrapText="1"/>
    </xf>
    <xf numFmtId="169" fontId="117" fillId="0" borderId="0" xfId="0" applyNumberFormat="1" applyFont="1" applyAlignment="1">
      <alignment horizontal="right" vertical="top" wrapText="1"/>
    </xf>
    <xf numFmtId="0" fontId="117" fillId="0" borderId="43" xfId="0" applyFont="1" applyBorder="1" applyAlignment="1">
      <alignment horizontal="left" vertical="top" wrapText="1"/>
    </xf>
    <xf numFmtId="176" fontId="117" fillId="0" borderId="3" xfId="0" applyNumberFormat="1" applyFont="1" applyBorder="1" applyAlignment="1">
      <alignment horizontal="right" vertical="top" wrapText="1"/>
    </xf>
    <xf numFmtId="169" fontId="117" fillId="0" borderId="3" xfId="0" applyNumberFormat="1" applyFont="1" applyBorder="1" applyAlignment="1">
      <alignment horizontal="right" vertical="top" wrapText="1"/>
    </xf>
    <xf numFmtId="0" fontId="117" fillId="0" borderId="41" xfId="0" applyFont="1" applyBorder="1" applyAlignment="1">
      <alignment horizontal="left" vertical="top" wrapText="1"/>
    </xf>
    <xf numFmtId="175" fontId="117" fillId="29" borderId="47" xfId="0" applyNumberFormat="1" applyFont="1" applyFill="1" applyBorder="1" applyAlignment="1">
      <alignment horizontal="right" vertical="top" wrapText="1"/>
    </xf>
    <xf numFmtId="0" fontId="117" fillId="0" borderId="44" xfId="0" applyFont="1" applyBorder="1" applyAlignment="1">
      <alignment horizontal="left" vertical="top" wrapText="1"/>
    </xf>
    <xf numFmtId="0" fontId="24" fillId="0" borderId="45" xfId="0" applyFont="1" applyBorder="1" applyAlignment="1">
      <alignment horizontal="left" vertical="top" wrapText="1"/>
    </xf>
    <xf numFmtId="0" fontId="34" fillId="0" borderId="45" xfId="0" applyFont="1" applyBorder="1" applyAlignment="1">
      <alignment horizontal="left" vertical="top" wrapText="1"/>
    </xf>
    <xf numFmtId="175" fontId="34" fillId="0" borderId="3" xfId="0" applyNumberFormat="1" applyFont="1" applyBorder="1" applyAlignment="1">
      <alignment horizontal="right" wrapText="1"/>
    </xf>
    <xf numFmtId="0" fontId="34" fillId="0" borderId="3" xfId="0" applyFont="1" applyBorder="1" applyAlignment="1">
      <alignment horizontal="right" wrapText="1"/>
    </xf>
    <xf numFmtId="169" fontId="34" fillId="0" borderId="3" xfId="0" applyNumberFormat="1" applyFont="1" applyBorder="1" applyAlignment="1">
      <alignment horizontal="right" wrapText="1"/>
    </xf>
    <xf numFmtId="175" fontId="24" fillId="0" borderId="3" xfId="0" applyNumberFormat="1" applyFont="1" applyBorder="1" applyAlignment="1">
      <alignment horizontal="right" wrapText="1"/>
    </xf>
    <xf numFmtId="169" fontId="24" fillId="0" borderId="3" xfId="0" applyNumberFormat="1" applyFont="1" applyBorder="1" applyAlignment="1">
      <alignment horizontal="right" wrapText="1"/>
    </xf>
    <xf numFmtId="0" fontId="24" fillId="0" borderId="0" xfId="0" applyFont="1" applyAlignment="1">
      <alignment horizontal="left" vertical="top" wrapText="1"/>
    </xf>
    <xf numFmtId="175" fontId="117" fillId="0" borderId="0" xfId="0" applyNumberFormat="1" applyFont="1" applyAlignment="1">
      <alignment horizontal="right" wrapText="1"/>
    </xf>
    <xf numFmtId="169" fontId="117" fillId="0" borderId="0" xfId="0" applyNumberFormat="1" applyFont="1" applyAlignment="1">
      <alignment horizontal="right" wrapText="1"/>
    </xf>
    <xf numFmtId="0" fontId="24" fillId="0" borderId="46" xfId="0" applyFont="1" applyBorder="1" applyAlignment="1">
      <alignment horizontal="left" vertical="top" wrapText="1"/>
    </xf>
    <xf numFmtId="175" fontId="117" fillId="0" borderId="46" xfId="0" applyNumberFormat="1" applyFont="1" applyBorder="1" applyAlignment="1">
      <alignment horizontal="right" wrapText="1"/>
    </xf>
    <xf numFmtId="175" fontId="117" fillId="0" borderId="43" xfId="0" applyNumberFormat="1" applyFont="1" applyBorder="1" applyAlignment="1">
      <alignment horizontal="right" wrapText="1"/>
    </xf>
    <xf numFmtId="175" fontId="117" fillId="0" borderId="39" xfId="0" applyNumberFormat="1" applyFont="1" applyBorder="1" applyAlignment="1">
      <alignment horizontal="right" wrapText="1"/>
    </xf>
    <xf numFmtId="175" fontId="117" fillId="0" borderId="41" xfId="0" applyNumberFormat="1" applyFont="1" applyBorder="1" applyAlignment="1">
      <alignment horizontal="right" wrapText="1"/>
    </xf>
    <xf numFmtId="0" fontId="24" fillId="0" borderId="48" xfId="0" applyFont="1" applyBorder="1" applyAlignment="1">
      <alignment horizontal="left" vertical="top" wrapText="1"/>
    </xf>
    <xf numFmtId="0" fontId="24" fillId="0" borderId="49" xfId="0" applyFont="1" applyBorder="1" applyAlignment="1">
      <alignment horizontal="left" vertical="top" wrapText="1"/>
    </xf>
    <xf numFmtId="175" fontId="117" fillId="0" borderId="49" xfId="0" applyNumberFormat="1" applyFont="1" applyBorder="1" applyAlignment="1">
      <alignment horizontal="right" wrapText="1"/>
    </xf>
    <xf numFmtId="175" fontId="117" fillId="0" borderId="50" xfId="0" applyNumberFormat="1" applyFont="1" applyBorder="1" applyAlignment="1">
      <alignment horizontal="right" wrapText="1"/>
    </xf>
    <xf numFmtId="0" fontId="24" fillId="61" borderId="48" xfId="0" applyFont="1" applyFill="1" applyBorder="1" applyAlignment="1">
      <alignment horizontal="left" vertical="top" wrapText="1"/>
    </xf>
    <xf numFmtId="0" fontId="34" fillId="0" borderId="51" xfId="0" applyFont="1" applyBorder="1" applyAlignment="1">
      <alignment horizontal="left" vertical="top" wrapText="1"/>
    </xf>
    <xf numFmtId="175" fontId="34" fillId="0" borderId="51" xfId="0" applyNumberFormat="1" applyFont="1" applyBorder="1" applyAlignment="1">
      <alignment horizontal="right" wrapText="1"/>
    </xf>
    <xf numFmtId="0" fontId="34" fillId="0" borderId="51" xfId="0" applyFont="1" applyBorder="1" applyAlignment="1">
      <alignment horizontal="right" wrapText="1"/>
    </xf>
    <xf numFmtId="169" fontId="34" fillId="0" borderId="51" xfId="0" applyNumberFormat="1" applyFont="1" applyBorder="1" applyAlignment="1">
      <alignment horizontal="right" wrapText="1"/>
    </xf>
    <xf numFmtId="175" fontId="117" fillId="0" borderId="50" xfId="0" applyNumberFormat="1" applyFont="1" applyBorder="1" applyAlignment="1">
      <alignment horizontal="right" vertical="top" wrapText="1"/>
    </xf>
    <xf numFmtId="0" fontId="24" fillId="0" borderId="52" xfId="0" applyFont="1" applyBorder="1" applyAlignment="1">
      <alignment horizontal="left" vertical="top" wrapText="1"/>
    </xf>
    <xf numFmtId="0" fontId="24" fillId="0" borderId="53" xfId="0" applyFont="1" applyBorder="1" applyAlignment="1">
      <alignment horizontal="left" vertical="top" wrapText="1"/>
    </xf>
    <xf numFmtId="175" fontId="24" fillId="0" borderId="54" xfId="0" applyNumberFormat="1" applyFont="1" applyBorder="1" applyAlignment="1">
      <alignment horizontal="right" wrapText="1"/>
    </xf>
    <xf numFmtId="4" fontId="46" fillId="0" borderId="0" xfId="0" applyNumberFormat="1" applyFont="1"/>
    <xf numFmtId="175" fontId="34" fillId="0" borderId="39" xfId="0" applyNumberFormat="1" applyFont="1" applyBorder="1" applyAlignment="1">
      <alignment horizontal="right" vertical="top" wrapText="1"/>
    </xf>
    <xf numFmtId="9" fontId="106" fillId="0" borderId="24" xfId="337" applyFont="1" applyBorder="1" applyAlignment="1">
      <alignment horizontal="center"/>
    </xf>
    <xf numFmtId="173" fontId="46" fillId="0" borderId="0" xfId="0" applyNumberFormat="1" applyFont="1" applyAlignment="1">
      <alignment horizontal="left"/>
    </xf>
    <xf numFmtId="174" fontId="122" fillId="0" borderId="0" xfId="521" applyNumberFormat="1" applyFont="1"/>
    <xf numFmtId="174" fontId="124" fillId="71" borderId="22" xfId="524" applyNumberFormat="1" applyFont="1" applyFill="1" applyBorder="1" applyAlignment="1">
      <alignment horizontal="center"/>
    </xf>
    <xf numFmtId="174" fontId="124" fillId="0" borderId="69" xfId="521" applyNumberFormat="1" applyFont="1" applyBorder="1"/>
    <xf numFmtId="174" fontId="125" fillId="0" borderId="69" xfId="521" applyNumberFormat="1" applyFont="1" applyBorder="1"/>
    <xf numFmtId="174" fontId="124" fillId="0" borderId="22" xfId="521" applyNumberFormat="1" applyFont="1" applyBorder="1" applyAlignment="1">
      <alignment horizontal="left"/>
    </xf>
    <xf numFmtId="174" fontId="122" fillId="0" borderId="69" xfId="524" applyNumberFormat="1" applyFont="1" applyFill="1" applyBorder="1" applyAlignment="1">
      <alignment horizontal="left" indent="1"/>
    </xf>
    <xf numFmtId="174" fontId="124" fillId="72" borderId="22" xfId="524" applyNumberFormat="1" applyFont="1" applyFill="1" applyBorder="1"/>
    <xf numFmtId="174" fontId="126" fillId="0" borderId="68" xfId="521" applyNumberFormat="1" applyFont="1" applyBorder="1" applyAlignment="1">
      <alignment horizontal="left" indent="1"/>
    </xf>
    <xf numFmtId="174" fontId="124" fillId="72" borderId="68" xfId="524" applyNumberFormat="1" applyFont="1" applyFill="1" applyBorder="1"/>
    <xf numFmtId="174" fontId="126" fillId="0" borderId="21" xfId="521" applyNumberFormat="1" applyFont="1" applyBorder="1" applyAlignment="1">
      <alignment horizontal="left" indent="1"/>
    </xf>
    <xf numFmtId="174" fontId="124" fillId="72" borderId="3" xfId="524" applyNumberFormat="1" applyFont="1" applyFill="1" applyBorder="1"/>
    <xf numFmtId="174" fontId="126" fillId="0" borderId="21" xfId="524" applyNumberFormat="1" applyFont="1" applyFill="1" applyBorder="1" applyAlignment="1">
      <alignment horizontal="left" indent="1"/>
    </xf>
    <xf numFmtId="174" fontId="126" fillId="0" borderId="4" xfId="521" applyNumberFormat="1" applyFont="1" applyBorder="1"/>
    <xf numFmtId="174" fontId="126" fillId="0" borderId="10" xfId="524" applyNumberFormat="1" applyFont="1" applyFill="1" applyBorder="1" applyAlignment="1">
      <alignment horizontal="left" indent="1"/>
    </xf>
    <xf numFmtId="174" fontId="124" fillId="72" borderId="11" xfId="524" applyNumberFormat="1" applyFont="1" applyFill="1" applyBorder="1"/>
    <xf numFmtId="174" fontId="126" fillId="0" borderId="26" xfId="524" applyNumberFormat="1" applyFont="1" applyFill="1" applyBorder="1" applyAlignment="1">
      <alignment horizontal="left" indent="1"/>
    </xf>
    <xf numFmtId="174" fontId="124" fillId="73" borderId="3" xfId="525" applyNumberFormat="1" applyFont="1" applyFill="1" applyBorder="1"/>
    <xf numFmtId="174" fontId="126" fillId="0" borderId="4" xfId="524" applyNumberFormat="1" applyFont="1" applyFill="1" applyBorder="1" applyAlignment="1">
      <alignment horizontal="left" indent="1"/>
    </xf>
    <xf numFmtId="174" fontId="127" fillId="65" borderId="3" xfId="524" applyNumberFormat="1" applyFont="1" applyFill="1" applyBorder="1"/>
    <xf numFmtId="174" fontId="126" fillId="0" borderId="4" xfId="525" applyNumberFormat="1" applyFont="1" applyBorder="1"/>
    <xf numFmtId="174" fontId="124" fillId="64" borderId="11" xfId="525" applyNumberFormat="1" applyFont="1" applyFill="1" applyBorder="1"/>
    <xf numFmtId="174" fontId="122" fillId="0" borderId="4" xfId="521" applyNumberFormat="1" applyFont="1" applyBorder="1"/>
    <xf numFmtId="174" fontId="126" fillId="74" borderId="3" xfId="524" applyNumberFormat="1" applyFont="1" applyFill="1" applyBorder="1" applyAlignment="1">
      <alignment horizontal="left" wrapText="1"/>
    </xf>
    <xf numFmtId="165" fontId="46" fillId="0" borderId="0" xfId="98" applyFont="1" applyFill="1" applyAlignment="1">
      <alignment horizontal="right" wrapText="1"/>
    </xf>
    <xf numFmtId="10" fontId="93" fillId="0" borderId="0" xfId="337" applyNumberFormat="1" applyFont="1"/>
    <xf numFmtId="9" fontId="46" fillId="0" borderId="0" xfId="0" applyNumberFormat="1" applyFont="1"/>
    <xf numFmtId="170" fontId="46" fillId="0" borderId="0" xfId="337" applyNumberFormat="1" applyFont="1"/>
    <xf numFmtId="0" fontId="17" fillId="0" borderId="70" xfId="0" applyFont="1" applyBorder="1" applyAlignment="1">
      <alignment horizontal="center" wrapText="1"/>
    </xf>
    <xf numFmtId="9" fontId="17" fillId="0" borderId="70" xfId="337" applyFont="1" applyBorder="1" applyAlignment="1">
      <alignment horizontal="center" wrapText="1"/>
    </xf>
    <xf numFmtId="3" fontId="17" fillId="0" borderId="70" xfId="0" applyNumberFormat="1" applyFont="1" applyBorder="1" applyAlignment="1">
      <alignment horizontal="center" wrapText="1"/>
    </xf>
    <xf numFmtId="3" fontId="17" fillId="0" borderId="70" xfId="0" applyNumberFormat="1" applyFont="1" applyBorder="1" applyAlignment="1">
      <alignment horizontal="center"/>
    </xf>
    <xf numFmtId="0" fontId="17" fillId="61" borderId="70" xfId="0" applyFont="1" applyFill="1" applyBorder="1" applyAlignment="1">
      <alignment wrapText="1"/>
    </xf>
    <xf numFmtId="173" fontId="17" fillId="61" borderId="70" xfId="0" applyNumberFormat="1" applyFont="1" applyFill="1" applyBorder="1" applyAlignment="1">
      <alignment horizontal="right" wrapText="1"/>
    </xf>
    <xf numFmtId="0" fontId="17" fillId="61" borderId="70" xfId="0" applyFont="1" applyFill="1" applyBorder="1" applyAlignment="1">
      <alignment horizontal="left" wrapText="1"/>
    </xf>
    <xf numFmtId="9" fontId="17" fillId="61" borderId="70" xfId="337" applyFont="1" applyFill="1" applyBorder="1" applyAlignment="1">
      <alignment horizontal="center" wrapText="1"/>
    </xf>
    <xf numFmtId="3" fontId="17" fillId="61" borderId="70" xfId="0" applyNumberFormat="1" applyFont="1" applyFill="1" applyBorder="1" applyAlignment="1">
      <alignment horizontal="right" wrapText="1"/>
    </xf>
    <xf numFmtId="0" fontId="17" fillId="61" borderId="70" xfId="0" applyFont="1" applyFill="1" applyBorder="1" applyAlignment="1">
      <alignment horizontal="right" wrapText="1"/>
    </xf>
    <xf numFmtId="172" fontId="17" fillId="61" borderId="70" xfId="0" applyNumberFormat="1" applyFont="1" applyFill="1" applyBorder="1" applyAlignment="1">
      <alignment horizontal="right" wrapText="1"/>
    </xf>
    <xf numFmtId="3" fontId="17" fillId="61" borderId="70" xfId="0" applyNumberFormat="1" applyFont="1" applyFill="1" applyBorder="1" applyAlignment="1">
      <alignment wrapText="1"/>
    </xf>
    <xf numFmtId="173" fontId="17" fillId="61" borderId="70" xfId="98" applyNumberFormat="1" applyFont="1" applyFill="1" applyBorder="1" applyAlignment="1">
      <alignment horizontal="right" wrapText="1"/>
    </xf>
    <xf numFmtId="167" fontId="17" fillId="61" borderId="70" xfId="0" applyNumberFormat="1" applyFont="1" applyFill="1" applyBorder="1" applyAlignment="1">
      <alignment horizontal="right" wrapText="1"/>
    </xf>
    <xf numFmtId="0" fontId="17" fillId="62" borderId="70" xfId="0" applyFont="1" applyFill="1" applyBorder="1" applyAlignment="1">
      <alignment wrapText="1"/>
    </xf>
    <xf numFmtId="9" fontId="17" fillId="62" borderId="70" xfId="337" applyFont="1" applyFill="1" applyBorder="1" applyAlignment="1">
      <alignment horizontal="center" wrapText="1"/>
    </xf>
    <xf numFmtId="3" fontId="17" fillId="62" borderId="70" xfId="0" applyNumberFormat="1" applyFont="1" applyFill="1" applyBorder="1" applyAlignment="1">
      <alignment horizontal="right" wrapText="1"/>
    </xf>
    <xf numFmtId="173" fontId="17" fillId="62" borderId="70" xfId="0" applyNumberFormat="1" applyFont="1" applyFill="1" applyBorder="1" applyAlignment="1">
      <alignment horizontal="right" wrapText="1"/>
    </xf>
    <xf numFmtId="172" fontId="46" fillId="0" borderId="0" xfId="0" applyNumberFormat="1" applyFont="1"/>
    <xf numFmtId="167" fontId="46" fillId="0" borderId="0" xfId="0" applyNumberFormat="1" applyFont="1"/>
    <xf numFmtId="167" fontId="93" fillId="0" borderId="0" xfId="0" applyNumberFormat="1" applyFont="1" applyAlignment="1">
      <alignment horizontal="center" vertical="center" wrapText="1"/>
    </xf>
    <xf numFmtId="43" fontId="93" fillId="0" borderId="0" xfId="0" applyNumberFormat="1" applyFont="1" applyAlignment="1">
      <alignment horizontal="center" vertical="center" wrapText="1"/>
    </xf>
    <xf numFmtId="37" fontId="92" fillId="0" borderId="0" xfId="522" applyNumberFormat="1" applyFont="1" applyAlignment="1">
      <alignment horizontal="center"/>
    </xf>
    <xf numFmtId="175" fontId="24" fillId="0" borderId="39" xfId="0" applyNumberFormat="1" applyFont="1" applyBorder="1" applyAlignment="1">
      <alignment horizontal="right" wrapText="1"/>
    </xf>
    <xf numFmtId="169" fontId="24" fillId="0" borderId="39" xfId="0" applyNumberFormat="1" applyFont="1" applyBorder="1" applyAlignment="1">
      <alignment horizontal="right" wrapText="1"/>
    </xf>
    <xf numFmtId="175" fontId="117" fillId="0" borderId="53" xfId="0" applyNumberFormat="1" applyFont="1" applyBorder="1" applyAlignment="1">
      <alignment horizontal="right" wrapText="1"/>
    </xf>
    <xf numFmtId="169" fontId="117" fillId="0" borderId="53" xfId="0" applyNumberFormat="1" applyFont="1" applyBorder="1" applyAlignment="1">
      <alignment horizontal="right" wrapText="1"/>
    </xf>
    <xf numFmtId="176" fontId="117" fillId="0" borderId="53" xfId="0" applyNumberFormat="1" applyFont="1" applyBorder="1" applyAlignment="1">
      <alignment horizontal="right" wrapText="1"/>
    </xf>
    <xf numFmtId="172" fontId="103" fillId="0" borderId="0" xfId="523" applyNumberFormat="1" applyFont="1"/>
    <xf numFmtId="0" fontId="128" fillId="62" borderId="0" xfId="0" applyFont="1" applyFill="1" applyAlignment="1">
      <alignment wrapText="1"/>
    </xf>
    <xf numFmtId="169" fontId="17" fillId="0" borderId="0" xfId="0" applyNumberFormat="1" applyFont="1"/>
    <xf numFmtId="171" fontId="17" fillId="0" borderId="0" xfId="0" applyNumberFormat="1" applyFont="1"/>
    <xf numFmtId="171" fontId="17" fillId="0" borderId="0" xfId="98" applyNumberFormat="1" applyFont="1"/>
    <xf numFmtId="10" fontId="17" fillId="0" borderId="0" xfId="337" applyNumberFormat="1" applyFont="1"/>
    <xf numFmtId="194" fontId="46" fillId="0" borderId="0" xfId="0" applyNumberFormat="1" applyFont="1" applyAlignment="1">
      <alignment horizontal="right" wrapText="1"/>
    </xf>
    <xf numFmtId="10" fontId="46" fillId="0" borderId="0" xfId="337" applyNumberFormat="1" applyFont="1" applyAlignment="1">
      <alignment horizontal="right" wrapText="1"/>
    </xf>
    <xf numFmtId="166" fontId="46" fillId="0" borderId="0" xfId="0" applyNumberFormat="1" applyFont="1" applyAlignment="1">
      <alignment horizontal="right" wrapText="1"/>
    </xf>
    <xf numFmtId="173" fontId="17" fillId="61" borderId="72" xfId="0" applyNumberFormat="1" applyFont="1" applyFill="1" applyBorder="1" applyAlignment="1">
      <alignment horizontal="right" wrapText="1"/>
    </xf>
    <xf numFmtId="0" fontId="17" fillId="61" borderId="72" xfId="0" applyFont="1" applyFill="1" applyBorder="1" applyAlignment="1">
      <alignment wrapText="1"/>
    </xf>
    <xf numFmtId="0" fontId="17" fillId="61" borderId="72" xfId="0" applyFont="1" applyFill="1" applyBorder="1" applyAlignment="1">
      <alignment horizontal="center" wrapText="1"/>
    </xf>
    <xf numFmtId="174" fontId="103" fillId="0" borderId="0" xfId="522" applyNumberFormat="1" applyFont="1" applyAlignment="1">
      <alignment horizontal="right"/>
    </xf>
    <xf numFmtId="0" fontId="117" fillId="0" borderId="0" xfId="526" applyFont="1" applyAlignment="1">
      <alignment horizontal="left" vertical="top" wrapText="1"/>
    </xf>
    <xf numFmtId="173" fontId="46" fillId="0" borderId="0" xfId="0" applyNumberFormat="1" applyFont="1"/>
    <xf numFmtId="10" fontId="46" fillId="0" borderId="0" xfId="0" applyNumberFormat="1" applyFont="1"/>
    <xf numFmtId="0" fontId="131" fillId="0" borderId="0" xfId="0" applyFont="1" applyAlignment="1">
      <alignment wrapText="1"/>
    </xf>
    <xf numFmtId="0" fontId="132" fillId="0" borderId="0" xfId="0" applyFont="1"/>
    <xf numFmtId="174" fontId="120" fillId="0" borderId="0" xfId="537" applyNumberFormat="1" applyFont="1"/>
    <xf numFmtId="174" fontId="120" fillId="0" borderId="0" xfId="537" applyNumberFormat="1" applyFont="1" applyAlignment="1">
      <alignment horizontal="center"/>
    </xf>
    <xf numFmtId="44" fontId="119" fillId="0" borderId="0" xfId="537" applyNumberFormat="1" applyFont="1" applyAlignment="1">
      <alignment horizontal="center"/>
    </xf>
    <xf numFmtId="2" fontId="120" fillId="0" borderId="0" xfId="537" applyNumberFormat="1" applyFont="1" applyAlignment="1">
      <alignment horizontal="center"/>
    </xf>
    <xf numFmtId="44" fontId="120" fillId="0" borderId="0" xfId="537" applyNumberFormat="1" applyFont="1" applyAlignment="1">
      <alignment horizontal="center"/>
    </xf>
    <xf numFmtId="10" fontId="120" fillId="0" borderId="0" xfId="537" applyNumberFormat="1" applyFont="1" applyAlignment="1">
      <alignment horizontal="center"/>
    </xf>
    <xf numFmtId="44" fontId="120" fillId="0" borderId="0" xfId="537" applyNumberFormat="1" applyFont="1"/>
    <xf numFmtId="2" fontId="120" fillId="0" borderId="0" xfId="537" applyNumberFormat="1" applyFont="1"/>
    <xf numFmtId="9" fontId="120" fillId="0" borderId="0" xfId="537" applyNumberFormat="1" applyFont="1"/>
    <xf numFmtId="0" fontId="120" fillId="0" borderId="0" xfId="537" applyFont="1"/>
    <xf numFmtId="0" fontId="119" fillId="0" borderId="0" xfId="537" applyFont="1" applyAlignment="1">
      <alignment horizontal="right"/>
    </xf>
    <xf numFmtId="175" fontId="120" fillId="0" borderId="0" xfId="537" applyNumberFormat="1" applyFont="1" applyAlignment="1">
      <alignment horizontal="center"/>
    </xf>
    <xf numFmtId="0" fontId="133" fillId="0" borderId="0" xfId="537" applyFont="1" applyAlignment="1">
      <alignment horizontal="center"/>
    </xf>
    <xf numFmtId="0" fontId="133" fillId="0" borderId="0" xfId="537" applyFont="1" applyAlignment="1">
      <alignment horizontal="center" vertical="center" wrapText="1"/>
    </xf>
    <xf numFmtId="44" fontId="134" fillId="0" borderId="0" xfId="538" applyFont="1"/>
    <xf numFmtId="2" fontId="134" fillId="0" borderId="0" xfId="521" applyNumberFormat="1" applyFont="1"/>
    <xf numFmtId="9" fontId="134" fillId="0" borderId="0" xfId="539" applyFont="1"/>
    <xf numFmtId="172" fontId="134" fillId="0" borderId="0" xfId="538" applyNumberFormat="1" applyFont="1"/>
    <xf numFmtId="1" fontId="134" fillId="0" borderId="0" xfId="521" applyNumberFormat="1" applyFont="1"/>
    <xf numFmtId="10" fontId="134" fillId="0" borderId="0" xfId="521" applyNumberFormat="1" applyFont="1"/>
    <xf numFmtId="9" fontId="134" fillId="0" borderId="0" xfId="540" applyFont="1"/>
    <xf numFmtId="174" fontId="134" fillId="0" borderId="0" xfId="521" applyNumberFormat="1" applyFont="1"/>
    <xf numFmtId="0" fontId="134" fillId="0" borderId="3" xfId="537" applyFont="1" applyBorder="1" applyAlignment="1">
      <alignment wrapText="1"/>
    </xf>
    <xf numFmtId="9" fontId="134" fillId="0" borderId="3" xfId="527" applyFont="1" applyFill="1" applyBorder="1" applyAlignment="1">
      <alignment horizontal="center" wrapText="1"/>
    </xf>
    <xf numFmtId="44" fontId="135" fillId="64" borderId="24" xfId="538" applyFont="1" applyFill="1" applyBorder="1" applyAlignment="1">
      <alignment horizontal="center" vertical="center" wrapText="1"/>
    </xf>
    <xf numFmtId="2" fontId="135" fillId="64" borderId="24" xfId="524" applyNumberFormat="1" applyFont="1" applyFill="1" applyBorder="1" applyAlignment="1">
      <alignment horizontal="center" vertical="center" wrapText="1"/>
    </xf>
    <xf numFmtId="9" fontId="135" fillId="64" borderId="24" xfId="539" applyFont="1" applyFill="1" applyBorder="1" applyAlignment="1">
      <alignment horizontal="center" vertical="center" wrapText="1"/>
    </xf>
    <xf numFmtId="44" fontId="135" fillId="64" borderId="10" xfId="538" applyFont="1" applyFill="1" applyBorder="1" applyAlignment="1">
      <alignment horizontal="center" vertical="center" wrapText="1"/>
    </xf>
    <xf numFmtId="172" fontId="135" fillId="64" borderId="24" xfId="538" applyNumberFormat="1" applyFont="1" applyFill="1" applyBorder="1" applyAlignment="1">
      <alignment horizontal="center" vertical="center" wrapText="1"/>
    </xf>
    <xf numFmtId="1" fontId="135" fillId="64" borderId="24" xfId="524" applyNumberFormat="1" applyFont="1" applyFill="1" applyBorder="1" applyAlignment="1">
      <alignment horizontal="center" vertical="center" wrapText="1"/>
    </xf>
    <xf numFmtId="10" fontId="135" fillId="64" borderId="24" xfId="524" applyNumberFormat="1" applyFont="1" applyFill="1" applyBorder="1" applyAlignment="1">
      <alignment horizontal="center" vertical="center" wrapText="1"/>
    </xf>
    <xf numFmtId="9" fontId="135" fillId="64" borderId="24" xfId="540" applyFont="1" applyFill="1" applyBorder="1" applyAlignment="1">
      <alignment horizontal="center" vertical="center" wrapText="1"/>
    </xf>
    <xf numFmtId="174" fontId="135" fillId="71" borderId="81" xfId="524" applyNumberFormat="1" applyFont="1" applyFill="1" applyBorder="1" applyAlignment="1">
      <alignment horizontal="center"/>
    </xf>
    <xf numFmtId="174" fontId="135" fillId="71" borderId="25" xfId="524" applyNumberFormat="1" applyFont="1" applyFill="1" applyBorder="1"/>
    <xf numFmtId="44" fontId="135" fillId="71" borderId="20" xfId="538" applyFont="1" applyFill="1" applyBorder="1"/>
    <xf numFmtId="2" fontId="135" fillId="71" borderId="24" xfId="524" applyNumberFormat="1" applyFont="1" applyFill="1" applyBorder="1"/>
    <xf numFmtId="9" fontId="135" fillId="71" borderId="24" xfId="539" applyFont="1" applyFill="1" applyBorder="1"/>
    <xf numFmtId="44" fontId="135" fillId="71" borderId="10" xfId="538" applyFont="1" applyFill="1" applyBorder="1"/>
    <xf numFmtId="172" fontId="135" fillId="71" borderId="20" xfId="538" applyNumberFormat="1" applyFont="1" applyFill="1" applyBorder="1"/>
    <xf numFmtId="1" fontId="135" fillId="71" borderId="24" xfId="524" applyNumberFormat="1" applyFont="1" applyFill="1" applyBorder="1"/>
    <xf numFmtId="10" fontId="135" fillId="71" borderId="24" xfId="524" applyNumberFormat="1" applyFont="1" applyFill="1" applyBorder="1"/>
    <xf numFmtId="44" fontId="135" fillId="71" borderId="24" xfId="538" applyFont="1" applyFill="1" applyBorder="1"/>
    <xf numFmtId="9" fontId="135" fillId="71" borderId="24" xfId="540" applyFont="1" applyFill="1" applyBorder="1"/>
    <xf numFmtId="44" fontId="135" fillId="71" borderId="23" xfId="538" applyFont="1" applyFill="1" applyBorder="1"/>
    <xf numFmtId="44" fontId="135" fillId="71" borderId="82" xfId="538" applyFont="1" applyFill="1" applyBorder="1"/>
    <xf numFmtId="174" fontId="135" fillId="0" borderId="83" xfId="521" applyNumberFormat="1" applyFont="1" applyBorder="1"/>
    <xf numFmtId="174" fontId="135" fillId="0" borderId="19" xfId="521" applyNumberFormat="1" applyFont="1" applyBorder="1"/>
    <xf numFmtId="44" fontId="135" fillId="0" borderId="0" xfId="538" applyFont="1" applyBorder="1" applyAlignment="1">
      <alignment horizontal="right"/>
    </xf>
    <xf numFmtId="2" fontId="135" fillId="0" borderId="0" xfId="521" applyNumberFormat="1" applyFont="1" applyAlignment="1">
      <alignment horizontal="right"/>
    </xf>
    <xf numFmtId="9" fontId="135" fillId="0" borderId="0" xfId="539" applyFont="1" applyBorder="1" applyAlignment="1">
      <alignment horizontal="right"/>
    </xf>
    <xf numFmtId="44" fontId="135" fillId="0" borderId="4" xfId="538" applyFont="1" applyBorder="1" applyAlignment="1">
      <alignment horizontal="right"/>
    </xf>
    <xf numFmtId="44" fontId="135" fillId="0" borderId="84" xfId="538" quotePrefix="1" applyFont="1" applyBorder="1" applyAlignment="1">
      <alignment horizontal="right"/>
    </xf>
    <xf numFmtId="174" fontId="135" fillId="0" borderId="0" xfId="521" applyNumberFormat="1" applyFont="1"/>
    <xf numFmtId="0" fontId="134" fillId="0" borderId="83" xfId="541" applyFont="1" applyBorder="1" applyAlignment="1">
      <alignment horizontal="left" vertical="top" wrapText="1" indent="1"/>
    </xf>
    <xf numFmtId="174" fontId="134" fillId="0" borderId="4" xfId="521" applyNumberFormat="1" applyFont="1" applyBorder="1"/>
    <xf numFmtId="44" fontId="134" fillId="0" borderId="0" xfId="538" applyFont="1" applyBorder="1" applyAlignment="1">
      <alignment horizontal="right"/>
    </xf>
    <xf numFmtId="2" fontId="134" fillId="0" borderId="0" xfId="540" applyNumberFormat="1" applyFont="1" applyBorder="1" applyAlignment="1">
      <alignment horizontal="right"/>
    </xf>
    <xf numFmtId="10" fontId="134" fillId="0" borderId="0" xfId="539" applyNumberFormat="1" applyFont="1" applyBorder="1" applyAlignment="1">
      <alignment horizontal="right"/>
    </xf>
    <xf numFmtId="44" fontId="134" fillId="0" borderId="85" xfId="538" applyFont="1" applyBorder="1" applyAlignment="1">
      <alignment horizontal="right"/>
    </xf>
    <xf numFmtId="44" fontId="134" fillId="0" borderId="84" xfId="538" applyFont="1" applyBorder="1" applyAlignment="1">
      <alignment horizontal="right"/>
    </xf>
    <xf numFmtId="3" fontId="134" fillId="0" borderId="0" xfId="521" applyNumberFormat="1" applyFont="1" applyAlignment="1">
      <alignment horizontal="left"/>
    </xf>
    <xf numFmtId="169" fontId="134" fillId="0" borderId="0" xfId="521" applyNumberFormat="1" applyFont="1"/>
    <xf numFmtId="49" fontId="134" fillId="0" borderId="0" xfId="521" applyNumberFormat="1" applyFont="1"/>
    <xf numFmtId="174" fontId="135" fillId="72" borderId="86" xfId="524" applyNumberFormat="1" applyFont="1" applyFill="1" applyBorder="1"/>
    <xf numFmtId="174" fontId="135" fillId="72" borderId="87" xfId="524" applyNumberFormat="1" applyFont="1" applyFill="1" applyBorder="1"/>
    <xf numFmtId="172" fontId="135" fillId="72" borderId="88" xfId="538" applyNumberFormat="1" applyFont="1" applyFill="1" applyBorder="1"/>
    <xf numFmtId="1" fontId="135" fillId="72" borderId="88" xfId="525" applyNumberFormat="1" applyFont="1" applyFill="1" applyBorder="1"/>
    <xf numFmtId="9" fontId="135" fillId="72" borderId="88" xfId="539" applyFont="1" applyFill="1" applyBorder="1"/>
    <xf numFmtId="44" fontId="135" fillId="72" borderId="89" xfId="525" applyFont="1" applyFill="1" applyBorder="1" applyAlignment="1">
      <alignment horizontal="right"/>
    </xf>
    <xf numFmtId="37" fontId="134" fillId="0" borderId="0" xfId="538" applyNumberFormat="1" applyFont="1" applyBorder="1" applyAlignment="1">
      <alignment horizontal="center"/>
    </xf>
    <xf numFmtId="174" fontId="135" fillId="0" borderId="21" xfId="521" applyNumberFormat="1" applyFont="1" applyBorder="1"/>
    <xf numFmtId="172" fontId="135" fillId="0" borderId="0" xfId="538" applyNumberFormat="1" applyFont="1" applyBorder="1" applyAlignment="1">
      <alignment horizontal="right"/>
    </xf>
    <xf numFmtId="1" fontId="135" fillId="0" borderId="0" xfId="521" applyNumberFormat="1" applyFont="1" applyAlignment="1">
      <alignment horizontal="right"/>
    </xf>
    <xf numFmtId="10" fontId="135" fillId="0" borderId="0" xfId="521" applyNumberFormat="1" applyFont="1" applyAlignment="1">
      <alignment horizontal="right"/>
    </xf>
    <xf numFmtId="174" fontId="134" fillId="0" borderId="90" xfId="524" applyNumberFormat="1" applyFont="1" applyFill="1" applyBorder="1" applyAlignment="1">
      <alignment horizontal="left" indent="1"/>
    </xf>
    <xf numFmtId="174" fontId="134" fillId="0" borderId="91" xfId="524" quotePrefix="1" applyNumberFormat="1" applyFont="1" applyFill="1" applyBorder="1" applyAlignment="1">
      <alignment horizontal="center"/>
    </xf>
    <xf numFmtId="10" fontId="134" fillId="0" borderId="0" xfId="538" applyNumberFormat="1" applyFont="1" applyBorder="1"/>
    <xf numFmtId="44" fontId="134" fillId="0" borderId="0" xfId="525" applyFont="1" applyBorder="1"/>
    <xf numFmtId="10" fontId="134" fillId="0" borderId="0" xfId="539" applyNumberFormat="1" applyFont="1" applyBorder="1"/>
    <xf numFmtId="174" fontId="135" fillId="72" borderId="92" xfId="524" applyNumberFormat="1" applyFont="1" applyFill="1" applyBorder="1"/>
    <xf numFmtId="174" fontId="135" fillId="72" borderId="93" xfId="524" applyNumberFormat="1" applyFont="1" applyFill="1" applyBorder="1"/>
    <xf numFmtId="172" fontId="135" fillId="72" borderId="94" xfId="538" applyNumberFormat="1" applyFont="1" applyFill="1" applyBorder="1"/>
    <xf numFmtId="1" fontId="135" fillId="72" borderId="94" xfId="525" applyNumberFormat="1" applyFont="1" applyFill="1" applyBorder="1"/>
    <xf numFmtId="9" fontId="135" fillId="72" borderId="94" xfId="539" applyFont="1" applyFill="1" applyBorder="1"/>
    <xf numFmtId="44" fontId="135" fillId="72" borderId="95" xfId="525" applyFont="1" applyFill="1" applyBorder="1"/>
    <xf numFmtId="44" fontId="135" fillId="72" borderId="96" xfId="525" applyFont="1" applyFill="1" applyBorder="1" applyAlignment="1">
      <alignment horizontal="right"/>
    </xf>
    <xf numFmtId="172" fontId="134" fillId="0" borderId="0" xfId="538" applyNumberFormat="1" applyFont="1" applyBorder="1"/>
    <xf numFmtId="174" fontId="134" fillId="0" borderId="4" xfId="525" applyNumberFormat="1" applyFont="1" applyBorder="1"/>
    <xf numFmtId="172" fontId="134" fillId="0" borderId="84" xfId="538" applyNumberFormat="1" applyFont="1" applyBorder="1"/>
    <xf numFmtId="0" fontId="134" fillId="0" borderId="83" xfId="541" applyFont="1" applyBorder="1" applyAlignment="1">
      <alignment horizontal="left" vertical="top" wrapText="1"/>
    </xf>
    <xf numFmtId="172" fontId="134" fillId="0" borderId="0" xfId="538" applyNumberFormat="1" applyFont="1" applyBorder="1" applyAlignment="1">
      <alignment horizontal="right"/>
    </xf>
    <xf numFmtId="1" fontId="134" fillId="0" borderId="0" xfId="540" applyNumberFormat="1" applyFont="1" applyBorder="1" applyAlignment="1">
      <alignment horizontal="right"/>
    </xf>
    <xf numFmtId="44" fontId="134" fillId="0" borderId="84" xfId="538" applyFont="1" applyBorder="1"/>
    <xf numFmtId="9" fontId="134" fillId="0" borderId="0" xfId="539" applyFont="1" applyBorder="1"/>
    <xf numFmtId="44" fontId="134" fillId="0" borderId="0" xfId="538" applyFont="1" applyBorder="1"/>
    <xf numFmtId="174" fontId="134" fillId="0" borderId="83" xfId="521" applyNumberFormat="1" applyFont="1" applyBorder="1"/>
    <xf numFmtId="172" fontId="134" fillId="0" borderId="0" xfId="538" applyNumberFormat="1" applyFont="1" applyFill="1" applyBorder="1"/>
    <xf numFmtId="1" fontId="134" fillId="0" borderId="0" xfId="525" applyNumberFormat="1" applyFont="1" applyFill="1" applyBorder="1"/>
    <xf numFmtId="44" fontId="134" fillId="0" borderId="0" xfId="538" applyFont="1" applyFill="1" applyBorder="1"/>
    <xf numFmtId="2" fontId="134" fillId="0" borderId="0" xfId="525" applyNumberFormat="1" applyFont="1" applyFill="1" applyBorder="1"/>
    <xf numFmtId="9" fontId="134" fillId="0" borderId="0" xfId="540" applyFont="1" applyBorder="1"/>
    <xf numFmtId="44" fontId="134" fillId="0" borderId="98" xfId="525" applyFont="1" applyBorder="1"/>
    <xf numFmtId="174" fontId="134" fillId="0" borderId="99" xfId="524" applyNumberFormat="1" applyFont="1" applyFill="1" applyBorder="1" applyAlignment="1">
      <alignment horizontal="left" indent="1"/>
    </xf>
    <xf numFmtId="174" fontId="134" fillId="0" borderId="4" xfId="524" quotePrefix="1" applyNumberFormat="1" applyFont="1" applyFill="1" applyBorder="1" applyAlignment="1">
      <alignment horizontal="center"/>
    </xf>
    <xf numFmtId="44" fontId="134" fillId="0" borderId="4" xfId="538" applyFont="1" applyBorder="1"/>
    <xf numFmtId="174" fontId="135" fillId="73" borderId="81" xfId="525" applyNumberFormat="1" applyFont="1" applyFill="1" applyBorder="1"/>
    <xf numFmtId="174" fontId="135" fillId="73" borderId="23" xfId="524" applyNumberFormat="1" applyFont="1" applyFill="1" applyBorder="1" applyAlignment="1">
      <alignment horizontal="center"/>
    </xf>
    <xf numFmtId="172" fontId="135" fillId="73" borderId="6" xfId="538" applyNumberFormat="1" applyFont="1" applyFill="1" applyBorder="1"/>
    <xf numFmtId="1" fontId="135" fillId="73" borderId="6" xfId="524" applyNumberFormat="1" applyFont="1" applyFill="1" applyBorder="1"/>
    <xf numFmtId="9" fontId="135" fillId="73" borderId="6" xfId="539" applyFont="1" applyFill="1" applyBorder="1"/>
    <xf numFmtId="44" fontId="135" fillId="73" borderId="23" xfId="525" applyFont="1" applyFill="1" applyBorder="1"/>
    <xf numFmtId="10" fontId="135" fillId="73" borderId="6" xfId="524" applyNumberFormat="1" applyFont="1" applyFill="1" applyBorder="1"/>
    <xf numFmtId="44" fontId="135" fillId="73" borderId="6" xfId="538" applyFont="1" applyFill="1" applyBorder="1"/>
    <xf numFmtId="2" fontId="135" fillId="73" borderId="6" xfId="524" applyNumberFormat="1" applyFont="1" applyFill="1" applyBorder="1"/>
    <xf numFmtId="9" fontId="135" fillId="73" borderId="6" xfId="540" applyFont="1" applyFill="1" applyBorder="1"/>
    <xf numFmtId="174" fontId="135" fillId="73" borderId="97" xfId="525" applyNumberFormat="1" applyFont="1" applyFill="1" applyBorder="1"/>
    <xf numFmtId="174" fontId="134" fillId="0" borderId="83" xfId="524" applyNumberFormat="1" applyFont="1" applyFill="1" applyBorder="1" applyAlignment="1">
      <alignment horizontal="left" indent="1"/>
    </xf>
    <xf numFmtId="174" fontId="135" fillId="65" borderId="100" xfId="524" applyNumberFormat="1" applyFont="1" applyFill="1" applyBorder="1"/>
    <xf numFmtId="174" fontId="135" fillId="65" borderId="23" xfId="524" applyNumberFormat="1" applyFont="1" applyFill="1" applyBorder="1"/>
    <xf numFmtId="172" fontId="135" fillId="65" borderId="6" xfId="524" applyNumberFormat="1" applyFont="1" applyFill="1" applyBorder="1"/>
    <xf numFmtId="1" fontId="135" fillId="65" borderId="6" xfId="524" applyNumberFormat="1" applyFont="1" applyFill="1" applyBorder="1"/>
    <xf numFmtId="9" fontId="135" fillId="65" borderId="6" xfId="539" applyFont="1" applyFill="1" applyBorder="1"/>
    <xf numFmtId="174" fontId="135" fillId="65" borderId="6" xfId="524" applyNumberFormat="1" applyFont="1" applyFill="1" applyBorder="1"/>
    <xf numFmtId="174" fontId="135" fillId="65" borderId="97" xfId="524" applyNumberFormat="1" applyFont="1" applyFill="1" applyBorder="1"/>
    <xf numFmtId="0" fontId="134" fillId="0" borderId="90" xfId="541" applyFont="1" applyBorder="1" applyAlignment="1">
      <alignment horizontal="left" vertical="top" wrapText="1" indent="1"/>
    </xf>
    <xf numFmtId="174" fontId="134" fillId="0" borderId="101" xfId="524" applyNumberFormat="1" applyFont="1" applyFill="1" applyBorder="1" applyAlignment="1">
      <alignment horizontal="left"/>
    </xf>
    <xf numFmtId="10" fontId="134" fillId="0" borderId="0" xfId="538" applyNumberFormat="1" applyFont="1" applyBorder="1" applyAlignment="1">
      <alignment horizontal="right"/>
    </xf>
    <xf numFmtId="44" fontId="134" fillId="0" borderId="0" xfId="540" applyNumberFormat="1" applyFont="1" applyBorder="1" applyAlignment="1">
      <alignment horizontal="right"/>
    </xf>
    <xf numFmtId="9" fontId="134" fillId="0" borderId="0" xfId="539" applyFont="1" applyBorder="1" applyAlignment="1">
      <alignment horizontal="right"/>
    </xf>
    <xf numFmtId="44" fontId="135" fillId="73" borderId="97" xfId="525" applyFont="1" applyFill="1" applyBorder="1"/>
    <xf numFmtId="174" fontId="134" fillId="0" borderId="83" xfId="525" applyNumberFormat="1" applyFont="1" applyBorder="1"/>
    <xf numFmtId="1" fontId="134" fillId="0" borderId="0" xfId="540" applyNumberFormat="1" applyFont="1" applyFill="1" applyBorder="1"/>
    <xf numFmtId="10" fontId="134" fillId="0" borderId="0" xfId="527" applyNumberFormat="1" applyFont="1" applyBorder="1" applyAlignment="1">
      <alignment horizontal="right"/>
    </xf>
    <xf numFmtId="2" fontId="134" fillId="0" borderId="0" xfId="540" applyNumberFormat="1" applyFont="1" applyFill="1" applyBorder="1"/>
    <xf numFmtId="9" fontId="134" fillId="0" borderId="0" xfId="540" applyFont="1" applyBorder="1" applyAlignment="1">
      <alignment horizontal="right"/>
    </xf>
    <xf numFmtId="174" fontId="135" fillId="64" borderId="92" xfId="525" applyNumberFormat="1" applyFont="1" applyFill="1" applyBorder="1"/>
    <xf numFmtId="174" fontId="135" fillId="64" borderId="95" xfId="525" applyNumberFormat="1" applyFont="1" applyFill="1" applyBorder="1" applyAlignment="1">
      <alignment horizontal="center"/>
    </xf>
    <xf numFmtId="172" fontId="135" fillId="64" borderId="94" xfId="538" applyNumberFormat="1" applyFont="1" applyFill="1" applyBorder="1"/>
    <xf numFmtId="1" fontId="135" fillId="64" borderId="94" xfId="525" applyNumberFormat="1" applyFont="1" applyFill="1" applyBorder="1"/>
    <xf numFmtId="9" fontId="135" fillId="64" borderId="94" xfId="539" applyFont="1" applyFill="1" applyBorder="1"/>
    <xf numFmtId="44" fontId="135" fillId="64" borderId="95" xfId="525" applyFont="1" applyFill="1" applyBorder="1"/>
    <xf numFmtId="10" fontId="135" fillId="64" borderId="94" xfId="525" applyNumberFormat="1" applyFont="1" applyFill="1" applyBorder="1"/>
    <xf numFmtId="44" fontId="135" fillId="64" borderId="94" xfId="538" applyFont="1" applyFill="1" applyBorder="1"/>
    <xf numFmtId="2" fontId="135" fillId="64" borderId="94" xfId="525" applyNumberFormat="1" applyFont="1" applyFill="1" applyBorder="1"/>
    <xf numFmtId="9" fontId="135" fillId="64" borderId="94" xfId="540" applyFont="1" applyFill="1" applyBorder="1"/>
    <xf numFmtId="44" fontId="135" fillId="64" borderId="95" xfId="525" applyFont="1" applyFill="1" applyBorder="1" applyAlignment="1">
      <alignment horizontal="right"/>
    </xf>
    <xf numFmtId="44" fontId="135" fillId="64" borderId="102" xfId="538" applyFont="1" applyFill="1" applyBorder="1"/>
    <xf numFmtId="174" fontId="134" fillId="0" borderId="79" xfId="521" applyNumberFormat="1" applyFont="1" applyBorder="1"/>
    <xf numFmtId="174" fontId="134" fillId="0" borderId="10" xfId="521" applyNumberFormat="1" applyFont="1" applyBorder="1"/>
    <xf numFmtId="172" fontId="134" fillId="0" borderId="24" xfId="538" applyNumberFormat="1" applyFont="1" applyBorder="1"/>
    <xf numFmtId="1" fontId="134" fillId="0" borderId="24" xfId="521" applyNumberFormat="1" applyFont="1" applyBorder="1"/>
    <xf numFmtId="9" fontId="134" fillId="0" borderId="24" xfId="539" applyFont="1" applyBorder="1"/>
    <xf numFmtId="174" fontId="134" fillId="0" borderId="10" xfId="525" applyNumberFormat="1" applyFont="1" applyBorder="1"/>
    <xf numFmtId="10" fontId="134" fillId="0" borderId="24" xfId="521" applyNumberFormat="1" applyFont="1" applyBorder="1"/>
    <xf numFmtId="44" fontId="134" fillId="0" borderId="24" xfId="538" applyFont="1" applyBorder="1"/>
    <xf numFmtId="2" fontId="134" fillId="0" borderId="24" xfId="521" applyNumberFormat="1" applyFont="1" applyBorder="1"/>
    <xf numFmtId="9" fontId="134" fillId="0" borderId="24" xfId="540" applyFont="1" applyBorder="1"/>
    <xf numFmtId="174" fontId="134" fillId="0" borderId="82" xfId="525" applyNumberFormat="1" applyFont="1" applyBorder="1"/>
    <xf numFmtId="174" fontId="135" fillId="64" borderId="79" xfId="525" applyNumberFormat="1" applyFont="1" applyFill="1" applyBorder="1"/>
    <xf numFmtId="174" fontId="135" fillId="64" borderId="10" xfId="525" applyNumberFormat="1" applyFont="1" applyFill="1" applyBorder="1" applyAlignment="1">
      <alignment horizontal="center"/>
    </xf>
    <xf numFmtId="172" fontId="135" fillId="64" borderId="24" xfId="538" applyNumberFormat="1" applyFont="1" applyFill="1" applyBorder="1"/>
    <xf numFmtId="1" fontId="135" fillId="64" borderId="24" xfId="525" applyNumberFormat="1" applyFont="1" applyFill="1" applyBorder="1"/>
    <xf numFmtId="9" fontId="135" fillId="64" borderId="24" xfId="539" applyFont="1" applyFill="1" applyBorder="1"/>
    <xf numFmtId="44" fontId="135" fillId="64" borderId="10" xfId="525" applyFont="1" applyFill="1" applyBorder="1"/>
    <xf numFmtId="10" fontId="135" fillId="64" borderId="24" xfId="525" applyNumberFormat="1" applyFont="1" applyFill="1" applyBorder="1"/>
    <xf numFmtId="44" fontId="135" fillId="64" borderId="24" xfId="538" applyFont="1" applyFill="1" applyBorder="1"/>
    <xf numFmtId="2" fontId="135" fillId="64" borderId="24" xfId="525" applyNumberFormat="1" applyFont="1" applyFill="1" applyBorder="1"/>
    <xf numFmtId="9" fontId="135" fillId="64" borderId="24" xfId="540" applyFont="1" applyFill="1" applyBorder="1"/>
    <xf numFmtId="44" fontId="135" fillId="64" borderId="10" xfId="525" applyFont="1" applyFill="1" applyBorder="1" applyAlignment="1">
      <alignment horizontal="right"/>
    </xf>
    <xf numFmtId="44" fontId="135" fillId="64" borderId="82" xfId="525" applyFont="1" applyFill="1" applyBorder="1" applyAlignment="1">
      <alignment horizontal="right"/>
    </xf>
    <xf numFmtId="174" fontId="135" fillId="74" borderId="103" xfId="524" applyNumberFormat="1" applyFont="1" applyFill="1" applyBorder="1" applyAlignment="1">
      <alignment horizontal="left" wrapText="1"/>
    </xf>
    <xf numFmtId="174" fontId="134" fillId="74" borderId="104" xfId="521" applyNumberFormat="1" applyFont="1" applyFill="1" applyBorder="1" applyAlignment="1">
      <alignment horizontal="center"/>
    </xf>
    <xf numFmtId="172" fontId="134" fillId="74" borderId="105" xfId="538" applyNumberFormat="1" applyFont="1" applyFill="1" applyBorder="1"/>
    <xf numFmtId="1" fontId="134" fillId="74" borderId="105" xfId="521" applyNumberFormat="1" applyFont="1" applyFill="1" applyBorder="1"/>
    <xf numFmtId="9" fontId="134" fillId="74" borderId="105" xfId="539" applyFont="1" applyFill="1" applyBorder="1"/>
    <xf numFmtId="44" fontId="134" fillId="74" borderId="104" xfId="538" applyFont="1" applyFill="1" applyBorder="1"/>
    <xf numFmtId="10" fontId="134" fillId="74" borderId="105" xfId="521" applyNumberFormat="1" applyFont="1" applyFill="1" applyBorder="1"/>
    <xf numFmtId="44" fontId="134" fillId="74" borderId="105" xfId="538" applyFont="1" applyFill="1" applyBorder="1"/>
    <xf numFmtId="2" fontId="134" fillId="74" borderId="105" xfId="521" applyNumberFormat="1" applyFont="1" applyFill="1" applyBorder="1"/>
    <xf numFmtId="9" fontId="134" fillId="74" borderId="105" xfId="540" applyFont="1" applyFill="1" applyBorder="1"/>
    <xf numFmtId="44" fontId="134" fillId="74" borderId="106" xfId="538" applyFont="1" applyFill="1" applyBorder="1"/>
    <xf numFmtId="174" fontId="119" fillId="0" borderId="83" xfId="521" applyNumberFormat="1" applyFont="1" applyBorder="1"/>
    <xf numFmtId="174" fontId="120" fillId="0" borderId="21" xfId="524" quotePrefix="1" applyNumberFormat="1" applyFont="1" applyFill="1" applyBorder="1" applyAlignment="1">
      <alignment horizontal="center"/>
    </xf>
    <xf numFmtId="172" fontId="120" fillId="0" borderId="0" xfId="538" applyNumberFormat="1" applyFont="1" applyBorder="1"/>
    <xf numFmtId="1" fontId="120" fillId="0" borderId="0" xfId="521" applyNumberFormat="1" applyFont="1"/>
    <xf numFmtId="10" fontId="120" fillId="0" borderId="0" xfId="539" applyNumberFormat="1" applyFont="1" applyBorder="1"/>
    <xf numFmtId="174" fontId="120" fillId="0" borderId="4" xfId="525" applyNumberFormat="1" applyFont="1" applyBorder="1"/>
    <xf numFmtId="172" fontId="120" fillId="0" borderId="84" xfId="538" applyNumberFormat="1" applyFont="1" applyBorder="1"/>
    <xf numFmtId="0" fontId="120" fillId="0" borderId="83" xfId="541" applyFont="1" applyBorder="1" applyAlignment="1">
      <alignment horizontal="left" vertical="top" wrapText="1" indent="1"/>
    </xf>
    <xf numFmtId="174" fontId="120" fillId="0" borderId="4" xfId="521" applyNumberFormat="1" applyFont="1" applyBorder="1"/>
    <xf numFmtId="44" fontId="120" fillId="0" borderId="0" xfId="538" applyFont="1" applyBorder="1" applyAlignment="1">
      <alignment horizontal="right"/>
    </xf>
    <xf numFmtId="2" fontId="120" fillId="0" borderId="0" xfId="540" applyNumberFormat="1" applyFont="1" applyBorder="1" applyAlignment="1">
      <alignment horizontal="right"/>
    </xf>
    <xf numFmtId="10" fontId="120" fillId="0" borderId="0" xfId="539" applyNumberFormat="1" applyFont="1" applyBorder="1" applyAlignment="1">
      <alignment horizontal="right"/>
    </xf>
    <xf numFmtId="44" fontId="120" fillId="0" borderId="85" xfId="538" applyFont="1" applyBorder="1" applyAlignment="1">
      <alignment horizontal="right"/>
    </xf>
    <xf numFmtId="44" fontId="120" fillId="0" borderId="84" xfId="538" applyFont="1" applyBorder="1" applyAlignment="1">
      <alignment horizontal="right"/>
    </xf>
    <xf numFmtId="174" fontId="120" fillId="0" borderId="83" xfId="521" applyNumberFormat="1" applyFont="1" applyBorder="1" applyAlignment="1">
      <alignment horizontal="left" indent="1"/>
    </xf>
    <xf numFmtId="174" fontId="119" fillId="72" borderId="81" xfId="524" applyNumberFormat="1" applyFont="1" applyFill="1" applyBorder="1"/>
    <xf numFmtId="174" fontId="119" fillId="72" borderId="3" xfId="524" applyNumberFormat="1" applyFont="1" applyFill="1" applyBorder="1"/>
    <xf numFmtId="172" fontId="119" fillId="72" borderId="6" xfId="538" applyNumberFormat="1" applyFont="1" applyFill="1" applyBorder="1"/>
    <xf numFmtId="1" fontId="119" fillId="72" borderId="6" xfId="524" applyNumberFormat="1" applyFont="1" applyFill="1" applyBorder="1"/>
    <xf numFmtId="9" fontId="119" fillId="72" borderId="6" xfId="539" applyFont="1" applyFill="1" applyBorder="1"/>
    <xf numFmtId="44" fontId="119" fillId="72" borderId="23" xfId="525" applyFont="1" applyFill="1" applyBorder="1"/>
    <xf numFmtId="44" fontId="119" fillId="72" borderId="96" xfId="525" applyFont="1" applyFill="1" applyBorder="1" applyAlignment="1">
      <alignment horizontal="right"/>
    </xf>
    <xf numFmtId="174" fontId="120" fillId="0" borderId="21" xfId="524" applyNumberFormat="1" applyFont="1" applyFill="1" applyBorder="1"/>
    <xf numFmtId="2" fontId="120" fillId="0" borderId="0" xfId="525" applyNumberFormat="1" applyFont="1" applyBorder="1"/>
    <xf numFmtId="9" fontId="120" fillId="0" borderId="0" xfId="539" applyFont="1" applyFill="1" applyBorder="1"/>
    <xf numFmtId="44" fontId="120" fillId="0" borderId="4" xfId="538" applyFont="1" applyFill="1" applyBorder="1"/>
    <xf numFmtId="44" fontId="120" fillId="0" borderId="84" xfId="538" applyFont="1" applyBorder="1"/>
    <xf numFmtId="44" fontId="119" fillId="72" borderId="97" xfId="525" applyFont="1" applyFill="1" applyBorder="1"/>
    <xf numFmtId="0" fontId="136" fillId="0" borderId="83" xfId="541" applyFont="1" applyBorder="1" applyAlignment="1">
      <alignment horizontal="left" vertical="top" wrapText="1"/>
    </xf>
    <xf numFmtId="1" fontId="120" fillId="0" borderId="0" xfId="540" applyNumberFormat="1" applyFont="1" applyBorder="1"/>
    <xf numFmtId="9" fontId="120" fillId="0" borderId="0" xfId="539" applyFont="1" applyBorder="1"/>
    <xf numFmtId="44" fontId="120" fillId="0" borderId="4" xfId="538" applyFont="1" applyBorder="1" applyAlignment="1">
      <alignment horizontal="right"/>
    </xf>
    <xf numFmtId="10" fontId="120" fillId="0" borderId="0" xfId="521" applyNumberFormat="1" applyFont="1"/>
    <xf numFmtId="44" fontId="120" fillId="0" borderId="0" xfId="538" applyFont="1" applyBorder="1"/>
    <xf numFmtId="2" fontId="120" fillId="0" borderId="0" xfId="540" applyNumberFormat="1" applyFont="1" applyBorder="1"/>
    <xf numFmtId="10" fontId="119" fillId="72" borderId="6" xfId="524" applyNumberFormat="1" applyFont="1" applyFill="1" applyBorder="1"/>
    <xf numFmtId="44" fontId="119" fillId="72" borderId="6" xfId="538" applyFont="1" applyFill="1" applyBorder="1"/>
    <xf numFmtId="2" fontId="119" fillId="72" borderId="6" xfId="524" applyNumberFormat="1" applyFont="1" applyFill="1" applyBorder="1"/>
    <xf numFmtId="9" fontId="119" fillId="72" borderId="6" xfId="540" applyFont="1" applyFill="1" applyBorder="1"/>
    <xf numFmtId="44" fontId="119" fillId="72" borderId="97" xfId="538" applyFont="1" applyFill="1" applyBorder="1"/>
    <xf numFmtId="1" fontId="120" fillId="0" borderId="0" xfId="525" applyNumberFormat="1" applyFont="1" applyBorder="1"/>
    <xf numFmtId="174" fontId="120" fillId="0" borderId="83" xfId="521" applyNumberFormat="1" applyFont="1" applyBorder="1"/>
    <xf numFmtId="10" fontId="120" fillId="0" borderId="0" xfId="524" applyNumberFormat="1" applyFont="1" applyFill="1" applyBorder="1"/>
    <xf numFmtId="9" fontId="120" fillId="0" borderId="0" xfId="540" applyFont="1" applyFill="1" applyBorder="1"/>
    <xf numFmtId="172" fontId="120" fillId="0" borderId="0" xfId="538" applyNumberFormat="1" applyFont="1" applyFill="1" applyBorder="1"/>
    <xf numFmtId="1" fontId="120" fillId="0" borderId="0" xfId="525" applyNumberFormat="1" applyFont="1" applyFill="1" applyBorder="1"/>
    <xf numFmtId="44" fontId="120" fillId="0" borderId="0" xfId="538" applyFont="1" applyFill="1" applyBorder="1"/>
    <xf numFmtId="2" fontId="120" fillId="0" borderId="0" xfId="525" applyNumberFormat="1" applyFont="1" applyFill="1" applyBorder="1"/>
    <xf numFmtId="9" fontId="120" fillId="0" borderId="0" xfId="540" applyFont="1" applyBorder="1"/>
    <xf numFmtId="174" fontId="119" fillId="0" borderId="83" xfId="521" applyNumberFormat="1" applyFont="1" applyBorder="1" applyAlignment="1">
      <alignment horizontal="left" indent="1"/>
    </xf>
    <xf numFmtId="174" fontId="120" fillId="0" borderId="83" xfId="524" applyNumberFormat="1" applyFont="1" applyFill="1" applyBorder="1" applyAlignment="1">
      <alignment horizontal="left" wrapText="1" indent="2"/>
    </xf>
    <xf numFmtId="44" fontId="120" fillId="0" borderId="4" xfId="525" applyFont="1" applyBorder="1"/>
    <xf numFmtId="174" fontId="120" fillId="0" borderId="79" xfId="524" applyNumberFormat="1" applyFont="1" applyFill="1" applyBorder="1" applyAlignment="1">
      <alignment horizontal="left" wrapText="1" indent="2"/>
    </xf>
    <xf numFmtId="44" fontId="120" fillId="0" borderId="24" xfId="538" applyFont="1" applyFill="1" applyBorder="1"/>
    <xf numFmtId="2" fontId="120" fillId="0" borderId="24" xfId="525" applyNumberFormat="1" applyFont="1" applyFill="1" applyBorder="1"/>
    <xf numFmtId="10" fontId="120" fillId="0" borderId="24" xfId="539" applyNumberFormat="1" applyFont="1" applyBorder="1"/>
    <xf numFmtId="44" fontId="120" fillId="0" borderId="98" xfId="525" applyFont="1" applyBorder="1"/>
    <xf numFmtId="174" fontId="119" fillId="72" borderId="79" xfId="524" applyNumberFormat="1" applyFont="1" applyFill="1" applyBorder="1"/>
    <xf numFmtId="172" fontId="119" fillId="72" borderId="24" xfId="538" applyNumberFormat="1" applyFont="1" applyFill="1" applyBorder="1"/>
    <xf numFmtId="1" fontId="119" fillId="72" borderId="24" xfId="525" applyNumberFormat="1" applyFont="1" applyFill="1" applyBorder="1"/>
    <xf numFmtId="9" fontId="119" fillId="72" borderId="24" xfId="539" applyFont="1" applyFill="1" applyBorder="1"/>
    <xf numFmtId="44" fontId="119" fillId="72" borderId="10" xfId="525" applyFont="1" applyFill="1" applyBorder="1"/>
    <xf numFmtId="0" fontId="119" fillId="0" borderId="0" xfId="541" applyFont="1" applyAlignment="1">
      <alignment horizontal="right"/>
    </xf>
    <xf numFmtId="175" fontId="120" fillId="0" borderId="0" xfId="541" applyNumberFormat="1" applyFont="1" applyAlignment="1">
      <alignment horizontal="left"/>
    </xf>
    <xf numFmtId="0" fontId="34" fillId="0" borderId="0" xfId="541" applyFont="1"/>
    <xf numFmtId="0" fontId="137" fillId="0" borderId="0" xfId="541" applyFont="1" applyAlignment="1">
      <alignment horizontal="center"/>
    </xf>
    <xf numFmtId="0" fontId="137" fillId="0" borderId="0" xfId="541" applyFont="1" applyAlignment="1">
      <alignment horizontal="center" vertical="center" wrapText="1"/>
    </xf>
    <xf numFmtId="44" fontId="34" fillId="0" borderId="0" xfId="538" applyFont="1"/>
    <xf numFmtId="2" fontId="34" fillId="0" borderId="0" xfId="521" applyNumberFormat="1" applyFont="1"/>
    <xf numFmtId="9" fontId="34" fillId="0" borderId="0" xfId="540" applyFont="1"/>
    <xf numFmtId="10" fontId="34" fillId="0" borderId="0" xfId="521" applyNumberFormat="1" applyFont="1"/>
    <xf numFmtId="174" fontId="34" fillId="0" borderId="0" xfId="521" applyNumberFormat="1" applyFont="1"/>
    <xf numFmtId="0" fontId="34" fillId="0" borderId="3" xfId="541" applyFont="1" applyBorder="1" applyAlignment="1">
      <alignment wrapText="1"/>
    </xf>
    <xf numFmtId="9" fontId="34" fillId="0" borderId="3" xfId="527" applyFont="1" applyFill="1" applyBorder="1" applyAlignment="1">
      <alignment horizontal="center" wrapText="1"/>
    </xf>
    <xf numFmtId="44" fontId="119" fillId="64" borderId="24" xfId="538" applyFont="1" applyFill="1" applyBorder="1" applyAlignment="1">
      <alignment horizontal="center" vertical="center" wrapText="1"/>
    </xf>
    <xf numFmtId="2" fontId="119" fillId="64" borderId="24" xfId="524" applyNumberFormat="1" applyFont="1" applyFill="1" applyBorder="1" applyAlignment="1">
      <alignment horizontal="center" vertical="center" wrapText="1"/>
    </xf>
    <xf numFmtId="9" fontId="119" fillId="64" borderId="24" xfId="540" applyFont="1" applyFill="1" applyBorder="1" applyAlignment="1">
      <alignment horizontal="center" vertical="center" wrapText="1"/>
    </xf>
    <xf numFmtId="44" fontId="119" fillId="64" borderId="10" xfId="538" applyFont="1" applyFill="1" applyBorder="1" applyAlignment="1">
      <alignment horizontal="center" vertical="center" wrapText="1"/>
    </xf>
    <xf numFmtId="10" fontId="119" fillId="64" borderId="24" xfId="524" applyNumberFormat="1" applyFont="1" applyFill="1" applyBorder="1" applyAlignment="1">
      <alignment horizontal="center" vertical="center" wrapText="1"/>
    </xf>
    <xf numFmtId="174" fontId="119" fillId="71" borderId="22" xfId="524" applyNumberFormat="1" applyFont="1" applyFill="1" applyBorder="1" applyAlignment="1">
      <alignment horizontal="center"/>
    </xf>
    <xf numFmtId="174" fontId="119" fillId="71" borderId="25" xfId="524" applyNumberFormat="1" applyFont="1" applyFill="1" applyBorder="1"/>
    <xf numFmtId="44" fontId="119" fillId="71" borderId="20" xfId="538" applyFont="1" applyFill="1" applyBorder="1"/>
    <xf numFmtId="2" fontId="119" fillId="71" borderId="24" xfId="524" applyNumberFormat="1" applyFont="1" applyFill="1" applyBorder="1"/>
    <xf numFmtId="9" fontId="119" fillId="71" borderId="24" xfId="540" applyFont="1" applyFill="1" applyBorder="1"/>
    <xf numFmtId="44" fontId="119" fillId="71" borderId="10" xfId="538" applyFont="1" applyFill="1" applyBorder="1"/>
    <xf numFmtId="10" fontId="119" fillId="71" borderId="24" xfId="524" applyNumberFormat="1" applyFont="1" applyFill="1" applyBorder="1"/>
    <xf numFmtId="44" fontId="119" fillId="71" borderId="24" xfId="538" applyFont="1" applyFill="1" applyBorder="1"/>
    <xf numFmtId="44" fontId="119" fillId="71" borderId="23" xfId="538" applyFont="1" applyFill="1" applyBorder="1"/>
    <xf numFmtId="44" fontId="119" fillId="71" borderId="109" xfId="538" applyFont="1" applyFill="1" applyBorder="1"/>
    <xf numFmtId="174" fontId="119" fillId="0" borderId="69" xfId="521" applyNumberFormat="1" applyFont="1" applyBorder="1"/>
    <xf numFmtId="174" fontId="119" fillId="0" borderId="19" xfId="521" applyNumberFormat="1" applyFont="1" applyBorder="1"/>
    <xf numFmtId="44" fontId="119" fillId="0" borderId="0" xfId="538" applyFont="1" applyBorder="1" applyAlignment="1">
      <alignment horizontal="right"/>
    </xf>
    <xf numFmtId="2" fontId="119" fillId="0" borderId="0" xfId="521" applyNumberFormat="1" applyFont="1" applyAlignment="1">
      <alignment horizontal="right"/>
    </xf>
    <xf numFmtId="9" fontId="119" fillId="0" borderId="0" xfId="540" applyFont="1" applyBorder="1" applyAlignment="1">
      <alignment horizontal="right"/>
    </xf>
    <xf numFmtId="44" fontId="119" fillId="0" borderId="4" xfId="538" applyFont="1" applyBorder="1" applyAlignment="1">
      <alignment horizontal="right"/>
    </xf>
    <xf numFmtId="10" fontId="119" fillId="0" borderId="0" xfId="521" applyNumberFormat="1" applyFont="1" applyAlignment="1">
      <alignment horizontal="right"/>
    </xf>
    <xf numFmtId="44" fontId="119" fillId="0" borderId="71" xfId="538" quotePrefix="1" applyFont="1" applyBorder="1" applyAlignment="1">
      <alignment horizontal="right"/>
    </xf>
    <xf numFmtId="174" fontId="121" fillId="0" borderId="0" xfId="521" applyNumberFormat="1" applyFont="1"/>
    <xf numFmtId="0" fontId="120" fillId="0" borderId="69" xfId="541" applyFont="1" applyBorder="1" applyAlignment="1">
      <alignment horizontal="left" vertical="top" wrapText="1" indent="1"/>
    </xf>
    <xf numFmtId="44" fontId="120" fillId="0" borderId="0" xfId="538" applyFont="1" applyFill="1" applyBorder="1" applyAlignment="1">
      <alignment horizontal="right"/>
    </xf>
    <xf numFmtId="2" fontId="120" fillId="0" borderId="0" xfId="540" applyNumberFormat="1" applyFont="1" applyFill="1" applyBorder="1" applyAlignment="1">
      <alignment horizontal="right"/>
    </xf>
    <xf numFmtId="10" fontId="120" fillId="0" borderId="0" xfId="521" applyNumberFormat="1" applyFont="1" applyAlignment="1">
      <alignment horizontal="right"/>
    </xf>
    <xf numFmtId="44" fontId="120" fillId="0" borderId="4" xfId="525" applyFont="1" applyFill="1" applyBorder="1"/>
    <xf numFmtId="44" fontId="120" fillId="0" borderId="71" xfId="538" applyFont="1" applyFill="1" applyBorder="1"/>
    <xf numFmtId="174" fontId="120" fillId="0" borderId="69" xfId="524" applyNumberFormat="1" applyFont="1" applyFill="1" applyBorder="1" applyAlignment="1">
      <alignment horizontal="left" indent="1"/>
    </xf>
    <xf numFmtId="174" fontId="119" fillId="72" borderId="22" xfId="524" applyNumberFormat="1" applyFont="1" applyFill="1" applyBorder="1"/>
    <xf numFmtId="2" fontId="119" fillId="72" borderId="6" xfId="525" applyNumberFormat="1" applyFont="1" applyFill="1" applyBorder="1"/>
    <xf numFmtId="10" fontId="119" fillId="72" borderId="6" xfId="525" applyNumberFormat="1" applyFont="1" applyFill="1" applyBorder="1"/>
    <xf numFmtId="44" fontId="119" fillId="72" borderId="110" xfId="525" applyFont="1" applyFill="1" applyBorder="1"/>
    <xf numFmtId="174" fontId="119" fillId="0" borderId="21" xfId="521" applyNumberFormat="1" applyFont="1" applyBorder="1"/>
    <xf numFmtId="44" fontId="119" fillId="0" borderId="111" xfId="538" applyFont="1" applyBorder="1" applyAlignment="1">
      <alignment horizontal="right"/>
    </xf>
    <xf numFmtId="10" fontId="120" fillId="0" borderId="0" xfId="540" applyNumberFormat="1" applyFont="1" applyBorder="1"/>
    <xf numFmtId="169" fontId="120" fillId="0" borderId="0" xfId="538" applyNumberFormat="1" applyFont="1" applyBorder="1"/>
    <xf numFmtId="44" fontId="120" fillId="0" borderId="71" xfId="538" applyFont="1" applyBorder="1"/>
    <xf numFmtId="174" fontId="119" fillId="0" borderId="68" xfId="521" applyNumberFormat="1" applyFont="1" applyBorder="1" applyAlignment="1">
      <alignment horizontal="left"/>
    </xf>
    <xf numFmtId="174" fontId="120" fillId="0" borderId="11" xfId="524" quotePrefix="1" applyNumberFormat="1" applyFont="1" applyFill="1" applyBorder="1" applyAlignment="1">
      <alignment horizontal="center"/>
    </xf>
    <xf numFmtId="44" fontId="120" fillId="0" borderId="71" xfId="525" applyFont="1" applyBorder="1"/>
    <xf numFmtId="174" fontId="119" fillId="72" borderId="68" xfId="524" applyNumberFormat="1" applyFont="1" applyFill="1" applyBorder="1"/>
    <xf numFmtId="174" fontId="119" fillId="72" borderId="11" xfId="524" applyNumberFormat="1" applyFont="1" applyFill="1" applyBorder="1"/>
    <xf numFmtId="44" fontId="119" fillId="72" borderId="20" xfId="538" applyFont="1" applyFill="1" applyBorder="1"/>
    <xf numFmtId="44" fontId="119" fillId="72" borderId="112" xfId="525" applyFont="1" applyFill="1" applyBorder="1"/>
    <xf numFmtId="174" fontId="138" fillId="0" borderId="0" xfId="521" applyNumberFormat="1" applyFont="1"/>
    <xf numFmtId="2" fontId="120" fillId="0" borderId="0" xfId="521" applyNumberFormat="1" applyFont="1"/>
    <xf numFmtId="174" fontId="120" fillId="0" borderId="71" xfId="525" applyNumberFormat="1" applyFont="1" applyBorder="1"/>
    <xf numFmtId="44" fontId="120" fillId="0" borderId="71" xfId="525" applyFont="1" applyFill="1" applyBorder="1"/>
    <xf numFmtId="174" fontId="120" fillId="0" borderId="0" xfId="521" applyNumberFormat="1" applyFont="1"/>
    <xf numFmtId="0" fontId="120" fillId="0" borderId="69" xfId="541" applyFont="1" applyBorder="1" applyAlignment="1">
      <alignment horizontal="left" vertical="top" wrapText="1"/>
    </xf>
    <xf numFmtId="174" fontId="119" fillId="0" borderId="0" xfId="521" applyNumberFormat="1" applyFont="1"/>
    <xf numFmtId="174" fontId="120" fillId="0" borderId="21" xfId="524" quotePrefix="1" applyNumberFormat="1" applyFont="1" applyFill="1" applyBorder="1" applyAlignment="1">
      <alignment horizontal="left"/>
    </xf>
    <xf numFmtId="174" fontId="120" fillId="0" borderId="19" xfId="524" quotePrefix="1" applyNumberFormat="1" applyFont="1" applyFill="1" applyBorder="1" applyAlignment="1">
      <alignment horizontal="center"/>
    </xf>
    <xf numFmtId="44" fontId="120" fillId="0" borderId="4" xfId="538" applyFont="1" applyBorder="1"/>
    <xf numFmtId="174" fontId="120" fillId="0" borderId="69" xfId="521" applyNumberFormat="1" applyFont="1" applyBorder="1"/>
    <xf numFmtId="2" fontId="120" fillId="0" borderId="0" xfId="538" applyNumberFormat="1" applyFont="1" applyBorder="1" applyAlignment="1">
      <alignment horizontal="right"/>
    </xf>
    <xf numFmtId="174" fontId="120" fillId="0" borderId="113" xfId="524" applyNumberFormat="1" applyFont="1" applyFill="1" applyBorder="1" applyAlignment="1">
      <alignment horizontal="left" indent="1"/>
    </xf>
    <xf numFmtId="174" fontId="120" fillId="0" borderId="4" xfId="524" quotePrefix="1" applyNumberFormat="1" applyFont="1" applyFill="1" applyBorder="1" applyAlignment="1">
      <alignment horizontal="center"/>
    </xf>
    <xf numFmtId="174" fontId="119" fillId="73" borderId="22" xfId="525" applyNumberFormat="1" applyFont="1" applyFill="1" applyBorder="1"/>
    <xf numFmtId="174" fontId="119" fillId="73" borderId="23" xfId="524" applyNumberFormat="1" applyFont="1" applyFill="1" applyBorder="1" applyAlignment="1">
      <alignment horizontal="center"/>
    </xf>
    <xf numFmtId="44" fontId="119" fillId="73" borderId="6" xfId="538" applyFont="1" applyFill="1" applyBorder="1"/>
    <xf numFmtId="2" fontId="119" fillId="73" borderId="6" xfId="524" applyNumberFormat="1" applyFont="1" applyFill="1" applyBorder="1"/>
    <xf numFmtId="9" fontId="119" fillId="73" borderId="6" xfId="540" applyFont="1" applyFill="1" applyBorder="1"/>
    <xf numFmtId="44" fontId="119" fillId="73" borderId="23" xfId="525" applyFont="1" applyFill="1" applyBorder="1"/>
    <xf numFmtId="10" fontId="119" fillId="73" borderId="6" xfId="524" applyNumberFormat="1" applyFont="1" applyFill="1" applyBorder="1"/>
    <xf numFmtId="44" fontId="119" fillId="73" borderId="112" xfId="525" applyFont="1" applyFill="1" applyBorder="1"/>
    <xf numFmtId="174" fontId="119" fillId="65" borderId="22" xfId="524" applyNumberFormat="1" applyFont="1" applyFill="1" applyBorder="1"/>
    <xf numFmtId="174" fontId="119" fillId="65" borderId="23" xfId="524" applyNumberFormat="1" applyFont="1" applyFill="1" applyBorder="1"/>
    <xf numFmtId="174" fontId="119" fillId="65" borderId="6" xfId="524" applyNumberFormat="1" applyFont="1" applyFill="1" applyBorder="1"/>
    <xf numFmtId="174" fontId="119" fillId="65" borderId="112" xfId="524" applyNumberFormat="1" applyFont="1" applyFill="1" applyBorder="1"/>
    <xf numFmtId="0" fontId="120" fillId="0" borderId="114" xfId="541" applyFont="1" applyBorder="1" applyAlignment="1">
      <alignment horizontal="left" vertical="top" wrapText="1"/>
    </xf>
    <xf numFmtId="174" fontId="120" fillId="0" borderId="4" xfId="524" applyNumberFormat="1" applyFont="1" applyFill="1" applyBorder="1" applyAlignment="1">
      <alignment horizontal="left"/>
    </xf>
    <xf numFmtId="9" fontId="120" fillId="0" borderId="0" xfId="540" applyFont="1" applyBorder="1" applyAlignment="1">
      <alignment horizontal="right"/>
    </xf>
    <xf numFmtId="0" fontId="120" fillId="0" borderId="115" xfId="541" applyFont="1" applyBorder="1" applyAlignment="1">
      <alignment horizontal="left" vertical="top" wrapText="1"/>
    </xf>
    <xf numFmtId="2" fontId="120" fillId="0" borderId="0" xfId="540" applyNumberFormat="1" applyFont="1" applyFill="1" applyBorder="1"/>
    <xf numFmtId="174" fontId="120" fillId="0" borderId="69" xfId="525" applyNumberFormat="1" applyFont="1" applyBorder="1"/>
    <xf numFmtId="10" fontId="120" fillId="0" borderId="0" xfId="527" applyNumberFormat="1" applyFont="1" applyBorder="1" applyAlignment="1">
      <alignment horizontal="right"/>
    </xf>
    <xf numFmtId="174" fontId="119" fillId="64" borderId="22" xfId="525" applyNumberFormat="1" applyFont="1" applyFill="1" applyBorder="1"/>
    <xf numFmtId="174" fontId="119" fillId="64" borderId="23" xfId="525" applyNumberFormat="1" applyFont="1" applyFill="1" applyBorder="1" applyAlignment="1">
      <alignment horizontal="center"/>
    </xf>
    <xf numFmtId="44" fontId="119" fillId="64" borderId="6" xfId="538" applyFont="1" applyFill="1" applyBorder="1"/>
    <xf numFmtId="2" fontId="119" fillId="64" borderId="6" xfId="525" applyNumberFormat="1" applyFont="1" applyFill="1" applyBorder="1"/>
    <xf numFmtId="9" fontId="119" fillId="64" borderId="6" xfId="540" applyFont="1" applyFill="1" applyBorder="1"/>
    <xf numFmtId="44" fontId="119" fillId="64" borderId="23" xfId="525" applyFont="1" applyFill="1" applyBorder="1"/>
    <xf numFmtId="10" fontId="119" fillId="64" borderId="6" xfId="525" applyNumberFormat="1" applyFont="1" applyFill="1" applyBorder="1"/>
    <xf numFmtId="44" fontId="119" fillId="64" borderId="112" xfId="525" applyFont="1" applyFill="1" applyBorder="1"/>
    <xf numFmtId="174" fontId="120" fillId="0" borderId="68" xfId="521" applyNumberFormat="1" applyFont="1" applyBorder="1"/>
    <xf numFmtId="174" fontId="120" fillId="0" borderId="10" xfId="521" applyNumberFormat="1" applyFont="1" applyBorder="1"/>
    <xf numFmtId="44" fontId="120" fillId="0" borderId="24" xfId="538" applyFont="1" applyBorder="1"/>
    <xf numFmtId="2" fontId="120" fillId="0" borderId="24" xfId="521" applyNumberFormat="1" applyFont="1" applyBorder="1"/>
    <xf numFmtId="9" fontId="120" fillId="0" borderId="24" xfId="540" applyFont="1" applyBorder="1"/>
    <xf numFmtId="174" fontId="120" fillId="0" borderId="10" xfId="525" applyNumberFormat="1" applyFont="1" applyBorder="1"/>
    <xf numFmtId="10" fontId="120" fillId="0" borderId="24" xfId="521" applyNumberFormat="1" applyFont="1" applyBorder="1"/>
    <xf numFmtId="174" fontId="120" fillId="0" borderId="109" xfId="525" applyNumberFormat="1" applyFont="1" applyBorder="1"/>
    <xf numFmtId="174" fontId="119" fillId="64" borderId="68" xfId="525" applyNumberFormat="1" applyFont="1" applyFill="1" applyBorder="1"/>
    <xf numFmtId="174" fontId="119" fillId="64" borderId="10" xfId="525" applyNumberFormat="1" applyFont="1" applyFill="1" applyBorder="1" applyAlignment="1">
      <alignment horizontal="center"/>
    </xf>
    <xf numFmtId="44" fontId="119" fillId="64" borderId="24" xfId="538" applyFont="1" applyFill="1" applyBorder="1"/>
    <xf numFmtId="2" fontId="119" fillId="64" borderId="24" xfId="525" applyNumberFormat="1" applyFont="1" applyFill="1" applyBorder="1"/>
    <xf numFmtId="9" fontId="119" fillId="64" borderId="24" xfId="540" applyFont="1" applyFill="1" applyBorder="1"/>
    <xf numFmtId="44" fontId="119" fillId="64" borderId="10" xfId="525" applyFont="1" applyFill="1" applyBorder="1"/>
    <xf numFmtId="10" fontId="119" fillId="64" borderId="24" xfId="525" applyNumberFormat="1" applyFont="1" applyFill="1" applyBorder="1"/>
    <xf numFmtId="44" fontId="119" fillId="64" borderId="109" xfId="525" applyFont="1" applyFill="1" applyBorder="1"/>
    <xf numFmtId="174" fontId="119" fillId="74" borderId="116" xfId="524" applyNumberFormat="1" applyFont="1" applyFill="1" applyBorder="1" applyAlignment="1">
      <alignment horizontal="left" wrapText="1"/>
    </xf>
    <xf numFmtId="174" fontId="120" fillId="74" borderId="117" xfId="521" applyNumberFormat="1" applyFont="1" applyFill="1" applyBorder="1" applyAlignment="1">
      <alignment horizontal="center"/>
    </xf>
    <xf numFmtId="44" fontId="120" fillId="74" borderId="118" xfId="538" applyFont="1" applyFill="1" applyBorder="1"/>
    <xf numFmtId="2" fontId="120" fillId="74" borderId="118" xfId="521" applyNumberFormat="1" applyFont="1" applyFill="1" applyBorder="1"/>
    <xf numFmtId="9" fontId="120" fillId="74" borderId="118" xfId="540" applyFont="1" applyFill="1" applyBorder="1"/>
    <xf numFmtId="44" fontId="120" fillId="74" borderId="117" xfId="538" applyFont="1" applyFill="1" applyBorder="1"/>
    <xf numFmtId="10" fontId="120" fillId="74" borderId="118" xfId="521" applyNumberFormat="1" applyFont="1" applyFill="1" applyBorder="1"/>
    <xf numFmtId="44" fontId="120" fillId="74" borderId="119" xfId="538" applyFont="1" applyFill="1" applyBorder="1"/>
    <xf numFmtId="175" fontId="34" fillId="0" borderId="36" xfId="0" applyNumberFormat="1" applyFont="1" applyBorder="1" applyAlignment="1">
      <alignment horizontal="center" vertical="top" wrapText="1"/>
    </xf>
    <xf numFmtId="169" fontId="34" fillId="0" borderId="36" xfId="0" applyNumberFormat="1" applyFont="1" applyBorder="1" applyAlignment="1">
      <alignment horizontal="center" vertical="top" wrapText="1"/>
    </xf>
    <xf numFmtId="173" fontId="46" fillId="0" borderId="0" xfId="0" applyNumberFormat="1" applyFont="1" applyAlignment="1">
      <alignment horizontal="center"/>
    </xf>
    <xf numFmtId="167" fontId="46" fillId="0" borderId="0" xfId="0" applyNumberFormat="1" applyFont="1" applyAlignment="1">
      <alignment horizontal="left" vertical="top" wrapText="1"/>
    </xf>
    <xf numFmtId="0" fontId="139" fillId="0" borderId="4" xfId="526" applyFont="1" applyBorder="1" applyAlignment="1">
      <alignment horizontal="left" vertical="top" wrapText="1"/>
    </xf>
    <xf numFmtId="195" fontId="46" fillId="0" borderId="0" xfId="0" applyNumberFormat="1" applyFont="1"/>
    <xf numFmtId="195" fontId="17" fillId="0" borderId="0" xfId="0" applyNumberFormat="1" applyFont="1"/>
    <xf numFmtId="4" fontId="17" fillId="0" borderId="0" xfId="0" applyNumberFormat="1" applyFont="1"/>
    <xf numFmtId="174" fontId="103" fillId="0" borderId="21" xfId="524" applyNumberFormat="1" applyFont="1" applyFill="1" applyBorder="1" applyAlignment="1">
      <alignment horizontal="center"/>
    </xf>
    <xf numFmtId="171" fontId="104" fillId="64" borderId="10" xfId="525" applyNumberFormat="1" applyFont="1" applyFill="1" applyBorder="1" applyAlignment="1">
      <alignment horizontal="center" vertical="center" wrapText="1"/>
    </xf>
    <xf numFmtId="171" fontId="108" fillId="71" borderId="10" xfId="524" applyNumberFormat="1" applyFont="1" applyFill="1" applyBorder="1"/>
    <xf numFmtId="171" fontId="108" fillId="0" borderId="4" xfId="521" applyNumberFormat="1" applyFont="1" applyBorder="1" applyAlignment="1">
      <alignment horizontal="right"/>
    </xf>
    <xf numFmtId="171" fontId="103" fillId="0" borderId="4" xfId="525" applyNumberFormat="1" applyFont="1" applyBorder="1"/>
    <xf numFmtId="171" fontId="108" fillId="0" borderId="23" xfId="525" applyNumberFormat="1" applyFont="1" applyBorder="1"/>
    <xf numFmtId="171" fontId="108" fillId="0" borderId="23" xfId="522" applyNumberFormat="1" applyFont="1" applyBorder="1"/>
    <xf numFmtId="171" fontId="108" fillId="72" borderId="23" xfId="525" applyNumberFormat="1" applyFont="1" applyFill="1" applyBorder="1"/>
    <xf numFmtId="171" fontId="103" fillId="0" borderId="10" xfId="525" applyNumberFormat="1" applyFont="1" applyBorder="1"/>
    <xf numFmtId="171" fontId="103" fillId="0" borderId="4" xfId="524" applyNumberFormat="1" applyFont="1" applyFill="1" applyBorder="1"/>
    <xf numFmtId="171" fontId="108" fillId="72" borderId="10" xfId="525" applyNumberFormat="1" applyFont="1" applyFill="1" applyBorder="1"/>
    <xf numFmtId="171" fontId="108" fillId="73" borderId="23" xfId="525" applyNumberFormat="1" applyFont="1" applyFill="1" applyBorder="1"/>
    <xf numFmtId="171" fontId="107" fillId="65" borderId="6" xfId="524" applyNumberFormat="1" applyFont="1" applyFill="1" applyBorder="1"/>
    <xf numFmtId="171" fontId="108" fillId="64" borderId="10" xfId="525" applyNumberFormat="1" applyFont="1" applyFill="1" applyBorder="1"/>
    <xf numFmtId="171" fontId="103" fillId="0" borderId="0" xfId="521" applyNumberFormat="1" applyFont="1"/>
    <xf numFmtId="171" fontId="103" fillId="74" borderId="23" xfId="521" applyNumberFormat="1" applyFont="1" applyFill="1" applyBorder="1"/>
    <xf numFmtId="171" fontId="104" fillId="64" borderId="10" xfId="522" applyNumberFormat="1" applyFont="1" applyFill="1" applyBorder="1" applyAlignment="1">
      <alignment horizontal="center" vertical="center" wrapText="1"/>
    </xf>
    <xf numFmtId="171" fontId="108" fillId="71" borderId="10" xfId="522" applyNumberFormat="1" applyFont="1" applyFill="1" applyBorder="1"/>
    <xf numFmtId="171" fontId="108" fillId="0" borderId="4" xfId="522" applyNumberFormat="1" applyFont="1" applyBorder="1" applyAlignment="1">
      <alignment horizontal="right"/>
    </xf>
    <xf numFmtId="171" fontId="103" fillId="0" borderId="4" xfId="522" applyNumberFormat="1" applyFont="1" applyBorder="1"/>
    <xf numFmtId="171" fontId="103" fillId="0" borderId="4" xfId="522" applyNumberFormat="1" applyFont="1" applyFill="1" applyBorder="1"/>
    <xf numFmtId="171" fontId="103" fillId="0" borderId="0" xfId="522" applyNumberFormat="1" applyFont="1"/>
    <xf numFmtId="171" fontId="103" fillId="74" borderId="23" xfId="522" applyNumberFormat="1" applyFont="1" applyFill="1" applyBorder="1"/>
    <xf numFmtId="171" fontId="108" fillId="71" borderId="23" xfId="522" applyNumberFormat="1" applyFont="1" applyFill="1" applyBorder="1"/>
    <xf numFmtId="171" fontId="108" fillId="0" borderId="4" xfId="522" quotePrefix="1" applyNumberFormat="1" applyFont="1" applyBorder="1" applyAlignment="1">
      <alignment horizontal="right"/>
    </xf>
    <xf numFmtId="171" fontId="108" fillId="66" borderId="10" xfId="522" applyNumberFormat="1" applyFont="1" applyFill="1" applyBorder="1"/>
    <xf numFmtId="171" fontId="103" fillId="0" borderId="11" xfId="522" applyNumberFormat="1" applyFont="1" applyBorder="1"/>
    <xf numFmtId="171" fontId="108" fillId="72" borderId="23" xfId="522" applyNumberFormat="1" applyFont="1" applyFill="1" applyBorder="1"/>
    <xf numFmtId="171" fontId="103" fillId="66" borderId="10" xfId="522" applyNumberFormat="1" applyFont="1" applyFill="1" applyBorder="1"/>
    <xf numFmtId="171" fontId="103" fillId="0" borderId="10" xfId="522" applyNumberFormat="1" applyFont="1" applyBorder="1"/>
    <xf numFmtId="171" fontId="107" fillId="65" borderId="23" xfId="524" applyNumberFormat="1" applyFont="1" applyFill="1" applyBorder="1"/>
    <xf numFmtId="171" fontId="108" fillId="64" borderId="11" xfId="522" applyNumberFormat="1" applyFont="1" applyFill="1" applyBorder="1"/>
    <xf numFmtId="171" fontId="108" fillId="0" borderId="10" xfId="525" applyNumberFormat="1" applyFont="1" applyBorder="1"/>
    <xf numFmtId="196" fontId="103" fillId="0" borderId="0" xfId="521" applyNumberFormat="1" applyFont="1"/>
    <xf numFmtId="169" fontId="46" fillId="0" borderId="0" xfId="98" applyNumberFormat="1" applyFont="1"/>
    <xf numFmtId="1" fontId="46" fillId="0" borderId="3" xfId="337" applyNumberFormat="1" applyFont="1" applyBorder="1" applyAlignment="1">
      <alignment horizontal="center" wrapText="1"/>
    </xf>
    <xf numFmtId="173" fontId="46" fillId="0" borderId="3" xfId="98" applyNumberFormat="1" applyFont="1" applyBorder="1" applyAlignment="1">
      <alignment horizontal="center" wrapText="1"/>
    </xf>
    <xf numFmtId="173" fontId="17" fillId="0" borderId="3" xfId="98" applyNumberFormat="1" applyFont="1" applyBorder="1" applyAlignment="1">
      <alignment horizontal="center" wrapText="1"/>
    </xf>
    <xf numFmtId="197" fontId="46" fillId="0" borderId="0" xfId="0" applyNumberFormat="1" applyFont="1"/>
    <xf numFmtId="171" fontId="93" fillId="0" borderId="0" xfId="98" applyNumberFormat="1" applyFont="1" applyAlignment="1">
      <alignment horizontal="center"/>
    </xf>
    <xf numFmtId="167" fontId="140" fillId="62" borderId="0" xfId="0" applyNumberFormat="1" applyFont="1" applyFill="1" applyAlignment="1">
      <alignment horizontal="right" wrapText="1"/>
    </xf>
    <xf numFmtId="167" fontId="140" fillId="0" borderId="0" xfId="0" applyNumberFormat="1" applyFont="1" applyAlignment="1">
      <alignment horizontal="right" wrapText="1"/>
    </xf>
    <xf numFmtId="10" fontId="46" fillId="0" borderId="0" xfId="337" applyNumberFormat="1" applyFont="1"/>
    <xf numFmtId="49" fontId="141" fillId="0" borderId="3" xfId="0" applyNumberFormat="1" applyFont="1" applyBorder="1" applyAlignment="1">
      <alignment horizontal="left" wrapText="1"/>
    </xf>
    <xf numFmtId="49" fontId="17" fillId="0" borderId="70" xfId="0" applyNumberFormat="1" applyFont="1" applyBorder="1" applyAlignment="1">
      <alignment horizontal="center" wrapText="1"/>
    </xf>
    <xf numFmtId="0" fontId="46" fillId="0" borderId="0" xfId="0" applyFont="1" applyAlignment="1">
      <alignment horizontal="right" wrapText="1"/>
    </xf>
    <xf numFmtId="0" fontId="100" fillId="68" borderId="3" xfId="0" applyFont="1" applyFill="1" applyBorder="1" applyAlignment="1">
      <alignment horizontal="center" vertical="center" wrapText="1"/>
    </xf>
    <xf numFmtId="0" fontId="100" fillId="0" borderId="25" xfId="0" applyFont="1" applyBorder="1" applyAlignment="1">
      <alignment horizontal="center" wrapText="1"/>
    </xf>
    <xf numFmtId="0" fontId="100" fillId="68" borderId="20" xfId="0" applyFont="1" applyFill="1" applyBorder="1" applyAlignment="1">
      <alignment horizontal="center" vertical="center" wrapText="1"/>
    </xf>
    <xf numFmtId="0" fontId="24" fillId="0" borderId="61" xfId="0" applyFont="1" applyBorder="1" applyAlignment="1">
      <alignment horizontal="right" wrapText="1"/>
    </xf>
    <xf numFmtId="0" fontId="119" fillId="0" borderId="62" xfId="0" applyFont="1" applyBorder="1" applyAlignment="1">
      <alignment horizontal="right" wrapText="1"/>
    </xf>
    <xf numFmtId="0" fontId="119" fillId="0" borderId="0" xfId="0" applyFont="1" applyAlignment="1">
      <alignment horizontal="center" wrapText="1"/>
    </xf>
    <xf numFmtId="0" fontId="119" fillId="0" borderId="55" xfId="0" applyFont="1" applyBorder="1" applyAlignment="1">
      <alignment horizontal="center" wrapText="1"/>
    </xf>
    <xf numFmtId="0" fontId="24" fillId="61" borderId="52" xfId="0" applyFont="1" applyFill="1" applyBorder="1" applyAlignment="1">
      <alignment horizontal="left" vertical="top" wrapText="1"/>
    </xf>
    <xf numFmtId="0" fontId="24" fillId="61" borderId="42" xfId="0" applyFont="1" applyFill="1" applyBorder="1" applyAlignment="1">
      <alignment horizontal="left" vertical="top" wrapText="1"/>
    </xf>
    <xf numFmtId="0" fontId="34" fillId="0" borderId="56" xfId="0" applyFont="1" applyBorder="1" applyAlignment="1">
      <alignment vertical="top" wrapText="1"/>
    </xf>
    <xf numFmtId="0" fontId="34" fillId="0" borderId="50" xfId="0" applyFont="1" applyBorder="1" applyAlignment="1">
      <alignment horizontal="left" vertical="top" wrapText="1"/>
    </xf>
    <xf numFmtId="0" fontId="24" fillId="61" borderId="41" xfId="0" applyFont="1" applyFill="1" applyBorder="1" applyAlignment="1">
      <alignment horizontal="left" vertical="top" wrapText="1"/>
    </xf>
    <xf numFmtId="0" fontId="34" fillId="0" borderId="57" xfId="0" applyFont="1" applyBorder="1" applyAlignment="1">
      <alignment vertical="top" wrapText="1"/>
    </xf>
    <xf numFmtId="0" fontId="34" fillId="61" borderId="42" xfId="0" applyFont="1" applyFill="1" applyBorder="1" applyAlignment="1">
      <alignment vertical="top" wrapText="1"/>
    </xf>
    <xf numFmtId="0" fontId="121" fillId="61" borderId="58" xfId="0" applyFont="1" applyFill="1" applyBorder="1" applyAlignment="1">
      <alignment horizontal="left" vertical="top" wrapText="1"/>
    </xf>
    <xf numFmtId="0" fontId="34" fillId="61" borderId="59" xfId="0" applyFont="1" applyFill="1" applyBorder="1" applyAlignment="1">
      <alignment wrapText="1"/>
    </xf>
    <xf numFmtId="0" fontId="34" fillId="0" borderId="60" xfId="0" applyFont="1" applyBorder="1" applyAlignment="1">
      <alignment wrapText="1"/>
    </xf>
    <xf numFmtId="174" fontId="104" fillId="64" borderId="65" xfId="524" applyNumberFormat="1" applyFont="1" applyFill="1" applyBorder="1" applyAlignment="1">
      <alignment horizontal="center" vertical="center" wrapText="1"/>
    </xf>
    <xf numFmtId="171" fontId="105" fillId="64" borderId="64" xfId="522" applyNumberFormat="1" applyFont="1" applyFill="1" applyBorder="1" applyAlignment="1">
      <alignment horizontal="center" vertical="center" wrapText="1"/>
    </xf>
    <xf numFmtId="174" fontId="123" fillId="64" borderId="63" xfId="524" applyNumberFormat="1" applyFont="1" applyFill="1" applyBorder="1" applyAlignment="1">
      <alignment horizontal="left"/>
    </xf>
    <xf numFmtId="174" fontId="104" fillId="64" borderId="64" xfId="524" applyNumberFormat="1" applyFont="1" applyFill="1" applyBorder="1" applyAlignment="1">
      <alignment horizontal="center" wrapText="1"/>
    </xf>
    <xf numFmtId="174" fontId="104" fillId="64" borderId="66" xfId="524" applyNumberFormat="1" applyFont="1" applyFill="1" applyBorder="1" applyAlignment="1">
      <alignment horizontal="center" vertical="center" wrapText="1"/>
    </xf>
    <xf numFmtId="174" fontId="104" fillId="64" borderId="67" xfId="524" applyNumberFormat="1" applyFont="1" applyFill="1" applyBorder="1" applyAlignment="1">
      <alignment horizontal="center" vertical="center" wrapText="1"/>
    </xf>
    <xf numFmtId="171" fontId="105" fillId="64" borderId="11" xfId="522" applyNumberFormat="1" applyFont="1" applyFill="1" applyBorder="1" applyAlignment="1">
      <alignment horizontal="center" vertical="center" wrapText="1"/>
    </xf>
    <xf numFmtId="174" fontId="104" fillId="64" borderId="63" xfId="524" applyNumberFormat="1" applyFont="1" applyFill="1" applyBorder="1" applyAlignment="1">
      <alignment horizontal="left"/>
    </xf>
    <xf numFmtId="174" fontId="104" fillId="64" borderId="68" xfId="524" applyNumberFormat="1" applyFont="1" applyFill="1" applyBorder="1" applyAlignment="1">
      <alignment horizontal="left"/>
    </xf>
    <xf numFmtId="174" fontId="104" fillId="64" borderId="11" xfId="524" applyNumberFormat="1" applyFont="1" applyFill="1" applyBorder="1" applyAlignment="1">
      <alignment horizontal="center" wrapText="1"/>
    </xf>
    <xf numFmtId="44" fontId="119" fillId="64" borderId="107" xfId="538" applyFont="1" applyFill="1" applyBorder="1" applyAlignment="1">
      <alignment horizontal="center" vertical="center" wrapText="1"/>
    </xf>
    <xf numFmtId="44" fontId="119" fillId="64" borderId="108" xfId="538" applyFont="1" applyFill="1" applyBorder="1" applyAlignment="1">
      <alignment horizontal="center" vertical="center" wrapText="1"/>
    </xf>
    <xf numFmtId="0" fontId="119" fillId="0" borderId="0" xfId="541" applyFont="1" applyAlignment="1">
      <alignment horizontal="center"/>
    </xf>
    <xf numFmtId="174" fontId="119" fillId="64" borderId="65" xfId="524" applyNumberFormat="1" applyFont="1" applyFill="1" applyBorder="1" applyAlignment="1">
      <alignment horizontal="center" vertical="center" wrapText="1"/>
    </xf>
    <xf numFmtId="174" fontId="119" fillId="64" borderId="66" xfId="524" applyNumberFormat="1" applyFont="1" applyFill="1" applyBorder="1" applyAlignment="1">
      <alignment horizontal="center" vertical="center" wrapText="1"/>
    </xf>
    <xf numFmtId="174" fontId="119" fillId="64" borderId="67" xfId="524" applyNumberFormat="1" applyFont="1" applyFill="1" applyBorder="1" applyAlignment="1">
      <alignment horizontal="center" vertical="center" wrapText="1"/>
    </xf>
    <xf numFmtId="174" fontId="119" fillId="64" borderId="63" xfId="524" applyNumberFormat="1" applyFont="1" applyFill="1" applyBorder="1" applyAlignment="1">
      <alignment horizontal="left"/>
    </xf>
    <xf numFmtId="174" fontId="119" fillId="64" borderId="68" xfId="524" applyNumberFormat="1" applyFont="1" applyFill="1" applyBorder="1" applyAlignment="1">
      <alignment horizontal="left"/>
    </xf>
    <xf numFmtId="174" fontId="119" fillId="64" borderId="64" xfId="524" applyNumberFormat="1" applyFont="1" applyFill="1" applyBorder="1" applyAlignment="1">
      <alignment horizontal="center" wrapText="1"/>
    </xf>
    <xf numFmtId="174" fontId="119" fillId="64" borderId="11" xfId="524" applyNumberFormat="1" applyFont="1" applyFill="1" applyBorder="1" applyAlignment="1">
      <alignment horizontal="center" wrapText="1"/>
    </xf>
    <xf numFmtId="44" fontId="135" fillId="64" borderId="78" xfId="538" applyFont="1" applyFill="1" applyBorder="1" applyAlignment="1">
      <alignment horizontal="center" vertical="center" wrapText="1"/>
    </xf>
    <xf numFmtId="44" fontId="135" fillId="64" borderId="80" xfId="538" applyFont="1" applyFill="1" applyBorder="1" applyAlignment="1">
      <alignment horizontal="center" vertical="center" wrapText="1"/>
    </xf>
    <xf numFmtId="0" fontId="119" fillId="0" borderId="0" xfId="537" applyFont="1" applyAlignment="1">
      <alignment horizontal="center"/>
    </xf>
    <xf numFmtId="0" fontId="120" fillId="0" borderId="0" xfId="537" applyFont="1"/>
    <xf numFmtId="174" fontId="135" fillId="64" borderId="75" xfId="524" applyNumberFormat="1" applyFont="1" applyFill="1" applyBorder="1" applyAlignment="1">
      <alignment horizontal="center" vertical="center" wrapText="1"/>
    </xf>
    <xf numFmtId="174" fontId="135" fillId="64" borderId="76" xfId="524" applyNumberFormat="1" applyFont="1" applyFill="1" applyBorder="1" applyAlignment="1">
      <alignment horizontal="center" vertical="center" wrapText="1"/>
    </xf>
    <xf numFmtId="174" fontId="135" fillId="64" borderId="77" xfId="524" applyNumberFormat="1" applyFont="1" applyFill="1" applyBorder="1" applyAlignment="1">
      <alignment horizontal="center" vertical="center" wrapText="1"/>
    </xf>
    <xf numFmtId="174" fontId="135" fillId="64" borderId="73" xfId="524" applyNumberFormat="1" applyFont="1" applyFill="1" applyBorder="1" applyAlignment="1">
      <alignment horizontal="left"/>
    </xf>
    <xf numFmtId="174" fontId="135" fillId="64" borderId="79" xfId="524" applyNumberFormat="1" applyFont="1" applyFill="1" applyBorder="1" applyAlignment="1">
      <alignment horizontal="left"/>
    </xf>
    <xf numFmtId="174" fontId="135" fillId="64" borderId="74" xfId="524" applyNumberFormat="1" applyFont="1" applyFill="1" applyBorder="1" applyAlignment="1">
      <alignment horizontal="center" wrapText="1"/>
    </xf>
    <xf numFmtId="174" fontId="135" fillId="64" borderId="11" xfId="524" applyNumberFormat="1" applyFont="1" applyFill="1" applyBorder="1" applyAlignment="1">
      <alignment horizontal="center" wrapText="1"/>
    </xf>
    <xf numFmtId="0" fontId="93" fillId="68" borderId="3" xfId="0" applyFont="1" applyFill="1" applyBorder="1" applyAlignment="1">
      <alignment horizontal="center" vertical="center" wrapText="1"/>
    </xf>
  </cellXfs>
  <cellStyles count="542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4 3" xfId="5" xr:uid="{00000000-0005-0000-0000-000004000000}"/>
    <cellStyle name="20% - Accent5 2" xfId="6" xr:uid="{00000000-0005-0000-0000-000005000000}"/>
    <cellStyle name="20% - Accent6 2" xfId="7" xr:uid="{00000000-0005-0000-0000-000006000000}"/>
    <cellStyle name="20% - アクセント 1" xfId="8" xr:uid="{00000000-0005-0000-0000-000007000000}"/>
    <cellStyle name="20% - アクセント 2" xfId="9" xr:uid="{00000000-0005-0000-0000-000008000000}"/>
    <cellStyle name="20% - アクセント 3" xfId="10" xr:uid="{00000000-0005-0000-0000-000009000000}"/>
    <cellStyle name="20% - アクセント 4" xfId="11" xr:uid="{00000000-0005-0000-0000-00000A000000}"/>
    <cellStyle name="20% - アクセント 5" xfId="12" xr:uid="{00000000-0005-0000-0000-00000B000000}"/>
    <cellStyle name="20% - アクセント 6" xfId="13" xr:uid="{00000000-0005-0000-0000-00000C000000}"/>
    <cellStyle name="40% - Accent1 2" xfId="14" xr:uid="{00000000-0005-0000-0000-00000D000000}"/>
    <cellStyle name="40% - Accent2 2" xfId="15" xr:uid="{00000000-0005-0000-0000-00000E000000}"/>
    <cellStyle name="40% - Accent3 2" xfId="16" xr:uid="{00000000-0005-0000-0000-00000F000000}"/>
    <cellStyle name="40% - Accent4 2" xfId="17" xr:uid="{00000000-0005-0000-0000-000010000000}"/>
    <cellStyle name="40% - Accent5 2" xfId="18" xr:uid="{00000000-0005-0000-0000-000011000000}"/>
    <cellStyle name="40% - Accent6 2" xfId="19" xr:uid="{00000000-0005-0000-0000-000012000000}"/>
    <cellStyle name="40% - アクセント 1" xfId="20" xr:uid="{00000000-0005-0000-0000-000013000000}"/>
    <cellStyle name="40% - アクセント 2" xfId="21" xr:uid="{00000000-0005-0000-0000-000014000000}"/>
    <cellStyle name="40% - アクセント 3" xfId="22" xr:uid="{00000000-0005-0000-0000-000015000000}"/>
    <cellStyle name="40% - アクセント 4" xfId="23" xr:uid="{00000000-0005-0000-0000-000016000000}"/>
    <cellStyle name="40% - アクセント 5" xfId="24" xr:uid="{00000000-0005-0000-0000-000017000000}"/>
    <cellStyle name="40% - アクセント 6" xfId="25" xr:uid="{00000000-0005-0000-0000-000018000000}"/>
    <cellStyle name="60% - Accent1 2" xfId="26" xr:uid="{00000000-0005-0000-0000-000019000000}"/>
    <cellStyle name="60% - Accent2 2" xfId="27" xr:uid="{00000000-0005-0000-0000-00001A000000}"/>
    <cellStyle name="60% - Accent3 2" xfId="28" xr:uid="{00000000-0005-0000-0000-00001B000000}"/>
    <cellStyle name="60% - Accent4 2" xfId="29" xr:uid="{00000000-0005-0000-0000-00001C000000}"/>
    <cellStyle name="60% - Accent5 2" xfId="30" xr:uid="{00000000-0005-0000-0000-00001D000000}"/>
    <cellStyle name="60% - Accent6 2" xfId="31" xr:uid="{00000000-0005-0000-0000-00001E000000}"/>
    <cellStyle name="60% - アクセント 1" xfId="32" xr:uid="{00000000-0005-0000-0000-00001F000000}"/>
    <cellStyle name="60% - アクセント 2" xfId="33" xr:uid="{00000000-0005-0000-0000-000020000000}"/>
    <cellStyle name="60% - アクセント 3" xfId="34" xr:uid="{00000000-0005-0000-0000-000021000000}"/>
    <cellStyle name="60% - アクセント 4" xfId="35" xr:uid="{00000000-0005-0000-0000-000022000000}"/>
    <cellStyle name="60% - アクセント 5" xfId="36" xr:uid="{00000000-0005-0000-0000-000023000000}"/>
    <cellStyle name="60% - アクセント 6" xfId="37" xr:uid="{00000000-0005-0000-0000-000024000000}"/>
    <cellStyle name="Accent1 2" xfId="38" xr:uid="{00000000-0005-0000-0000-000025000000}"/>
    <cellStyle name="Accent2 2" xfId="39" xr:uid="{00000000-0005-0000-0000-000026000000}"/>
    <cellStyle name="Accent2 3" xfId="40" xr:uid="{00000000-0005-0000-0000-000027000000}"/>
    <cellStyle name="Accent3 2" xfId="41" xr:uid="{00000000-0005-0000-0000-000028000000}"/>
    <cellStyle name="Accent4 2" xfId="42" xr:uid="{00000000-0005-0000-0000-000029000000}"/>
    <cellStyle name="Accent5 2" xfId="43" xr:uid="{00000000-0005-0000-0000-00002A000000}"/>
    <cellStyle name="Accent6 2" xfId="44" xr:uid="{00000000-0005-0000-0000-00002B000000}"/>
    <cellStyle name="arial12" xfId="45" xr:uid="{00000000-0005-0000-0000-00002C000000}"/>
    <cellStyle name="arial14" xfId="46" xr:uid="{00000000-0005-0000-0000-00002D000000}"/>
    <cellStyle name="B&amp;P" xfId="47" xr:uid="{00000000-0005-0000-0000-00002E000000}"/>
    <cellStyle name="Bad 2" xfId="48" xr:uid="{00000000-0005-0000-0000-00002F000000}"/>
    <cellStyle name="Calculation 2" xfId="49" xr:uid="{00000000-0005-0000-0000-000030000000}"/>
    <cellStyle name="Check Cell 2" xfId="50" xr:uid="{00000000-0005-0000-0000-000031000000}"/>
    <cellStyle name="Check Cell 3" xfId="51" xr:uid="{00000000-0005-0000-0000-000032000000}"/>
    <cellStyle name="Comma" xfId="52" builtinId="3"/>
    <cellStyle name="Comma 2" xfId="53" xr:uid="{00000000-0005-0000-0000-000034000000}"/>
    <cellStyle name="Comma 2 2" xfId="54" xr:uid="{00000000-0005-0000-0000-000035000000}"/>
    <cellStyle name="Comma 2 2 2" xfId="55" xr:uid="{00000000-0005-0000-0000-000036000000}"/>
    <cellStyle name="Comma 2 2 2 2" xfId="56" xr:uid="{00000000-0005-0000-0000-000037000000}"/>
    <cellStyle name="Comma 2 2 3" xfId="57" xr:uid="{00000000-0005-0000-0000-000038000000}"/>
    <cellStyle name="Comma 2 2 4" xfId="58" xr:uid="{00000000-0005-0000-0000-000039000000}"/>
    <cellStyle name="Comma 2 3" xfId="59" xr:uid="{00000000-0005-0000-0000-00003A000000}"/>
    <cellStyle name="Comma 2 3 2" xfId="60" xr:uid="{00000000-0005-0000-0000-00003B000000}"/>
    <cellStyle name="Comma 2 4" xfId="61" xr:uid="{00000000-0005-0000-0000-00003C000000}"/>
    <cellStyle name="Comma 2 5" xfId="516" xr:uid="{66BAD9F9-31B2-4317-B24D-5D5A31C0F80D}"/>
    <cellStyle name="Comma 2_CHF Armenia SSIP Budget 08 22 2009 Final Internal" xfId="62" xr:uid="{00000000-0005-0000-0000-00003D000000}"/>
    <cellStyle name="Comma 3" xfId="63" xr:uid="{00000000-0005-0000-0000-00003E000000}"/>
    <cellStyle name="Comma 3 2" xfId="64" xr:uid="{00000000-0005-0000-0000-00003F000000}"/>
    <cellStyle name="Comma 3 3" xfId="65" xr:uid="{00000000-0005-0000-0000-000040000000}"/>
    <cellStyle name="Comma 3 4" xfId="66" xr:uid="{00000000-0005-0000-0000-000041000000}"/>
    <cellStyle name="Comma 4" xfId="67" xr:uid="{00000000-0005-0000-0000-000042000000}"/>
    <cellStyle name="Comma 4 2" xfId="68" xr:uid="{00000000-0005-0000-0000-000043000000}"/>
    <cellStyle name="Comma 4 3" xfId="69" xr:uid="{00000000-0005-0000-0000-000044000000}"/>
    <cellStyle name="Comma 4 4" xfId="70" xr:uid="{00000000-0005-0000-0000-000045000000}"/>
    <cellStyle name="Comma 5" xfId="71" xr:uid="{00000000-0005-0000-0000-000046000000}"/>
    <cellStyle name="Comma 5 2" xfId="72" xr:uid="{00000000-0005-0000-0000-000047000000}"/>
    <cellStyle name="Comma 5 2 2" xfId="73" xr:uid="{00000000-0005-0000-0000-000048000000}"/>
    <cellStyle name="Comma 5 3" xfId="74" xr:uid="{00000000-0005-0000-0000-000049000000}"/>
    <cellStyle name="Comma 6" xfId="75" xr:uid="{00000000-0005-0000-0000-00004A000000}"/>
    <cellStyle name="Comma 6 2" xfId="76" xr:uid="{00000000-0005-0000-0000-00004B000000}"/>
    <cellStyle name="Comma 6 2 2" xfId="77" xr:uid="{00000000-0005-0000-0000-00004C000000}"/>
    <cellStyle name="Comma 6 3" xfId="78" xr:uid="{00000000-0005-0000-0000-00004D000000}"/>
    <cellStyle name="Comma 6 4" xfId="79" xr:uid="{00000000-0005-0000-0000-00004E000000}"/>
    <cellStyle name="Comma 7" xfId="80" xr:uid="{00000000-0005-0000-0000-00004F000000}"/>
    <cellStyle name="Comma 7 2" xfId="81" xr:uid="{00000000-0005-0000-0000-000050000000}"/>
    <cellStyle name="Comma 8" xfId="82" xr:uid="{00000000-0005-0000-0000-000051000000}"/>
    <cellStyle name="Comma 8 2" xfId="83" xr:uid="{00000000-0005-0000-0000-000052000000}"/>
    <cellStyle name="Comma 9" xfId="84" xr:uid="{00000000-0005-0000-0000-000053000000}"/>
    <cellStyle name="Comma0" xfId="85" xr:uid="{00000000-0005-0000-0000-000054000000}"/>
    <cellStyle name="Comma0 - Style2" xfId="86" xr:uid="{00000000-0005-0000-0000-000055000000}"/>
    <cellStyle name="Comma0 - Style3" xfId="87" xr:uid="{00000000-0005-0000-0000-000056000000}"/>
    <cellStyle name="Comma0 2" xfId="88" xr:uid="{00000000-0005-0000-0000-000057000000}"/>
    <cellStyle name="Comma0 3" xfId="89" xr:uid="{00000000-0005-0000-0000-000058000000}"/>
    <cellStyle name="Comma0 4" xfId="90" xr:uid="{00000000-0005-0000-0000-000059000000}"/>
    <cellStyle name="Comma0_Copy of S3R-0167pricing v3 Option B _ GMH" xfId="91" xr:uid="{00000000-0005-0000-0000-00005A000000}"/>
    <cellStyle name="Comma1 - Style1" xfId="92" xr:uid="{00000000-0005-0000-0000-00005B000000}"/>
    <cellStyle name="Curren - Style1" xfId="93" xr:uid="{00000000-0005-0000-0000-00005C000000}"/>
    <cellStyle name="Curren - Style2" xfId="94" xr:uid="{00000000-0005-0000-0000-00005D000000}"/>
    <cellStyle name="Curren - Style3" xfId="95" xr:uid="{00000000-0005-0000-0000-00005E000000}"/>
    <cellStyle name="Curren - Style4" xfId="96" xr:uid="{00000000-0005-0000-0000-00005F000000}"/>
    <cellStyle name="Curren - Style5" xfId="97" xr:uid="{00000000-0005-0000-0000-000060000000}"/>
    <cellStyle name="Currency" xfId="98" builtinId="4"/>
    <cellStyle name="Currency 10" xfId="99" xr:uid="{00000000-0005-0000-0000-000062000000}"/>
    <cellStyle name="Currency 11" xfId="522" xr:uid="{7F3E61D0-D818-4CF7-82EE-724BBD2C8466}"/>
    <cellStyle name="Currency 11 2" xfId="528" xr:uid="{43C13C6A-E932-4A48-92D6-662B27E8DB40}"/>
    <cellStyle name="Currency 11 3" xfId="532" xr:uid="{62C7D5FA-2C85-4620-AB53-B8188C0C9C9E}"/>
    <cellStyle name="Currency 11 4" xfId="538" xr:uid="{6146DA1F-2C07-49AD-8436-73429E93F50E}"/>
    <cellStyle name="Currency 2" xfId="100" xr:uid="{00000000-0005-0000-0000-000063000000}"/>
    <cellStyle name="Currency 2 2" xfId="101" xr:uid="{00000000-0005-0000-0000-000064000000}"/>
    <cellStyle name="Currency 2 2 2" xfId="102" xr:uid="{00000000-0005-0000-0000-000065000000}"/>
    <cellStyle name="Currency 2 3" xfId="103" xr:uid="{00000000-0005-0000-0000-000066000000}"/>
    <cellStyle name="Currency 2 4" xfId="525" xr:uid="{6C32C04A-8938-4B05-8897-490CAB41CAA0}"/>
    <cellStyle name="Currency 22" xfId="104" xr:uid="{00000000-0005-0000-0000-000067000000}"/>
    <cellStyle name="Currency 3" xfId="105" xr:uid="{00000000-0005-0000-0000-000068000000}"/>
    <cellStyle name="Currency 3 2" xfId="106" xr:uid="{00000000-0005-0000-0000-000069000000}"/>
    <cellStyle name="Currency 4" xfId="107" xr:uid="{00000000-0005-0000-0000-00006A000000}"/>
    <cellStyle name="Currency 4 2" xfId="108" xr:uid="{00000000-0005-0000-0000-00006B000000}"/>
    <cellStyle name="Currency 4 2 2" xfId="109" xr:uid="{00000000-0005-0000-0000-00006C000000}"/>
    <cellStyle name="Currency 4 3" xfId="110" xr:uid="{00000000-0005-0000-0000-00006D000000}"/>
    <cellStyle name="Currency 5" xfId="111" xr:uid="{00000000-0005-0000-0000-00006E000000}"/>
    <cellStyle name="Currency 5 2" xfId="112" xr:uid="{00000000-0005-0000-0000-00006F000000}"/>
    <cellStyle name="Currency 5 3" xfId="113" xr:uid="{00000000-0005-0000-0000-000070000000}"/>
    <cellStyle name="Currency 5 4" xfId="114" xr:uid="{00000000-0005-0000-0000-000071000000}"/>
    <cellStyle name="Currency 6" xfId="115" xr:uid="{00000000-0005-0000-0000-000072000000}"/>
    <cellStyle name="Currency 6 2" xfId="116" xr:uid="{00000000-0005-0000-0000-000073000000}"/>
    <cellStyle name="Currency 7" xfId="117" xr:uid="{00000000-0005-0000-0000-000074000000}"/>
    <cellStyle name="Currency 8" xfId="118" xr:uid="{00000000-0005-0000-0000-000075000000}"/>
    <cellStyle name="Currency 9" xfId="119" xr:uid="{00000000-0005-0000-0000-000076000000}"/>
    <cellStyle name="Currency0" xfId="120" xr:uid="{00000000-0005-0000-0000-000077000000}"/>
    <cellStyle name="Date" xfId="121" xr:uid="{00000000-0005-0000-0000-000078000000}"/>
    <cellStyle name="Date 2" xfId="122" xr:uid="{00000000-0005-0000-0000-000079000000}"/>
    <cellStyle name="DateTime" xfId="123" xr:uid="{00000000-0005-0000-0000-00007A000000}"/>
    <cellStyle name="Desc" xfId="124" xr:uid="{00000000-0005-0000-0000-00007B000000}"/>
    <cellStyle name="dollar" xfId="125" xr:uid="{00000000-0005-0000-0000-00007C000000}"/>
    <cellStyle name="Euro" xfId="126" xr:uid="{00000000-0005-0000-0000-00007D000000}"/>
    <cellStyle name="Explanatory Text 2" xfId="127" xr:uid="{00000000-0005-0000-0000-00007E000000}"/>
    <cellStyle name="F2" xfId="128" xr:uid="{00000000-0005-0000-0000-00007F000000}"/>
    <cellStyle name="F3" xfId="129" xr:uid="{00000000-0005-0000-0000-000080000000}"/>
    <cellStyle name="F4" xfId="130" xr:uid="{00000000-0005-0000-0000-000081000000}"/>
    <cellStyle name="F5" xfId="131" xr:uid="{00000000-0005-0000-0000-000082000000}"/>
    <cellStyle name="F6" xfId="132" xr:uid="{00000000-0005-0000-0000-000083000000}"/>
    <cellStyle name="F7" xfId="133" xr:uid="{00000000-0005-0000-0000-000084000000}"/>
    <cellStyle name="F8" xfId="134" xr:uid="{00000000-0005-0000-0000-000085000000}"/>
    <cellStyle name="Fixed" xfId="135" xr:uid="{00000000-0005-0000-0000-000086000000}"/>
    <cellStyle name="Fixed 2" xfId="136" xr:uid="{00000000-0005-0000-0000-000087000000}"/>
    <cellStyle name="FRxAmtStyle" xfId="137" xr:uid="{00000000-0005-0000-0000-000088000000}"/>
    <cellStyle name="FRxCurrStyle" xfId="138" xr:uid="{00000000-0005-0000-0000-000089000000}"/>
    <cellStyle name="FRxPcntStyle" xfId="139" xr:uid="{00000000-0005-0000-0000-00008A000000}"/>
    <cellStyle name="Good 2" xfId="140" xr:uid="{00000000-0005-0000-0000-00008B000000}"/>
    <cellStyle name="Good 3" xfId="141" xr:uid="{00000000-0005-0000-0000-00008C000000}"/>
    <cellStyle name="Good 4" xfId="142" xr:uid="{00000000-0005-0000-0000-00008D000000}"/>
    <cellStyle name="Green cell" xfId="143" xr:uid="{00000000-0005-0000-0000-00008E000000}"/>
    <cellStyle name="Green cell 2" xfId="144" xr:uid="{00000000-0005-0000-0000-00008F000000}"/>
    <cellStyle name="Green cell 2 2" xfId="145" xr:uid="{00000000-0005-0000-0000-000090000000}"/>
    <cellStyle name="Green cell 2 2 2" xfId="146" xr:uid="{00000000-0005-0000-0000-000091000000}"/>
    <cellStyle name="Green cell 2 3" xfId="147" xr:uid="{00000000-0005-0000-0000-000092000000}"/>
    <cellStyle name="Green cell 3" xfId="148" xr:uid="{00000000-0005-0000-0000-000093000000}"/>
    <cellStyle name="Green cell 3 2" xfId="149" xr:uid="{00000000-0005-0000-0000-000094000000}"/>
    <cellStyle name="Green cell 3 2 2" xfId="150" xr:uid="{00000000-0005-0000-0000-000095000000}"/>
    <cellStyle name="Green cell 3 3" xfId="151" xr:uid="{00000000-0005-0000-0000-000096000000}"/>
    <cellStyle name="Green cell 4" xfId="152" xr:uid="{00000000-0005-0000-0000-000097000000}"/>
    <cellStyle name="Green cell 4 2" xfId="153" xr:uid="{00000000-0005-0000-0000-000098000000}"/>
    <cellStyle name="Green cell 4 2 2" xfId="154" xr:uid="{00000000-0005-0000-0000-000099000000}"/>
    <cellStyle name="Green cell 4 3" xfId="155" xr:uid="{00000000-0005-0000-0000-00009A000000}"/>
    <cellStyle name="Green cell 5" xfId="156" xr:uid="{00000000-0005-0000-0000-00009B000000}"/>
    <cellStyle name="Green cell 5 2" xfId="157" xr:uid="{00000000-0005-0000-0000-00009C000000}"/>
    <cellStyle name="Grey" xfId="158" xr:uid="{00000000-0005-0000-0000-00009D000000}"/>
    <cellStyle name="Header" xfId="159" xr:uid="{00000000-0005-0000-0000-00009E000000}"/>
    <cellStyle name="Header1" xfId="160" xr:uid="{00000000-0005-0000-0000-00009F000000}"/>
    <cellStyle name="Header2" xfId="161" xr:uid="{00000000-0005-0000-0000-0000A0000000}"/>
    <cellStyle name="Header2 2" xfId="162" xr:uid="{00000000-0005-0000-0000-0000A1000000}"/>
    <cellStyle name="Header2 2 2" xfId="163" xr:uid="{00000000-0005-0000-0000-0000A2000000}"/>
    <cellStyle name="Header2 2 2 2" xfId="164" xr:uid="{00000000-0005-0000-0000-0000A3000000}"/>
    <cellStyle name="Header2 2 3" xfId="165" xr:uid="{00000000-0005-0000-0000-0000A4000000}"/>
    <cellStyle name="Header2 3" xfId="166" xr:uid="{00000000-0005-0000-0000-0000A5000000}"/>
    <cellStyle name="Header2 3 2" xfId="167" xr:uid="{00000000-0005-0000-0000-0000A6000000}"/>
    <cellStyle name="Header2 3 2 2" xfId="168" xr:uid="{00000000-0005-0000-0000-0000A7000000}"/>
    <cellStyle name="Header2 3 3" xfId="169" xr:uid="{00000000-0005-0000-0000-0000A8000000}"/>
    <cellStyle name="Header2 4" xfId="170" xr:uid="{00000000-0005-0000-0000-0000A9000000}"/>
    <cellStyle name="Header2 4 2" xfId="171" xr:uid="{00000000-0005-0000-0000-0000AA000000}"/>
    <cellStyle name="Heading 1 2" xfId="172" xr:uid="{00000000-0005-0000-0000-0000AB000000}"/>
    <cellStyle name="Heading 2 2" xfId="173" xr:uid="{00000000-0005-0000-0000-0000AC000000}"/>
    <cellStyle name="Heading 3 2" xfId="174" xr:uid="{00000000-0005-0000-0000-0000AD000000}"/>
    <cellStyle name="Heading 4 2" xfId="175" xr:uid="{00000000-0005-0000-0000-0000AE000000}"/>
    <cellStyle name="HEADING1" xfId="176" xr:uid="{00000000-0005-0000-0000-0000AF000000}"/>
    <cellStyle name="HEADING2" xfId="177" xr:uid="{00000000-0005-0000-0000-0000B0000000}"/>
    <cellStyle name="Hyperlink 2" xfId="178" xr:uid="{00000000-0005-0000-0000-0000B1000000}"/>
    <cellStyle name="Hyperlink 2 2" xfId="179" xr:uid="{00000000-0005-0000-0000-0000B2000000}"/>
    <cellStyle name="Hyperlink 2 3" xfId="180" xr:uid="{00000000-0005-0000-0000-0000B3000000}"/>
    <cellStyle name="Hyperlink 3" xfId="181" xr:uid="{00000000-0005-0000-0000-0000B4000000}"/>
    <cellStyle name="Hyperlink 3 2" xfId="182" xr:uid="{00000000-0005-0000-0000-0000B5000000}"/>
    <cellStyle name="Hyperlink 3 3" xfId="183" xr:uid="{00000000-0005-0000-0000-0000B6000000}"/>
    <cellStyle name="Hyperlink 3 4" xfId="184" xr:uid="{00000000-0005-0000-0000-0000B7000000}"/>
    <cellStyle name="Hyperlink 3 5" xfId="185" xr:uid="{00000000-0005-0000-0000-0000B8000000}"/>
    <cellStyle name="Hyperlink 4" xfId="186" xr:uid="{00000000-0005-0000-0000-0000B9000000}"/>
    <cellStyle name="Hyperlink 5" xfId="187" xr:uid="{00000000-0005-0000-0000-0000BA000000}"/>
    <cellStyle name="Input [yellow]" xfId="188" xr:uid="{00000000-0005-0000-0000-0000BB000000}"/>
    <cellStyle name="Input [yellow] 2" xfId="189" xr:uid="{00000000-0005-0000-0000-0000BC000000}"/>
    <cellStyle name="Input [yellow] 2 2" xfId="190" xr:uid="{00000000-0005-0000-0000-0000BD000000}"/>
    <cellStyle name="Input [yellow] 2 2 2" xfId="191" xr:uid="{00000000-0005-0000-0000-0000BE000000}"/>
    <cellStyle name="Input [yellow] 2 3" xfId="192" xr:uid="{00000000-0005-0000-0000-0000BF000000}"/>
    <cellStyle name="Input [yellow] 3" xfId="193" xr:uid="{00000000-0005-0000-0000-0000C0000000}"/>
    <cellStyle name="Input [yellow] 3 2" xfId="194" xr:uid="{00000000-0005-0000-0000-0000C1000000}"/>
    <cellStyle name="Input [yellow] 3 2 2" xfId="195" xr:uid="{00000000-0005-0000-0000-0000C2000000}"/>
    <cellStyle name="Input [yellow] 3 3" xfId="196" xr:uid="{00000000-0005-0000-0000-0000C3000000}"/>
    <cellStyle name="Input [yellow] 4" xfId="197" xr:uid="{00000000-0005-0000-0000-0000C4000000}"/>
    <cellStyle name="Input [yellow] 4 2" xfId="198" xr:uid="{00000000-0005-0000-0000-0000C5000000}"/>
    <cellStyle name="Input [yellow] 4 2 2" xfId="199" xr:uid="{00000000-0005-0000-0000-0000C6000000}"/>
    <cellStyle name="Input [yellow] 4 3" xfId="200" xr:uid="{00000000-0005-0000-0000-0000C7000000}"/>
    <cellStyle name="Input [yellow] 5" xfId="201" xr:uid="{00000000-0005-0000-0000-0000C8000000}"/>
    <cellStyle name="Input [yellow] 5 2" xfId="202" xr:uid="{00000000-0005-0000-0000-0000C9000000}"/>
    <cellStyle name="Input 2" xfId="203" xr:uid="{00000000-0005-0000-0000-0000CA000000}"/>
    <cellStyle name="Jim" xfId="204" xr:uid="{00000000-0005-0000-0000-0000CB000000}"/>
    <cellStyle name="Jim 2" xfId="205" xr:uid="{00000000-0005-0000-0000-0000CC000000}"/>
    <cellStyle name="Jim 2 2" xfId="206" xr:uid="{00000000-0005-0000-0000-0000CD000000}"/>
    <cellStyle name="Jim 2 2 2" xfId="207" xr:uid="{00000000-0005-0000-0000-0000CE000000}"/>
    <cellStyle name="Jim 2 3" xfId="208" xr:uid="{00000000-0005-0000-0000-0000CF000000}"/>
    <cellStyle name="Jim 3" xfId="209" xr:uid="{00000000-0005-0000-0000-0000D0000000}"/>
    <cellStyle name="Jim 3 2" xfId="210" xr:uid="{00000000-0005-0000-0000-0000D1000000}"/>
    <cellStyle name="Jim 3 2 2" xfId="211" xr:uid="{00000000-0005-0000-0000-0000D2000000}"/>
    <cellStyle name="Jim 3 3" xfId="212" xr:uid="{00000000-0005-0000-0000-0000D3000000}"/>
    <cellStyle name="Jim 4" xfId="213" xr:uid="{00000000-0005-0000-0000-0000D4000000}"/>
    <cellStyle name="Jim 4 2" xfId="214" xr:uid="{00000000-0005-0000-0000-0000D5000000}"/>
    <cellStyle name="Jim 4 2 2" xfId="215" xr:uid="{00000000-0005-0000-0000-0000D6000000}"/>
    <cellStyle name="Jim 4 3" xfId="216" xr:uid="{00000000-0005-0000-0000-0000D7000000}"/>
    <cellStyle name="Jim 5" xfId="217" xr:uid="{00000000-0005-0000-0000-0000D8000000}"/>
    <cellStyle name="Jim 5 2" xfId="218" xr:uid="{00000000-0005-0000-0000-0000D9000000}"/>
    <cellStyle name="Linked Cell 2" xfId="219" xr:uid="{00000000-0005-0000-0000-0000DA000000}"/>
    <cellStyle name="Linked Cell 3" xfId="220" xr:uid="{00000000-0005-0000-0000-0000DB000000}"/>
    <cellStyle name="Locked" xfId="221" xr:uid="{00000000-0005-0000-0000-0000DC000000}"/>
    <cellStyle name="m/d/y" xfId="222" xr:uid="{00000000-0005-0000-0000-0000DD000000}"/>
    <cellStyle name="mm/dd/yy" xfId="223" xr:uid="{00000000-0005-0000-0000-0000DE000000}"/>
    <cellStyle name="N,NNN (blank 0)" xfId="224" xr:uid="{00000000-0005-0000-0000-0000DF000000}"/>
    <cellStyle name="Neutral 2" xfId="225" xr:uid="{00000000-0005-0000-0000-0000E0000000}"/>
    <cellStyle name="Neutral 3" xfId="226" xr:uid="{00000000-0005-0000-0000-0000E1000000}"/>
    <cellStyle name="Normal" xfId="0" builtinId="0"/>
    <cellStyle name="Normal - Style1" xfId="227" xr:uid="{00000000-0005-0000-0000-0000E3000000}"/>
    <cellStyle name="Normal 10" xfId="228" xr:uid="{00000000-0005-0000-0000-0000E4000000}"/>
    <cellStyle name="Normal 10 2" xfId="229" xr:uid="{00000000-0005-0000-0000-0000E5000000}"/>
    <cellStyle name="Normal 10 2 2" xfId="230" xr:uid="{00000000-0005-0000-0000-0000E6000000}"/>
    <cellStyle name="Normal 10 8" xfId="231" xr:uid="{00000000-0005-0000-0000-0000E7000000}"/>
    <cellStyle name="Normal 11" xfId="232" xr:uid="{00000000-0005-0000-0000-0000E8000000}"/>
    <cellStyle name="Normal 12" xfId="233" xr:uid="{00000000-0005-0000-0000-0000E9000000}"/>
    <cellStyle name="Normal 13" xfId="234" xr:uid="{00000000-0005-0000-0000-0000EA000000}"/>
    <cellStyle name="Normal 14" xfId="235" xr:uid="{00000000-0005-0000-0000-0000EB000000}"/>
    <cellStyle name="Normal 15" xfId="236" xr:uid="{00000000-0005-0000-0000-0000EC000000}"/>
    <cellStyle name="Normal 16" xfId="237" xr:uid="{00000000-0005-0000-0000-0000ED000000}"/>
    <cellStyle name="Normal 17" xfId="238" xr:uid="{00000000-0005-0000-0000-0000EE000000}"/>
    <cellStyle name="Normal 18" xfId="239" xr:uid="{00000000-0005-0000-0000-0000EF000000}"/>
    <cellStyle name="Normal 19" xfId="240" xr:uid="{00000000-0005-0000-0000-0000F0000000}"/>
    <cellStyle name="Normal 2" xfId="241" xr:uid="{00000000-0005-0000-0000-0000F1000000}"/>
    <cellStyle name="Normal 2 10" xfId="242" xr:uid="{00000000-0005-0000-0000-0000F2000000}"/>
    <cellStyle name="Normal 2 11" xfId="243" xr:uid="{00000000-0005-0000-0000-0000F3000000}"/>
    <cellStyle name="Normal 2 12" xfId="244" xr:uid="{00000000-0005-0000-0000-0000F4000000}"/>
    <cellStyle name="Normal 2 13" xfId="245" xr:uid="{00000000-0005-0000-0000-0000F5000000}"/>
    <cellStyle name="Normal 2 14" xfId="246" xr:uid="{00000000-0005-0000-0000-0000F6000000}"/>
    <cellStyle name="Normal 2 15" xfId="247" xr:uid="{00000000-0005-0000-0000-0000F7000000}"/>
    <cellStyle name="Normal 2 16" xfId="248" xr:uid="{00000000-0005-0000-0000-0000F8000000}"/>
    <cellStyle name="Normal 2 17" xfId="249" xr:uid="{00000000-0005-0000-0000-0000F9000000}"/>
    <cellStyle name="Normal 2 18" xfId="250" xr:uid="{00000000-0005-0000-0000-0000FA000000}"/>
    <cellStyle name="Normal 2 19" xfId="251" xr:uid="{00000000-0005-0000-0000-0000FB000000}"/>
    <cellStyle name="Normal 2 2" xfId="252" xr:uid="{00000000-0005-0000-0000-0000FC000000}"/>
    <cellStyle name="Normal 2 2 2" xfId="253" xr:uid="{00000000-0005-0000-0000-0000FD000000}"/>
    <cellStyle name="Normal 2 2 3" xfId="254" xr:uid="{00000000-0005-0000-0000-0000FE000000}"/>
    <cellStyle name="Normal 2 2 4" xfId="255" xr:uid="{00000000-0005-0000-0000-0000FF000000}"/>
    <cellStyle name="Normal 2 20" xfId="256" xr:uid="{00000000-0005-0000-0000-000000010000}"/>
    <cellStyle name="Normal 2 21" xfId="257" xr:uid="{00000000-0005-0000-0000-000001010000}"/>
    <cellStyle name="Normal 2 22" xfId="258" xr:uid="{00000000-0005-0000-0000-000002010000}"/>
    <cellStyle name="Normal 2 23" xfId="521" xr:uid="{3117EBDE-CC54-46E8-AF1B-1A5252C13AEC}"/>
    <cellStyle name="Normal 2 3" xfId="259" xr:uid="{00000000-0005-0000-0000-000003010000}"/>
    <cellStyle name="Normal 2 3 2" xfId="260" xr:uid="{00000000-0005-0000-0000-000004010000}"/>
    <cellStyle name="Normal 2 4" xfId="261" xr:uid="{00000000-0005-0000-0000-000005010000}"/>
    <cellStyle name="Normal 2 5" xfId="262" xr:uid="{00000000-0005-0000-0000-000006010000}"/>
    <cellStyle name="Normal 2 6" xfId="263" xr:uid="{00000000-0005-0000-0000-000007010000}"/>
    <cellStyle name="Normal 2 7" xfId="264" xr:uid="{00000000-0005-0000-0000-000008010000}"/>
    <cellStyle name="Normal 2 8" xfId="265" xr:uid="{00000000-0005-0000-0000-000009010000}"/>
    <cellStyle name="Normal 2 9" xfId="266" xr:uid="{00000000-0005-0000-0000-00000A010000}"/>
    <cellStyle name="Normal 2_ARD CEP 2 Budget Final" xfId="267" xr:uid="{00000000-0005-0000-0000-00000B010000}"/>
    <cellStyle name="Normal 20" xfId="268" xr:uid="{00000000-0005-0000-0000-00000C010000}"/>
    <cellStyle name="Normal 21" xfId="269" xr:uid="{00000000-0005-0000-0000-00000D010000}"/>
    <cellStyle name="Normal 22" xfId="270" xr:uid="{00000000-0005-0000-0000-00000E010000}"/>
    <cellStyle name="Normal 23" xfId="271" xr:uid="{00000000-0005-0000-0000-00000F010000}"/>
    <cellStyle name="Normal 24" xfId="272" xr:uid="{00000000-0005-0000-0000-000010010000}"/>
    <cellStyle name="Normal 25" xfId="273" xr:uid="{00000000-0005-0000-0000-000011010000}"/>
    <cellStyle name="Normal 26" xfId="274" xr:uid="{00000000-0005-0000-0000-000012010000}"/>
    <cellStyle name="Normal 27" xfId="275" xr:uid="{00000000-0005-0000-0000-000013010000}"/>
    <cellStyle name="Normal 28" xfId="276" xr:uid="{00000000-0005-0000-0000-000014010000}"/>
    <cellStyle name="Normal 29" xfId="277" xr:uid="{00000000-0005-0000-0000-000015010000}"/>
    <cellStyle name="Normal 3" xfId="278" xr:uid="{00000000-0005-0000-0000-000016010000}"/>
    <cellStyle name="Normal 3 2" xfId="279" xr:uid="{00000000-0005-0000-0000-000017010000}"/>
    <cellStyle name="Normal 3 2 2" xfId="280" xr:uid="{00000000-0005-0000-0000-000018010000}"/>
    <cellStyle name="Normal 3 2 2 2" xfId="281" xr:uid="{00000000-0005-0000-0000-000019010000}"/>
    <cellStyle name="Normal 3 2 2 3" xfId="282" xr:uid="{00000000-0005-0000-0000-00001A010000}"/>
    <cellStyle name="Normal 3 2 3" xfId="283" xr:uid="{00000000-0005-0000-0000-00001B010000}"/>
    <cellStyle name="Normal 3 2 3 2" xfId="284" xr:uid="{00000000-0005-0000-0000-00001C010000}"/>
    <cellStyle name="Normal 3 3" xfId="285" xr:uid="{00000000-0005-0000-0000-00001D010000}"/>
    <cellStyle name="Normal 3 4" xfId="286" xr:uid="{00000000-0005-0000-0000-00001E010000}"/>
    <cellStyle name="Normal 3_CHF-GEII Schools Rehab &amp; WatSan Combined Budget 9 7 2009 FINAL" xfId="287" xr:uid="{00000000-0005-0000-0000-00001F010000}"/>
    <cellStyle name="Normal 30" xfId="288" xr:uid="{00000000-0005-0000-0000-000020010000}"/>
    <cellStyle name="Normal 31" xfId="289" xr:uid="{00000000-0005-0000-0000-000021010000}"/>
    <cellStyle name="Normal 32" xfId="290" xr:uid="{00000000-0005-0000-0000-000022010000}"/>
    <cellStyle name="Normal 33" xfId="291" xr:uid="{00000000-0005-0000-0000-000023010000}"/>
    <cellStyle name="Normal 34" xfId="292" xr:uid="{00000000-0005-0000-0000-000024010000}"/>
    <cellStyle name="Normal 35" xfId="293" xr:uid="{00000000-0005-0000-0000-000025010000}"/>
    <cellStyle name="Normal 36" xfId="294" xr:uid="{00000000-0005-0000-0000-000026010000}"/>
    <cellStyle name="Normal 37" xfId="295" xr:uid="{00000000-0005-0000-0000-000027010000}"/>
    <cellStyle name="Normal 38" xfId="515" xr:uid="{D98FBAD3-AA2F-4AD7-8C43-93B948557DDD}"/>
    <cellStyle name="Normal 39" xfId="517" xr:uid="{9AB7FD94-7D35-4FE5-AF55-7668E4611BB7}"/>
    <cellStyle name="Normal 39 2" xfId="518" xr:uid="{318D78A5-79CE-4202-9905-7E5E7A60F1E7}"/>
    <cellStyle name="Normal 39 3" xfId="520" xr:uid="{7A9F400D-4917-4B3A-BDDD-8E81E9712054}"/>
    <cellStyle name="Normal 4" xfId="296" xr:uid="{00000000-0005-0000-0000-000028010000}"/>
    <cellStyle name="Normal 4 2" xfId="297" xr:uid="{00000000-0005-0000-0000-000029010000}"/>
    <cellStyle name="Normal 40" xfId="519" xr:uid="{8A08F67B-C5C6-4B8C-AA4A-943DE13FB1D9}"/>
    <cellStyle name="Normal 41" xfId="526" xr:uid="{229B1DDF-56C3-4C6A-889C-68A2198DEAF8}"/>
    <cellStyle name="Normal 41 2" xfId="530" xr:uid="{E46DE119-4089-491A-89BF-514573746923}"/>
    <cellStyle name="Normal 41 3" xfId="534" xr:uid="{5E944B33-E791-4981-8F43-B48795E68F14}"/>
    <cellStyle name="Normal 41 4" xfId="541" xr:uid="{681EDCED-4154-4B65-98D3-9808D8CF479D}"/>
    <cellStyle name="Normal 42" xfId="531" xr:uid="{B621CDDB-977D-4C0C-926F-2C7639B5B406}"/>
    <cellStyle name="Normal 43" xfId="536" xr:uid="{6647DE51-19FB-4D7B-9196-2390B9A325E9}"/>
    <cellStyle name="Normal 44" xfId="298" xr:uid="{00000000-0005-0000-0000-00002A010000}"/>
    <cellStyle name="Normal 45" xfId="537" xr:uid="{568F1653-A7A3-49C6-9A1B-24FF310312B0}"/>
    <cellStyle name="Normal 5" xfId="299" xr:uid="{00000000-0005-0000-0000-00002B010000}"/>
    <cellStyle name="Normal 5 2" xfId="300" xr:uid="{00000000-0005-0000-0000-00002C010000}"/>
    <cellStyle name="Normal 5 2 2" xfId="301" xr:uid="{00000000-0005-0000-0000-00002D010000}"/>
    <cellStyle name="Normal 5 2 3" xfId="302" xr:uid="{00000000-0005-0000-0000-00002E010000}"/>
    <cellStyle name="Normal 5_12 04 20 Iraq Budget_ICNL BACKUP" xfId="303" xr:uid="{00000000-0005-0000-0000-00002F010000}"/>
    <cellStyle name="Normal 6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7" xfId="307" xr:uid="{00000000-0005-0000-0000-000033010000}"/>
    <cellStyle name="Normal 7 2" xfId="308" xr:uid="{00000000-0005-0000-0000-000034010000}"/>
    <cellStyle name="Normal 7 2 2" xfId="309" xr:uid="{00000000-0005-0000-0000-000035010000}"/>
    <cellStyle name="Normal 7 2 3" xfId="310" xr:uid="{00000000-0005-0000-0000-000036010000}"/>
    <cellStyle name="Normal 7 2_12 04 20 Iraq Budget_ICNL BACKUP" xfId="311" xr:uid="{00000000-0005-0000-0000-000037010000}"/>
    <cellStyle name="Normal 7 3" xfId="312" xr:uid="{00000000-0005-0000-0000-000038010000}"/>
    <cellStyle name="Normal 7 3 2" xfId="313" xr:uid="{00000000-0005-0000-0000-000039010000}"/>
    <cellStyle name="Normal 7 3_12 04 20 Iraq Budget_ICNL BACKUP" xfId="314" xr:uid="{00000000-0005-0000-0000-00003A010000}"/>
    <cellStyle name="Normal 7 4" xfId="315" xr:uid="{00000000-0005-0000-0000-00003B010000}"/>
    <cellStyle name="Normal 7 5" xfId="316" xr:uid="{00000000-0005-0000-0000-00003C010000}"/>
    <cellStyle name="Normal 7 6" xfId="317" xr:uid="{00000000-0005-0000-0000-00003D010000}"/>
    <cellStyle name="Normal 7_12 04 20 Iraq Budget_ICNL BACKUP" xfId="318" xr:uid="{00000000-0005-0000-0000-00003E010000}"/>
    <cellStyle name="Normal 8" xfId="319" xr:uid="{00000000-0005-0000-0000-00003F010000}"/>
    <cellStyle name="Normal 8 2" xfId="320" xr:uid="{00000000-0005-0000-0000-000040010000}"/>
    <cellStyle name="Normal 8 3" xfId="321" xr:uid="{00000000-0005-0000-0000-000041010000}"/>
    <cellStyle name="Normal 8 4" xfId="322" xr:uid="{00000000-0005-0000-0000-000042010000}"/>
    <cellStyle name="Normal 8 5" xfId="323" xr:uid="{00000000-0005-0000-0000-000043010000}"/>
    <cellStyle name="Normal 8 6" xfId="324" xr:uid="{00000000-0005-0000-0000-000044010000}"/>
    <cellStyle name="Normal 8_12 04 20 Iraq Budget_ICNL BACKUP" xfId="325" xr:uid="{00000000-0005-0000-0000-000045010000}"/>
    <cellStyle name="Normal 9" xfId="326" xr:uid="{00000000-0005-0000-0000-000046010000}"/>
    <cellStyle name="Normal 9 2" xfId="327" xr:uid="{00000000-0005-0000-0000-000047010000}"/>
    <cellStyle name="Normal_UKRAINE SME BUDGET" xfId="524" xr:uid="{0F1D21C7-9B1E-4AEC-B138-93CE5E548B08}"/>
    <cellStyle name="Note 2" xfId="328" xr:uid="{00000000-0005-0000-0000-000048010000}"/>
    <cellStyle name="Number" xfId="329" xr:uid="{00000000-0005-0000-0000-000049010000}"/>
    <cellStyle name="Number 2" xfId="330" xr:uid="{00000000-0005-0000-0000-00004A010000}"/>
    <cellStyle name="number 3" xfId="331" xr:uid="{00000000-0005-0000-0000-00004B010000}"/>
    <cellStyle name="number 3 2" xfId="332" xr:uid="{00000000-0005-0000-0000-00004C010000}"/>
    <cellStyle name="Option" xfId="333" xr:uid="{00000000-0005-0000-0000-00004D010000}"/>
    <cellStyle name="Output 2" xfId="334" xr:uid="{00000000-0005-0000-0000-00004E010000}"/>
    <cellStyle name="Percen - Style1" xfId="335" xr:uid="{00000000-0005-0000-0000-00004F010000}"/>
    <cellStyle name="Percen - Style3" xfId="336" xr:uid="{00000000-0005-0000-0000-000050010000}"/>
    <cellStyle name="Percent" xfId="337" builtinId="5"/>
    <cellStyle name="Percent [0]" xfId="338" xr:uid="{00000000-0005-0000-0000-000052010000}"/>
    <cellStyle name="Percent [2]" xfId="339" xr:uid="{00000000-0005-0000-0000-000053010000}"/>
    <cellStyle name="Percent 10" xfId="523" xr:uid="{F2AB75FB-EB56-43CF-9F9C-054A28781697}"/>
    <cellStyle name="Percent 10 2" xfId="529" xr:uid="{62DD32DF-E0B8-4509-9B7D-5E1B9DEFDCF2}"/>
    <cellStyle name="Percent 10 3" xfId="533" xr:uid="{B2832F27-F3C1-4848-B4A0-1C36FDF48B01}"/>
    <cellStyle name="Percent 10 4" xfId="540" xr:uid="{C4B48191-AA88-4F39-B99B-3C05E9041718}"/>
    <cellStyle name="Percent 11" xfId="535" xr:uid="{64708779-B6A2-476B-ACAD-C91205852454}"/>
    <cellStyle name="Percent 12" xfId="539" xr:uid="{E690A525-BEA0-4A03-B44F-E7D176480E0F}"/>
    <cellStyle name="Percent 2" xfId="340" xr:uid="{00000000-0005-0000-0000-000054010000}"/>
    <cellStyle name="Percent 2 2" xfId="341" xr:uid="{00000000-0005-0000-0000-000055010000}"/>
    <cellStyle name="Percent 2 2 2" xfId="342" xr:uid="{00000000-0005-0000-0000-000056010000}"/>
    <cellStyle name="Percent 2 2 3" xfId="343" xr:uid="{00000000-0005-0000-0000-000057010000}"/>
    <cellStyle name="Percent 2 2 4" xfId="344" xr:uid="{00000000-0005-0000-0000-000058010000}"/>
    <cellStyle name="Percent 2 3" xfId="345" xr:uid="{00000000-0005-0000-0000-000059010000}"/>
    <cellStyle name="Percent 2 3 2" xfId="346" xr:uid="{00000000-0005-0000-0000-00005A010000}"/>
    <cellStyle name="Percent 2 4" xfId="527" xr:uid="{3F9F6B81-C47C-4496-B2B1-30CC3037A95D}"/>
    <cellStyle name="Percent 3" xfId="347" xr:uid="{00000000-0005-0000-0000-00005B010000}"/>
    <cellStyle name="Percent 3 2" xfId="348" xr:uid="{00000000-0005-0000-0000-00005C010000}"/>
    <cellStyle name="Percent 4" xfId="349" xr:uid="{00000000-0005-0000-0000-00005D010000}"/>
    <cellStyle name="Percent 4 2" xfId="350" xr:uid="{00000000-0005-0000-0000-00005E010000}"/>
    <cellStyle name="Percent 4 2 2" xfId="351" xr:uid="{00000000-0005-0000-0000-00005F010000}"/>
    <cellStyle name="Percent 4 3" xfId="352" xr:uid="{00000000-0005-0000-0000-000060010000}"/>
    <cellStyle name="Percent 5" xfId="353" xr:uid="{00000000-0005-0000-0000-000061010000}"/>
    <cellStyle name="Percent 5 2" xfId="354" xr:uid="{00000000-0005-0000-0000-000062010000}"/>
    <cellStyle name="Percent 5 2 2" xfId="355" xr:uid="{00000000-0005-0000-0000-000063010000}"/>
    <cellStyle name="Percent 5 3" xfId="356" xr:uid="{00000000-0005-0000-0000-000064010000}"/>
    <cellStyle name="Percent 6" xfId="357" xr:uid="{00000000-0005-0000-0000-000065010000}"/>
    <cellStyle name="Percent 6 2" xfId="358" xr:uid="{00000000-0005-0000-0000-000066010000}"/>
    <cellStyle name="Percent 7" xfId="359" xr:uid="{00000000-0005-0000-0000-000067010000}"/>
    <cellStyle name="Percent 8" xfId="360" xr:uid="{00000000-0005-0000-0000-000068010000}"/>
    <cellStyle name="Percent 9" xfId="361" xr:uid="{00000000-0005-0000-0000-000069010000}"/>
    <cellStyle name="Period" xfId="362" xr:uid="{00000000-0005-0000-0000-00006A010000}"/>
    <cellStyle name="PROJ_NUM" xfId="363" xr:uid="{00000000-0005-0000-0000-00006B010000}"/>
    <cellStyle name="PSChar" xfId="364" xr:uid="{00000000-0005-0000-0000-00006C010000}"/>
    <cellStyle name="PSDate" xfId="365" xr:uid="{00000000-0005-0000-0000-00006D010000}"/>
    <cellStyle name="PSDec" xfId="366" xr:uid="{00000000-0005-0000-0000-00006E010000}"/>
    <cellStyle name="PSHeading" xfId="367" xr:uid="{00000000-0005-0000-0000-00006F010000}"/>
    <cellStyle name="PSInt" xfId="368" xr:uid="{00000000-0005-0000-0000-000070010000}"/>
    <cellStyle name="PSSpacer" xfId="369" xr:uid="{00000000-0005-0000-0000-000071010000}"/>
    <cellStyle name="RAMEY" xfId="370" xr:uid="{00000000-0005-0000-0000-000072010000}"/>
    <cellStyle name="Ramey $k" xfId="371" xr:uid="{00000000-0005-0000-0000-000073010000}"/>
    <cellStyle name="RAMEY_P&amp;O BKUP" xfId="372" xr:uid="{00000000-0005-0000-0000-000074010000}"/>
    <cellStyle name="STYL1 - Style1" xfId="373" xr:uid="{00000000-0005-0000-0000-000075010000}"/>
    <cellStyle name="Style 1" xfId="374" xr:uid="{00000000-0005-0000-0000-000076010000}"/>
    <cellStyle name="Style 21" xfId="375" xr:uid="{00000000-0005-0000-0000-000077010000}"/>
    <cellStyle name="Style 22" xfId="376" xr:uid="{00000000-0005-0000-0000-000078010000}"/>
    <cellStyle name="Style 23" xfId="377" xr:uid="{00000000-0005-0000-0000-000079010000}"/>
    <cellStyle name="Style 24" xfId="378" xr:uid="{00000000-0005-0000-0000-00007A010000}"/>
    <cellStyle name="Style 25" xfId="379" xr:uid="{00000000-0005-0000-0000-00007B010000}"/>
    <cellStyle name="Style 26" xfId="380" xr:uid="{00000000-0005-0000-0000-00007C010000}"/>
    <cellStyle name="Style 27" xfId="381" xr:uid="{00000000-0005-0000-0000-00007D010000}"/>
    <cellStyle name="STYLE1" xfId="382" xr:uid="{00000000-0005-0000-0000-00007E010000}"/>
    <cellStyle name="STYLE1 2" xfId="383" xr:uid="{00000000-0005-0000-0000-00007F010000}"/>
    <cellStyle name="STYLE1 3" xfId="384" xr:uid="{00000000-0005-0000-0000-000080010000}"/>
    <cellStyle name="STYLE2" xfId="385" xr:uid="{00000000-0005-0000-0000-000081010000}"/>
    <cellStyle name="STYLE3" xfId="386" xr:uid="{00000000-0005-0000-0000-000082010000}"/>
    <cellStyle name="STYLE4" xfId="387" xr:uid="{00000000-0005-0000-0000-000083010000}"/>
    <cellStyle name="STYLE5" xfId="388" xr:uid="{00000000-0005-0000-0000-000084010000}"/>
    <cellStyle name="þ_x0011_Í-&amp;ý&amp;‰ýG_x0008_Æ_x0009__x000a__x0007__x0001__x0001_" xfId="389" xr:uid="{00000000-0005-0000-0000-000085010000}"/>
    <cellStyle name="Thousands" xfId="390" xr:uid="{00000000-0005-0000-0000-000086010000}"/>
    <cellStyle name="Title 2" xfId="391" xr:uid="{00000000-0005-0000-0000-000087010000}"/>
    <cellStyle name="Total 2" xfId="392" xr:uid="{00000000-0005-0000-0000-000088010000}"/>
    <cellStyle name="Unit" xfId="393" xr:uid="{00000000-0005-0000-0000-000089010000}"/>
    <cellStyle name="Unlocked" xfId="394" xr:uid="{00000000-0005-0000-0000-00008A010000}"/>
    <cellStyle name="Warning Text 2" xfId="395" xr:uid="{00000000-0005-0000-0000-00008B010000}"/>
    <cellStyle name="Обычный_Budget_final_25_02_02" xfId="396" xr:uid="{00000000-0005-0000-0000-00008C010000}"/>
    <cellStyle name="アクセント 1" xfId="397" xr:uid="{00000000-0005-0000-0000-00008D010000}"/>
    <cellStyle name="アクセント 2" xfId="398" xr:uid="{00000000-0005-0000-0000-00008E010000}"/>
    <cellStyle name="アクセント 3" xfId="399" xr:uid="{00000000-0005-0000-0000-00008F010000}"/>
    <cellStyle name="アクセント 4" xfId="400" xr:uid="{00000000-0005-0000-0000-000090010000}"/>
    <cellStyle name="アクセント 5" xfId="401" xr:uid="{00000000-0005-0000-0000-000091010000}"/>
    <cellStyle name="アクセント 6" xfId="402" xr:uid="{00000000-0005-0000-0000-000092010000}"/>
    <cellStyle name="タイトル" xfId="403" xr:uid="{00000000-0005-0000-0000-000093010000}"/>
    <cellStyle name="チェック セル" xfId="404" xr:uid="{00000000-0005-0000-0000-000094010000}"/>
    <cellStyle name="どちらでもない" xfId="405" xr:uid="{00000000-0005-0000-0000-000095010000}"/>
    <cellStyle name="メモ" xfId="406" xr:uid="{00000000-0005-0000-0000-000096010000}"/>
    <cellStyle name="メモ 2" xfId="407" xr:uid="{00000000-0005-0000-0000-000097010000}"/>
    <cellStyle name="メモ 2 2" xfId="408" xr:uid="{00000000-0005-0000-0000-000098010000}"/>
    <cellStyle name="メモ 2 2 2" xfId="409" xr:uid="{00000000-0005-0000-0000-000099010000}"/>
    <cellStyle name="メモ 2 3" xfId="410" xr:uid="{00000000-0005-0000-0000-00009A010000}"/>
    <cellStyle name="メモ 3" xfId="411" xr:uid="{00000000-0005-0000-0000-00009B010000}"/>
    <cellStyle name="メモ 3 2" xfId="412" xr:uid="{00000000-0005-0000-0000-00009C010000}"/>
    <cellStyle name="メモ 3 2 2" xfId="413" xr:uid="{00000000-0005-0000-0000-00009D010000}"/>
    <cellStyle name="メモ 3 3" xfId="414" xr:uid="{00000000-0005-0000-0000-00009E010000}"/>
    <cellStyle name="メモ 4" xfId="415" xr:uid="{00000000-0005-0000-0000-00009F010000}"/>
    <cellStyle name="メモ 4 2" xfId="416" xr:uid="{00000000-0005-0000-0000-0000A0010000}"/>
    <cellStyle name="メモ 4 2 2" xfId="417" xr:uid="{00000000-0005-0000-0000-0000A1010000}"/>
    <cellStyle name="メモ 4 3" xfId="418" xr:uid="{00000000-0005-0000-0000-0000A2010000}"/>
    <cellStyle name="メモ 5" xfId="419" xr:uid="{00000000-0005-0000-0000-0000A3010000}"/>
    <cellStyle name="メモ 5 2" xfId="420" xr:uid="{00000000-0005-0000-0000-0000A4010000}"/>
    <cellStyle name="メモ 5 2 2" xfId="421" xr:uid="{00000000-0005-0000-0000-0000A5010000}"/>
    <cellStyle name="メモ 5 3" xfId="422" xr:uid="{00000000-0005-0000-0000-0000A6010000}"/>
    <cellStyle name="メモ 6" xfId="423" xr:uid="{00000000-0005-0000-0000-0000A7010000}"/>
    <cellStyle name="メモ 6 2" xfId="424" xr:uid="{00000000-0005-0000-0000-0000A8010000}"/>
    <cellStyle name="メモ 7" xfId="425" xr:uid="{00000000-0005-0000-0000-0000A9010000}"/>
    <cellStyle name="リンク セル" xfId="426" xr:uid="{00000000-0005-0000-0000-0000AA010000}"/>
    <cellStyle name="入力" xfId="427" xr:uid="{00000000-0005-0000-0000-0000AB010000}"/>
    <cellStyle name="入力 2" xfId="428" xr:uid="{00000000-0005-0000-0000-0000AC010000}"/>
    <cellStyle name="入力 2 2" xfId="429" xr:uid="{00000000-0005-0000-0000-0000AD010000}"/>
    <cellStyle name="入力 2 2 2" xfId="430" xr:uid="{00000000-0005-0000-0000-0000AE010000}"/>
    <cellStyle name="入力 2 3" xfId="431" xr:uid="{00000000-0005-0000-0000-0000AF010000}"/>
    <cellStyle name="入力 3" xfId="432" xr:uid="{00000000-0005-0000-0000-0000B0010000}"/>
    <cellStyle name="入力 3 2" xfId="433" xr:uid="{00000000-0005-0000-0000-0000B1010000}"/>
    <cellStyle name="入力 3 2 2" xfId="434" xr:uid="{00000000-0005-0000-0000-0000B2010000}"/>
    <cellStyle name="入力 3 3" xfId="435" xr:uid="{00000000-0005-0000-0000-0000B3010000}"/>
    <cellStyle name="入力 4" xfId="436" xr:uid="{00000000-0005-0000-0000-0000B4010000}"/>
    <cellStyle name="入力 4 2" xfId="437" xr:uid="{00000000-0005-0000-0000-0000B5010000}"/>
    <cellStyle name="入力 4 2 2" xfId="438" xr:uid="{00000000-0005-0000-0000-0000B6010000}"/>
    <cellStyle name="入力 4 3" xfId="439" xr:uid="{00000000-0005-0000-0000-0000B7010000}"/>
    <cellStyle name="入力 5" xfId="440" xr:uid="{00000000-0005-0000-0000-0000B8010000}"/>
    <cellStyle name="入力 5 2" xfId="441" xr:uid="{00000000-0005-0000-0000-0000B9010000}"/>
    <cellStyle name="入力 5 2 2" xfId="442" xr:uid="{00000000-0005-0000-0000-0000BA010000}"/>
    <cellStyle name="入力 5 3" xfId="443" xr:uid="{00000000-0005-0000-0000-0000BB010000}"/>
    <cellStyle name="入力 6" xfId="444" xr:uid="{00000000-0005-0000-0000-0000BC010000}"/>
    <cellStyle name="入力 6 2" xfId="445" xr:uid="{00000000-0005-0000-0000-0000BD010000}"/>
    <cellStyle name="入力 7" xfId="446" xr:uid="{00000000-0005-0000-0000-0000BE010000}"/>
    <cellStyle name="出力" xfId="447" xr:uid="{00000000-0005-0000-0000-0000BF010000}"/>
    <cellStyle name="出力 2" xfId="448" xr:uid="{00000000-0005-0000-0000-0000C0010000}"/>
    <cellStyle name="出力 2 2" xfId="449" xr:uid="{00000000-0005-0000-0000-0000C1010000}"/>
    <cellStyle name="出力 2 2 2" xfId="450" xr:uid="{00000000-0005-0000-0000-0000C2010000}"/>
    <cellStyle name="出力 2 3" xfId="451" xr:uid="{00000000-0005-0000-0000-0000C3010000}"/>
    <cellStyle name="出力 3" xfId="452" xr:uid="{00000000-0005-0000-0000-0000C4010000}"/>
    <cellStyle name="出力 3 2" xfId="453" xr:uid="{00000000-0005-0000-0000-0000C5010000}"/>
    <cellStyle name="出力 3 2 2" xfId="454" xr:uid="{00000000-0005-0000-0000-0000C6010000}"/>
    <cellStyle name="出力 3 3" xfId="455" xr:uid="{00000000-0005-0000-0000-0000C7010000}"/>
    <cellStyle name="出力 4" xfId="456" xr:uid="{00000000-0005-0000-0000-0000C8010000}"/>
    <cellStyle name="出力 4 2" xfId="457" xr:uid="{00000000-0005-0000-0000-0000C9010000}"/>
    <cellStyle name="出力 4 2 2" xfId="458" xr:uid="{00000000-0005-0000-0000-0000CA010000}"/>
    <cellStyle name="出力 4 3" xfId="459" xr:uid="{00000000-0005-0000-0000-0000CB010000}"/>
    <cellStyle name="出力 5" xfId="460" xr:uid="{00000000-0005-0000-0000-0000CC010000}"/>
    <cellStyle name="出力 5 2" xfId="461" xr:uid="{00000000-0005-0000-0000-0000CD010000}"/>
    <cellStyle name="出力 5 2 2" xfId="462" xr:uid="{00000000-0005-0000-0000-0000CE010000}"/>
    <cellStyle name="出力 5 3" xfId="463" xr:uid="{00000000-0005-0000-0000-0000CF010000}"/>
    <cellStyle name="出力 6" xfId="464" xr:uid="{00000000-0005-0000-0000-0000D0010000}"/>
    <cellStyle name="出力 6 2" xfId="465" xr:uid="{00000000-0005-0000-0000-0000D1010000}"/>
    <cellStyle name="出力 7" xfId="466" xr:uid="{00000000-0005-0000-0000-0000D2010000}"/>
    <cellStyle name="悪い" xfId="467" xr:uid="{00000000-0005-0000-0000-0000D3010000}"/>
    <cellStyle name="良い" xfId="468" xr:uid="{00000000-0005-0000-0000-0000D4010000}"/>
    <cellStyle name="見出し 1" xfId="469" xr:uid="{00000000-0005-0000-0000-0000D5010000}"/>
    <cellStyle name="見出し 2" xfId="470" xr:uid="{00000000-0005-0000-0000-0000D6010000}"/>
    <cellStyle name="見出し 3" xfId="471" xr:uid="{00000000-0005-0000-0000-0000D7010000}"/>
    <cellStyle name="見出し 4" xfId="472" xr:uid="{00000000-0005-0000-0000-0000D8010000}"/>
    <cellStyle name="計算" xfId="473" xr:uid="{00000000-0005-0000-0000-0000D9010000}"/>
    <cellStyle name="計算 2" xfId="474" xr:uid="{00000000-0005-0000-0000-0000DA010000}"/>
    <cellStyle name="計算 2 2" xfId="475" xr:uid="{00000000-0005-0000-0000-0000DB010000}"/>
    <cellStyle name="計算 2 2 2" xfId="476" xr:uid="{00000000-0005-0000-0000-0000DC010000}"/>
    <cellStyle name="計算 2 3" xfId="477" xr:uid="{00000000-0005-0000-0000-0000DD010000}"/>
    <cellStyle name="計算 3" xfId="478" xr:uid="{00000000-0005-0000-0000-0000DE010000}"/>
    <cellStyle name="計算 3 2" xfId="479" xr:uid="{00000000-0005-0000-0000-0000DF010000}"/>
    <cellStyle name="計算 3 2 2" xfId="480" xr:uid="{00000000-0005-0000-0000-0000E0010000}"/>
    <cellStyle name="計算 3 3" xfId="481" xr:uid="{00000000-0005-0000-0000-0000E1010000}"/>
    <cellStyle name="計算 4" xfId="482" xr:uid="{00000000-0005-0000-0000-0000E2010000}"/>
    <cellStyle name="計算 4 2" xfId="483" xr:uid="{00000000-0005-0000-0000-0000E3010000}"/>
    <cellStyle name="計算 4 2 2" xfId="484" xr:uid="{00000000-0005-0000-0000-0000E4010000}"/>
    <cellStyle name="計算 4 3" xfId="485" xr:uid="{00000000-0005-0000-0000-0000E5010000}"/>
    <cellStyle name="計算 5" xfId="486" xr:uid="{00000000-0005-0000-0000-0000E6010000}"/>
    <cellStyle name="計算 5 2" xfId="487" xr:uid="{00000000-0005-0000-0000-0000E7010000}"/>
    <cellStyle name="計算 5 2 2" xfId="488" xr:uid="{00000000-0005-0000-0000-0000E8010000}"/>
    <cellStyle name="計算 5 3" xfId="489" xr:uid="{00000000-0005-0000-0000-0000E9010000}"/>
    <cellStyle name="計算 6" xfId="490" xr:uid="{00000000-0005-0000-0000-0000EA010000}"/>
    <cellStyle name="計算 6 2" xfId="491" xr:uid="{00000000-0005-0000-0000-0000EB010000}"/>
    <cellStyle name="計算 7" xfId="492" xr:uid="{00000000-0005-0000-0000-0000EC010000}"/>
    <cellStyle name="説明文" xfId="493" xr:uid="{00000000-0005-0000-0000-0000ED010000}"/>
    <cellStyle name="警告文" xfId="494" xr:uid="{00000000-0005-0000-0000-0000EE010000}"/>
    <cellStyle name="集計" xfId="495" xr:uid="{00000000-0005-0000-0000-0000EF010000}"/>
    <cellStyle name="集計 2" xfId="496" xr:uid="{00000000-0005-0000-0000-0000F0010000}"/>
    <cellStyle name="集計 2 2" xfId="497" xr:uid="{00000000-0005-0000-0000-0000F1010000}"/>
    <cellStyle name="集計 2 2 2" xfId="498" xr:uid="{00000000-0005-0000-0000-0000F2010000}"/>
    <cellStyle name="集計 2 3" xfId="499" xr:uid="{00000000-0005-0000-0000-0000F3010000}"/>
    <cellStyle name="集計 3" xfId="500" xr:uid="{00000000-0005-0000-0000-0000F4010000}"/>
    <cellStyle name="集計 3 2" xfId="501" xr:uid="{00000000-0005-0000-0000-0000F5010000}"/>
    <cellStyle name="集計 3 2 2" xfId="502" xr:uid="{00000000-0005-0000-0000-0000F6010000}"/>
    <cellStyle name="集計 3 3" xfId="503" xr:uid="{00000000-0005-0000-0000-0000F7010000}"/>
    <cellStyle name="集計 4" xfId="504" xr:uid="{00000000-0005-0000-0000-0000F8010000}"/>
    <cellStyle name="集計 4 2" xfId="505" xr:uid="{00000000-0005-0000-0000-0000F9010000}"/>
    <cellStyle name="集計 4 2 2" xfId="506" xr:uid="{00000000-0005-0000-0000-0000FA010000}"/>
    <cellStyle name="集計 4 3" xfId="507" xr:uid="{00000000-0005-0000-0000-0000FB010000}"/>
    <cellStyle name="集計 5" xfId="508" xr:uid="{00000000-0005-0000-0000-0000FC010000}"/>
    <cellStyle name="集計 5 2" xfId="509" xr:uid="{00000000-0005-0000-0000-0000FD010000}"/>
    <cellStyle name="集計 5 2 2" xfId="510" xr:uid="{00000000-0005-0000-0000-0000FE010000}"/>
    <cellStyle name="集計 5 3" xfId="511" xr:uid="{00000000-0005-0000-0000-0000FF010000}"/>
    <cellStyle name="集計 6" xfId="512" xr:uid="{00000000-0005-0000-0000-000000020000}"/>
    <cellStyle name="集計 6 2" xfId="513" xr:uid="{00000000-0005-0000-0000-000001020000}"/>
    <cellStyle name="集計 7" xfId="514" xr:uid="{00000000-0005-0000-0000-00000202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58FF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4.xml"/><Relationship Id="rId21" Type="http://schemas.openxmlformats.org/officeDocument/2006/relationships/externalLink" Target="externalLinks/externalLink9.xml"/><Relationship Id="rId42" Type="http://schemas.openxmlformats.org/officeDocument/2006/relationships/externalLink" Target="externalLinks/externalLink30.xml"/><Relationship Id="rId47" Type="http://schemas.openxmlformats.org/officeDocument/2006/relationships/externalLink" Target="externalLinks/externalLink35.xml"/><Relationship Id="rId63" Type="http://schemas.openxmlformats.org/officeDocument/2006/relationships/externalLink" Target="externalLinks/externalLink51.xml"/><Relationship Id="rId6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9" Type="http://schemas.openxmlformats.org/officeDocument/2006/relationships/externalLink" Target="externalLinks/externalLink17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32" Type="http://schemas.openxmlformats.org/officeDocument/2006/relationships/externalLink" Target="externalLinks/externalLink20.xml"/><Relationship Id="rId37" Type="http://schemas.openxmlformats.org/officeDocument/2006/relationships/externalLink" Target="externalLinks/externalLink25.xml"/><Relationship Id="rId40" Type="http://schemas.openxmlformats.org/officeDocument/2006/relationships/externalLink" Target="externalLinks/externalLink28.xml"/><Relationship Id="rId45" Type="http://schemas.openxmlformats.org/officeDocument/2006/relationships/externalLink" Target="externalLinks/externalLink33.xml"/><Relationship Id="rId53" Type="http://schemas.openxmlformats.org/officeDocument/2006/relationships/externalLink" Target="externalLinks/externalLink41.xml"/><Relationship Id="rId58" Type="http://schemas.openxmlformats.org/officeDocument/2006/relationships/externalLink" Target="externalLinks/externalLink46.xml"/><Relationship Id="rId66" Type="http://schemas.openxmlformats.org/officeDocument/2006/relationships/externalLink" Target="externalLinks/externalLink54.xml"/><Relationship Id="rId7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49.xml"/><Relationship Id="rId1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externalLink" Target="externalLinks/externalLink15.xml"/><Relationship Id="rId30" Type="http://schemas.openxmlformats.org/officeDocument/2006/relationships/externalLink" Target="externalLinks/externalLink18.xml"/><Relationship Id="rId35" Type="http://schemas.openxmlformats.org/officeDocument/2006/relationships/externalLink" Target="externalLinks/externalLink23.xml"/><Relationship Id="rId43" Type="http://schemas.openxmlformats.org/officeDocument/2006/relationships/externalLink" Target="externalLinks/externalLink31.xml"/><Relationship Id="rId48" Type="http://schemas.openxmlformats.org/officeDocument/2006/relationships/externalLink" Target="externalLinks/externalLink36.xml"/><Relationship Id="rId56" Type="http://schemas.openxmlformats.org/officeDocument/2006/relationships/externalLink" Target="externalLinks/externalLink44.xml"/><Relationship Id="rId64" Type="http://schemas.openxmlformats.org/officeDocument/2006/relationships/externalLink" Target="externalLinks/externalLink52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9.xml"/><Relationship Id="rId72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externalLink" Target="externalLinks/externalLink13.xml"/><Relationship Id="rId33" Type="http://schemas.openxmlformats.org/officeDocument/2006/relationships/externalLink" Target="externalLinks/externalLink21.xml"/><Relationship Id="rId38" Type="http://schemas.openxmlformats.org/officeDocument/2006/relationships/externalLink" Target="externalLinks/externalLink26.xml"/><Relationship Id="rId46" Type="http://schemas.openxmlformats.org/officeDocument/2006/relationships/externalLink" Target="externalLinks/externalLink34.xml"/><Relationship Id="rId59" Type="http://schemas.openxmlformats.org/officeDocument/2006/relationships/externalLink" Target="externalLinks/externalLink47.xml"/><Relationship Id="rId67" Type="http://schemas.openxmlformats.org/officeDocument/2006/relationships/externalLink" Target="externalLinks/externalLink55.xml"/><Relationship Id="rId20" Type="http://schemas.openxmlformats.org/officeDocument/2006/relationships/externalLink" Target="externalLinks/externalLink8.xml"/><Relationship Id="rId41" Type="http://schemas.openxmlformats.org/officeDocument/2006/relationships/externalLink" Target="externalLinks/externalLink29.xml"/><Relationship Id="rId54" Type="http://schemas.openxmlformats.org/officeDocument/2006/relationships/externalLink" Target="externalLinks/externalLink42.xml"/><Relationship Id="rId62" Type="http://schemas.openxmlformats.org/officeDocument/2006/relationships/externalLink" Target="externalLinks/externalLink50.xml"/><Relationship Id="rId70" Type="http://schemas.openxmlformats.org/officeDocument/2006/relationships/sharedStrings" Target="sharedStrings.xml"/><Relationship Id="rId75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externalLink" Target="externalLinks/externalLink16.xml"/><Relationship Id="rId36" Type="http://schemas.openxmlformats.org/officeDocument/2006/relationships/externalLink" Target="externalLinks/externalLink24.xml"/><Relationship Id="rId49" Type="http://schemas.openxmlformats.org/officeDocument/2006/relationships/externalLink" Target="externalLinks/externalLink37.xml"/><Relationship Id="rId57" Type="http://schemas.openxmlformats.org/officeDocument/2006/relationships/externalLink" Target="externalLinks/externalLink45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9.xml"/><Relationship Id="rId44" Type="http://schemas.openxmlformats.org/officeDocument/2006/relationships/externalLink" Target="externalLinks/externalLink32.xml"/><Relationship Id="rId52" Type="http://schemas.openxmlformats.org/officeDocument/2006/relationships/externalLink" Target="externalLinks/externalLink40.xml"/><Relationship Id="rId60" Type="http://schemas.openxmlformats.org/officeDocument/2006/relationships/externalLink" Target="externalLinks/externalLink48.xml"/><Relationship Id="rId65" Type="http://schemas.openxmlformats.org/officeDocument/2006/relationships/externalLink" Target="externalLinks/externalLink53.xml"/><Relationship Id="rId73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39" Type="http://schemas.openxmlformats.org/officeDocument/2006/relationships/externalLink" Target="externalLinks/externalLink27.xml"/><Relationship Id="rId34" Type="http://schemas.openxmlformats.org/officeDocument/2006/relationships/externalLink" Target="externalLinks/externalLink22.xml"/><Relationship Id="rId50" Type="http://schemas.openxmlformats.org/officeDocument/2006/relationships/externalLink" Target="externalLinks/externalLink38.xml"/><Relationship Id="rId55" Type="http://schemas.openxmlformats.org/officeDocument/2006/relationships/externalLink" Target="externalLinks/externalLink43.xml"/><Relationship Id="rId76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71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7" Type="http://schemas.openxmlformats.org/officeDocument/2006/relationships/customXml" Target="../ink/ink5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2.png"/><Relationship Id="rId5" Type="http://schemas.openxmlformats.org/officeDocument/2006/relationships/customXml" Target="../ink/ink4.xml"/><Relationship Id="rId4" Type="http://schemas.openxmlformats.org/officeDocument/2006/relationships/customXml" Target="../ink/ink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597612</xdr:colOff>
      <xdr:row>39</xdr:row>
      <xdr:rowOff>0</xdr:rowOff>
    </xdr:from>
    <xdr:to>
      <xdr:col>5</xdr:col>
      <xdr:colOff>597972</xdr:colOff>
      <xdr:row>39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4B2CA2E3-859C-4711-A465-E86668F0A8F5}"/>
                </a:ext>
              </a:extLst>
            </xdr14:cNvPr>
            <xdr14:cNvContentPartPr/>
          </xdr14:nvContentPartPr>
          <xdr14:nvPr macro=""/>
          <xdr14:xfrm>
            <a:off x="9215469" y="12685311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0A54E6E2-4E6E-4998-E624-FA4EF683865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206469" y="12676671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387363</xdr:colOff>
      <xdr:row>38</xdr:row>
      <xdr:rowOff>166445</xdr:rowOff>
    </xdr:from>
    <xdr:to>
      <xdr:col>6</xdr:col>
      <xdr:colOff>387723</xdr:colOff>
      <xdr:row>38</xdr:row>
      <xdr:rowOff>166445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AD38A1AA-BA03-417E-875C-32ACD23EB74F}"/>
                </a:ext>
              </a:extLst>
            </xdr14:cNvPr>
            <xdr14:cNvContentPartPr/>
          </xdr14:nvContentPartPr>
          <xdr14:nvPr macro=""/>
          <xdr14:xfrm>
            <a:off x="10012149" y="12585231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C422D474-A25D-7065-E246-7CCF7516616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003509" y="12576231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581951</xdr:colOff>
      <xdr:row>41</xdr:row>
      <xdr:rowOff>188411</xdr:rowOff>
    </xdr:from>
    <xdr:to>
      <xdr:col>4</xdr:col>
      <xdr:colOff>582311</xdr:colOff>
      <xdr:row>41</xdr:row>
      <xdr:rowOff>188411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79A176B0-C868-49A9-88FB-41D96ECE9DD9}"/>
                </a:ext>
              </a:extLst>
            </xdr14:cNvPr>
            <xdr14:cNvContentPartPr/>
          </xdr14:nvContentPartPr>
          <xdr14:nvPr macro=""/>
          <xdr14:xfrm>
            <a:off x="8192880" y="13840911"/>
            <a:ext cx="360" cy="3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0AC728BD-58F3-8A71-35E6-1D0DD834E45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8183880" y="13832271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0</xdr:colOff>
      <xdr:row>48</xdr:row>
      <xdr:rowOff>1427</xdr:rowOff>
    </xdr:from>
    <xdr:to>
      <xdr:col>6</xdr:col>
      <xdr:colOff>360</xdr:colOff>
      <xdr:row>48</xdr:row>
      <xdr:rowOff>1787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D658E90B-89BE-4568-A727-3A5FE97869D5}"/>
                </a:ext>
                <a:ext uri="{147F2762-F138-4A5C-976F-8EAC2B608ADB}">
                  <a16:predDERef xmlns:a16="http://schemas.microsoft.com/office/drawing/2014/main" pred="{0AC728BD-58F3-8A71-35E6-1D0DD834E45F}"/>
                </a:ext>
              </a:extLst>
            </xdr14:cNvPr>
            <xdr14:cNvContentPartPr/>
          </xdr14:nvContentPartPr>
          <xdr14:nvPr macro=""/>
          <xdr14:xfrm>
            <a:off x="14494680" y="15703245"/>
            <a:ext cx="360" cy="3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2B96C9D6-A8CC-2050-7B7B-561C50756B2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4486040" y="15694245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701647</xdr:colOff>
      <xdr:row>50</xdr:row>
      <xdr:rowOff>226577</xdr:rowOff>
    </xdr:from>
    <xdr:to>
      <xdr:col>11</xdr:col>
      <xdr:colOff>702007</xdr:colOff>
      <xdr:row>51</xdr:row>
      <xdr:rowOff>3423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8BB71D86-3682-4B23-94F6-90FF37C2E9E5}"/>
                </a:ext>
              </a:extLst>
            </xdr14:cNvPr>
            <xdr14:cNvContentPartPr/>
          </xdr14:nvContentPartPr>
          <xdr14:nvPr macro=""/>
          <xdr14:xfrm>
            <a:off x="26929071" y="16351729"/>
            <a:ext cx="360" cy="36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A2C0D2B5-5E79-E34E-4E2B-39D59456E4F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6920071" y="16342729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op3.ncsc.dni.us/My%20Documents/NCSC/Macedonia/Business%20Proposal/NCSC%20Macedonia%20Budget--internal%20final%203-21-02%207%20p.m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My%20Documents/NCSC/Macedonia/Business%20Proposal/NCSC%20Macedonia%20Budget--internal%20final%203-21-02%207%20p.m.xls" TargetMode="External"/><Relationship Id="rId1" Type="http://schemas.openxmlformats.org/officeDocument/2006/relationships/externalLinkPath" Target="/My%20Documents/NCSC/Macedonia/Business%20Proposal/NCSC%20Macedonia%20Budget--internal%20final%203-21-02%207%20p.m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Documents%20and%20Settings/sprotacio/My%20Documents/SMTs/Copy%20of%20SC_Budget_ARMM_HEALTH_Jun19%20with%20Community%20Match.xls" TargetMode="External"/><Relationship Id="rId1" Type="http://schemas.openxmlformats.org/officeDocument/2006/relationships/externalLinkPath" Target="/Documents%20and%20Settings/sprotacio/My%20Documents/SMTs/Copy%20of%20SC_Budget_ARMM_HEALTH_Jun19%20with%20Community%20Match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ing%20Cost%20v2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ers/Katya/AppData/Local/Microsoft/Windows/Temporary%20Internet%20Files/Content.Outlook/3MW8ZO8X/Peru_Decentralization_Cost_5_9_CM.xlsx" TargetMode="External"/><Relationship Id="rId1" Type="http://schemas.openxmlformats.org/officeDocument/2006/relationships/externalLinkPath" Target="/Users/Katya/AppData/Local/Microsoft/Windows/Temporary%20Internet%20Files/Content.Outlook/3MW8ZO8X/Peru_Decentralization_Cost_5_9_CM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BUSOPS/CEP/Rates.xls" TargetMode="External"/><Relationship Id="rId1" Type="http://schemas.openxmlformats.org/officeDocument/2006/relationships/externalLinkPath" Target="/BUSOPS/CEP/Rates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Programs/EDH/USDA602/Donor/Approvals%20(Email%20approvals)/Budget%20Amendment/Attachments%20C-3%20&amp;%20C-3%2011-07-2025/Cost,%20RAMP,%20consistent%20with%20contract,%20with%20subs%20changes.xls" TargetMode="External"/><Relationship Id="rId1" Type="http://schemas.openxmlformats.org/officeDocument/2006/relationships/externalLinkPath" Target="/sites/Programs/EDH/USDA602/Donor/Approvals%20(Email%20approvals)/Budget%20Amendment/Attachments%20C-3%20&amp;%20C-3%2011-07-2025/Cost,%20RAMP,%20consistent%20with%20contract,%20with%20subs%20changes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Documents%20and%20Settings/Dewey%20Thomas/Local%20Settings/Temporary%20Internet%20Files/OLK2/SubK%20TM%20budget%20template%20(2).xls" TargetMode="External"/><Relationship Id="rId1" Type="http://schemas.openxmlformats.org/officeDocument/2006/relationships/externalLinkPath" Target="/Documents%20and%20Settings/Dewey%20Thomas/Local%20Settings/Temporary%20Internet%20Files/OLK2/SubK%20TM%20budget%20template%20(2)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hqfilesrv3/project/C%20disk/vahan.CP/Desktop/Acc%20CPI/300_Salary/Salary%20Calculatin/Salary%20FY%202013.xlsm" TargetMode="External"/><Relationship Id="rId1" Type="http://schemas.openxmlformats.org/officeDocument/2006/relationships/externalLinkPath" Target="/hqfilesrv3/project/C%20disk/vahan.CP/Desktop/Acc%20CPI/300_Salary/Salary%20Calculatin/Salary%20FY%202013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qfilesrv3\project\C%20disk\vahan.CP\Desktop\Acc%20CPI\300_Salary\Salary%20Calculatin\Salary%20FY%202013.xlsm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Programs/EDH/USDA602/Donor/Approvals%20(Email%20approvals)/Budget%20Amendment/Attachments%20C-3%20&amp;%20C-3%2011-07-2025/RAISE%20Ethiopia%20MLVP%20to%20DAI%20Budget%2011-1-04.xls" TargetMode="External"/><Relationship Id="rId1" Type="http://schemas.openxmlformats.org/officeDocument/2006/relationships/externalLinkPath" Target="/sites/Programs/EDH/USDA602/Donor/Approvals%20(Email%20approvals)/Budget%20Amendment/Attachments%20C-3%20&amp;%20C-3%2011-07-2025/RAISE%20Ethiopia%20MLVP%20to%20DAI%20Budget%2011-1-04.xls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GL%20!!!/Voucher%20form-final.xls" TargetMode="External"/><Relationship Id="rId1" Type="http://schemas.openxmlformats.org/officeDocument/2006/relationships/externalLinkPath" Target="/GL%20!!!/Voucher%20form-final.xls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Programs/EDH/USDA602/Donor/Approvals%20(Email%20approvals)/Budget%20Amendment/Attachments%20C-3%20&amp;%20C-3%2011-07-2025/FINAL_Cost_Spreadsheets.Mali_TRADE_03.xls" TargetMode="External"/><Relationship Id="rId1" Type="http://schemas.openxmlformats.org/officeDocument/2006/relationships/externalLinkPath" Target="/sites/Programs/EDH/USDA602/Donor/Approvals%20(Email%20approvals)/Budget%20Amendment/Attachments%20C-3%20&amp;%20C-3%2011-07-2025/FINAL_Cost_Spreadsheets.Mali_TRADE_03.xls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Programs/EDH/USDA602/Donor/Approvals%20(Email%20approvals)/Budget%20Amendment/Attachments%20C-3%20&amp;%20C-3%2011-07-2025/BASAR%20Timor%20Leste%20Budget%20and%20Tracking.xls" TargetMode="External"/><Relationship Id="rId1" Type="http://schemas.openxmlformats.org/officeDocument/2006/relationships/externalLinkPath" Target="/sites/Programs/EDH/USDA602/Donor/Approvals%20(Email%20approvals)/Budget%20Amendment/Attachments%20C-3%20&amp;%20C-3%2011-07-2025/BASAR%20Timor%20Leste%20Budget%20and%20Tracking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S1028023222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ENI%20COST%20MODEL.xls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Programs/EDH/USDA602/Donor/Approvals%20(Email%20approvals)/Budget%20Amendment/Attachments%20C-3%20&amp;%20C-3%2011-07-2025/BE%20Budget%20-%20Overall%20v6.xls" TargetMode="External"/><Relationship Id="rId1" Type="http://schemas.openxmlformats.org/officeDocument/2006/relationships/externalLinkPath" Target="/sites/Programs/EDH/USDA602/Donor/Approvals%20(Email%20approvals)/Budget%20Amendment/Attachments%20C-3%20&amp;%20C-3%2011-07-2025/BE%20Budget%20-%20Overall%20v6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ing%20Costv2.xls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ers/Jazami/OneDrive%20-%20Counterpart%20International/Desktop/PSR%20review%20summary%20-%20FY19.xlsx" TargetMode="External"/><Relationship Id="rId1" Type="http://schemas.openxmlformats.org/officeDocument/2006/relationships/externalLinkPath" Target="/Users/Jazami/OneDrive%20-%20Counterpart%20International/Desktop/PSR%20review%20summary%20-%20FY19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C%20disk/vahan.CP/Desktop/Acc%20CPI/777_Vouchers/2009/11/Voucher/CPI-GL-2010.xls" TargetMode="External"/><Relationship Id="rId1" Type="http://schemas.openxmlformats.org/officeDocument/2006/relationships/externalLinkPath" Target="/C%20disk/vahan.CP/Desktop/Acc%20CPI/777_Vouchers/2009/11/Voucher/CPI-GL-2010.xls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microsoft.com/office/2019/04/relationships/externalLinkLongPath" Target="file:///\\sharepoint.cnfa.org\DavWWWRoot\Project%20Accounting\Archives\Archive%20Files_Vinod%20Goyal\Documents\AGP-LMD%202015-16\INVOICE%20TO%20USAID\Invoice%202017\LMD%20August%202017%20Voucher%2062\(08b)%20August%2031%202017_ETH%20Payroll%20and%20Reconciliation%20Revised%20AG.xlsx?5421C9AF" TargetMode="External"/><Relationship Id="rId1" Type="http://schemas.openxmlformats.org/officeDocument/2006/relationships/externalLinkPath" Target="file:///\\5421C9AF\(08b)%20August%2031%202017_ETH%20Payroll%20and%20Reconciliation%20Revised%20AG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ersonal/carlodaniel_abuyuan_usda_gov/Documents/Budget%20templates/Nofo/Revised%20Agribusiness%20Investment%20Budget_8.1.2022%20CA%20(2).xlsx" TargetMode="External"/><Relationship Id="rId1" Type="http://schemas.openxmlformats.org/officeDocument/2006/relationships/externalLinkPath" Target="/personal/carlodaniel_abuyuan_usda_gov/Documents/Budget%20templates/Nofo/Revised%20Agribusiness%20Investment%20Budget_8.1.2022%20CA%20(2)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hqfilesrv3/project/Users/Karen/Desktop/Salary%20Calculation%20for%20April%202012.xlsm" TargetMode="External"/><Relationship Id="rId1" Type="http://schemas.openxmlformats.org/officeDocument/2006/relationships/externalLinkPath" Target="/hqfilesrv3/project/Users/Karen/Desktop/Salary%20Calculation%20for%20April%202012.xlsm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qfilesrv3\project\Users\Karen\Desktop\Salary%20Calculation%20for%20April%202012.xlsm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rogram%20files/eudora/attach/BUDGET3.xls" TargetMode="External"/><Relationship Id="rId1" Type="http://schemas.openxmlformats.org/officeDocument/2006/relationships/externalLinkPath" Target="/program%20files/eudora/attach/BUDGET3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Users\imadanat\Documents\Programs\Cameron%20FFP%202012\REV6254%20of%20Cameroon%20FFE%202012Budget%20-%20Sep%2030%20-%20Entered%20in%20FAIS%20system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Program%20Development%20Unit\2.%20Proposals\REGIONAL%20-%20Africa\2013%20REGIS-AG\5.%20Cost%20Application\Counterpart%20REGIS-AG%20Draft%20Version%204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USER\MDREXLER\RFP\BUD3.XLS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Programs/EDH/USDA602/Donor/Approvals%20(Email%20approvals)/Budget%20Amendment/Attachments%20C-3%20&amp;%20C-3%2011-07-2025/DAI_MOBIS%20Peru%20ADP%20Budget%20Comp%20Range%20DLB.xls" TargetMode="External"/><Relationship Id="rId1" Type="http://schemas.openxmlformats.org/officeDocument/2006/relationships/externalLinkPath" Target="/sites/Programs/EDH/USDA602/Donor/Approvals%20(Email%20approvals)/Budget%20Amendment/Attachments%20C-3%20&amp;%20C-3%2011-07-2025/DAI_MOBIS%20Peru%20ADP%20Budget%20Comp%20Range%20DLB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unterpart1org-my.sharepoint.com/Budgets%20--%20Funded/Belarus/PACT/Proposed%20Revisions/08%2008%2012%20%20Pact%20Proposal%20Budget-%20ICNL.xls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Programs/EDH/USDA602/Donor/Approvals%20(Email%20approvals)/Budget%20Amendment/Attachments%20C-3%20&amp;%20C-3%2011-07-2025/SEGIR%20MACRO%20II%20-%20El%20Salvador%20Profitability%20Analysis%20Final.xls" TargetMode="External"/><Relationship Id="rId1" Type="http://schemas.openxmlformats.org/officeDocument/2006/relationships/externalLinkPath" Target="/sites/Programs/EDH/USDA602/Donor/Approvals%20(Email%20approvals)/Budget%20Amendment/Attachments%20C-3%20&amp;%20C-3%2011-07-2025/SEGIR%20MACRO%20II%20-%20El%20Salvador%20Profitability%20Analysis%20Final.xls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Programs/EDH/USDA602/Donor/Approvals%20(Email%20approvals)/Budget%20Amendment/Attachments%20C-3%20&amp;%20C-3%2011-07-2025/Budget%20Template--AMAP-MF.xls" TargetMode="External"/><Relationship Id="rId1" Type="http://schemas.openxmlformats.org/officeDocument/2006/relationships/externalLinkPath" Target="/sites/Programs/EDH/USDA602/Donor/Approvals%20(Email%20approvals)/Budget%20Amendment/Attachments%20C-3%20&amp;%20C-3%2011-07-2025/Budget%20Template--AMAP-MF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GIR%20WestBankGaza.xls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Programs/EDH/USDA602/Donor/Approvals%20(Email%20approvals)/Budget%20Amendment/Attachments%20C-3%20&amp;%20C-3%2011-07-2025/Mexico%20AMAP%20Budget%20final.dai.xls" TargetMode="External"/><Relationship Id="rId1" Type="http://schemas.openxmlformats.org/officeDocument/2006/relationships/externalLinkPath" Target="/sites/Programs/EDH/USDA602/Donor/Approvals%20(Email%20approvals)/Budget%20Amendment/Attachments%20C-3%20&amp;%20C-3%2011-07-2025/Mexico%20AMAP%20Budget%20final.dai.xls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Intranet.chemonics.net/regions/eaf/Proposals/Ethiopia_SIPED_II/Cost/CPFF%20Spreadsheet%20Shell_SIPED%20II%20v9%20to%20editor.xls" TargetMode="External"/><Relationship Id="rId1" Type="http://schemas.openxmlformats.org/officeDocument/2006/relationships/externalLinkPath" Target="/Intranet.chemonics.net/regions/eaf/Proposals/Ethiopia_SIPED_II/Cost/CPFF%20Spreadsheet%20Shell_SIPED%20II%20v9%20to%20editor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.chemonics.net\regions\eaf\Proposals\Ethiopia_SIPED_II\Cost\CPFF%20Spreadsheet%20Shell_SIPED%20II%20v9%20to%20editor.xls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tsclient/S/International/Indonesia/2004/Q1/I3R/JE%20I3R%20Mar2004%202004004%20mapping.xls" TargetMode="External"/><Relationship Id="rId1" Type="http://schemas.openxmlformats.org/officeDocument/2006/relationships/externalLinkPath" Target="/tsclient/S/International/Indonesia/2004/Q1/I3R/JE%20I3R%20Mar2004%202004004%20mapping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client\S\International\Indonesia\2004\Q1\I3R\JE%20I3R%20Mar2004%202004004%20mapping.xls" TargetMode="External"/></Relationships>
</file>

<file path=xl/externalLinks/_rels/externalLink3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hqbackup3/lgasparian/Desktop/Training/Trackers%20and%20templates/Project%20Equipment%20Inventory%20Tracker.xlsx" TargetMode="External"/><Relationship Id="rId1" Type="http://schemas.openxmlformats.org/officeDocument/2006/relationships/externalLinkPath" Target="/hqbackup3/lgasparian/Desktop/Training/Trackers%20and%20templates/Project%20Equipment%20Inventory%20Tracker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qbackup3\lgasparian\Desktop\Training\Trackers%20and%20templates\Project%20Equipment%20Inventory%20Tracker.xlsx" TargetMode="External"/></Relationships>
</file>

<file path=xl/externalLinks/_rels/externalLink4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Romania%20Civil%20Society%20Strenghtening/Cost%20Application/Budget%20&amp;%20Notes/MSI/MSI%20Budget.xls" TargetMode="External"/><Relationship Id="rId1" Type="http://schemas.openxmlformats.org/officeDocument/2006/relationships/externalLinkPath" Target="/Romania%20Civil%20Society%20Strenghtening/Cost%20Application/Budget%20&amp;%20Notes/MSI/MSI%20Budget.xls" TargetMode="External"/></Relationships>
</file>

<file path=xl/externalLinks/_rels/externalLink4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Programs/EDH/USDA602/Donor/Approvals%20(Email%20approvals)/Budget%20Amendment/Attachments%20C-3%20&amp;%20C-3%2011-07-2025/Part%2009_DAI%20Peru%20AD%20Cost%20Proposal%20-%20Comp%20Range24nov03.lh.xls" TargetMode="External"/><Relationship Id="rId1" Type="http://schemas.openxmlformats.org/officeDocument/2006/relationships/externalLinkPath" Target="/sites/Programs/EDH/USDA602/Donor/Approvals%20(Email%20approvals)/Budget%20Amendment/Attachments%20C-3%20&amp;%20C-3%2011-07-2025/Part%2009_DAI%20Peru%20AD%20Cost%20Proposal%20-%20Comp%20Range24nov03.lh.xls" TargetMode="External"/></Relationships>
</file>

<file path=xl/externalLinks/_rels/externalLink4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tsclient/S/International/Indonesia/2003/Q4_2003/I3RH/I3RH-121203.xls" TargetMode="External"/><Relationship Id="rId1" Type="http://schemas.openxmlformats.org/officeDocument/2006/relationships/externalLinkPath" Target="/tsclient/S/International/Indonesia/2003/Q4_2003/I3RH/I3RH-121203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client\S\International\Indonesia\2003\Q4_2003\I3RH\I3RH-121203.xls" TargetMode="External"/></Relationships>
</file>

<file path=xl/externalLinks/_rels/externalLink4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FILES/RFP/MALIRC/MALI.XLS" TargetMode="External"/><Relationship Id="rId1" Type="http://schemas.openxmlformats.org/officeDocument/2006/relationships/externalLinkPath" Target="/FILES/RFP/MALIRC/MALI.XLS" TargetMode="External"/></Relationships>
</file>

<file path=xl/externalLinks/_rels/externalLink4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ers/lgasparian/Desktop/Training/Trackers%20and%20templates/Project%20Equipment%20Inventory%20Tracker.xlsx" TargetMode="External"/><Relationship Id="rId1" Type="http://schemas.openxmlformats.org/officeDocument/2006/relationships/externalLinkPath" Target="/Users/lgasparian/Desktop/Training/Trackers%20and%20templates/Project%20Equipment%20Inventory%20Tracker.xlsx" TargetMode="External"/></Relationships>
</file>

<file path=xl/externalLinks/_rels/externalLink4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hqfilesrv3/project/Users/lgasparian/Desktop/Training/Trackers%20and%20templates/Project%20Equipment%20Inventory%20Tracker.xlsx" TargetMode="External"/><Relationship Id="rId1" Type="http://schemas.openxmlformats.org/officeDocument/2006/relationships/externalLinkPath" Target="/hqfilesrv3/project/Users/lgasparian/Desktop/Training/Trackers%20and%20templates/Project%20Equipment%20Inventory%20Tracker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qfilesrv3\project\Users\lgasparian\Desktop\Training\Trackers%20and%20templates\Project%20Equipment%20Inventory%20Tracker.xlsx" TargetMode="External"/></Relationships>
</file>

<file path=xl/externalLinks/_rels/externalLink4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Programs/EDH/USDA602/Donor/Approvals%20(Email%20approvals)/Budget%20Amendment/Attachments%20C-3%20&amp;%20C-3%2011-07-2025/SENADA%20Budget%20BAFO%20II_final%20(unprotected).xls" TargetMode="External"/><Relationship Id="rId1" Type="http://schemas.openxmlformats.org/officeDocument/2006/relationships/externalLinkPath" Target="/sites/Programs/EDH/USDA602/Donor/Approvals%20(Email%20approvals)/Budget%20Amendment/Attachments%20C-3%20&amp;%20C-3%2011-07-2025/SENADA%20Budget%20BAFO%20II_final%20(unprotected).xls" TargetMode="External"/></Relationships>
</file>

<file path=xl/externalLinks/_rels/externalLink5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lgasparian/Desktop/Training/Trackers%20and%20templates/Project%20Equipment%20Inventory%20Tracker.xlsx" TargetMode="External"/><Relationship Id="rId1" Type="http://schemas.openxmlformats.org/officeDocument/2006/relationships/externalLinkPath" Target="/lgasparian/Desktop/Training/Trackers%20and%20templates/Project%20Equipment%20Inventory%20Tracker.xlsx" TargetMode="External"/></Relationships>
</file>

<file path=xl/externalLinks/_rels/externalLink5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Programs/EDH/USDA602/Donor/Approvals%20(Email%20approvals)/Budget%20Amendment/Attachments%20C-3%20&amp;%20C-3%2011-07-2025/Part%2002_Mexico%20AMAP%20Budget%20Final.xls" TargetMode="External"/><Relationship Id="rId1" Type="http://schemas.openxmlformats.org/officeDocument/2006/relationships/externalLinkPath" Target="/sites/Programs/EDH/USDA602/Donor/Approvals%20(Email%20approvals)/Budget%20Amendment/Attachments%20C-3%20&amp;%20C-3%2011-07-2025/Part%2002_Mexico%20AMAP%20Budget%20Final.xls" TargetMode="External"/></Relationships>
</file>

<file path=xl/externalLinks/_rels/externalLink5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Programs/EDH/USDA602/Donor/Approvals%20(Email%20approvals)/Budget%20Amendment/Attachments%20C-3%20&amp;%20C-3%2011-07-2025/IRG%20PhP_ECA%20Budget_FINAL.xls" TargetMode="External"/><Relationship Id="rId1" Type="http://schemas.openxmlformats.org/officeDocument/2006/relationships/externalLinkPath" Target="/sites/Programs/EDH/USDA602/Donor/Approvals%20(Email%20approvals)/Budget%20Amendment/Attachments%20C-3%20&amp;%20C-3%2011-07-2025/IRG%20PhP_ECA%20Budget_FINAL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GROUPS\BP\U%20S%20A%20I%20D\U%20S%20A%20I%20D\USAID09\Africa\Morocco%20-%20Youth%20Education%20Program%20RFA\Submission\Morocco%20Youth%20Budget%20FINAL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GROUPS\BP\U%20S%20A%20I%20D\U%20S%20A%20I%20D\USAID10\Africa\Mozambique%20-%20Integrated%20Health%20Social%20Marketing\Budget\Mozambique%20Draft%20Budget%20Dec%201%202010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~1\fkarim\LOCALS~1\Temp\XPgrpwise\Kosovo%20KASS%20Budget%206.16-ep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CSC SUMMARY"/>
      <sheetName val="NCSC DETAIL"/>
      <sheetName val="Schedule A"/>
      <sheetName val="Schedule B"/>
      <sheetName val="IPA"/>
      <sheetName val="SB ESTIMATE"/>
      <sheetName val="."/>
      <sheetName val="Sheet2"/>
      <sheetName val="Drop downs"/>
      <sheetName val="IRC SUMMARY"/>
      <sheetName val="Dropdown Menus"/>
      <sheetName val="ABR"/>
      <sheetName val="Key"/>
      <sheetName val="Details GG266"/>
      <sheetName val="IVAP Budget (IRC)"/>
      <sheetName val="Formula Sheet"/>
      <sheetName val="NCSC_SUMMARY"/>
      <sheetName val="NCSC_DETAIL"/>
      <sheetName val="Schedule_A"/>
      <sheetName val="Schedule_B"/>
      <sheetName val="SB_ESTIMATE"/>
      <sheetName val="IRC_SUMMARY"/>
      <sheetName val="_"/>
      <sheetName val="Dropdown_Menus"/>
      <sheetName val="Drop_downs"/>
      <sheetName val="Details_GG266"/>
      <sheetName val="Summary"/>
      <sheetName val="Range_Page6"/>
      <sheetName val="AdminNames"/>
      <sheetName val="Range_Page1"/>
      <sheetName val="Signature_sheet"/>
      <sheetName val="Pricing"/>
      <sheetName val="CODES"/>
      <sheetName val="Baseline_Calc1"/>
      <sheetName val="DropDown"/>
      <sheetName val="Config"/>
      <sheetName val="Summary_Pact"/>
      <sheetName val="Account_code_lookups-_internal"/>
      <sheetName val="Rates"/>
      <sheetName val="Option-Year2"/>
      <sheetName val="CIOSP"/>
      <sheetName val="COST___CASE1"/>
      <sheetName val="Definitions"/>
      <sheetName val="Backend_serv"/>
      <sheetName val="List"/>
      <sheetName val="Budget"/>
      <sheetName val="1411"/>
      <sheetName val="Data,Jan-Mar"/>
      <sheetName val="Data,Apr-Jun"/>
      <sheetName val="Data,Jul-Sept"/>
      <sheetName val="IRC_Format1"/>
      <sheetName val="template"/>
      <sheetName val="Detail_Pact"/>
      <sheetName val="PARAMETER"/>
      <sheetName val="Backend_drugs"/>
      <sheetName val="PARAMETRES"/>
      <sheetName val="#Lookup"/>
      <sheetName val="Budget__by_Objective2"/>
      <sheetName val="Original_Budget1"/>
      <sheetName val="Refs"/>
      <sheetName val="Lists"/>
      <sheetName val="IRC_Format-Detailed_Budget"/>
      <sheetName val="COMMITMENT_TO_BVA2"/>
      <sheetName val="TablesCodes"/>
      <sheetName val="COMMITMENT_TO_BVA1"/>
      <sheetName val="ALL_ACTUALS1"/>
      <sheetName val="Budget__by_Objective4"/>
      <sheetName val="Do_Not_Touch1"/>
      <sheetName val="1_Parameters"/>
      <sheetName val="Budget_Line_Item"/>
      <sheetName val="renvoi"/>
      <sheetName val="Summary_KE_&amp;_SO"/>
      <sheetName val="Grants_in_Pipeline"/>
      <sheetName val="Budget_Line_Item1"/>
      <sheetName val="Country_Budget_x_66"/>
      <sheetName val="Personnel_Costs"/>
      <sheetName val="Facilities"/>
      <sheetName val="insurance_current-SEPT-work"/>
      <sheetName val="Budget__by_Objective1"/>
      <sheetName val="ref1"/>
      <sheetName val="quarters"/>
      <sheetName val="Share_cost_allocation_sheet1"/>
      <sheetName val="Shared_costs_table1"/>
      <sheetName val="SDAs_impact_datasources"/>
      <sheetName val="Sdc's"/>
      <sheetName val="ALL_ACTUALS3"/>
      <sheetName val="Parameters"/>
      <sheetName val="Worksheet_1_Project_budget1"/>
      <sheetName val="Actuals"/>
      <sheetName val="Currencies"/>
      <sheetName val="paramètres"/>
      <sheetName val="CONSOLIDATED SHEET"/>
      <sheetName val="Categories"/>
      <sheetName val="2NER_SF Financial overview - Y2"/>
      <sheetName val="2NER_SF Financial overview - Y3"/>
      <sheetName val="Account"/>
      <sheetName val="Sammary"/>
      <sheetName val="Scenario 1"/>
      <sheetName val="01. Summary Comb"/>
      <sheetName val="CN28302Entry"/>
      <sheetName val="CN28302"/>
      <sheetName val="Cost Notes &amp; Analysis"/>
    </sheetNames>
    <sheetDataSet>
      <sheetData sheetId="0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CSC SUMMARY"/>
      <sheetName val="NCSC DETAIL"/>
      <sheetName val="Schedule A"/>
      <sheetName val="Schedule B"/>
      <sheetName val="IPA"/>
      <sheetName val="SB ESTIMATE"/>
    </sheetNames>
    <sheetDataSet>
      <sheetData sheetId="0"/>
      <sheetData sheetId="1"/>
      <sheetData sheetId="2" refreshError="1"/>
      <sheetData sheetId="3"/>
      <sheetData sheetId="4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udget Notes1"/>
      <sheetName val="Budget Notes2"/>
      <sheetName val="Budget Summary-SAVE"/>
      <sheetName val="Detailed Budget-SAVE"/>
      <sheetName val="Fringes-SAVE"/>
      <sheetName val="Equipment, Materials &amp; Suppls"/>
      <sheetName val="Component 1- COMMUNITY"/>
      <sheetName val="Component 2- HEALTH SYSTEM"/>
      <sheetName val="Component 3- LG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etailed"/>
      <sheetName val="JHPIEGO"/>
      <sheetName val="HKI"/>
      <sheetName val="TRG"/>
      <sheetName val="Georgetown"/>
      <sheetName val="The Mitchell Group"/>
      <sheetName val="Pop Council"/>
      <sheetName val="Prospect International"/>
      <sheetName val="EVF"/>
      <sheetName val="Training"/>
      <sheetName val="LOE"/>
      <sheetName val="Parameters"/>
      <sheetName val="Chart of Accounts"/>
      <sheetName val="Graph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arameters"/>
      <sheetName val="1a. USAID Summary Budget"/>
      <sheetName val="1b. USAID Detail Budget"/>
      <sheetName val="1c. Summary"/>
      <sheetName val="1d. Summary by CLIN"/>
      <sheetName val="2a. LOE"/>
      <sheetName val="CLIN factor"/>
      <sheetName val="2b. LOE by CLIN"/>
      <sheetName val="3a. Main Detailed"/>
      <sheetName val="3b. CLIN 1 Detailed"/>
      <sheetName val="3c. CLIN 2 Detailed"/>
      <sheetName val="3d. CLIN 3 Detailed"/>
      <sheetName val="4. Travel"/>
      <sheetName val="5. Allowances"/>
      <sheetName val="6. EVF"/>
      <sheetName val="7. Training"/>
      <sheetName val="Annex A. Quals for LT Positions"/>
      <sheetName val="Annex B. STTA Scale"/>
      <sheetName val="Annex C. Fee Percent Breakdown"/>
      <sheetName val="Annex D. Fee Breakdown"/>
      <sheetName val="1a__USAID_Summary_Budget"/>
      <sheetName val="1b__USAID_Detail_Budget"/>
      <sheetName val="1c__Summary"/>
      <sheetName val="1d__Summary_by_CLIN"/>
      <sheetName val="2a__LOE"/>
      <sheetName val="CLIN_factor"/>
      <sheetName val="2b__LOE_by_CLIN"/>
      <sheetName val="3a__Main_Detailed"/>
      <sheetName val="3b__CLIN_1_Detailed"/>
      <sheetName val="3c__CLIN_2_Detailed"/>
      <sheetName val="3d__CLIN_3_Detailed"/>
      <sheetName val="4__Travel"/>
      <sheetName val="5__Allowances"/>
      <sheetName val="6__EVF"/>
      <sheetName val="7__Training"/>
      <sheetName val="Annex_A__Quals_for_LT_Positions"/>
      <sheetName val="Annex_B__STTA_Scale"/>
      <sheetName val="Annex_C__Fee_Percent_Breakdown"/>
      <sheetName val="Annex_D__Fee_Breakdown"/>
      <sheetName val="1a__USAID_Summary_Budget1"/>
      <sheetName val="1b__USAID_Detail_Budget1"/>
      <sheetName val="1c__Summary1"/>
      <sheetName val="1d__Summary_by_CLIN1"/>
      <sheetName val="2a__LOE1"/>
      <sheetName val="CLIN_factor1"/>
      <sheetName val="2b__LOE_by_CLIN1"/>
      <sheetName val="3a__Main_Detailed1"/>
      <sheetName val="3b__CLIN_1_Detailed1"/>
      <sheetName val="3c__CLIN_2_Detailed1"/>
      <sheetName val="3d__CLIN_3_Detailed1"/>
      <sheetName val="4__Travel1"/>
      <sheetName val="5__Allowances1"/>
      <sheetName val="6__EVF1"/>
      <sheetName val="7__Training1"/>
      <sheetName val="Annex_A__Quals_for_LT_Position1"/>
      <sheetName val="Annex_B__STTA_Scale1"/>
      <sheetName val="Annex_C__Fee_Percent_Breakdown1"/>
      <sheetName val="Annex_D__Fee_Breakdow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ates"/>
      <sheetName val="Chart2"/>
      <sheetName val="Bill Rates"/>
      <sheetName val="#REF"/>
      <sheetName val="Actuals"/>
      <sheetName val="Profit"/>
      <sheetName val="Task 000"/>
      <sheetName val="Forecast"/>
      <sheetName val="001"/>
      <sheetName val="1618000 Roll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arameters"/>
      <sheetName val="Summary"/>
      <sheetName val="Summary by CLIN"/>
      <sheetName val="LOE CLIN 1"/>
      <sheetName val="LOE Total"/>
      <sheetName val="Chemonics"/>
      <sheetName val="CLIN 1"/>
      <sheetName val="CLIN 2"/>
      <sheetName val="CLIN 3"/>
      <sheetName val="CLIN 4"/>
      <sheetName val="Shorebank CLIN 1"/>
      <sheetName val="IFDC CLIN 1"/>
      <sheetName val="Profitability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structions"/>
      <sheetName val="Co-Wide Fringe Benefit Calc"/>
      <sheetName val="Fringe Benefit Calc"/>
      <sheetName val="OH calc"/>
      <sheetName val="Labor Calc"/>
      <sheetName val="Notes"/>
      <sheetName val="sample fringe calc"/>
      <sheetName val="sample OH calc"/>
      <sheetName val="sample labor cal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O 484CR"/>
      <sheetName val="Data-in process"/>
      <sheetName val="1111NH 1"/>
      <sheetName val="1111KT"/>
      <sheetName val="1111NH 2"/>
      <sheetName val="November-11"/>
      <sheetName val="December-11"/>
      <sheetName val="1211LG"/>
      <sheetName val="1211AS"/>
      <sheetName val="Increase &amp; Bonus 2011"/>
      <sheetName val="January-12"/>
      <sheetName val="0112RM"/>
      <sheetName val="February-12"/>
      <sheetName val="March-12"/>
      <sheetName val="HSBC Salary PO instraction"/>
      <sheetName val="0312VA"/>
      <sheetName val="April-12"/>
      <sheetName val="0412AD"/>
      <sheetName val="0412KH"/>
      <sheetName val="0412AV"/>
      <sheetName val="0412AM"/>
      <sheetName val="0412TD"/>
      <sheetName val="May-12"/>
      <sheetName val="0512HS"/>
      <sheetName val="0512PY"/>
      <sheetName val="0512TM"/>
      <sheetName val="June-12"/>
      <sheetName val="0612MT"/>
      <sheetName val="0612VD"/>
      <sheetName val="0612AA"/>
      <sheetName val="0612MS"/>
      <sheetName val="July-12"/>
      <sheetName val="0712NH"/>
      <sheetName val="0712SS"/>
      <sheetName val="0712TM"/>
      <sheetName val="0712GM"/>
      <sheetName val="0712VA"/>
      <sheetName val="0712PY"/>
      <sheetName val="0712AM"/>
      <sheetName val="0712AP"/>
      <sheetName val="0712KH"/>
      <sheetName val="0712AA"/>
      <sheetName val="0712AD"/>
      <sheetName val="0712VD"/>
      <sheetName val="0712AS"/>
      <sheetName val="Aug-12"/>
      <sheetName val="Guards recalculation Aug-12"/>
      <sheetName val="Armen A. recalculation Aug-12"/>
      <sheetName val="0812AD"/>
      <sheetName val="0812AS"/>
      <sheetName val="0812AM"/>
      <sheetName val="0812MH"/>
      <sheetName val="0812LH"/>
      <sheetName val="0812MS"/>
      <sheetName val="0812LA"/>
      <sheetName val="0812TD"/>
      <sheetName val="0812GV"/>
      <sheetName val="0812AK"/>
      <sheetName val="0812KT"/>
      <sheetName val="0812MT"/>
      <sheetName val="Sep-12"/>
      <sheetName val="0912MH"/>
      <sheetName val="0912KH"/>
      <sheetName val="0912KH (2)"/>
      <sheetName val="0912TM"/>
      <sheetName val="Ani Melikyan 1003 Project"/>
      <sheetName val="0912GP"/>
      <sheetName val="0912VD"/>
      <sheetName val="0912SS"/>
      <sheetName val="Oct-12"/>
      <sheetName val="1012AM"/>
      <sheetName val="Nov-12"/>
      <sheetName val="Salary recalculation for KH"/>
      <sheetName val="1112LA"/>
      <sheetName val="1112NH"/>
      <sheetName val="1112RH"/>
      <sheetName val="Dec-12"/>
      <sheetName val="13-th salary for 2012"/>
      <sheetName val="Jan-13"/>
      <sheetName val="Salary recalculation for KH &amp;AA"/>
      <sheetName val="0113LG"/>
      <sheetName val="0113MT"/>
      <sheetName val="0113AM"/>
      <sheetName val="Feb-13"/>
      <sheetName val="March-13"/>
      <sheetName val="0313AM"/>
      <sheetName val="Sheet2"/>
      <sheetName val="484CR"/>
      <sheetName val="1033Cr"/>
      <sheetName val="PO 1033CR"/>
      <sheetName val="Sheet1"/>
      <sheetName val="Sheet1 (2)"/>
      <sheetName val="Sheet1 (3)"/>
      <sheetName val="Rounding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11NH 1"/>
      <sheetName val="1111KT"/>
      <sheetName val="1111NH 2"/>
      <sheetName val="November-11"/>
      <sheetName val="December-11"/>
      <sheetName val="1211LG"/>
      <sheetName val="1211AS"/>
      <sheetName val="Increase &amp; Bonus 2011"/>
      <sheetName val="January-12"/>
      <sheetName val="0112RM"/>
      <sheetName val="February-12"/>
      <sheetName val="March-12"/>
      <sheetName val="HSBC Salary PO instraction"/>
      <sheetName val="0312VA"/>
      <sheetName val="April-12"/>
      <sheetName val="0412AD"/>
      <sheetName val="0412KH"/>
      <sheetName val="0412AV"/>
      <sheetName val="0412AM"/>
      <sheetName val="0412TD"/>
      <sheetName val="May-12"/>
      <sheetName val="0512HS"/>
      <sheetName val="0512PY"/>
      <sheetName val="0512TM"/>
      <sheetName val="June-12"/>
      <sheetName val="0612MT"/>
      <sheetName val="0612VD"/>
      <sheetName val="0612AA"/>
      <sheetName val="0612MS"/>
      <sheetName val="July-12"/>
      <sheetName val="0712NH"/>
      <sheetName val="0712SS"/>
      <sheetName val="0712TM"/>
      <sheetName val="0712GM"/>
      <sheetName val="0712VA"/>
      <sheetName val="0712PY"/>
      <sheetName val="0712AM"/>
      <sheetName val="0712AP"/>
      <sheetName val="0712KH"/>
      <sheetName val="0712AA"/>
      <sheetName val="0712AD"/>
      <sheetName val="0712VD"/>
      <sheetName val="0712AS"/>
      <sheetName val="Aug-12"/>
      <sheetName val="Guards recalculation Aug-12"/>
      <sheetName val="Armen A. recalculation Aug-12"/>
      <sheetName val="0812AD"/>
      <sheetName val="0812AS"/>
      <sheetName val="0812AM"/>
      <sheetName val="0812MH"/>
      <sheetName val="0812LH"/>
      <sheetName val="0812MS"/>
      <sheetName val="0812LA"/>
      <sheetName val="0812TD"/>
      <sheetName val="0812GV"/>
      <sheetName val="0812AK"/>
      <sheetName val="0812KT"/>
      <sheetName val="0812MT"/>
      <sheetName val="Sep-12"/>
      <sheetName val="0912MH"/>
      <sheetName val="0912KH"/>
      <sheetName val="0912KH (2)"/>
      <sheetName val="0912TM"/>
      <sheetName val="Ani Melikyan 1003 Project"/>
      <sheetName val="0912GP"/>
      <sheetName val="0912VD"/>
      <sheetName val="0912SS"/>
      <sheetName val="Oct-12"/>
      <sheetName val="1012AM"/>
      <sheetName val="Nov-12"/>
      <sheetName val="Salary recalculation for KH"/>
      <sheetName val="1112LA"/>
      <sheetName val="1112NH"/>
      <sheetName val="1112RH"/>
      <sheetName val="Dec-12"/>
      <sheetName val="13-th salary for 2012"/>
      <sheetName val="Jan-13"/>
      <sheetName val="Salary recalculation for KH &amp;AA"/>
      <sheetName val="0113LG"/>
      <sheetName val="0113MT"/>
      <sheetName val="0113AM"/>
      <sheetName val="Feb-13"/>
      <sheetName val="March-13"/>
      <sheetName val="0313AM"/>
      <sheetName val="Sheet2"/>
      <sheetName val="484CR"/>
      <sheetName val="1033Cr"/>
      <sheetName val="PO 484CR"/>
      <sheetName val="PO 1033CR"/>
      <sheetName val="Sheet1"/>
      <sheetName val="Sheet1 (2)"/>
      <sheetName val="Sheet1 (3)"/>
      <sheetName val="Rounding"/>
      <sheetName val="Data-in process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"/>
      <sheetName val="Year1"/>
      <sheetName val="Year2"/>
      <sheetName val="RATES"/>
      <sheetName val="Parameters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4"/>
      <sheetName val="Voucher"/>
      <sheetName val="Sheet3"/>
      <sheetName val="Sheet2"/>
      <sheetName val="Sheet1"/>
      <sheetName val="Sheet5"/>
      <sheetName val="Nomenclatura Contable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Sheet2"/>
      <sheetName val="Sheet3"/>
      <sheetName val="3. LOE"/>
      <sheetName val="Links"/>
      <sheetName val="1. CLIN"/>
      <sheetName val="2. Sum-Yr"/>
      <sheetName val="4. Main"/>
      <sheetName val="5. Travel"/>
      <sheetName val="6. Allow"/>
      <sheetName val="7. EVF"/>
      <sheetName val="8. AIRD"/>
      <sheetName val="9. CARE"/>
      <sheetName val="10. IBI"/>
      <sheetName val="RATES"/>
      <sheetName val="Parameters"/>
      <sheetName val="Travel Voucher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ipeline"/>
      <sheetName val="LOE Tracker"/>
      <sheetName val="Burn Chart"/>
      <sheetName val="INPUTS - Totals by Units"/>
      <sheetName val="INPUTS Year 1"/>
      <sheetName val="INPUTS Year 2"/>
      <sheetName val="INPUTS Year 3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early Planner"/>
      <sheetName val="Appointments"/>
      <sheetName val="calcs"/>
      <sheetName val="TS1028023222"/>
      <sheetName val="Legend"/>
    </sheetNames>
    <definedNames>
      <definedName name="StartYear" sheetId="0"/>
    </defined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ETAIL"/>
      <sheetName val="BAHODC"/>
      <sheetName val="SUB1"/>
      <sheetName val="SUB2"/>
      <sheetName val="SUB3"/>
      <sheetName val="SUB4"/>
      <sheetName val="SUB5"/>
      <sheetName val="SUB6"/>
      <sheetName val="SUB7"/>
      <sheetName val="SUB8"/>
      <sheetName val="SUB9"/>
      <sheetName val="INDIRECTS"/>
      <sheetName val="RATES"/>
      <sheetName val="read me first"/>
      <sheetName val="DCAA APPROVED INDIRECT RATES"/>
      <sheetName val="Parameter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structions"/>
      <sheetName val="Assumptions"/>
      <sheetName val="Summary"/>
      <sheetName val="Loaded"/>
      <sheetName val="Overall"/>
      <sheetName val="CORE"/>
      <sheetName val="Liberia"/>
      <sheetName val="Nigeria"/>
      <sheetName val="Jordan"/>
      <sheetName val="Pakistan"/>
      <sheetName val="ENE"/>
      <sheetName val="LAC"/>
      <sheetName val="ANE"/>
      <sheetName val="AFR"/>
      <sheetName val="ENE(b)"/>
      <sheetName val="LAC1"/>
      <sheetName val="LAC2"/>
      <sheetName val="ANE1"/>
      <sheetName val="ANE2"/>
      <sheetName val="ARF1"/>
      <sheetName val="ARF2"/>
      <sheetName val="ENE1"/>
      <sheetName val="ENE2"/>
      <sheetName val="Budget Notes"/>
      <sheetName val="Cost Share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byYear"/>
      <sheetName val="Detailed"/>
      <sheetName val="LOE"/>
      <sheetName val="EVF"/>
      <sheetName val="EVF-OVC"/>
      <sheetName val="TRG"/>
      <sheetName val="Dev Assoc"/>
      <sheetName val="IGH CEIHD"/>
      <sheetName val="Porter Novelli"/>
      <sheetName val="Citizens"/>
      <sheetName val="HealthScope"/>
      <sheetName val="Parameters"/>
      <sheetName val="R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ICRA"/>
      <sheetName val="Active Project"/>
      <sheetName val="Summary"/>
      <sheetName val="Cash Receipt by Project"/>
      <sheetName val="Cost Share"/>
      <sheetName val="Cash Adjustment"/>
      <sheetName val="Cash Receipt-Master"/>
      <sheetName val="FY19"/>
      <sheetName val="FY18"/>
      <sheetName val="FY17"/>
      <sheetName val="FY16"/>
      <sheetName val="FY15"/>
      <sheetName val="FY14"/>
      <sheetName val="FY13"/>
      <sheetName val="FY12"/>
      <sheetName val="FY11"/>
      <sheetName val="FY1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alance"/>
      <sheetName val="GL-Bank"/>
      <sheetName val="PT"/>
      <sheetName val="PT (2)"/>
      <sheetName val="Chart of Acc"/>
      <sheetName val="Tx-Acc"/>
      <sheetName val="Classes"/>
      <sheetName val="Sheet1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ciliation"/>
      <sheetName val="Payroll August "/>
      <sheetName val="Bank Transfer CBE"/>
      <sheetName val="Income tax"/>
      <sheetName val="Tax rec."/>
      <sheetName val="Inc. tax Rec."/>
      <sheetName val="Pension"/>
      <sheetName val="Pen. rec"/>
      <sheetName val="Pension Rec."/>
      <sheetName val="Abebe Tafa "/>
      <sheetName val="Zenah Aug"/>
      <sheetName val="Severance"/>
      <sheetName val="Rec. work out"/>
      <sheetName val="July back pay"/>
      <sheetName val="Payroll July"/>
      <sheetName val="Backup Formul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 Budget"/>
      <sheetName val="Revised Budget - CNFA"/>
      <sheetName val="Sheet1"/>
      <sheetName val="Year 4  Projected Budget"/>
      <sheetName val="Consultancies"/>
      <sheetName val="To do"/>
      <sheetName val="100120-Nigeria-Pipeline"/>
      <sheetName val="Y4 2022 Budget Tracker"/>
      <sheetName val="Y5 2022 Budget Tracker"/>
      <sheetName val="Subs"/>
      <sheetName val="rev summary 5-31 (2)"/>
      <sheetName val="Payroll Jan22"/>
      <sheetName val="Allowances"/>
      <sheetName val="JE Austin"/>
      <sheetName val="rev summary 5-31"/>
      <sheetName val="JAA Projections Y4"/>
      <sheetName val="JAA Projections Y5"/>
      <sheetName val="Connexus"/>
      <sheetName val="FY22 Connexus Budget"/>
      <sheetName val="FY23 Connexus Budget"/>
      <sheetName val="LOE"/>
      <sheetName val="Chart of Accoun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-in process"/>
      <sheetName val="1010-HA"/>
      <sheetName val="1110-HA"/>
      <sheetName val="Oct10"/>
      <sheetName val="Nov10"/>
      <sheetName val="12-10SH"/>
      <sheetName val="Ani"/>
      <sheetName val="Dec10"/>
      <sheetName val="01-11AKh"/>
      <sheetName val="01-11HM"/>
      <sheetName val="Jan11"/>
      <sheetName val="02-11HM"/>
      <sheetName val="02-11AKh"/>
      <sheetName val="02-11SH"/>
      <sheetName val="Feb11"/>
      <sheetName val="March11"/>
      <sheetName val="0411AA"/>
      <sheetName val="0411NH"/>
      <sheetName val="0411AD"/>
      <sheetName val="Apr11"/>
      <sheetName val="May-11"/>
      <sheetName val="0611VM"/>
      <sheetName val="0611NA"/>
      <sheetName val="June-11"/>
      <sheetName val="0711PY"/>
      <sheetName val="0711AM"/>
      <sheetName val="0711AD"/>
      <sheetName val="0711MS"/>
      <sheetName val="0711AsM"/>
      <sheetName val="0711MB"/>
      <sheetName val="0711GV"/>
      <sheetName val="0711HS"/>
      <sheetName val="0711AV"/>
      <sheetName val="0711AKh"/>
      <sheetName val="0711LA"/>
      <sheetName val="July-11"/>
      <sheetName val="0811AV"/>
      <sheetName val="0811AKh"/>
      <sheetName val="0811LA"/>
      <sheetName val="0811MB"/>
      <sheetName val="0811AA"/>
      <sheetName val="0811KnH"/>
      <sheetName val="0811NH"/>
      <sheetName val="0811PY"/>
      <sheetName val="0811KH"/>
      <sheetName val="0811AS"/>
      <sheetName val="0811MS"/>
      <sheetName val="0811RH"/>
      <sheetName val="0811AD"/>
      <sheetName val="0811TD"/>
      <sheetName val="0811SA"/>
      <sheetName val="August-11"/>
      <sheetName val="0911AA"/>
      <sheetName val="0911SA"/>
      <sheetName val="0911GP"/>
      <sheetName val="0911HS"/>
      <sheetName val="0911HM"/>
      <sheetName val="September-11"/>
      <sheetName val="1011AsM"/>
      <sheetName val="1011SH"/>
      <sheetName val="1011TD"/>
      <sheetName val="1011MB"/>
      <sheetName val="October-11"/>
      <sheetName val="1111NH 1"/>
      <sheetName val="1111KT"/>
      <sheetName val="1111NH 2"/>
      <sheetName val="November-11"/>
      <sheetName val="December-11"/>
      <sheetName val="1211LG"/>
      <sheetName val="1211AS"/>
      <sheetName val="January-12"/>
      <sheetName val="0112RM"/>
      <sheetName val="February-12"/>
      <sheetName val="March-12"/>
      <sheetName val="Increase &amp; Bonus 2011"/>
      <sheetName val="HSBC Salary PO instraction"/>
      <sheetName val="0312VA"/>
      <sheetName val="April-12"/>
      <sheetName val="0412AD"/>
      <sheetName val="0412KH"/>
      <sheetName val="0412AV"/>
      <sheetName val="0412AM"/>
      <sheetName val="0412TD"/>
      <sheetName val="May-12"/>
      <sheetName val="0512HS"/>
      <sheetName val="0512PY"/>
      <sheetName val="484CR"/>
      <sheetName val="816Cr"/>
      <sheetName val="1000Cr"/>
      <sheetName val="PO 484CR"/>
      <sheetName val="PO 816CR"/>
      <sheetName val="PO 1000CR"/>
      <sheetName val="Sheet1"/>
      <sheetName val="Sheet1 (2)"/>
      <sheetName val="Sheet1 (3)"/>
      <sheetName val="Sheet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 refreshError="1"/>
      <sheetData sheetId="93" refreshError="1"/>
      <sheetData sheetId="94" refreshError="1"/>
      <sheetData sheetId="95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10-HA"/>
      <sheetName val="1110-HA"/>
      <sheetName val="Oct10"/>
      <sheetName val="Nov10"/>
      <sheetName val="12-10SH"/>
      <sheetName val="Ani"/>
      <sheetName val="Dec10"/>
      <sheetName val="01-11AKh"/>
      <sheetName val="01-11HM"/>
      <sheetName val="Jan11"/>
      <sheetName val="02-11HM"/>
      <sheetName val="02-11AKh"/>
      <sheetName val="02-11SH"/>
      <sheetName val="Feb11"/>
      <sheetName val="March11"/>
      <sheetName val="0411AA"/>
      <sheetName val="0411NH"/>
      <sheetName val="0411AD"/>
      <sheetName val="Apr11"/>
      <sheetName val="May-11"/>
      <sheetName val="0611VM"/>
      <sheetName val="0611NA"/>
      <sheetName val="June-11"/>
      <sheetName val="0711PY"/>
      <sheetName val="0711AM"/>
      <sheetName val="0711AD"/>
      <sheetName val="0711MS"/>
      <sheetName val="0711AsM"/>
      <sheetName val="0711MB"/>
      <sheetName val="0711GV"/>
      <sheetName val="0711HS"/>
      <sheetName val="0711AV"/>
      <sheetName val="0711AKh"/>
      <sheetName val="0711LA"/>
      <sheetName val="July-11"/>
      <sheetName val="0811AV"/>
      <sheetName val="0811AKh"/>
      <sheetName val="0811LA"/>
      <sheetName val="0811MB"/>
      <sheetName val="0811AA"/>
      <sheetName val="0811KnH"/>
      <sheetName val="0811NH"/>
      <sheetName val="0811PY"/>
      <sheetName val="0811KH"/>
      <sheetName val="0811AS"/>
      <sheetName val="0811MS"/>
      <sheetName val="0811RH"/>
      <sheetName val="0811AD"/>
      <sheetName val="0811TD"/>
      <sheetName val="0811SA"/>
      <sheetName val="August-11"/>
      <sheetName val="0911AA"/>
      <sheetName val="0911SA"/>
      <sheetName val="0911GP"/>
      <sheetName val="0911HS"/>
      <sheetName val="0911HM"/>
      <sheetName val="September-11"/>
      <sheetName val="1011AsM"/>
      <sheetName val="1011SH"/>
      <sheetName val="1011TD"/>
      <sheetName val="1011MB"/>
      <sheetName val="October-11"/>
      <sheetName val="1111NH 1"/>
      <sheetName val="1111KT"/>
      <sheetName val="1111NH 2"/>
      <sheetName val="November-11"/>
      <sheetName val="December-11"/>
      <sheetName val="1211LG"/>
      <sheetName val="1211AS"/>
      <sheetName val="January-12"/>
      <sheetName val="0112RM"/>
      <sheetName val="February-12"/>
      <sheetName val="March-12"/>
      <sheetName val="Increase &amp; Bonus 2011"/>
      <sheetName val="HSBC Salary PO instraction"/>
      <sheetName val="0312VA"/>
      <sheetName val="April-12"/>
      <sheetName val="0412AD"/>
      <sheetName val="0412KH"/>
      <sheetName val="0412AV"/>
      <sheetName val="0412AM"/>
      <sheetName val="0412TD"/>
      <sheetName val="May-12"/>
      <sheetName val="0512HS"/>
      <sheetName val="0512PY"/>
      <sheetName val="484CR"/>
      <sheetName val="816Cr"/>
      <sheetName val="1000Cr"/>
      <sheetName val="PO 484CR"/>
      <sheetName val="PO 816CR"/>
      <sheetName val="PO 1000CR"/>
      <sheetName val="Data-in process"/>
      <sheetName val="Sheet1"/>
      <sheetName val="Sheet1 (2)"/>
      <sheetName val="Sheet1 (3)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 refreshError="1"/>
      <sheetData sheetId="93" refreshError="1"/>
      <sheetData sheetId="94" refreshError="1"/>
      <sheetData sheetId="95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OE"/>
      <sheetName val="Budget"/>
      <sheetName val="formulas"/>
    </sheetNames>
    <sheetDataSet>
      <sheetData sheetId="0"/>
      <sheetData sheetId="1"/>
      <sheetData sheetId="2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New Format Budget Y1-3"/>
      <sheetName val="Budget Summary  "/>
      <sheetName val=" Budget Y1  "/>
      <sheetName val="Budget Y2"/>
      <sheetName val="Budget Y3"/>
      <sheetName val="Drp Down Menu lists "/>
      <sheetName val="HK Budget"/>
      <sheetName val="Pricing Table"/>
      <sheetName val="LOE"/>
      <sheetName val="Activity - Detailed Budget"/>
      <sheetName val="Sheet1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ETAIL Burkina Faso"/>
      <sheetName val="DETAIL Niger"/>
      <sheetName val="Travel Table"/>
      <sheetName val="Training"/>
      <sheetName val="NXP"/>
      <sheetName val="DETAIL_Burkina_Faso"/>
    </sheetNames>
    <sheetDataSet>
      <sheetData sheetId="0" refreshError="1"/>
      <sheetData sheetId="1"/>
      <sheetData sheetId="2"/>
      <sheetData sheetId="3" refreshError="1"/>
      <sheetData sheetId="4"/>
      <sheetData sheetId="5" refreshError="1"/>
      <sheetData sheetId="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Long-term project staff"/>
      <sheetName val="Short Term Technical Assistance"/>
      <sheetName val="Travel"/>
      <sheetName val="Other Direct Costs"/>
      <sheetName val="Allowances"/>
      <sheetName val="EDP"/>
      <sheetName val="formulas"/>
      <sheetName val="Long-term_project_staff"/>
      <sheetName val="Short_Term_Technical_Assistance"/>
      <sheetName val="Other_Direct_Costs"/>
      <sheetName val="Long-term_project_staff1"/>
      <sheetName val="Short_Term_Technical_Assistanc1"/>
      <sheetName val="Other_Direct_Cost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udget Review"/>
      <sheetName val="MOBIS Schedule-Salary Analysis"/>
      <sheetName val="Summary by Year"/>
      <sheetName val="Summary by CLIN"/>
      <sheetName val="Staffing List"/>
      <sheetName val="Profitability"/>
      <sheetName val="Schedule Items-Labor"/>
      <sheetName val="Summary-Non-Labor"/>
      <sheetName val="Schedule Items-Other"/>
      <sheetName val="Non-Sch ODCs"/>
      <sheetName val="Procurement"/>
      <sheetName val="Local Travel "/>
      <sheetName val="Project Activity ODCs"/>
      <sheetName val="CLIN Ref"/>
      <sheetName val="DAI CLIN 1"/>
      <sheetName val="DAI CLIN 2"/>
      <sheetName val="DAI CLIN 3"/>
      <sheetName val="DAI CLIN 4"/>
      <sheetName val="Assumptions"/>
      <sheetName val="MOBIS Labor Categories"/>
      <sheetName val="MOBIS Schedule"/>
      <sheetName val="MOBIS Sch Expat"/>
      <sheetName val="MOBIS Schedule CCN "/>
      <sheetName val="Reference"/>
      <sheetName val="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etail-1"/>
      <sheetName val="IFLT Budget"/>
      <sheetName val="CCC Budget"/>
      <sheetName val="Institute Justification"/>
      <sheetName val="Travel"/>
      <sheetName val="Workshops"/>
      <sheetName val="SF424"/>
      <sheetName val="SF424A1"/>
      <sheetName val="SF424A2"/>
      <sheetName val="Links"/>
    </sheetNames>
    <sheetDataSet>
      <sheetData sheetId="0">
        <row r="1">
          <cell r="J1">
            <v>1.05</v>
          </cell>
        </row>
      </sheetData>
      <sheetData sheetId="1">
        <row r="1">
          <cell r="J1">
            <v>1.05</v>
          </cell>
        </row>
        <row r="2">
          <cell r="J2">
            <v>1.04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udget Review"/>
      <sheetName val="Profitability"/>
      <sheetName val="Summary"/>
      <sheetName val="DAI Budget "/>
      <sheetName val="DevTech"/>
      <sheetName val="The M Group "/>
      <sheetName val="Office"/>
      <sheetName val="US FBR"/>
      <sheetName val="Assumptions"/>
      <sheetName val="Schedule Items-Labor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AMAP-MF"/>
      <sheetName val="DAI Budget "/>
      <sheetName val="Pricing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AP-MF"/>
      <sheetName val="IT Specs"/>
      <sheetName val="Office Gear"/>
      <sheetName val="Assumptions"/>
      <sheetName val="Summary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"/>
      <sheetName val="Service Revenue"/>
      <sheetName val="Profitability"/>
      <sheetName val="A. US Expat"/>
      <sheetName val="B. Local Hire and TCNs"/>
      <sheetName val="Travel"/>
      <sheetName val="Local Travel"/>
      <sheetName val="Allowances"/>
      <sheetName val="Admin  &amp; Support"/>
      <sheetName val="Computer Equipment"/>
      <sheetName val="Office"/>
      <sheetName val="ACCION"/>
      <sheetName val="OSU"/>
      <sheetName val="CEAL"/>
      <sheetName val="ICC"/>
      <sheetName val="IMCC"/>
      <sheetName val="Quisqueya"/>
      <sheetName val="MF Look-up Table"/>
      <sheetName val="Assumptions"/>
      <sheetName val="AMAP-M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arameters"/>
      <sheetName val="Instructions"/>
      <sheetName val="Back of Envelope"/>
      <sheetName val="1A. USAID Summary"/>
      <sheetName val="1B. Summary"/>
      <sheetName val="2. LOE"/>
      <sheetName val="3. Main Detailed"/>
      <sheetName val="4. Travel"/>
      <sheetName val="5. Allowances"/>
      <sheetName val="6. EVF"/>
      <sheetName val="7. CRS"/>
      <sheetName val="Subplan Goal Estimator"/>
      <sheetName val="Profit Analysis"/>
      <sheetName val="Unallowable Costs"/>
      <sheetName val="Back_of_Envelope"/>
      <sheetName val="1A__USAID_Summary"/>
      <sheetName val="1B__Summary"/>
      <sheetName val="2__LOE"/>
      <sheetName val="3__Main_Detailed"/>
      <sheetName val="4__Travel"/>
      <sheetName val="5__Allowances"/>
      <sheetName val="6__EVF"/>
      <sheetName val="7__CRS"/>
      <sheetName val="Subplan_Goal_Estimator"/>
      <sheetName val="Profit_Analysis"/>
      <sheetName val="Unallowable_Costs"/>
      <sheetName val="Back_of_Envelope1"/>
      <sheetName val="1A__USAID_Summary1"/>
      <sheetName val="1B__Summary1"/>
      <sheetName val="2__LOE1"/>
      <sheetName val="3__Main_Detailed1"/>
      <sheetName val="4__Travel1"/>
      <sheetName val="5__Allowances1"/>
      <sheetName val="6__EVF1"/>
      <sheetName val="7__CRS1"/>
      <sheetName val="Subplan_Goal_Estimator1"/>
      <sheetName val="Profit_Analysis1"/>
      <sheetName val="Unallowable_Costs1"/>
      <sheetName val="Back_of_Envelope2"/>
      <sheetName val="1A__USAID_Summary2"/>
      <sheetName val="1B__Summary2"/>
      <sheetName val="2__LOE2"/>
      <sheetName val="3__Main_Detailed2"/>
      <sheetName val="4__Travel2"/>
      <sheetName val="5__Allowances2"/>
      <sheetName val="6__EVF2"/>
      <sheetName val="7__CRS2"/>
      <sheetName val="Subplan_Goal_Estimator2"/>
      <sheetName val="Profit_Analysis2"/>
      <sheetName val="Unallowable_Costs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Parameters"/>
      <sheetName val="Back of Envelope"/>
      <sheetName val="1A. USAID Summary"/>
      <sheetName val="1B. Summary"/>
      <sheetName val="2. LOE"/>
      <sheetName val="3. Main Detailed"/>
      <sheetName val="4. Travel"/>
      <sheetName val="5. Allowances"/>
      <sheetName val="6. EVF"/>
      <sheetName val="7. CRS"/>
      <sheetName val="Subplan Goal Estimator"/>
      <sheetName val="Profit Analysis"/>
      <sheetName val="Unallowable Costs"/>
      <sheetName val="Back_of_Envelope"/>
      <sheetName val="1A__USAID_Summary"/>
      <sheetName val="1B__Summary"/>
      <sheetName val="2__LOE"/>
      <sheetName val="3__Main_Detailed"/>
      <sheetName val="4__Travel"/>
      <sheetName val="5__Allowances"/>
      <sheetName val="6__EVF"/>
      <sheetName val="7__CRS"/>
      <sheetName val="Subplan_Goal_Estimator"/>
      <sheetName val="Profit_Analysis"/>
      <sheetName val="Unallowable_Costs"/>
      <sheetName val="Back_of_Envelope1"/>
      <sheetName val="1A__USAID_Summary1"/>
      <sheetName val="1B__Summary1"/>
      <sheetName val="2__LOE1"/>
      <sheetName val="3__Main_Detailed1"/>
      <sheetName val="4__Travel1"/>
      <sheetName val="5__Allowances1"/>
      <sheetName val="6__EVF1"/>
      <sheetName val="7__CRS1"/>
      <sheetName val="Subplan_Goal_Estimator1"/>
      <sheetName val="Profit_Analysis1"/>
      <sheetName val="Unallowable_Costs1"/>
      <sheetName val="Back_of_Envelope2"/>
      <sheetName val="1A__USAID_Summary2"/>
      <sheetName val="1B__Summary2"/>
      <sheetName val="2__LOE2"/>
      <sheetName val="3__Main_Detailed2"/>
      <sheetName val="4__Travel2"/>
      <sheetName val="5__Allowances2"/>
      <sheetName val="6__EVF2"/>
      <sheetName val="7__CRS2"/>
      <sheetName val="Subplan_Goal_Estimator2"/>
      <sheetName val="Profit_Analysis2"/>
      <sheetName val="Unallowable_Costs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pping"/>
      <sheetName val="Journal Entry"/>
      <sheetName val="Categories"/>
      <sheetName val="TRANSACTION I3R Mar 2004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ournal Entry"/>
      <sheetName val="mapping"/>
      <sheetName val="Categories"/>
      <sheetName val="TRANSACTION I3R Mar 2004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Sheet2"/>
      <sheetName val="Sheet3"/>
    </sheetNames>
    <sheetDataSet>
      <sheetData sheetId="0"/>
      <sheetData sheetId="1"/>
      <sheetData sheetId="2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/>
      <sheetData sheetId="2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 Budget"/>
      <sheetName val="Info"/>
      <sheetName val="Summary_Budget"/>
    </sheetNames>
    <sheetDataSet>
      <sheetData sheetId="0"/>
      <sheetData sheetId="1"/>
      <sheetData sheetId="2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st Comp"/>
      <sheetName val="Summary by Year"/>
      <sheetName val="Summary by CLIN"/>
      <sheetName val="Summary Fee"/>
      <sheetName val="CLIN 1 Fee"/>
      <sheetName val="CLIN 2 Fee "/>
      <sheetName val="CLIN 3 Fee"/>
      <sheetName val="CLIN 4 Fee"/>
      <sheetName val="CLIN 5 Fee "/>
      <sheetName val="LABOR SUMMARY by CLIN"/>
      <sheetName val="Prof Labor by Year"/>
      <sheetName val="CCN Rates"/>
      <sheetName val="Prof Labor by CLIN"/>
      <sheetName val="Service &amp; Support Staff by Year"/>
      <sheetName val="Service &amp; Support by CLIN "/>
      <sheetName val="Fringe-US Expats by Year"/>
      <sheetName val="Fringe-US Expats by CLIN"/>
      <sheetName val="Social Charges-CCN by Year"/>
      <sheetName val="Social Charges-CCNs by CLIN"/>
      <sheetName val="Social Charges-S&amp;S by Year"/>
      <sheetName val="Social Charges-S&amp;S by CLIN"/>
      <sheetName val="Overhead-Prof Labor by Year"/>
      <sheetName val="Overhead-Prof Labor by CLIN"/>
      <sheetName val="Local Labor by Year"/>
      <sheetName val="Local Labor by CLIN"/>
      <sheetName val="LOCAL OH&amp;Soc. Costs"/>
      <sheetName val="Post Diff by Year"/>
      <sheetName val="Post Diff by CLIN"/>
      <sheetName val="Post Allow by Year"/>
      <sheetName val="Post Allow by CLIN"/>
      <sheetName val="Danger Pay by Year"/>
      <sheetName val="Danger Pay by CLIN"/>
      <sheetName val=" DBA-FGL by Year"/>
      <sheetName val=" DBA-FGL by CLIN"/>
      <sheetName val="US Allow by Year"/>
      <sheetName val="US Allow by CLIN"/>
      <sheetName val=" Travel-Start-up"/>
      <sheetName val="Local Travel by Year"/>
      <sheetName val=" Int'l Travel by Year"/>
      <sheetName val="Travel by CLIN"/>
      <sheetName val=" Program Support Costs"/>
      <sheetName val="Program Support Detail"/>
      <sheetName val="Computer Equipment"/>
      <sheetName val="Office Gear"/>
      <sheetName val="G&amp; C by Year"/>
      <sheetName val="G&amp;C by CLIN"/>
      <sheetName val="G&amp;C Detail"/>
      <sheetName val="Annex B Mtg-Wsho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05TRANS"/>
      <sheetName val="01TRIAL"/>
      <sheetName val="02CASH BANK"/>
      <sheetName val="03PAYABLE"/>
      <sheetName val="04EXPEND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TRIAL"/>
      <sheetName val="02CASH BANK"/>
      <sheetName val="03PAYABLE"/>
      <sheetName val="04EXPEND"/>
      <sheetName val="05TRAN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ormula Values"/>
      <sheetName val="Formula_Values"/>
      <sheetName val="formulas"/>
      <sheetName val="Info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Sheet2"/>
      <sheetName val="Sheet3"/>
    </sheetNames>
    <sheetDataSet>
      <sheetData sheetId="0"/>
      <sheetData sheetId="1"/>
      <sheetData sheetId="2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Sheet2"/>
      <sheetName val="Sheet3"/>
      <sheetName val="Codes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Codes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mob Cost"/>
      <sheetName val="Michael T."/>
      <sheetName val="COMPENSATION"/>
      <sheetName val="DAI Summary (CPFF)"/>
      <sheetName val="Salaries (CPFF)"/>
      <sheetName val="Fringe"/>
      <sheetName val="Overhead"/>
      <sheetName val="Gross Margin"/>
      <sheetName val="Profit Sum"/>
      <sheetName val="Labor Profit"/>
      <sheetName val="LOE Totals"/>
      <sheetName val="Sum By Yr"/>
      <sheetName val="Sum By Component"/>
      <sheetName val="Budget Comp 1"/>
      <sheetName val="Budget Comp 2 "/>
      <sheetName val="Budget Comp 3"/>
      <sheetName val="Budget Comp 4"/>
      <sheetName val="Budget Comp 5"/>
      <sheetName val="Est. Labor LOE by Comp."/>
      <sheetName val="ODCs"/>
      <sheetName val="Travel"/>
      <sheetName val="Allowances"/>
      <sheetName val="Training"/>
      <sheetName val="Equipment"/>
      <sheetName val="Severence Pay"/>
      <sheetName val="OTF Sum"/>
      <sheetName val="WRI Sum"/>
      <sheetName val="changes"/>
      <sheetName val="Changes2"/>
      <sheetName val="Assumptions"/>
      <sheetName val="Labor By Comp"/>
      <sheetName val="MOBIS Days"/>
      <sheetName val="Salaries"/>
      <sheetName val="TQSA Calc"/>
      <sheetName val="HH Exp Calc"/>
      <sheetName val="OTF Budget"/>
      <sheetName val="WRI Budget"/>
      <sheetName val="MOBIS Schedule"/>
      <sheetName val="Subcontracts"/>
      <sheetName val="IRM (old)"/>
      <sheetName val="IRM (dai)"/>
      <sheetName val="PACT (old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Sheet2"/>
      <sheetName val="Sheet3"/>
      <sheetName val="Codes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"/>
      <sheetName val="A. US Expat"/>
      <sheetName val="B. Local Hire and TCNs"/>
      <sheetName val="Travel"/>
      <sheetName val="Local Travel"/>
      <sheetName val="Allowances"/>
      <sheetName val="Admin  &amp; Support"/>
      <sheetName val="Computer Equipment"/>
      <sheetName val="Office"/>
      <sheetName val="ACCION"/>
      <sheetName val="OSU"/>
      <sheetName val="CEAL"/>
      <sheetName val="ICC"/>
      <sheetName val="IMCC"/>
      <sheetName val="Quisqueya"/>
      <sheetName val="MF Look-up Table"/>
      <sheetName val="Assumptions"/>
      <sheetName val=" Program Support Cost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OC"/>
      <sheetName val="SF 1411"/>
      <sheetName val="Budget Summary by Cost Element"/>
      <sheetName val="LTTA and STTA Summary"/>
      <sheetName val="Summary Staffing Matrix"/>
      <sheetName val="5-Year Detailed Budget Estimate"/>
      <sheetName val="Rate Approval Request"/>
      <sheetName val="CCN Social Cost Estimate"/>
      <sheetName val="Travel Fares Analysis"/>
      <sheetName val="IRG Inflation &amp; Merit Factors"/>
      <sheetName val="IQC Labor categories"/>
      <sheetName val="Graphs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F424"/>
      <sheetName val="SF424-A"/>
      <sheetName val="SUMMARY"/>
      <sheetName val="DETAIL"/>
    </sheetNames>
    <sheetDataSet>
      <sheetData sheetId="0"/>
      <sheetData sheetId="1"/>
      <sheetData sheetId="2"/>
      <sheetData sheetId="3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F424A"/>
      <sheetName val="SF424"/>
      <sheetName val="SUMMARY"/>
      <sheetName val="DETAIL"/>
      <sheetName val="STTA LOE"/>
      <sheetName val="STTA_LOE"/>
      <sheetName val="STTA_LOE1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ED SUMMARY BUDGET"/>
      <sheetName val="AED DETAILED BUDGET"/>
      <sheetName val="AED EQUIPMENT SCHEDULE"/>
      <sheetName val="KEC"/>
      <sheetName val="AED_SUMMARY_BUDGET"/>
      <sheetName val="AED_DETAILED_BUDGET"/>
      <sheetName val="AED_EQUIPMENT_SCHEDULE"/>
      <sheetName val="AED_SUMMARY_BUDGET1"/>
      <sheetName val="AED_DETAILED_BUDGET1"/>
      <sheetName val="AED_EQUIPMENT_SCHEDULE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30T15:54:50.36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11552 0 0,'0'0'0'0'0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30T15:54:50.37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12960 0 0,'0'0'0'0'0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30T15:54:50.37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15168 0 0,'0'0'0'0'0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30T15:54:50.37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12056 0 0,'0'0'0'0'0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30T15:54:50.37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11656 0 0,'0'0'0'0'0</inkml:trace>
</inkml:ink>
</file>

<file path=xl/persons/person.xml><?xml version="1.0" encoding="utf-8"?>
<personList xmlns="http://schemas.microsoft.com/office/spreadsheetml/2018/threadedcomments" xmlns:x="http://schemas.openxmlformats.org/spreadsheetml/2006/main">
  <person displayName="Gustavo Galdo" id="{67F8C657-41F2-4836-9789-4A6E11BD14C2}" userId="S::ggaldo@partners.net::1f5d9809-47cd-4fab-8d36-35b25eb7be81" providerId="AD"/>
  <person displayName="Ng'asi, Adrian - TFAA-FAS, DC" id="{E0B62A96-230E-4D3B-9275-5953CCACFF15}" userId="S::Adrian.Ng'asi@usda.gov::7d29d77d-76be-4e3f-a205-5597420416a5" providerId="AD"/>
  <person displayName="Ng'asi, Adrian - TFAA-FAS, DC" id="{3ABBC8BF-CD84-4387-9025-719BDAE832D9}" userId="S::adrian.ng'asi@usda.gov::7d29d77d-76be-4e3f-a205-5597420416a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6" dT="2025-10-20T15:23:49.58" personId="{3ABBC8BF-CD84-4387-9025-719BDAE832D9}" id="{248657ED-2449-490E-8BDD-43F8FBA0C9E8}" done="1">
    <text>Not clear on the role of this position vs Associate Director. For the project, only one position will be allowed to bill the project.</text>
  </threadedComment>
  <threadedComment ref="A27" dT="2025-10-20T15:22:30.72" personId="{3ABBC8BF-CD84-4387-9025-719BDAE832D9}" id="{85225663-03AB-498F-9822-997443A004AC}" done="1">
    <text>Not clear on the role of this position</text>
  </threadedComment>
  <threadedComment ref="A44" dT="2025-10-20T15:26:24.05" personId="{3ABBC8BF-CD84-4387-9025-719BDAE832D9}" id="{6A59F2BF-26F9-4FE6-8E2D-571620DE0EBE}" done="1">
    <text>Limit two trips per year for HQ staff</text>
  </threadedComment>
  <threadedComment ref="A49" dT="2025-10-20T15:27:59.24" personId="{3ABBC8BF-CD84-4387-9025-719BDAE832D9}" id="{41572160-DBE6-4608-9840-1157A1557AFD}" done="1">
    <text>Limit to two ground transportation trip for HQ staff.</text>
  </threadedComment>
  <threadedComment ref="A65" dT="2025-10-20T15:30:33.27" personId="{3ABBC8BF-CD84-4387-9025-719BDAE832D9}" id="{71C7531D-F2F5-465D-86EC-2CB83D365246}" done="1">
    <text>Limit to two "Other Travel Related Expenses" for HQ</text>
  </threadedComment>
  <threadedComment ref="A66" dT="2025-10-20T15:31:55.88" personId="{3ABBC8BF-CD84-4387-9025-719BDAE832D9}" id="{4519C939-8D28-4770-B2C2-7A11D077F3FE}" done="1">
    <text>Limit to two visa cost for HQ staff.</text>
  </threadedComment>
  <threadedComment ref="A83" dT="2025-10-23T16:12:13.85" personId="{E0B62A96-230E-4D3B-9275-5953CCACFF15}" id="{3DE6C23A-8106-44BC-A906-662B8193A6AF}" done="1">
    <text>See C-2 for USDA instructions</text>
  </threadedComment>
  <threadedComment ref="A88" dT="2025-10-20T15:50:17.73" personId="{3ABBC8BF-CD84-4387-9025-719BDAE832D9}" id="{DD853D84-E0E1-483C-BA3E-FD0BE2956B17}" done="1">
    <text>Who is "short-term Administrative Support Consultant"? What role does she/he have on the project. What is the value of this consultant vs Associate Director and or Senior Project Director?</text>
  </threadedComment>
  <threadedComment ref="A90" dT="2025-10-23T16:12:53.66" personId="{E0B62A96-230E-4D3B-9275-5953CCACFF15}" id="{42F7DB6C-DDE3-439A-9CFE-9D5685A8901A}">
    <text xml:space="preserve">Pending: See C-2 </text>
  </threadedComment>
  <threadedComment ref="A90" dT="2025-11-07T19:04:36.11" personId="{67F8C657-41F2-4836-9789-4A6E11BD14C2}" id="{445F1863-9FBE-4F70-B816-31F23704DA18}" parentId="{42F7DB6C-DDE3-439A-9CFE-9D5685A8901A}">
    <text>Addressed in C-2</text>
  </threadedComment>
  <threadedComment ref="A91" dT="2025-10-20T16:00:01.49" personId="{3ABBC8BF-CD84-4387-9025-719BDAE832D9}" id="{8F5893C1-B8F4-48FF-BD91-8BEB43F9FCEC}" done="1">
    <text xml:space="preserve">Could you justify why a consultant is recruited throughout the LOA? </text>
  </threadedComment>
  <threadedComment ref="A104" dT="2025-10-20T18:46:42.11" personId="{3ABBC8BF-CD84-4387-9025-719BDAE832D9}" id="{3E3622D7-579D-43C0-9509-6405CEB20635}" done="1">
    <text>How will this be sustainable after the project is completed? Is there a way to find a better and cost-effective platform that beneficiaries could afford after the project ends.</text>
  </threadedComment>
  <threadedComment ref="A113" dT="2025-10-20T18:48:38.16" personId="{3ABBC8BF-CD84-4387-9025-719BDAE832D9}" id="{474EAD58-2949-49CA-A33E-3E7A4958FCAD}">
    <text>What is the stipend for? Please remove.</text>
  </threadedComment>
  <threadedComment ref="A113" dT="2025-11-07T19:05:17.37" personId="{67F8C657-41F2-4836-9789-4A6E11BD14C2}" id="{89D9F3B3-3A28-4D9E-B1BE-0689AB70AA28}" parentId="{474EAD58-2949-49CA-A33E-3E7A4958FCAD}">
    <text>Addressed in C-2</text>
  </threadedComment>
  <threadedComment ref="A136" dT="2025-10-20T19:03:22.29" personId="{3ABBC8BF-CD84-4387-9025-719BDAE832D9}" id="{CCA56C4A-DAA1-44B5-A85E-D06F1A2C8511}" done="1">
    <text>What is the difference between this and subsequent conferences, training, workshops etc below.</text>
  </threadedComment>
  <threadedComment ref="A139" dT="2025-10-20T18:57:40.24" personId="{3ABBC8BF-CD84-4387-9025-719BDAE832D9}" id="{AC2A3201-0E45-4B93-A2BD-5DA51DE7A72F}" done="1">
    <text xml:space="preserve">For a three-day conference, this cost seems overpriced at roughly $33,000 per day while other conferences are $1, 719 or 1,824 per day. Not sure why. This is unreasonable. Please reduce to proportionally reflect the average cost for such an event.   </text>
  </threadedComment>
  <threadedComment ref="A170" dT="2025-10-21T18:51:08.77" personId="{3ABBC8BF-CD84-4387-9025-719BDAE832D9}" id="{487EEA16-11C6-4BBF-8B56-FC5935BC4F42}" done="1">
    <text>It is hard to distinguish between USDA funding, private sector (local or international), and POA funding who is providing what and by how much?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82" dT="2025-10-21T18:47:54.21" personId="{3ABBC8BF-CD84-4387-9025-719BDAE832D9}" id="{2DD90931-FFD8-48D9-9E2A-58CDA53E849E}">
    <text>See comments from the Detail Budget.</text>
  </threadedComment>
  <threadedComment ref="A82" dT="2025-11-07T19:21:02.39" personId="{67F8C657-41F2-4836-9789-4A6E11BD14C2}" id="{2D39AE30-319E-4708-9DC5-861EB6FCBBAE}" parentId="{2DD90931-FFD8-48D9-9E2A-58CDA53E849E}">
    <text>Addressed in C-2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25" dT="2025-10-21T18:53:33.10" personId="{3ABBC8BF-CD84-4387-9025-719BDAE832D9}" id="{BBC9C5D9-4C17-4CB5-A1C7-9C2826823B33}" done="1">
    <text>Is the per diem identified is for international or local purposes. Please differentiate.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23"/>
  <sheetViews>
    <sheetView topLeftCell="A48" zoomScale="85" zoomScaleNormal="85" workbookViewId="0">
      <selection activeCell="F58" sqref="F58"/>
    </sheetView>
  </sheetViews>
  <sheetFormatPr defaultColWidth="8.5546875" defaultRowHeight="12.6"/>
  <cols>
    <col min="1" max="1" width="62.5546875" style="5" customWidth="1"/>
    <col min="2" max="2" width="19.109375" style="57" customWidth="1"/>
    <col min="3" max="3" width="16" style="5" customWidth="1"/>
    <col min="4" max="4" width="18.5546875" style="5" bestFit="1" customWidth="1"/>
    <col min="5" max="5" width="18.44140625" style="5" customWidth="1"/>
    <col min="6" max="6" width="17.5546875" style="5" bestFit="1" customWidth="1"/>
    <col min="7" max="7" width="9.109375" style="5" bestFit="1" customWidth="1"/>
    <col min="8" max="8" width="17.5546875" style="5" bestFit="1" customWidth="1"/>
    <col min="9" max="9" width="10.5546875" style="5" bestFit="1" customWidth="1"/>
    <col min="10" max="10" width="11.44140625" style="5" bestFit="1" customWidth="1"/>
    <col min="11" max="16384" width="8.5546875" style="5"/>
  </cols>
  <sheetData>
    <row r="1" spans="1:8" ht="15">
      <c r="A1" s="870" t="s">
        <v>0</v>
      </c>
      <c r="B1" s="870"/>
      <c r="C1" s="870"/>
      <c r="D1" s="870"/>
      <c r="E1" s="870"/>
      <c r="F1" s="870"/>
    </row>
    <row r="2" spans="1:8" ht="15">
      <c r="A2" s="870" t="s">
        <v>1</v>
      </c>
      <c r="B2" s="870"/>
      <c r="C2" s="870"/>
      <c r="D2" s="870"/>
      <c r="E2" s="870"/>
      <c r="F2" s="870"/>
    </row>
    <row r="3" spans="1:8" ht="15.3">
      <c r="A3" s="299"/>
      <c r="B3" s="300"/>
      <c r="C3" s="299"/>
      <c r="D3" s="301"/>
      <c r="E3" s="299"/>
      <c r="F3" s="299"/>
    </row>
    <row r="4" spans="1:8" ht="15.3">
      <c r="A4" s="302" t="s">
        <v>2</v>
      </c>
      <c r="B4" s="303" t="s">
        <v>3</v>
      </c>
      <c r="C4" s="299"/>
      <c r="D4" s="301"/>
      <c r="E4" s="299"/>
      <c r="F4" s="299"/>
    </row>
    <row r="5" spans="1:8" ht="15.3">
      <c r="A5" s="302" t="s">
        <v>4</v>
      </c>
      <c r="B5" s="303" t="s">
        <v>5</v>
      </c>
      <c r="C5" s="299"/>
      <c r="D5" s="301"/>
      <c r="E5" s="299"/>
      <c r="F5" s="299"/>
    </row>
    <row r="6" spans="1:8" ht="15.3">
      <c r="A6" s="302" t="s">
        <v>6</v>
      </c>
      <c r="B6" s="303" t="s">
        <v>7</v>
      </c>
      <c r="C6" s="299"/>
      <c r="D6" s="301"/>
      <c r="E6" s="299"/>
      <c r="F6" s="299"/>
    </row>
    <row r="7" spans="1:8" ht="15.3">
      <c r="A7" s="302" t="s">
        <v>8</v>
      </c>
      <c r="B7" s="304" t="s">
        <v>9</v>
      </c>
      <c r="C7" s="299"/>
      <c r="D7" s="301"/>
      <c r="E7" s="299"/>
      <c r="F7" s="299"/>
    </row>
    <row r="8" spans="1:8" ht="15.3">
      <c r="A8" s="302" t="s">
        <v>10</v>
      </c>
      <c r="B8" s="303" t="s">
        <v>11</v>
      </c>
      <c r="C8" s="299"/>
      <c r="D8" s="301"/>
      <c r="E8" s="299"/>
      <c r="F8" s="299"/>
    </row>
    <row r="9" spans="1:8" ht="15.3">
      <c r="A9" s="299"/>
      <c r="B9" s="300"/>
      <c r="C9" s="299"/>
      <c r="D9" s="301"/>
      <c r="E9" s="299"/>
      <c r="F9" s="299"/>
    </row>
    <row r="10" spans="1:8" ht="15">
      <c r="A10" s="871" t="s">
        <v>12</v>
      </c>
      <c r="B10" s="871"/>
      <c r="C10" s="871"/>
      <c r="D10" s="871"/>
      <c r="E10" s="871"/>
      <c r="F10" s="871"/>
    </row>
    <row r="11" spans="1:8" ht="45">
      <c r="A11" s="305" t="s">
        <v>13</v>
      </c>
      <c r="B11" s="306" t="s">
        <v>14</v>
      </c>
      <c r="C11" s="305" t="s">
        <v>15</v>
      </c>
      <c r="D11" s="307" t="s">
        <v>16</v>
      </c>
      <c r="E11" s="307" t="s">
        <v>17</v>
      </c>
      <c r="F11" s="305" t="s">
        <v>18</v>
      </c>
    </row>
    <row r="12" spans="1:8" ht="15.3">
      <c r="A12" s="308"/>
      <c r="B12" s="309" t="s">
        <v>9</v>
      </c>
      <c r="C12" s="811">
        <v>20610000</v>
      </c>
      <c r="D12" s="812">
        <v>4750000</v>
      </c>
      <c r="E12" s="311">
        <v>1000000</v>
      </c>
      <c r="F12" s="310">
        <f>E12+D12+C12</f>
        <v>26360000</v>
      </c>
    </row>
    <row r="13" spans="1:8" ht="15.3">
      <c r="A13" s="312"/>
      <c r="B13" s="313"/>
      <c r="C13" s="313"/>
      <c r="D13" s="314"/>
      <c r="E13" s="314"/>
      <c r="F13" s="315"/>
    </row>
    <row r="14" spans="1:8" ht="15">
      <c r="A14" s="871" t="s">
        <v>19</v>
      </c>
      <c r="B14" s="871"/>
      <c r="C14" s="871"/>
      <c r="D14" s="871"/>
      <c r="E14" s="871"/>
      <c r="F14" s="871"/>
    </row>
    <row r="15" spans="1:8" ht="45">
      <c r="A15" s="316" t="s">
        <v>20</v>
      </c>
      <c r="B15" s="317" t="s">
        <v>21</v>
      </c>
      <c r="C15" s="316" t="s">
        <v>22</v>
      </c>
      <c r="D15" s="318" t="s">
        <v>23</v>
      </c>
      <c r="E15" s="316" t="s">
        <v>24</v>
      </c>
      <c r="F15" s="316" t="s">
        <v>25</v>
      </c>
      <c r="H15" s="32"/>
    </row>
    <row r="16" spans="1:8" ht="15.3">
      <c r="A16" s="872" t="s">
        <v>26</v>
      </c>
      <c r="B16" s="873"/>
      <c r="C16" s="873"/>
      <c r="D16" s="873"/>
      <c r="E16" s="873"/>
      <c r="F16" s="874"/>
      <c r="H16" s="861"/>
    </row>
    <row r="17" spans="1:10" ht="15.3">
      <c r="A17" s="319" t="s">
        <v>27</v>
      </c>
      <c r="B17" s="320">
        <f>'Program Budget'!V32-C17</f>
        <v>98891.648749999993</v>
      </c>
      <c r="C17" s="368">
        <v>264655</v>
      </c>
      <c r="D17" s="321">
        <f>'Program Budget'!W32</f>
        <v>0</v>
      </c>
      <c r="E17" s="320">
        <f>B17+C17</f>
        <v>363546.64874999999</v>
      </c>
      <c r="F17" s="320">
        <f>B17+C17+D17</f>
        <v>363546.64874999999</v>
      </c>
      <c r="H17" s="857"/>
    </row>
    <row r="18" spans="1:10" ht="15.3">
      <c r="A18" s="319" t="s">
        <v>28</v>
      </c>
      <c r="B18" s="320">
        <f>'Program Budget'!V38-C18</f>
        <v>26906.720908499992</v>
      </c>
      <c r="C18" s="320">
        <v>68781</v>
      </c>
      <c r="D18" s="321">
        <f>'Program Budget'!W38</f>
        <v>0</v>
      </c>
      <c r="E18" s="320">
        <f t="shared" ref="E18:E24" si="0">B18+C18</f>
        <v>95687.720908499992</v>
      </c>
      <c r="F18" s="320">
        <f t="shared" ref="F18:F24" si="1">B18+C18+D18</f>
        <v>95687.720908499992</v>
      </c>
      <c r="G18" s="367"/>
      <c r="H18" s="367"/>
    </row>
    <row r="19" spans="1:10" ht="15.3">
      <c r="A19" s="319" t="s">
        <v>29</v>
      </c>
      <c r="B19" s="320">
        <f>'Program Budget'!V58-C19</f>
        <v>180726.55809999997</v>
      </c>
      <c r="C19" s="368">
        <v>60136</v>
      </c>
      <c r="D19" s="321">
        <f>'Program Budget'!W58</f>
        <v>0</v>
      </c>
      <c r="E19" s="320">
        <f t="shared" si="0"/>
        <v>240862.55809999997</v>
      </c>
      <c r="F19" s="320">
        <f t="shared" si="1"/>
        <v>240862.55809999997</v>
      </c>
      <c r="H19" s="861"/>
    </row>
    <row r="20" spans="1:10" ht="15.3">
      <c r="A20" s="319" t="s">
        <v>30</v>
      </c>
      <c r="B20" s="320">
        <f>'Program Budget'!V84-C20</f>
        <v>641325.78</v>
      </c>
      <c r="C20" s="368">
        <v>351567.22</v>
      </c>
      <c r="D20" s="321">
        <f>'Program Budget'!W84</f>
        <v>0</v>
      </c>
      <c r="E20" s="320">
        <f t="shared" si="0"/>
        <v>992893</v>
      </c>
      <c r="F20" s="320">
        <f t="shared" si="1"/>
        <v>992893</v>
      </c>
    </row>
    <row r="21" spans="1:10" ht="15.3">
      <c r="A21" s="319" t="s">
        <v>31</v>
      </c>
      <c r="B21" s="320">
        <f>'Program Budget'!V89-C21</f>
        <v>0</v>
      </c>
      <c r="C21" s="368">
        <v>60000</v>
      </c>
      <c r="D21" s="321">
        <f>'Program Budget'!W89</f>
        <v>0</v>
      </c>
      <c r="E21" s="320">
        <f t="shared" si="0"/>
        <v>60000</v>
      </c>
      <c r="F21" s="320">
        <f t="shared" si="1"/>
        <v>60000</v>
      </c>
    </row>
    <row r="22" spans="1:10" ht="16.5" customHeight="1">
      <c r="A22" s="319" t="s">
        <v>32</v>
      </c>
      <c r="B22" s="320">
        <f>'Program Budget'!V105-C22</f>
        <v>229220.92500000005</v>
      </c>
      <c r="C22" s="368">
        <v>47105</v>
      </c>
      <c r="D22" s="321">
        <f>'Program Budget'!W105</f>
        <v>0</v>
      </c>
      <c r="E22" s="320">
        <f t="shared" si="0"/>
        <v>276325.92500000005</v>
      </c>
      <c r="F22" s="320">
        <f t="shared" si="1"/>
        <v>276325.92500000005</v>
      </c>
    </row>
    <row r="23" spans="1:10" ht="15.3">
      <c r="A23" s="319" t="s">
        <v>33</v>
      </c>
      <c r="B23" s="320">
        <f>'Program Budget'!V114-C23</f>
        <v>5323.0324999999993</v>
      </c>
      <c r="C23" s="368">
        <v>10346</v>
      </c>
      <c r="D23" s="321">
        <f>'Program Budget'!W114</f>
        <v>0</v>
      </c>
      <c r="E23" s="320">
        <f t="shared" si="0"/>
        <v>15669.032499999999</v>
      </c>
      <c r="F23" s="320">
        <f t="shared" si="1"/>
        <v>15669.032499999999</v>
      </c>
    </row>
    <row r="24" spans="1:10" ht="15.3">
      <c r="A24" s="319" t="s">
        <v>34</v>
      </c>
      <c r="B24" s="320">
        <f>'Program Budget'!V126-C24</f>
        <v>64793.809375000012</v>
      </c>
      <c r="C24" s="368">
        <v>6975</v>
      </c>
      <c r="D24" s="321">
        <v>0</v>
      </c>
      <c r="E24" s="320">
        <f t="shared" si="0"/>
        <v>71768.809375000012</v>
      </c>
      <c r="F24" s="320">
        <f t="shared" si="1"/>
        <v>71768.809375000012</v>
      </c>
      <c r="H24" s="30"/>
      <c r="I24" s="30"/>
    </row>
    <row r="25" spans="1:10" s="30" customFormat="1" ht="15">
      <c r="A25" s="322" t="s">
        <v>35</v>
      </c>
      <c r="B25" s="323">
        <f>SUM(B17:B24)</f>
        <v>1247188.4746335</v>
      </c>
      <c r="C25" s="323">
        <f>SUM(C17:C24)</f>
        <v>869565.22</v>
      </c>
      <c r="D25" s="323">
        <f>SUM(D17:D24)</f>
        <v>0</v>
      </c>
      <c r="E25" s="323">
        <f>SUM(E17:E24)</f>
        <v>2116753.6946335002</v>
      </c>
      <c r="F25" s="323">
        <f>SUM(F17:F24)</f>
        <v>2116753.6946335002</v>
      </c>
      <c r="H25" s="430"/>
      <c r="I25" s="431"/>
    </row>
    <row r="26" spans="1:10" ht="15.3">
      <c r="A26" s="875"/>
      <c r="B26" s="875"/>
      <c r="C26" s="875"/>
      <c r="D26" s="875"/>
      <c r="E26" s="875"/>
      <c r="F26" s="324"/>
      <c r="H26" s="853"/>
      <c r="I26" s="30"/>
    </row>
    <row r="27" spans="1:10" ht="15.3">
      <c r="A27" s="876" t="s">
        <v>36</v>
      </c>
      <c r="B27" s="873"/>
      <c r="C27" s="873"/>
      <c r="D27" s="873"/>
      <c r="E27" s="873"/>
      <c r="F27" s="877"/>
      <c r="H27" s="431"/>
      <c r="I27" s="30"/>
    </row>
    <row r="28" spans="1:10" ht="30.6">
      <c r="A28" s="325" t="s">
        <v>37</v>
      </c>
      <c r="B28" s="326">
        <f>'Program Budget'!V183</f>
        <v>3439473.9790688334</v>
      </c>
      <c r="C28" s="326">
        <v>0</v>
      </c>
      <c r="D28" s="326">
        <f>'Program Budget'!W183</f>
        <v>40000</v>
      </c>
      <c r="E28" s="326">
        <f>B28+C28</f>
        <v>3439473.9790688334</v>
      </c>
      <c r="F28" s="326">
        <f t="shared" ref="F28" si="2">B28+C28+D28</f>
        <v>3479473.9790688334</v>
      </c>
      <c r="H28" s="430"/>
      <c r="I28" s="431"/>
    </row>
    <row r="29" spans="1:10" ht="30.6">
      <c r="A29" s="325" t="s">
        <v>38</v>
      </c>
      <c r="B29" s="326">
        <f>'Program Budget'!V263</f>
        <v>4282400.9416667493</v>
      </c>
      <c r="C29" s="326">
        <v>0</v>
      </c>
      <c r="D29" s="326">
        <f>'Program Budget'!W263</f>
        <v>307715.54375000001</v>
      </c>
      <c r="E29" s="326">
        <f>B29+C29</f>
        <v>4282400.9416667493</v>
      </c>
      <c r="F29" s="326">
        <f>B29+C29+D29</f>
        <v>4590116.4854167495</v>
      </c>
      <c r="H29" s="857"/>
    </row>
    <row r="30" spans="1:10" ht="15.3">
      <c r="A30" s="325" t="s">
        <v>39</v>
      </c>
      <c r="B30" s="326">
        <f>'Program Budget'!V315</f>
        <v>1095119.6656124231</v>
      </c>
      <c r="C30" s="326">
        <v>0</v>
      </c>
      <c r="D30" s="326">
        <f>ROUND('Program Budget'!W315,0)</f>
        <v>0</v>
      </c>
      <c r="E30" s="326">
        <f t="shared" ref="E30" si="3">B30+C30</f>
        <v>1095119.6656124231</v>
      </c>
      <c r="F30" s="326">
        <f>B30+C30+D30</f>
        <v>1095119.6656124231</v>
      </c>
      <c r="H30" s="429"/>
      <c r="J30" s="367"/>
    </row>
    <row r="31" spans="1:10" s="30" customFormat="1" ht="15">
      <c r="A31" s="327" t="s">
        <v>40</v>
      </c>
      <c r="B31" s="328">
        <f>SUM(B28:B30)</f>
        <v>8816994.5863480065</v>
      </c>
      <c r="C31" s="328">
        <f>SUM(C28:C30)</f>
        <v>0</v>
      </c>
      <c r="D31" s="329">
        <f>SUM(D28:D30)</f>
        <v>347715.54375000001</v>
      </c>
      <c r="E31" s="328">
        <f>SUM(E28:E30)</f>
        <v>8816994.5863480065</v>
      </c>
      <c r="F31" s="328">
        <f>SUM(F28:F30)</f>
        <v>9164710.1300980058</v>
      </c>
      <c r="H31" s="429"/>
    </row>
    <row r="32" spans="1:10" ht="15.3">
      <c r="A32" s="330"/>
      <c r="B32" s="324"/>
      <c r="C32" s="331"/>
      <c r="D32" s="332"/>
      <c r="E32" s="324"/>
      <c r="F32" s="324"/>
      <c r="H32" s="429"/>
    </row>
    <row r="33" spans="1:9" ht="15.3">
      <c r="A33" s="876" t="s">
        <v>41</v>
      </c>
      <c r="B33" s="878"/>
      <c r="C33" s="878"/>
      <c r="D33" s="878"/>
      <c r="E33" s="878"/>
      <c r="F33" s="877"/>
    </row>
    <row r="34" spans="1:9" ht="15.3">
      <c r="A34" s="333" t="s">
        <v>42</v>
      </c>
      <c r="B34" s="326">
        <v>0</v>
      </c>
      <c r="C34" s="334">
        <v>0</v>
      </c>
      <c r="D34" s="335">
        <v>0</v>
      </c>
      <c r="E34" s="326">
        <f>B34+C34</f>
        <v>0</v>
      </c>
      <c r="F34" s="326">
        <f>B34+C34+D34</f>
        <v>0</v>
      </c>
      <c r="H34" s="816"/>
    </row>
    <row r="35" spans="1:9" ht="15.3">
      <c r="A35" s="336" t="s">
        <v>43</v>
      </c>
      <c r="B35" s="337"/>
      <c r="C35" s="337"/>
      <c r="D35" s="337"/>
      <c r="E35" s="337"/>
      <c r="F35" s="337"/>
    </row>
    <row r="36" spans="1:9" ht="15.3">
      <c r="A36" s="336" t="s">
        <v>44</v>
      </c>
      <c r="B36" s="337"/>
      <c r="C36" s="337"/>
      <c r="D36" s="337"/>
      <c r="E36" s="337"/>
      <c r="F36" s="337"/>
      <c r="I36" s="367"/>
    </row>
    <row r="37" spans="1:9" s="30" customFormat="1" ht="15">
      <c r="A37" s="327" t="s">
        <v>45</v>
      </c>
      <c r="B37" s="328">
        <f>SUM(B34:B36)</f>
        <v>0</v>
      </c>
      <c r="C37" s="328">
        <f>SUM(C34:C36)</f>
        <v>0</v>
      </c>
      <c r="D37" s="328">
        <f>SUM(D34:D36)</f>
        <v>0</v>
      </c>
      <c r="E37" s="328">
        <f>SUM(E34:E36)</f>
        <v>0</v>
      </c>
      <c r="F37" s="328">
        <f>SUM(F34:F36)</f>
        <v>0</v>
      </c>
      <c r="H37" s="817"/>
      <c r="I37" s="818"/>
    </row>
    <row r="38" spans="1:9" ht="15.3">
      <c r="A38" s="330"/>
      <c r="B38" s="324"/>
      <c r="C38" s="331"/>
      <c r="D38" s="332"/>
      <c r="E38" s="324"/>
      <c r="F38" s="324"/>
    </row>
    <row r="39" spans="1:9" ht="15.3">
      <c r="A39" s="876" t="s">
        <v>46</v>
      </c>
      <c r="B39" s="873"/>
      <c r="C39" s="873"/>
      <c r="D39" s="873"/>
      <c r="E39" s="873"/>
      <c r="F39" s="877"/>
      <c r="H39" s="57"/>
    </row>
    <row r="40" spans="1:9" ht="15.3">
      <c r="A40" s="338" t="s">
        <v>47</v>
      </c>
      <c r="B40" s="326">
        <v>0</v>
      </c>
      <c r="C40" s="326">
        <v>0</v>
      </c>
      <c r="D40" s="335">
        <v>0</v>
      </c>
      <c r="E40" s="326">
        <f t="shared" ref="E40:E46" si="4">B40+C40</f>
        <v>0</v>
      </c>
      <c r="F40" s="326">
        <f>B40+C40+D40</f>
        <v>0</v>
      </c>
      <c r="H40" s="441"/>
    </row>
    <row r="41" spans="1:9" ht="15.3">
      <c r="A41" s="325" t="s">
        <v>28</v>
      </c>
      <c r="B41" s="326">
        <v>0</v>
      </c>
      <c r="C41" s="326">
        <v>0</v>
      </c>
      <c r="D41" s="335">
        <v>0</v>
      </c>
      <c r="E41" s="326">
        <f t="shared" si="4"/>
        <v>0</v>
      </c>
      <c r="F41" s="326">
        <f t="shared" ref="F41:F46" si="5">B41+C41+D41</f>
        <v>0</v>
      </c>
      <c r="H41" s="441"/>
      <c r="I41" s="367"/>
    </row>
    <row r="42" spans="1:9" ht="15.3">
      <c r="A42" s="325" t="s">
        <v>48</v>
      </c>
      <c r="B42" s="326">
        <v>0</v>
      </c>
      <c r="C42" s="326">
        <v>0</v>
      </c>
      <c r="D42" s="335">
        <v>0</v>
      </c>
      <c r="E42" s="326">
        <f t="shared" si="4"/>
        <v>0</v>
      </c>
      <c r="F42" s="326">
        <f t="shared" si="5"/>
        <v>0</v>
      </c>
      <c r="I42" s="367"/>
    </row>
    <row r="43" spans="1:9" ht="15.3">
      <c r="A43" s="325" t="s">
        <v>49</v>
      </c>
      <c r="B43" s="326">
        <v>0</v>
      </c>
      <c r="C43" s="326">
        <v>0</v>
      </c>
      <c r="D43" s="335">
        <f>0</f>
        <v>0</v>
      </c>
      <c r="E43" s="326">
        <f t="shared" si="4"/>
        <v>0</v>
      </c>
      <c r="F43" s="326">
        <f t="shared" si="5"/>
        <v>0</v>
      </c>
    </row>
    <row r="44" spans="1:9" ht="15.3">
      <c r="A44" s="325" t="s">
        <v>50</v>
      </c>
      <c r="B44" s="326">
        <v>0</v>
      </c>
      <c r="C44" s="326">
        <v>0</v>
      </c>
      <c r="D44" s="335">
        <v>0</v>
      </c>
      <c r="E44" s="326">
        <f t="shared" si="4"/>
        <v>0</v>
      </c>
      <c r="F44" s="326">
        <f t="shared" si="5"/>
        <v>0</v>
      </c>
      <c r="I44" s="367"/>
    </row>
    <row r="45" spans="1:9" ht="15.3">
      <c r="A45" s="325" t="s">
        <v>33</v>
      </c>
      <c r="B45" s="326">
        <v>0</v>
      </c>
      <c r="C45" s="326">
        <v>0</v>
      </c>
      <c r="D45" s="335">
        <v>0</v>
      </c>
      <c r="E45" s="326">
        <f t="shared" si="4"/>
        <v>0</v>
      </c>
      <c r="F45" s="326">
        <f t="shared" si="5"/>
        <v>0</v>
      </c>
    </row>
    <row r="46" spans="1:9" ht="15.3">
      <c r="A46" s="325" t="s">
        <v>34</v>
      </c>
      <c r="B46" s="326">
        <v>0</v>
      </c>
      <c r="C46" s="326">
        <v>0</v>
      </c>
      <c r="D46" s="335">
        <v>0</v>
      </c>
      <c r="E46" s="326">
        <f t="shared" si="4"/>
        <v>0</v>
      </c>
      <c r="F46" s="326">
        <f t="shared" si="5"/>
        <v>0</v>
      </c>
    </row>
    <row r="47" spans="1:9" s="30" customFormat="1" ht="15">
      <c r="A47" s="339" t="s">
        <v>51</v>
      </c>
      <c r="B47" s="328">
        <f>SUM(B40:B46)</f>
        <v>0</v>
      </c>
      <c r="C47" s="328">
        <v>0</v>
      </c>
      <c r="D47" s="329">
        <f>SUM(D40:D46)</f>
        <v>0</v>
      </c>
      <c r="E47" s="329">
        <f>SUM(E40:E46)</f>
        <v>0</v>
      </c>
      <c r="F47" s="328">
        <f>SUM(F40:F46)</f>
        <v>0</v>
      </c>
    </row>
    <row r="48" spans="1:9" ht="15.3">
      <c r="A48" s="340"/>
      <c r="B48" s="341"/>
      <c r="C48" s="342"/>
      <c r="D48" s="343"/>
      <c r="E48" s="342"/>
      <c r="F48" s="326"/>
      <c r="H48" s="57"/>
    </row>
    <row r="49" spans="1:10" s="30" customFormat="1" ht="15">
      <c r="A49" s="339" t="s">
        <v>52</v>
      </c>
      <c r="B49" s="344">
        <f>B25+B31+B47+B37</f>
        <v>10064183.060981506</v>
      </c>
      <c r="C49" s="344">
        <f>C25+C31+C47+C37</f>
        <v>869565.22</v>
      </c>
      <c r="D49" s="345">
        <f>D25+D31+D47+D37</f>
        <v>347715.54375000001</v>
      </c>
      <c r="E49" s="344">
        <f>E37+E31+E25+E47</f>
        <v>10933748.280981507</v>
      </c>
      <c r="F49" s="344">
        <f>F37+F31+F25+F47</f>
        <v>11281463.824731506</v>
      </c>
      <c r="H49" s="5"/>
    </row>
    <row r="50" spans="1:10" ht="15.3">
      <c r="A50" s="346"/>
      <c r="B50" s="347"/>
      <c r="C50" s="347"/>
      <c r="D50" s="348"/>
      <c r="E50" s="347"/>
      <c r="F50" s="324"/>
      <c r="J50" s="367"/>
    </row>
    <row r="51" spans="1:10" ht="15.3">
      <c r="A51" s="879" t="s">
        <v>53</v>
      </c>
      <c r="B51" s="880"/>
      <c r="C51" s="880"/>
      <c r="D51" s="880"/>
      <c r="E51" s="880"/>
      <c r="F51" s="881"/>
    </row>
    <row r="52" spans="1:10" ht="15.3">
      <c r="A52" s="349" t="s">
        <v>54</v>
      </c>
      <c r="B52" s="350">
        <f>((B25*0.15))</f>
        <v>187078.27119502498</v>
      </c>
      <c r="C52" s="350">
        <f>((C25*0.15))</f>
        <v>130434.783</v>
      </c>
      <c r="D52" s="337"/>
      <c r="E52" s="351">
        <f>B52+C52</f>
        <v>317513.054195025</v>
      </c>
      <c r="F52" s="337"/>
    </row>
    <row r="53" spans="1:10" ht="15.3">
      <c r="A53" s="349" t="s">
        <v>55</v>
      </c>
      <c r="B53" s="350">
        <f>'Indirect Calculations'!I61</f>
        <v>1117577.6638593804</v>
      </c>
      <c r="C53" s="352">
        <f>C31*0.15</f>
        <v>0</v>
      </c>
      <c r="D53" s="337"/>
      <c r="E53" s="353">
        <f>B53+C53</f>
        <v>1117577.6638593804</v>
      </c>
      <c r="F53" s="337"/>
    </row>
    <row r="54" spans="1:10" ht="15.3">
      <c r="A54" s="322" t="s">
        <v>56</v>
      </c>
      <c r="B54" s="352">
        <f>B37*0.15</f>
        <v>0</v>
      </c>
      <c r="C54" s="352">
        <f>C37*0.15</f>
        <v>0</v>
      </c>
      <c r="D54" s="337"/>
      <c r="E54" s="353">
        <f>B54+C54</f>
        <v>0</v>
      </c>
      <c r="F54" s="337"/>
    </row>
    <row r="55" spans="1:10" ht="15.3">
      <c r="A55" s="354" t="s">
        <v>57</v>
      </c>
      <c r="B55" s="352">
        <f>B47*0.15</f>
        <v>0</v>
      </c>
      <c r="C55" s="352">
        <f>C47*0.15</f>
        <v>0</v>
      </c>
      <c r="D55" s="337"/>
      <c r="E55" s="353">
        <f>B55+C55</f>
        <v>0</v>
      </c>
      <c r="F55" s="337"/>
    </row>
    <row r="56" spans="1:10" ht="15.3">
      <c r="A56" s="322" t="s">
        <v>58</v>
      </c>
      <c r="B56" s="352">
        <f>(SUM(B52:B55))</f>
        <v>1304655.9350544054</v>
      </c>
      <c r="C56" s="352">
        <f>(SUM(C52:C55))</f>
        <v>130434.783</v>
      </c>
      <c r="D56" s="337"/>
      <c r="E56" s="352">
        <f>(SUM(E52:E55))</f>
        <v>1435090.7180544054</v>
      </c>
      <c r="F56" s="337"/>
      <c r="H56" s="367"/>
    </row>
    <row r="57" spans="1:10" ht="15.3">
      <c r="A57" s="355"/>
      <c r="B57" s="356"/>
      <c r="C57" s="356"/>
      <c r="D57" s="356"/>
      <c r="E57" s="356"/>
      <c r="F57" s="357"/>
    </row>
    <row r="58" spans="1:10" ht="15.3">
      <c r="A58" s="358" t="s">
        <v>59</v>
      </c>
      <c r="B58" s="337"/>
      <c r="C58" s="337"/>
      <c r="D58" s="337"/>
      <c r="E58" s="337"/>
      <c r="F58" s="352">
        <v>578839</v>
      </c>
      <c r="H58" s="367"/>
    </row>
    <row r="59" spans="1:10" ht="15.3">
      <c r="A59" s="359"/>
      <c r="B59" s="360"/>
      <c r="C59" s="361"/>
      <c r="D59" s="362"/>
      <c r="E59" s="361"/>
      <c r="F59" s="363"/>
    </row>
    <row r="60" spans="1:10" s="30" customFormat="1" ht="15">
      <c r="A60" s="364" t="s">
        <v>60</v>
      </c>
      <c r="B60" s="421">
        <f>(B56+B49)</f>
        <v>11368838.996035911</v>
      </c>
      <c r="C60" s="421">
        <f>(C56+C49)</f>
        <v>1000000.003</v>
      </c>
      <c r="D60" s="421">
        <f>(D56+D49)</f>
        <v>347715.54375000001</v>
      </c>
      <c r="E60" s="421">
        <f>(E56+E49)</f>
        <v>12368838.999035913</v>
      </c>
      <c r="F60" s="422">
        <f>(F49+E56)</f>
        <v>12716554.542785913</v>
      </c>
      <c r="H60" s="429"/>
    </row>
    <row r="61" spans="1:10" ht="15.3">
      <c r="A61" s="365"/>
      <c r="B61" s="423"/>
      <c r="C61" s="423"/>
      <c r="D61" s="424"/>
      <c r="E61" s="423"/>
      <c r="F61" s="425"/>
    </row>
    <row r="62" spans="1:10" ht="15">
      <c r="A62" s="868" t="s">
        <v>61</v>
      </c>
      <c r="B62" s="869"/>
      <c r="C62" s="869"/>
      <c r="D62" s="869"/>
      <c r="E62" s="869"/>
      <c r="F62" s="366">
        <f>F12+D60</f>
        <v>26707715.543749999</v>
      </c>
    </row>
    <row r="63" spans="1:10">
      <c r="D63" s="58"/>
    </row>
    <row r="64" spans="1:10">
      <c r="B64" s="57">
        <f>F58+'Program Budget'!G61</f>
        <v>11368839</v>
      </c>
      <c r="C64" s="32"/>
      <c r="D64" s="32"/>
      <c r="E64" s="32"/>
      <c r="F64" s="32"/>
    </row>
    <row r="65" spans="3:8">
      <c r="C65" s="57"/>
      <c r="D65" s="57"/>
      <c r="E65" s="57"/>
      <c r="F65" s="57"/>
    </row>
    <row r="66" spans="3:8">
      <c r="C66" s="367"/>
      <c r="D66" s="58"/>
      <c r="E66" s="32"/>
      <c r="F66" s="440"/>
    </row>
    <row r="67" spans="3:8">
      <c r="D67" s="58"/>
      <c r="E67" s="32"/>
      <c r="F67" s="32"/>
      <c r="G67" s="440"/>
    </row>
    <row r="68" spans="3:8">
      <c r="C68" s="31"/>
      <c r="D68" s="58"/>
      <c r="E68" s="31"/>
    </row>
    <row r="69" spans="3:8">
      <c r="D69" s="58"/>
      <c r="E69" s="32"/>
      <c r="F69" s="32"/>
    </row>
    <row r="70" spans="3:8">
      <c r="D70" s="428"/>
      <c r="E70" s="429"/>
    </row>
    <row r="71" spans="3:8">
      <c r="D71" s="58"/>
    </row>
    <row r="72" spans="3:8">
      <c r="D72" s="58"/>
    </row>
    <row r="73" spans="3:8">
      <c r="D73" s="58"/>
    </row>
    <row r="74" spans="3:8">
      <c r="D74" s="58"/>
      <c r="H74" s="367"/>
    </row>
    <row r="75" spans="3:8">
      <c r="D75" s="58"/>
    </row>
    <row r="76" spans="3:8">
      <c r="D76" s="58"/>
    </row>
    <row r="77" spans="3:8">
      <c r="D77" s="58"/>
    </row>
    <row r="78" spans="3:8">
      <c r="D78" s="58"/>
    </row>
    <row r="79" spans="3:8">
      <c r="D79" s="58"/>
    </row>
    <row r="80" spans="3:8">
      <c r="D80" s="58"/>
    </row>
    <row r="81" spans="4:4">
      <c r="D81" s="58"/>
    </row>
    <row r="82" spans="4:4">
      <c r="D82" s="58"/>
    </row>
    <row r="83" spans="4:4">
      <c r="D83" s="58"/>
    </row>
    <row r="84" spans="4:4">
      <c r="D84" s="58"/>
    </row>
    <row r="85" spans="4:4">
      <c r="D85" s="58"/>
    </row>
    <row r="86" spans="4:4">
      <c r="D86" s="58"/>
    </row>
    <row r="87" spans="4:4">
      <c r="D87" s="58"/>
    </row>
    <row r="88" spans="4:4">
      <c r="D88" s="58"/>
    </row>
    <row r="89" spans="4:4">
      <c r="D89" s="58"/>
    </row>
    <row r="90" spans="4:4">
      <c r="D90" s="58"/>
    </row>
    <row r="91" spans="4:4">
      <c r="D91" s="58"/>
    </row>
    <row r="92" spans="4:4">
      <c r="D92" s="58"/>
    </row>
    <row r="93" spans="4:4">
      <c r="D93" s="58"/>
    </row>
    <row r="94" spans="4:4">
      <c r="D94" s="58"/>
    </row>
    <row r="95" spans="4:4">
      <c r="D95" s="58"/>
    </row>
    <row r="96" spans="4:4">
      <c r="D96" s="58"/>
    </row>
    <row r="97" spans="4:4">
      <c r="D97" s="58"/>
    </row>
    <row r="98" spans="4:4">
      <c r="D98" s="58"/>
    </row>
    <row r="99" spans="4:4">
      <c r="D99" s="58"/>
    </row>
    <row r="100" spans="4:4">
      <c r="D100" s="58"/>
    </row>
    <row r="101" spans="4:4">
      <c r="D101" s="58"/>
    </row>
    <row r="102" spans="4:4">
      <c r="D102" s="58"/>
    </row>
    <row r="103" spans="4:4">
      <c r="D103" s="58"/>
    </row>
    <row r="104" spans="4:4">
      <c r="D104" s="58"/>
    </row>
    <row r="105" spans="4:4">
      <c r="D105" s="58"/>
    </row>
    <row r="106" spans="4:4">
      <c r="D106" s="58"/>
    </row>
    <row r="107" spans="4:4">
      <c r="D107" s="58"/>
    </row>
    <row r="108" spans="4:4">
      <c r="D108" s="58"/>
    </row>
    <row r="109" spans="4:4">
      <c r="D109" s="58"/>
    </row>
    <row r="110" spans="4:4">
      <c r="D110" s="58"/>
    </row>
    <row r="111" spans="4:4">
      <c r="D111" s="58"/>
    </row>
    <row r="112" spans="4:4">
      <c r="D112" s="58"/>
    </row>
    <row r="113" spans="4:4">
      <c r="D113" s="58"/>
    </row>
    <row r="114" spans="4:4">
      <c r="D114" s="58"/>
    </row>
    <row r="115" spans="4:4">
      <c r="D115" s="58"/>
    </row>
    <row r="116" spans="4:4">
      <c r="D116" s="58"/>
    </row>
    <row r="117" spans="4:4">
      <c r="D117" s="58"/>
    </row>
    <row r="118" spans="4:4">
      <c r="D118" s="58"/>
    </row>
    <row r="119" spans="4:4">
      <c r="D119" s="58"/>
    </row>
    <row r="120" spans="4:4">
      <c r="D120" s="58"/>
    </row>
    <row r="121" spans="4:4">
      <c r="D121" s="58"/>
    </row>
    <row r="122" spans="4:4">
      <c r="D122" s="58"/>
    </row>
    <row r="123" spans="4:4">
      <c r="D123" s="58"/>
    </row>
  </sheetData>
  <mergeCells count="11">
    <mergeCell ref="A62:E62"/>
    <mergeCell ref="A1:F1"/>
    <mergeCell ref="A2:F2"/>
    <mergeCell ref="A10:F10"/>
    <mergeCell ref="A14:F14"/>
    <mergeCell ref="A16:F16"/>
    <mergeCell ref="A26:E26"/>
    <mergeCell ref="A27:F27"/>
    <mergeCell ref="A33:F33"/>
    <mergeCell ref="A39:F39"/>
    <mergeCell ref="A51:F51"/>
  </mergeCells>
  <pageMargins left="1" right="1" top="1" bottom="1" header="0.5" footer="0.5"/>
  <pageSetup scale="55" orientation="portrait" r:id="rId1"/>
  <headerFooter>
    <oddFooter>&amp;C&amp;"Times New Roman,Regular"&amp;12&amp;K01+000                                                                          Partners of the Americas – FY 2025 FFPr Nigeria – USDA-FAS-10.606-0700-25(000)&amp;R&amp;"Times New Roman,Regular"&amp;12 49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32619-CD80-4D26-90A5-6BE6A04DDEDE}">
  <sheetPr>
    <tabColor theme="9" tint="0.39997558519241921"/>
    <pageSetUpPr fitToPage="1"/>
  </sheetPr>
  <dimension ref="A2:AH177"/>
  <sheetViews>
    <sheetView showOutlineSymbols="0" showWhiteSpace="0" zoomScale="70" zoomScaleNormal="70" workbookViewId="0"/>
  </sheetViews>
  <sheetFormatPr defaultRowHeight="14.4" outlineLevelRow="1" outlineLevelCol="1"/>
  <cols>
    <col min="1" max="1" width="125.88671875" style="371" customWidth="1"/>
    <col min="2" max="2" width="16" style="137" customWidth="1"/>
    <col min="3" max="3" width="15.5546875" style="274" customWidth="1" outlineLevel="1"/>
    <col min="4" max="4" width="15.109375" style="139" customWidth="1" outlineLevel="1"/>
    <col min="5" max="5" width="12.88671875" style="140" bestFit="1" customWidth="1" outlineLevel="1"/>
    <col min="6" max="6" width="17.5546875" style="833" customWidth="1"/>
    <col min="7" max="7" width="15.88671875" style="274" customWidth="1" outlineLevel="1"/>
    <col min="8" max="8" width="11.5546875" style="139" bestFit="1" customWidth="1" outlineLevel="1"/>
    <col min="9" max="9" width="12.88671875" style="141" bestFit="1" customWidth="1" outlineLevel="1"/>
    <col min="10" max="10" width="19.109375" style="840" customWidth="1"/>
    <col min="11" max="11" width="15.5546875" style="274" customWidth="1" outlineLevel="1"/>
    <col min="12" max="12" width="11.5546875" style="139" bestFit="1" customWidth="1" outlineLevel="1"/>
    <col min="13" max="13" width="12.88671875" style="140" bestFit="1" customWidth="1" outlineLevel="1"/>
    <col min="14" max="14" width="18.44140625" style="840" customWidth="1"/>
    <col min="15" max="15" width="15" style="274" customWidth="1" outlineLevel="1"/>
    <col min="16" max="16" width="11.5546875" style="139" bestFit="1" customWidth="1" outlineLevel="1"/>
    <col min="17" max="17" width="12.88671875" style="141" bestFit="1" customWidth="1" outlineLevel="1"/>
    <col min="18" max="18" width="18.88671875" style="840" customWidth="1"/>
    <col min="19" max="19" width="15.109375" style="274" customWidth="1" outlineLevel="1"/>
    <col min="20" max="20" width="11.5546875" style="139" bestFit="1" customWidth="1" outlineLevel="1"/>
    <col min="21" max="21" width="12.88671875" style="141" bestFit="1" customWidth="1" outlineLevel="1"/>
    <col min="22" max="22" width="10.5546875" style="840" bestFit="1" customWidth="1"/>
    <col min="23" max="23" width="18.88671875" style="840" customWidth="1"/>
    <col min="24" max="24" width="10.44140625" style="137" customWidth="1"/>
    <col min="25" max="25" width="10.109375" style="137" bestFit="1" customWidth="1"/>
    <col min="26" max="26" width="15" style="137" customWidth="1"/>
    <col min="27" max="27" width="12.88671875" style="137" bestFit="1" customWidth="1"/>
    <col min="28" max="174" width="8.5546875" style="137"/>
    <col min="175" max="175" width="38.109375" style="137" customWidth="1"/>
    <col min="176" max="176" width="23.44140625" style="137" bestFit="1" customWidth="1"/>
    <col min="177" max="178" width="9.109375" style="137" customWidth="1"/>
    <col min="179" max="179" width="11.109375" style="137" bestFit="1" customWidth="1"/>
    <col min="180" max="180" width="14.44140625" style="137" bestFit="1" customWidth="1"/>
    <col min="181" max="181" width="8.109375" style="137" customWidth="1"/>
    <col min="182" max="182" width="10.5546875" style="137" bestFit="1" customWidth="1"/>
    <col min="183" max="183" width="12.109375" style="137" bestFit="1" customWidth="1"/>
    <col min="184" max="184" width="9.109375" style="137" customWidth="1"/>
    <col min="185" max="185" width="10.5546875" style="137" bestFit="1" customWidth="1"/>
    <col min="186" max="186" width="12.109375" style="137" bestFit="1" customWidth="1"/>
    <col min="187" max="187" width="8" style="137" customWidth="1"/>
    <col min="188" max="188" width="10.5546875" style="137" bestFit="1" customWidth="1"/>
    <col min="189" max="189" width="12.109375" style="137" bestFit="1" customWidth="1"/>
    <col min="190" max="190" width="8.109375" style="137" bestFit="1" customWidth="1"/>
    <col min="191" max="191" width="10.5546875" style="137" bestFit="1" customWidth="1"/>
    <col min="192" max="192" width="12.109375" style="137" bestFit="1" customWidth="1"/>
    <col min="193" max="193" width="18.109375" style="137" bestFit="1" customWidth="1"/>
    <col min="194" max="194" width="10.5546875" style="137" bestFit="1" customWidth="1"/>
    <col min="195" max="430" width="8.5546875" style="137"/>
    <col min="431" max="431" width="38.109375" style="137" customWidth="1"/>
    <col min="432" max="432" width="23.44140625" style="137" bestFit="1" customWidth="1"/>
    <col min="433" max="434" width="9.109375" style="137" customWidth="1"/>
    <col min="435" max="435" width="11.109375" style="137" bestFit="1" customWidth="1"/>
    <col min="436" max="436" width="14.44140625" style="137" bestFit="1" customWidth="1"/>
    <col min="437" max="437" width="8.109375" style="137" customWidth="1"/>
    <col min="438" max="438" width="10.5546875" style="137" bestFit="1" customWidth="1"/>
    <col min="439" max="439" width="12.109375" style="137" bestFit="1" customWidth="1"/>
    <col min="440" max="440" width="9.109375" style="137" customWidth="1"/>
    <col min="441" max="441" width="10.5546875" style="137" bestFit="1" customWidth="1"/>
    <col min="442" max="442" width="12.109375" style="137" bestFit="1" customWidth="1"/>
    <col min="443" max="443" width="8" style="137" customWidth="1"/>
    <col min="444" max="444" width="10.5546875" style="137" bestFit="1" customWidth="1"/>
    <col min="445" max="445" width="12.109375" style="137" bestFit="1" customWidth="1"/>
    <col min="446" max="446" width="8.109375" style="137" bestFit="1" customWidth="1"/>
    <col min="447" max="447" width="10.5546875" style="137" bestFit="1" customWidth="1"/>
    <col min="448" max="448" width="12.109375" style="137" bestFit="1" customWidth="1"/>
    <col min="449" max="449" width="18.109375" style="137" bestFit="1" customWidth="1"/>
    <col min="450" max="450" width="10.5546875" style="137" bestFit="1" customWidth="1"/>
    <col min="451" max="686" width="8.5546875" style="137"/>
    <col min="687" max="687" width="38.109375" style="137" customWidth="1"/>
    <col min="688" max="688" width="23.44140625" style="137" bestFit="1" customWidth="1"/>
    <col min="689" max="690" width="9.109375" style="137" customWidth="1"/>
    <col min="691" max="691" width="11.109375" style="137" bestFit="1" customWidth="1"/>
    <col min="692" max="692" width="14.44140625" style="137" bestFit="1" customWidth="1"/>
    <col min="693" max="693" width="8.109375" style="137" customWidth="1"/>
    <col min="694" max="694" width="10.5546875" style="137" bestFit="1" customWidth="1"/>
    <col min="695" max="695" width="12.109375" style="137" bestFit="1" customWidth="1"/>
    <col min="696" max="696" width="9.109375" style="137" customWidth="1"/>
    <col min="697" max="697" width="10.5546875" style="137" bestFit="1" customWidth="1"/>
    <col min="698" max="698" width="12.109375" style="137" bestFit="1" customWidth="1"/>
    <col min="699" max="699" width="8" style="137" customWidth="1"/>
    <col min="700" max="700" width="10.5546875" style="137" bestFit="1" customWidth="1"/>
    <col min="701" max="701" width="12.109375" style="137" bestFit="1" customWidth="1"/>
    <col min="702" max="702" width="8.109375" style="137" bestFit="1" customWidth="1"/>
    <col min="703" max="703" width="10.5546875" style="137" bestFit="1" customWidth="1"/>
    <col min="704" max="704" width="12.109375" style="137" bestFit="1" customWidth="1"/>
    <col min="705" max="705" width="18.109375" style="137" bestFit="1" customWidth="1"/>
    <col min="706" max="706" width="10.5546875" style="137" bestFit="1" customWidth="1"/>
    <col min="707" max="942" width="8.5546875" style="137"/>
    <col min="943" max="943" width="38.109375" style="137" customWidth="1"/>
    <col min="944" max="944" width="23.44140625" style="137" bestFit="1" customWidth="1"/>
    <col min="945" max="946" width="9.109375" style="137" customWidth="1"/>
    <col min="947" max="947" width="11.109375" style="137" bestFit="1" customWidth="1"/>
    <col min="948" max="948" width="14.44140625" style="137" bestFit="1" customWidth="1"/>
    <col min="949" max="949" width="8.109375" style="137" customWidth="1"/>
    <col min="950" max="950" width="10.5546875" style="137" bestFit="1" customWidth="1"/>
    <col min="951" max="951" width="12.109375" style="137" bestFit="1" customWidth="1"/>
    <col min="952" max="952" width="9.109375" style="137" customWidth="1"/>
    <col min="953" max="953" width="10.5546875" style="137" bestFit="1" customWidth="1"/>
    <col min="954" max="954" width="12.109375" style="137" bestFit="1" customWidth="1"/>
    <col min="955" max="955" width="8" style="137" customWidth="1"/>
    <col min="956" max="956" width="10.5546875" style="137" bestFit="1" customWidth="1"/>
    <col min="957" max="957" width="12.109375" style="137" bestFit="1" customWidth="1"/>
    <col min="958" max="958" width="8.109375" style="137" bestFit="1" customWidth="1"/>
    <col min="959" max="959" width="10.5546875" style="137" bestFit="1" customWidth="1"/>
    <col min="960" max="960" width="12.109375" style="137" bestFit="1" customWidth="1"/>
    <col min="961" max="961" width="18.109375" style="137" bestFit="1" customWidth="1"/>
    <col min="962" max="962" width="10.5546875" style="137" bestFit="1" customWidth="1"/>
    <col min="963" max="1198" width="8.5546875" style="137"/>
    <col min="1199" max="1199" width="38.109375" style="137" customWidth="1"/>
    <col min="1200" max="1200" width="23.44140625" style="137" bestFit="1" customWidth="1"/>
    <col min="1201" max="1202" width="9.109375" style="137" customWidth="1"/>
    <col min="1203" max="1203" width="11.109375" style="137" bestFit="1" customWidth="1"/>
    <col min="1204" max="1204" width="14.44140625" style="137" bestFit="1" customWidth="1"/>
    <col min="1205" max="1205" width="8.109375" style="137" customWidth="1"/>
    <col min="1206" max="1206" width="10.5546875" style="137" bestFit="1" customWidth="1"/>
    <col min="1207" max="1207" width="12.109375" style="137" bestFit="1" customWidth="1"/>
    <col min="1208" max="1208" width="9.109375" style="137" customWidth="1"/>
    <col min="1209" max="1209" width="10.5546875" style="137" bestFit="1" customWidth="1"/>
    <col min="1210" max="1210" width="12.109375" style="137" bestFit="1" customWidth="1"/>
    <col min="1211" max="1211" width="8" style="137" customWidth="1"/>
    <col min="1212" max="1212" width="10.5546875" style="137" bestFit="1" customWidth="1"/>
    <col min="1213" max="1213" width="12.109375" style="137" bestFit="1" customWidth="1"/>
    <col min="1214" max="1214" width="8.109375" style="137" bestFit="1" customWidth="1"/>
    <col min="1215" max="1215" width="10.5546875" style="137" bestFit="1" customWidth="1"/>
    <col min="1216" max="1216" width="12.109375" style="137" bestFit="1" customWidth="1"/>
    <col min="1217" max="1217" width="18.109375" style="137" bestFit="1" customWidth="1"/>
    <col min="1218" max="1218" width="10.5546875" style="137" bestFit="1" customWidth="1"/>
    <col min="1219" max="1454" width="8.5546875" style="137"/>
    <col min="1455" max="1455" width="38.109375" style="137" customWidth="1"/>
    <col min="1456" max="1456" width="23.44140625" style="137" bestFit="1" customWidth="1"/>
    <col min="1457" max="1458" width="9.109375" style="137" customWidth="1"/>
    <col min="1459" max="1459" width="11.109375" style="137" bestFit="1" customWidth="1"/>
    <col min="1460" max="1460" width="14.44140625" style="137" bestFit="1" customWidth="1"/>
    <col min="1461" max="1461" width="8.109375" style="137" customWidth="1"/>
    <col min="1462" max="1462" width="10.5546875" style="137" bestFit="1" customWidth="1"/>
    <col min="1463" max="1463" width="12.109375" style="137" bestFit="1" customWidth="1"/>
    <col min="1464" max="1464" width="9.109375" style="137" customWidth="1"/>
    <col min="1465" max="1465" width="10.5546875" style="137" bestFit="1" customWidth="1"/>
    <col min="1466" max="1466" width="12.109375" style="137" bestFit="1" customWidth="1"/>
    <col min="1467" max="1467" width="8" style="137" customWidth="1"/>
    <col min="1468" max="1468" width="10.5546875" style="137" bestFit="1" customWidth="1"/>
    <col min="1469" max="1469" width="12.109375" style="137" bestFit="1" customWidth="1"/>
    <col min="1470" max="1470" width="8.109375" style="137" bestFit="1" customWidth="1"/>
    <col min="1471" max="1471" width="10.5546875" style="137" bestFit="1" customWidth="1"/>
    <col min="1472" max="1472" width="12.109375" style="137" bestFit="1" customWidth="1"/>
    <col min="1473" max="1473" width="18.109375" style="137" bestFit="1" customWidth="1"/>
    <col min="1474" max="1474" width="10.5546875" style="137" bestFit="1" customWidth="1"/>
    <col min="1475" max="1710" width="8.5546875" style="137"/>
    <col min="1711" max="1711" width="38.109375" style="137" customWidth="1"/>
    <col min="1712" max="1712" width="23.44140625" style="137" bestFit="1" customWidth="1"/>
    <col min="1713" max="1714" width="9.109375" style="137" customWidth="1"/>
    <col min="1715" max="1715" width="11.109375" style="137" bestFit="1" customWidth="1"/>
    <col min="1716" max="1716" width="14.44140625" style="137" bestFit="1" customWidth="1"/>
    <col min="1717" max="1717" width="8.109375" style="137" customWidth="1"/>
    <col min="1718" max="1718" width="10.5546875" style="137" bestFit="1" customWidth="1"/>
    <col min="1719" max="1719" width="12.109375" style="137" bestFit="1" customWidth="1"/>
    <col min="1720" max="1720" width="9.109375" style="137" customWidth="1"/>
    <col min="1721" max="1721" width="10.5546875" style="137" bestFit="1" customWidth="1"/>
    <col min="1722" max="1722" width="12.109375" style="137" bestFit="1" customWidth="1"/>
    <col min="1723" max="1723" width="8" style="137" customWidth="1"/>
    <col min="1724" max="1724" width="10.5546875" style="137" bestFit="1" customWidth="1"/>
    <col min="1725" max="1725" width="12.109375" style="137" bestFit="1" customWidth="1"/>
    <col min="1726" max="1726" width="8.109375" style="137" bestFit="1" customWidth="1"/>
    <col min="1727" max="1727" width="10.5546875" style="137" bestFit="1" customWidth="1"/>
    <col min="1728" max="1728" width="12.109375" style="137" bestFit="1" customWidth="1"/>
    <col min="1729" max="1729" width="18.109375" style="137" bestFit="1" customWidth="1"/>
    <col min="1730" max="1730" width="10.5546875" style="137" bestFit="1" customWidth="1"/>
    <col min="1731" max="1966" width="8.5546875" style="137"/>
    <col min="1967" max="1967" width="38.109375" style="137" customWidth="1"/>
    <col min="1968" max="1968" width="23.44140625" style="137" bestFit="1" customWidth="1"/>
    <col min="1969" max="1970" width="9.109375" style="137" customWidth="1"/>
    <col min="1971" max="1971" width="11.109375" style="137" bestFit="1" customWidth="1"/>
    <col min="1972" max="1972" width="14.44140625" style="137" bestFit="1" customWidth="1"/>
    <col min="1973" max="1973" width="8.109375" style="137" customWidth="1"/>
    <col min="1974" max="1974" width="10.5546875" style="137" bestFit="1" customWidth="1"/>
    <col min="1975" max="1975" width="12.109375" style="137" bestFit="1" customWidth="1"/>
    <col min="1976" max="1976" width="9.109375" style="137" customWidth="1"/>
    <col min="1977" max="1977" width="10.5546875" style="137" bestFit="1" customWidth="1"/>
    <col min="1978" max="1978" width="12.109375" style="137" bestFit="1" customWidth="1"/>
    <col min="1979" max="1979" width="8" style="137" customWidth="1"/>
    <col min="1980" max="1980" width="10.5546875" style="137" bestFit="1" customWidth="1"/>
    <col min="1981" max="1981" width="12.109375" style="137" bestFit="1" customWidth="1"/>
    <col min="1982" max="1982" width="8.109375" style="137" bestFit="1" customWidth="1"/>
    <col min="1983" max="1983" width="10.5546875" style="137" bestFit="1" customWidth="1"/>
    <col min="1984" max="1984" width="12.109375" style="137" bestFit="1" customWidth="1"/>
    <col min="1985" max="1985" width="18.109375" style="137" bestFit="1" customWidth="1"/>
    <col min="1986" max="1986" width="10.5546875" style="137" bestFit="1" customWidth="1"/>
    <col min="1987" max="2222" width="8.5546875" style="137"/>
    <col min="2223" max="2223" width="38.109375" style="137" customWidth="1"/>
    <col min="2224" max="2224" width="23.44140625" style="137" bestFit="1" customWidth="1"/>
    <col min="2225" max="2226" width="9.109375" style="137" customWidth="1"/>
    <col min="2227" max="2227" width="11.109375" style="137" bestFit="1" customWidth="1"/>
    <col min="2228" max="2228" width="14.44140625" style="137" bestFit="1" customWidth="1"/>
    <col min="2229" max="2229" width="8.109375" style="137" customWidth="1"/>
    <col min="2230" max="2230" width="10.5546875" style="137" bestFit="1" customWidth="1"/>
    <col min="2231" max="2231" width="12.109375" style="137" bestFit="1" customWidth="1"/>
    <col min="2232" max="2232" width="9.109375" style="137" customWidth="1"/>
    <col min="2233" max="2233" width="10.5546875" style="137" bestFit="1" customWidth="1"/>
    <col min="2234" max="2234" width="12.109375" style="137" bestFit="1" customWidth="1"/>
    <col min="2235" max="2235" width="8" style="137" customWidth="1"/>
    <col min="2236" max="2236" width="10.5546875" style="137" bestFit="1" customWidth="1"/>
    <col min="2237" max="2237" width="12.109375" style="137" bestFit="1" customWidth="1"/>
    <col min="2238" max="2238" width="8.109375" style="137" bestFit="1" customWidth="1"/>
    <col min="2239" max="2239" width="10.5546875" style="137" bestFit="1" customWidth="1"/>
    <col min="2240" max="2240" width="12.109375" style="137" bestFit="1" customWidth="1"/>
    <col min="2241" max="2241" width="18.109375" style="137" bestFit="1" customWidth="1"/>
    <col min="2242" max="2242" width="10.5546875" style="137" bestFit="1" customWidth="1"/>
    <col min="2243" max="2478" width="8.5546875" style="137"/>
    <col min="2479" max="2479" width="38.109375" style="137" customWidth="1"/>
    <col min="2480" max="2480" width="23.44140625" style="137" bestFit="1" customWidth="1"/>
    <col min="2481" max="2482" width="9.109375" style="137" customWidth="1"/>
    <col min="2483" max="2483" width="11.109375" style="137" bestFit="1" customWidth="1"/>
    <col min="2484" max="2484" width="14.44140625" style="137" bestFit="1" customWidth="1"/>
    <col min="2485" max="2485" width="8.109375" style="137" customWidth="1"/>
    <col min="2486" max="2486" width="10.5546875" style="137" bestFit="1" customWidth="1"/>
    <col min="2487" max="2487" width="12.109375" style="137" bestFit="1" customWidth="1"/>
    <col min="2488" max="2488" width="9.109375" style="137" customWidth="1"/>
    <col min="2489" max="2489" width="10.5546875" style="137" bestFit="1" customWidth="1"/>
    <col min="2490" max="2490" width="12.109375" style="137" bestFit="1" customWidth="1"/>
    <col min="2491" max="2491" width="8" style="137" customWidth="1"/>
    <col min="2492" max="2492" width="10.5546875" style="137" bestFit="1" customWidth="1"/>
    <col min="2493" max="2493" width="12.109375" style="137" bestFit="1" customWidth="1"/>
    <col min="2494" max="2494" width="8.109375" style="137" bestFit="1" customWidth="1"/>
    <col min="2495" max="2495" width="10.5546875" style="137" bestFit="1" customWidth="1"/>
    <col min="2496" max="2496" width="12.109375" style="137" bestFit="1" customWidth="1"/>
    <col min="2497" max="2497" width="18.109375" style="137" bestFit="1" customWidth="1"/>
    <col min="2498" max="2498" width="10.5546875" style="137" bestFit="1" customWidth="1"/>
    <col min="2499" max="2734" width="8.5546875" style="137"/>
    <col min="2735" max="2735" width="38.109375" style="137" customWidth="1"/>
    <col min="2736" max="2736" width="23.44140625" style="137" bestFit="1" customWidth="1"/>
    <col min="2737" max="2738" width="9.109375" style="137" customWidth="1"/>
    <col min="2739" max="2739" width="11.109375" style="137" bestFit="1" customWidth="1"/>
    <col min="2740" max="2740" width="14.44140625" style="137" bestFit="1" customWidth="1"/>
    <col min="2741" max="2741" width="8.109375" style="137" customWidth="1"/>
    <col min="2742" max="2742" width="10.5546875" style="137" bestFit="1" customWidth="1"/>
    <col min="2743" max="2743" width="12.109375" style="137" bestFit="1" customWidth="1"/>
    <col min="2744" max="2744" width="9.109375" style="137" customWidth="1"/>
    <col min="2745" max="2745" width="10.5546875" style="137" bestFit="1" customWidth="1"/>
    <col min="2746" max="2746" width="12.109375" style="137" bestFit="1" customWidth="1"/>
    <col min="2747" max="2747" width="8" style="137" customWidth="1"/>
    <col min="2748" max="2748" width="10.5546875" style="137" bestFit="1" customWidth="1"/>
    <col min="2749" max="2749" width="12.109375" style="137" bestFit="1" customWidth="1"/>
    <col min="2750" max="2750" width="8.109375" style="137" bestFit="1" customWidth="1"/>
    <col min="2751" max="2751" width="10.5546875" style="137" bestFit="1" customWidth="1"/>
    <col min="2752" max="2752" width="12.109375" style="137" bestFit="1" customWidth="1"/>
    <col min="2753" max="2753" width="18.109375" style="137" bestFit="1" customWidth="1"/>
    <col min="2754" max="2754" width="10.5546875" style="137" bestFit="1" customWidth="1"/>
    <col min="2755" max="2990" width="8.5546875" style="137"/>
    <col min="2991" max="2991" width="38.109375" style="137" customWidth="1"/>
    <col min="2992" max="2992" width="23.44140625" style="137" bestFit="1" customWidth="1"/>
    <col min="2993" max="2994" width="9.109375" style="137" customWidth="1"/>
    <col min="2995" max="2995" width="11.109375" style="137" bestFit="1" customWidth="1"/>
    <col min="2996" max="2996" width="14.44140625" style="137" bestFit="1" customWidth="1"/>
    <col min="2997" max="2997" width="8.109375" style="137" customWidth="1"/>
    <col min="2998" max="2998" width="10.5546875" style="137" bestFit="1" customWidth="1"/>
    <col min="2999" max="2999" width="12.109375" style="137" bestFit="1" customWidth="1"/>
    <col min="3000" max="3000" width="9.109375" style="137" customWidth="1"/>
    <col min="3001" max="3001" width="10.5546875" style="137" bestFit="1" customWidth="1"/>
    <col min="3002" max="3002" width="12.109375" style="137" bestFit="1" customWidth="1"/>
    <col min="3003" max="3003" width="8" style="137" customWidth="1"/>
    <col min="3004" max="3004" width="10.5546875" style="137" bestFit="1" customWidth="1"/>
    <col min="3005" max="3005" width="12.109375" style="137" bestFit="1" customWidth="1"/>
    <col min="3006" max="3006" width="8.109375" style="137" bestFit="1" customWidth="1"/>
    <col min="3007" max="3007" width="10.5546875" style="137" bestFit="1" customWidth="1"/>
    <col min="3008" max="3008" width="12.109375" style="137" bestFit="1" customWidth="1"/>
    <col min="3009" max="3009" width="18.109375" style="137" bestFit="1" customWidth="1"/>
    <col min="3010" max="3010" width="10.5546875" style="137" bestFit="1" customWidth="1"/>
    <col min="3011" max="3246" width="8.5546875" style="137"/>
    <col min="3247" max="3247" width="38.109375" style="137" customWidth="1"/>
    <col min="3248" max="3248" width="23.44140625" style="137" bestFit="1" customWidth="1"/>
    <col min="3249" max="3250" width="9.109375" style="137" customWidth="1"/>
    <col min="3251" max="3251" width="11.109375" style="137" bestFit="1" customWidth="1"/>
    <col min="3252" max="3252" width="14.44140625" style="137" bestFit="1" customWidth="1"/>
    <col min="3253" max="3253" width="8.109375" style="137" customWidth="1"/>
    <col min="3254" max="3254" width="10.5546875" style="137" bestFit="1" customWidth="1"/>
    <col min="3255" max="3255" width="12.109375" style="137" bestFit="1" customWidth="1"/>
    <col min="3256" max="3256" width="9.109375" style="137" customWidth="1"/>
    <col min="3257" max="3257" width="10.5546875" style="137" bestFit="1" customWidth="1"/>
    <col min="3258" max="3258" width="12.109375" style="137" bestFit="1" customWidth="1"/>
    <col min="3259" max="3259" width="8" style="137" customWidth="1"/>
    <col min="3260" max="3260" width="10.5546875" style="137" bestFit="1" customWidth="1"/>
    <col min="3261" max="3261" width="12.109375" style="137" bestFit="1" customWidth="1"/>
    <col min="3262" max="3262" width="8.109375" style="137" bestFit="1" customWidth="1"/>
    <col min="3263" max="3263" width="10.5546875" style="137" bestFit="1" customWidth="1"/>
    <col min="3264" max="3264" width="12.109375" style="137" bestFit="1" customWidth="1"/>
    <col min="3265" max="3265" width="18.109375" style="137" bestFit="1" customWidth="1"/>
    <col min="3266" max="3266" width="10.5546875" style="137" bestFit="1" customWidth="1"/>
    <col min="3267" max="3502" width="8.5546875" style="137"/>
    <col min="3503" max="3503" width="38.109375" style="137" customWidth="1"/>
    <col min="3504" max="3504" width="23.44140625" style="137" bestFit="1" customWidth="1"/>
    <col min="3505" max="3506" width="9.109375" style="137" customWidth="1"/>
    <col min="3507" max="3507" width="11.109375" style="137" bestFit="1" customWidth="1"/>
    <col min="3508" max="3508" width="14.44140625" style="137" bestFit="1" customWidth="1"/>
    <col min="3509" max="3509" width="8.109375" style="137" customWidth="1"/>
    <col min="3510" max="3510" width="10.5546875" style="137" bestFit="1" customWidth="1"/>
    <col min="3511" max="3511" width="12.109375" style="137" bestFit="1" customWidth="1"/>
    <col min="3512" max="3512" width="9.109375" style="137" customWidth="1"/>
    <col min="3513" max="3513" width="10.5546875" style="137" bestFit="1" customWidth="1"/>
    <col min="3514" max="3514" width="12.109375" style="137" bestFit="1" customWidth="1"/>
    <col min="3515" max="3515" width="8" style="137" customWidth="1"/>
    <col min="3516" max="3516" width="10.5546875" style="137" bestFit="1" customWidth="1"/>
    <col min="3517" max="3517" width="12.109375" style="137" bestFit="1" customWidth="1"/>
    <col min="3518" max="3518" width="8.109375" style="137" bestFit="1" customWidth="1"/>
    <col min="3519" max="3519" width="10.5546875" style="137" bestFit="1" customWidth="1"/>
    <col min="3520" max="3520" width="12.109375" style="137" bestFit="1" customWidth="1"/>
    <col min="3521" max="3521" width="18.109375" style="137" bestFit="1" customWidth="1"/>
    <col min="3522" max="3522" width="10.5546875" style="137" bestFit="1" customWidth="1"/>
    <col min="3523" max="3758" width="8.5546875" style="137"/>
    <col min="3759" max="3759" width="38.109375" style="137" customWidth="1"/>
    <col min="3760" max="3760" width="23.44140625" style="137" bestFit="1" customWidth="1"/>
    <col min="3761" max="3762" width="9.109375" style="137" customWidth="1"/>
    <col min="3763" max="3763" width="11.109375" style="137" bestFit="1" customWidth="1"/>
    <col min="3764" max="3764" width="14.44140625" style="137" bestFit="1" customWidth="1"/>
    <col min="3765" max="3765" width="8.109375" style="137" customWidth="1"/>
    <col min="3766" max="3766" width="10.5546875" style="137" bestFit="1" customWidth="1"/>
    <col min="3767" max="3767" width="12.109375" style="137" bestFit="1" customWidth="1"/>
    <col min="3768" max="3768" width="9.109375" style="137" customWidth="1"/>
    <col min="3769" max="3769" width="10.5546875" style="137" bestFit="1" customWidth="1"/>
    <col min="3770" max="3770" width="12.109375" style="137" bestFit="1" customWidth="1"/>
    <col min="3771" max="3771" width="8" style="137" customWidth="1"/>
    <col min="3772" max="3772" width="10.5546875" style="137" bestFit="1" customWidth="1"/>
    <col min="3773" max="3773" width="12.109375" style="137" bestFit="1" customWidth="1"/>
    <col min="3774" max="3774" width="8.109375" style="137" bestFit="1" customWidth="1"/>
    <col min="3775" max="3775" width="10.5546875" style="137" bestFit="1" customWidth="1"/>
    <col min="3776" max="3776" width="12.109375" style="137" bestFit="1" customWidth="1"/>
    <col min="3777" max="3777" width="18.109375" style="137" bestFit="1" customWidth="1"/>
    <col min="3778" max="3778" width="10.5546875" style="137" bestFit="1" customWidth="1"/>
    <col min="3779" max="4014" width="8.5546875" style="137"/>
    <col min="4015" max="4015" width="38.109375" style="137" customWidth="1"/>
    <col min="4016" max="4016" width="23.44140625" style="137" bestFit="1" customWidth="1"/>
    <col min="4017" max="4018" width="9.109375" style="137" customWidth="1"/>
    <col min="4019" max="4019" width="11.109375" style="137" bestFit="1" customWidth="1"/>
    <col min="4020" max="4020" width="14.44140625" style="137" bestFit="1" customWidth="1"/>
    <col min="4021" max="4021" width="8.109375" style="137" customWidth="1"/>
    <col min="4022" max="4022" width="10.5546875" style="137" bestFit="1" customWidth="1"/>
    <col min="4023" max="4023" width="12.109375" style="137" bestFit="1" customWidth="1"/>
    <col min="4024" max="4024" width="9.109375" style="137" customWidth="1"/>
    <col min="4025" max="4025" width="10.5546875" style="137" bestFit="1" customWidth="1"/>
    <col min="4026" max="4026" width="12.109375" style="137" bestFit="1" customWidth="1"/>
    <col min="4027" max="4027" width="8" style="137" customWidth="1"/>
    <col min="4028" max="4028" width="10.5546875" style="137" bestFit="1" customWidth="1"/>
    <col min="4029" max="4029" width="12.109375" style="137" bestFit="1" customWidth="1"/>
    <col min="4030" max="4030" width="8.109375" style="137" bestFit="1" customWidth="1"/>
    <col min="4031" max="4031" width="10.5546875" style="137" bestFit="1" customWidth="1"/>
    <col min="4032" max="4032" width="12.109375" style="137" bestFit="1" customWidth="1"/>
    <col min="4033" max="4033" width="18.109375" style="137" bestFit="1" customWidth="1"/>
    <col min="4034" max="4034" width="10.5546875" style="137" bestFit="1" customWidth="1"/>
    <col min="4035" max="4270" width="8.5546875" style="137"/>
    <col min="4271" max="4271" width="38.109375" style="137" customWidth="1"/>
    <col min="4272" max="4272" width="23.44140625" style="137" bestFit="1" customWidth="1"/>
    <col min="4273" max="4274" width="9.109375" style="137" customWidth="1"/>
    <col min="4275" max="4275" width="11.109375" style="137" bestFit="1" customWidth="1"/>
    <col min="4276" max="4276" width="14.44140625" style="137" bestFit="1" customWidth="1"/>
    <col min="4277" max="4277" width="8.109375" style="137" customWidth="1"/>
    <col min="4278" max="4278" width="10.5546875" style="137" bestFit="1" customWidth="1"/>
    <col min="4279" max="4279" width="12.109375" style="137" bestFit="1" customWidth="1"/>
    <col min="4280" max="4280" width="9.109375" style="137" customWidth="1"/>
    <col min="4281" max="4281" width="10.5546875" style="137" bestFit="1" customWidth="1"/>
    <col min="4282" max="4282" width="12.109375" style="137" bestFit="1" customWidth="1"/>
    <col min="4283" max="4283" width="8" style="137" customWidth="1"/>
    <col min="4284" max="4284" width="10.5546875" style="137" bestFit="1" customWidth="1"/>
    <col min="4285" max="4285" width="12.109375" style="137" bestFit="1" customWidth="1"/>
    <col min="4286" max="4286" width="8.109375" style="137" bestFit="1" customWidth="1"/>
    <col min="4287" max="4287" width="10.5546875" style="137" bestFit="1" customWidth="1"/>
    <col min="4288" max="4288" width="12.109375" style="137" bestFit="1" customWidth="1"/>
    <col min="4289" max="4289" width="18.109375" style="137" bestFit="1" customWidth="1"/>
    <col min="4290" max="4290" width="10.5546875" style="137" bestFit="1" customWidth="1"/>
    <col min="4291" max="4526" width="8.5546875" style="137"/>
    <col min="4527" max="4527" width="38.109375" style="137" customWidth="1"/>
    <col min="4528" max="4528" width="23.44140625" style="137" bestFit="1" customWidth="1"/>
    <col min="4529" max="4530" width="9.109375" style="137" customWidth="1"/>
    <col min="4531" max="4531" width="11.109375" style="137" bestFit="1" customWidth="1"/>
    <col min="4532" max="4532" width="14.44140625" style="137" bestFit="1" customWidth="1"/>
    <col min="4533" max="4533" width="8.109375" style="137" customWidth="1"/>
    <col min="4534" max="4534" width="10.5546875" style="137" bestFit="1" customWidth="1"/>
    <col min="4535" max="4535" width="12.109375" style="137" bestFit="1" customWidth="1"/>
    <col min="4536" max="4536" width="9.109375" style="137" customWidth="1"/>
    <col min="4537" max="4537" width="10.5546875" style="137" bestFit="1" customWidth="1"/>
    <col min="4538" max="4538" width="12.109375" style="137" bestFit="1" customWidth="1"/>
    <col min="4539" max="4539" width="8" style="137" customWidth="1"/>
    <col min="4540" max="4540" width="10.5546875" style="137" bestFit="1" customWidth="1"/>
    <col min="4541" max="4541" width="12.109375" style="137" bestFit="1" customWidth="1"/>
    <col min="4542" max="4542" width="8.109375" style="137" bestFit="1" customWidth="1"/>
    <col min="4543" max="4543" width="10.5546875" style="137" bestFit="1" customWidth="1"/>
    <col min="4544" max="4544" width="12.109375" style="137" bestFit="1" customWidth="1"/>
    <col min="4545" max="4545" width="18.109375" style="137" bestFit="1" customWidth="1"/>
    <col min="4546" max="4546" width="10.5546875" style="137" bestFit="1" customWidth="1"/>
    <col min="4547" max="4782" width="8.5546875" style="137"/>
    <col min="4783" max="4783" width="38.109375" style="137" customWidth="1"/>
    <col min="4784" max="4784" width="23.44140625" style="137" bestFit="1" customWidth="1"/>
    <col min="4785" max="4786" width="9.109375" style="137" customWidth="1"/>
    <col min="4787" max="4787" width="11.109375" style="137" bestFit="1" customWidth="1"/>
    <col min="4788" max="4788" width="14.44140625" style="137" bestFit="1" customWidth="1"/>
    <col min="4789" max="4789" width="8.109375" style="137" customWidth="1"/>
    <col min="4790" max="4790" width="10.5546875" style="137" bestFit="1" customWidth="1"/>
    <col min="4791" max="4791" width="12.109375" style="137" bestFit="1" customWidth="1"/>
    <col min="4792" max="4792" width="9.109375" style="137" customWidth="1"/>
    <col min="4793" max="4793" width="10.5546875" style="137" bestFit="1" customWidth="1"/>
    <col min="4794" max="4794" width="12.109375" style="137" bestFit="1" customWidth="1"/>
    <col min="4795" max="4795" width="8" style="137" customWidth="1"/>
    <col min="4796" max="4796" width="10.5546875" style="137" bestFit="1" customWidth="1"/>
    <col min="4797" max="4797" width="12.109375" style="137" bestFit="1" customWidth="1"/>
    <col min="4798" max="4798" width="8.109375" style="137" bestFit="1" customWidth="1"/>
    <col min="4799" max="4799" width="10.5546875" style="137" bestFit="1" customWidth="1"/>
    <col min="4800" max="4800" width="12.109375" style="137" bestFit="1" customWidth="1"/>
    <col min="4801" max="4801" width="18.109375" style="137" bestFit="1" customWidth="1"/>
    <col min="4802" max="4802" width="10.5546875" style="137" bestFit="1" customWidth="1"/>
    <col min="4803" max="5038" width="8.5546875" style="137"/>
    <col min="5039" max="5039" width="38.109375" style="137" customWidth="1"/>
    <col min="5040" max="5040" width="23.44140625" style="137" bestFit="1" customWidth="1"/>
    <col min="5041" max="5042" width="9.109375" style="137" customWidth="1"/>
    <col min="5043" max="5043" width="11.109375" style="137" bestFit="1" customWidth="1"/>
    <col min="5044" max="5044" width="14.44140625" style="137" bestFit="1" customWidth="1"/>
    <col min="5045" max="5045" width="8.109375" style="137" customWidth="1"/>
    <col min="5046" max="5046" width="10.5546875" style="137" bestFit="1" customWidth="1"/>
    <col min="5047" max="5047" width="12.109375" style="137" bestFit="1" customWidth="1"/>
    <col min="5048" max="5048" width="9.109375" style="137" customWidth="1"/>
    <col min="5049" max="5049" width="10.5546875" style="137" bestFit="1" customWidth="1"/>
    <col min="5050" max="5050" width="12.109375" style="137" bestFit="1" customWidth="1"/>
    <col min="5051" max="5051" width="8" style="137" customWidth="1"/>
    <col min="5052" max="5052" width="10.5546875" style="137" bestFit="1" customWidth="1"/>
    <col min="5053" max="5053" width="12.109375" style="137" bestFit="1" customWidth="1"/>
    <col min="5054" max="5054" width="8.109375" style="137" bestFit="1" customWidth="1"/>
    <col min="5055" max="5055" width="10.5546875" style="137" bestFit="1" customWidth="1"/>
    <col min="5056" max="5056" width="12.109375" style="137" bestFit="1" customWidth="1"/>
    <col min="5057" max="5057" width="18.109375" style="137" bestFit="1" customWidth="1"/>
    <col min="5058" max="5058" width="10.5546875" style="137" bestFit="1" customWidth="1"/>
    <col min="5059" max="5294" width="8.5546875" style="137"/>
    <col min="5295" max="5295" width="38.109375" style="137" customWidth="1"/>
    <col min="5296" max="5296" width="23.44140625" style="137" bestFit="1" customWidth="1"/>
    <col min="5297" max="5298" width="9.109375" style="137" customWidth="1"/>
    <col min="5299" max="5299" width="11.109375" style="137" bestFit="1" customWidth="1"/>
    <col min="5300" max="5300" width="14.44140625" style="137" bestFit="1" customWidth="1"/>
    <col min="5301" max="5301" width="8.109375" style="137" customWidth="1"/>
    <col min="5302" max="5302" width="10.5546875" style="137" bestFit="1" customWidth="1"/>
    <col min="5303" max="5303" width="12.109375" style="137" bestFit="1" customWidth="1"/>
    <col min="5304" max="5304" width="9.109375" style="137" customWidth="1"/>
    <col min="5305" max="5305" width="10.5546875" style="137" bestFit="1" customWidth="1"/>
    <col min="5306" max="5306" width="12.109375" style="137" bestFit="1" customWidth="1"/>
    <col min="5307" max="5307" width="8" style="137" customWidth="1"/>
    <col min="5308" max="5308" width="10.5546875" style="137" bestFit="1" customWidth="1"/>
    <col min="5309" max="5309" width="12.109375" style="137" bestFit="1" customWidth="1"/>
    <col min="5310" max="5310" width="8.109375" style="137" bestFit="1" customWidth="1"/>
    <col min="5311" max="5311" width="10.5546875" style="137" bestFit="1" customWidth="1"/>
    <col min="5312" max="5312" width="12.109375" style="137" bestFit="1" customWidth="1"/>
    <col min="5313" max="5313" width="18.109375" style="137" bestFit="1" customWidth="1"/>
    <col min="5314" max="5314" width="10.5546875" style="137" bestFit="1" customWidth="1"/>
    <col min="5315" max="5550" width="8.5546875" style="137"/>
    <col min="5551" max="5551" width="38.109375" style="137" customWidth="1"/>
    <col min="5552" max="5552" width="23.44140625" style="137" bestFit="1" customWidth="1"/>
    <col min="5553" max="5554" width="9.109375" style="137" customWidth="1"/>
    <col min="5555" max="5555" width="11.109375" style="137" bestFit="1" customWidth="1"/>
    <col min="5556" max="5556" width="14.44140625" style="137" bestFit="1" customWidth="1"/>
    <col min="5557" max="5557" width="8.109375" style="137" customWidth="1"/>
    <col min="5558" max="5558" width="10.5546875" style="137" bestFit="1" customWidth="1"/>
    <col min="5559" max="5559" width="12.109375" style="137" bestFit="1" customWidth="1"/>
    <col min="5560" max="5560" width="9.109375" style="137" customWidth="1"/>
    <col min="5561" max="5561" width="10.5546875" style="137" bestFit="1" customWidth="1"/>
    <col min="5562" max="5562" width="12.109375" style="137" bestFit="1" customWidth="1"/>
    <col min="5563" max="5563" width="8" style="137" customWidth="1"/>
    <col min="5564" max="5564" width="10.5546875" style="137" bestFit="1" customWidth="1"/>
    <col min="5565" max="5565" width="12.109375" style="137" bestFit="1" customWidth="1"/>
    <col min="5566" max="5566" width="8.109375" style="137" bestFit="1" customWidth="1"/>
    <col min="5567" max="5567" width="10.5546875" style="137" bestFit="1" customWidth="1"/>
    <col min="5568" max="5568" width="12.109375" style="137" bestFit="1" customWidth="1"/>
    <col min="5569" max="5569" width="18.109375" style="137" bestFit="1" customWidth="1"/>
    <col min="5570" max="5570" width="10.5546875" style="137" bestFit="1" customWidth="1"/>
    <col min="5571" max="5806" width="8.5546875" style="137"/>
    <col min="5807" max="5807" width="38.109375" style="137" customWidth="1"/>
    <col min="5808" max="5808" width="23.44140625" style="137" bestFit="1" customWidth="1"/>
    <col min="5809" max="5810" width="9.109375" style="137" customWidth="1"/>
    <col min="5811" max="5811" width="11.109375" style="137" bestFit="1" customWidth="1"/>
    <col min="5812" max="5812" width="14.44140625" style="137" bestFit="1" customWidth="1"/>
    <col min="5813" max="5813" width="8.109375" style="137" customWidth="1"/>
    <col min="5814" max="5814" width="10.5546875" style="137" bestFit="1" customWidth="1"/>
    <col min="5815" max="5815" width="12.109375" style="137" bestFit="1" customWidth="1"/>
    <col min="5816" max="5816" width="9.109375" style="137" customWidth="1"/>
    <col min="5817" max="5817" width="10.5546875" style="137" bestFit="1" customWidth="1"/>
    <col min="5818" max="5818" width="12.109375" style="137" bestFit="1" customWidth="1"/>
    <col min="5819" max="5819" width="8" style="137" customWidth="1"/>
    <col min="5820" max="5820" width="10.5546875" style="137" bestFit="1" customWidth="1"/>
    <col min="5821" max="5821" width="12.109375" style="137" bestFit="1" customWidth="1"/>
    <col min="5822" max="5822" width="8.109375" style="137" bestFit="1" customWidth="1"/>
    <col min="5823" max="5823" width="10.5546875" style="137" bestFit="1" customWidth="1"/>
    <col min="5824" max="5824" width="12.109375" style="137" bestFit="1" customWidth="1"/>
    <col min="5825" max="5825" width="18.109375" style="137" bestFit="1" customWidth="1"/>
    <col min="5826" max="5826" width="10.5546875" style="137" bestFit="1" customWidth="1"/>
    <col min="5827" max="6062" width="8.5546875" style="137"/>
    <col min="6063" max="6063" width="38.109375" style="137" customWidth="1"/>
    <col min="6064" max="6064" width="23.44140625" style="137" bestFit="1" customWidth="1"/>
    <col min="6065" max="6066" width="9.109375" style="137" customWidth="1"/>
    <col min="6067" max="6067" width="11.109375" style="137" bestFit="1" customWidth="1"/>
    <col min="6068" max="6068" width="14.44140625" style="137" bestFit="1" customWidth="1"/>
    <col min="6069" max="6069" width="8.109375" style="137" customWidth="1"/>
    <col min="6070" max="6070" width="10.5546875" style="137" bestFit="1" customWidth="1"/>
    <col min="6071" max="6071" width="12.109375" style="137" bestFit="1" customWidth="1"/>
    <col min="6072" max="6072" width="9.109375" style="137" customWidth="1"/>
    <col min="6073" max="6073" width="10.5546875" style="137" bestFit="1" customWidth="1"/>
    <col min="6074" max="6074" width="12.109375" style="137" bestFit="1" customWidth="1"/>
    <col min="6075" max="6075" width="8" style="137" customWidth="1"/>
    <col min="6076" max="6076" width="10.5546875" style="137" bestFit="1" customWidth="1"/>
    <col min="6077" max="6077" width="12.109375" style="137" bestFit="1" customWidth="1"/>
    <col min="6078" max="6078" width="8.109375" style="137" bestFit="1" customWidth="1"/>
    <col min="6079" max="6079" width="10.5546875" style="137" bestFit="1" customWidth="1"/>
    <col min="6080" max="6080" width="12.109375" style="137" bestFit="1" customWidth="1"/>
    <col min="6081" max="6081" width="18.109375" style="137" bestFit="1" customWidth="1"/>
    <col min="6082" max="6082" width="10.5546875" style="137" bestFit="1" customWidth="1"/>
    <col min="6083" max="6318" width="8.5546875" style="137"/>
    <col min="6319" max="6319" width="38.109375" style="137" customWidth="1"/>
    <col min="6320" max="6320" width="23.44140625" style="137" bestFit="1" customWidth="1"/>
    <col min="6321" max="6322" width="9.109375" style="137" customWidth="1"/>
    <col min="6323" max="6323" width="11.109375" style="137" bestFit="1" customWidth="1"/>
    <col min="6324" max="6324" width="14.44140625" style="137" bestFit="1" customWidth="1"/>
    <col min="6325" max="6325" width="8.109375" style="137" customWidth="1"/>
    <col min="6326" max="6326" width="10.5546875" style="137" bestFit="1" customWidth="1"/>
    <col min="6327" max="6327" width="12.109375" style="137" bestFit="1" customWidth="1"/>
    <col min="6328" max="6328" width="9.109375" style="137" customWidth="1"/>
    <col min="6329" max="6329" width="10.5546875" style="137" bestFit="1" customWidth="1"/>
    <col min="6330" max="6330" width="12.109375" style="137" bestFit="1" customWidth="1"/>
    <col min="6331" max="6331" width="8" style="137" customWidth="1"/>
    <col min="6332" max="6332" width="10.5546875" style="137" bestFit="1" customWidth="1"/>
    <col min="6333" max="6333" width="12.109375" style="137" bestFit="1" customWidth="1"/>
    <col min="6334" max="6334" width="8.109375" style="137" bestFit="1" customWidth="1"/>
    <col min="6335" max="6335" width="10.5546875" style="137" bestFit="1" customWidth="1"/>
    <col min="6336" max="6336" width="12.109375" style="137" bestFit="1" customWidth="1"/>
    <col min="6337" max="6337" width="18.109375" style="137" bestFit="1" customWidth="1"/>
    <col min="6338" max="6338" width="10.5546875" style="137" bestFit="1" customWidth="1"/>
    <col min="6339" max="6574" width="8.5546875" style="137"/>
    <col min="6575" max="6575" width="38.109375" style="137" customWidth="1"/>
    <col min="6576" max="6576" width="23.44140625" style="137" bestFit="1" customWidth="1"/>
    <col min="6577" max="6578" width="9.109375" style="137" customWidth="1"/>
    <col min="6579" max="6579" width="11.109375" style="137" bestFit="1" customWidth="1"/>
    <col min="6580" max="6580" width="14.44140625" style="137" bestFit="1" customWidth="1"/>
    <col min="6581" max="6581" width="8.109375" style="137" customWidth="1"/>
    <col min="6582" max="6582" width="10.5546875" style="137" bestFit="1" customWidth="1"/>
    <col min="6583" max="6583" width="12.109375" style="137" bestFit="1" customWidth="1"/>
    <col min="6584" max="6584" width="9.109375" style="137" customWidth="1"/>
    <col min="6585" max="6585" width="10.5546875" style="137" bestFit="1" customWidth="1"/>
    <col min="6586" max="6586" width="12.109375" style="137" bestFit="1" customWidth="1"/>
    <col min="6587" max="6587" width="8" style="137" customWidth="1"/>
    <col min="6588" max="6588" width="10.5546875" style="137" bestFit="1" customWidth="1"/>
    <col min="6589" max="6589" width="12.109375" style="137" bestFit="1" customWidth="1"/>
    <col min="6590" max="6590" width="8.109375" style="137" bestFit="1" customWidth="1"/>
    <col min="6591" max="6591" width="10.5546875" style="137" bestFit="1" customWidth="1"/>
    <col min="6592" max="6592" width="12.109375" style="137" bestFit="1" customWidth="1"/>
    <col min="6593" max="6593" width="18.109375" style="137" bestFit="1" customWidth="1"/>
    <col min="6594" max="6594" width="10.5546875" style="137" bestFit="1" customWidth="1"/>
    <col min="6595" max="6830" width="8.5546875" style="137"/>
    <col min="6831" max="6831" width="38.109375" style="137" customWidth="1"/>
    <col min="6832" max="6832" width="23.44140625" style="137" bestFit="1" customWidth="1"/>
    <col min="6833" max="6834" width="9.109375" style="137" customWidth="1"/>
    <col min="6835" max="6835" width="11.109375" style="137" bestFit="1" customWidth="1"/>
    <col min="6836" max="6836" width="14.44140625" style="137" bestFit="1" customWidth="1"/>
    <col min="6837" max="6837" width="8.109375" style="137" customWidth="1"/>
    <col min="6838" max="6838" width="10.5546875" style="137" bestFit="1" customWidth="1"/>
    <col min="6839" max="6839" width="12.109375" style="137" bestFit="1" customWidth="1"/>
    <col min="6840" max="6840" width="9.109375" style="137" customWidth="1"/>
    <col min="6841" max="6841" width="10.5546875" style="137" bestFit="1" customWidth="1"/>
    <col min="6842" max="6842" width="12.109375" style="137" bestFit="1" customWidth="1"/>
    <col min="6843" max="6843" width="8" style="137" customWidth="1"/>
    <col min="6844" max="6844" width="10.5546875" style="137" bestFit="1" customWidth="1"/>
    <col min="6845" max="6845" width="12.109375" style="137" bestFit="1" customWidth="1"/>
    <col min="6846" max="6846" width="8.109375" style="137" bestFit="1" customWidth="1"/>
    <col min="6847" max="6847" width="10.5546875" style="137" bestFit="1" customWidth="1"/>
    <col min="6848" max="6848" width="12.109375" style="137" bestFit="1" customWidth="1"/>
    <col min="6849" max="6849" width="18.109375" style="137" bestFit="1" customWidth="1"/>
    <col min="6850" max="6850" width="10.5546875" style="137" bestFit="1" customWidth="1"/>
    <col min="6851" max="7086" width="8.5546875" style="137"/>
    <col min="7087" max="7087" width="38.109375" style="137" customWidth="1"/>
    <col min="7088" max="7088" width="23.44140625" style="137" bestFit="1" customWidth="1"/>
    <col min="7089" max="7090" width="9.109375" style="137" customWidth="1"/>
    <col min="7091" max="7091" width="11.109375" style="137" bestFit="1" customWidth="1"/>
    <col min="7092" max="7092" width="14.44140625" style="137" bestFit="1" customWidth="1"/>
    <col min="7093" max="7093" width="8.109375" style="137" customWidth="1"/>
    <col min="7094" max="7094" width="10.5546875" style="137" bestFit="1" customWidth="1"/>
    <col min="7095" max="7095" width="12.109375" style="137" bestFit="1" customWidth="1"/>
    <col min="7096" max="7096" width="9.109375" style="137" customWidth="1"/>
    <col min="7097" max="7097" width="10.5546875" style="137" bestFit="1" customWidth="1"/>
    <col min="7098" max="7098" width="12.109375" style="137" bestFit="1" customWidth="1"/>
    <col min="7099" max="7099" width="8" style="137" customWidth="1"/>
    <col min="7100" max="7100" width="10.5546875" style="137" bestFit="1" customWidth="1"/>
    <col min="7101" max="7101" width="12.109375" style="137" bestFit="1" customWidth="1"/>
    <col min="7102" max="7102" width="8.109375" style="137" bestFit="1" customWidth="1"/>
    <col min="7103" max="7103" width="10.5546875" style="137" bestFit="1" customWidth="1"/>
    <col min="7104" max="7104" width="12.109375" style="137" bestFit="1" customWidth="1"/>
    <col min="7105" max="7105" width="18.109375" style="137" bestFit="1" customWidth="1"/>
    <col min="7106" max="7106" width="10.5546875" style="137" bestFit="1" customWidth="1"/>
    <col min="7107" max="7342" width="8.5546875" style="137"/>
    <col min="7343" max="7343" width="38.109375" style="137" customWidth="1"/>
    <col min="7344" max="7344" width="23.44140625" style="137" bestFit="1" customWidth="1"/>
    <col min="7345" max="7346" width="9.109375" style="137" customWidth="1"/>
    <col min="7347" max="7347" width="11.109375" style="137" bestFit="1" customWidth="1"/>
    <col min="7348" max="7348" width="14.44140625" style="137" bestFit="1" customWidth="1"/>
    <col min="7349" max="7349" width="8.109375" style="137" customWidth="1"/>
    <col min="7350" max="7350" width="10.5546875" style="137" bestFit="1" customWidth="1"/>
    <col min="7351" max="7351" width="12.109375" style="137" bestFit="1" customWidth="1"/>
    <col min="7352" max="7352" width="9.109375" style="137" customWidth="1"/>
    <col min="7353" max="7353" width="10.5546875" style="137" bestFit="1" customWidth="1"/>
    <col min="7354" max="7354" width="12.109375" style="137" bestFit="1" customWidth="1"/>
    <col min="7355" max="7355" width="8" style="137" customWidth="1"/>
    <col min="7356" max="7356" width="10.5546875" style="137" bestFit="1" customWidth="1"/>
    <col min="7357" max="7357" width="12.109375" style="137" bestFit="1" customWidth="1"/>
    <col min="7358" max="7358" width="8.109375" style="137" bestFit="1" customWidth="1"/>
    <col min="7359" max="7359" width="10.5546875" style="137" bestFit="1" customWidth="1"/>
    <col min="7360" max="7360" width="12.109375" style="137" bestFit="1" customWidth="1"/>
    <col min="7361" max="7361" width="18.109375" style="137" bestFit="1" customWidth="1"/>
    <col min="7362" max="7362" width="10.5546875" style="137" bestFit="1" customWidth="1"/>
    <col min="7363" max="7598" width="8.5546875" style="137"/>
    <col min="7599" max="7599" width="38.109375" style="137" customWidth="1"/>
    <col min="7600" max="7600" width="23.44140625" style="137" bestFit="1" customWidth="1"/>
    <col min="7601" max="7602" width="9.109375" style="137" customWidth="1"/>
    <col min="7603" max="7603" width="11.109375" style="137" bestFit="1" customWidth="1"/>
    <col min="7604" max="7604" width="14.44140625" style="137" bestFit="1" customWidth="1"/>
    <col min="7605" max="7605" width="8.109375" style="137" customWidth="1"/>
    <col min="7606" max="7606" width="10.5546875" style="137" bestFit="1" customWidth="1"/>
    <col min="7607" max="7607" width="12.109375" style="137" bestFit="1" customWidth="1"/>
    <col min="7608" max="7608" width="9.109375" style="137" customWidth="1"/>
    <col min="7609" max="7609" width="10.5546875" style="137" bestFit="1" customWidth="1"/>
    <col min="7610" max="7610" width="12.109375" style="137" bestFit="1" customWidth="1"/>
    <col min="7611" max="7611" width="8" style="137" customWidth="1"/>
    <col min="7612" max="7612" width="10.5546875" style="137" bestFit="1" customWidth="1"/>
    <col min="7613" max="7613" width="12.109375" style="137" bestFit="1" customWidth="1"/>
    <col min="7614" max="7614" width="8.109375" style="137" bestFit="1" customWidth="1"/>
    <col min="7615" max="7615" width="10.5546875" style="137" bestFit="1" customWidth="1"/>
    <col min="7616" max="7616" width="12.109375" style="137" bestFit="1" customWidth="1"/>
    <col min="7617" max="7617" width="18.109375" style="137" bestFit="1" customWidth="1"/>
    <col min="7618" max="7618" width="10.5546875" style="137" bestFit="1" customWidth="1"/>
    <col min="7619" max="7854" width="8.5546875" style="137"/>
    <col min="7855" max="7855" width="38.109375" style="137" customWidth="1"/>
    <col min="7856" max="7856" width="23.44140625" style="137" bestFit="1" customWidth="1"/>
    <col min="7857" max="7858" width="9.109375" style="137" customWidth="1"/>
    <col min="7859" max="7859" width="11.109375" style="137" bestFit="1" customWidth="1"/>
    <col min="7860" max="7860" width="14.44140625" style="137" bestFit="1" customWidth="1"/>
    <col min="7861" max="7861" width="8.109375" style="137" customWidth="1"/>
    <col min="7862" max="7862" width="10.5546875" style="137" bestFit="1" customWidth="1"/>
    <col min="7863" max="7863" width="12.109375" style="137" bestFit="1" customWidth="1"/>
    <col min="7864" max="7864" width="9.109375" style="137" customWidth="1"/>
    <col min="7865" max="7865" width="10.5546875" style="137" bestFit="1" customWidth="1"/>
    <col min="7866" max="7866" width="12.109375" style="137" bestFit="1" customWidth="1"/>
    <col min="7867" max="7867" width="8" style="137" customWidth="1"/>
    <col min="7868" max="7868" width="10.5546875" style="137" bestFit="1" customWidth="1"/>
    <col min="7869" max="7869" width="12.109375" style="137" bestFit="1" customWidth="1"/>
    <col min="7870" max="7870" width="8.109375" style="137" bestFit="1" customWidth="1"/>
    <col min="7871" max="7871" width="10.5546875" style="137" bestFit="1" customWidth="1"/>
    <col min="7872" max="7872" width="12.109375" style="137" bestFit="1" customWidth="1"/>
    <col min="7873" max="7873" width="18.109375" style="137" bestFit="1" customWidth="1"/>
    <col min="7874" max="7874" width="10.5546875" style="137" bestFit="1" customWidth="1"/>
    <col min="7875" max="8110" width="8.5546875" style="137"/>
    <col min="8111" max="8111" width="38.109375" style="137" customWidth="1"/>
    <col min="8112" max="8112" width="23.44140625" style="137" bestFit="1" customWidth="1"/>
    <col min="8113" max="8114" width="9.109375" style="137" customWidth="1"/>
    <col min="8115" max="8115" width="11.109375" style="137" bestFit="1" customWidth="1"/>
    <col min="8116" max="8116" width="14.44140625" style="137" bestFit="1" customWidth="1"/>
    <col min="8117" max="8117" width="8.109375" style="137" customWidth="1"/>
    <col min="8118" max="8118" width="10.5546875" style="137" bestFit="1" customWidth="1"/>
    <col min="8119" max="8119" width="12.109375" style="137" bestFit="1" customWidth="1"/>
    <col min="8120" max="8120" width="9.109375" style="137" customWidth="1"/>
    <col min="8121" max="8121" width="10.5546875" style="137" bestFit="1" customWidth="1"/>
    <col min="8122" max="8122" width="12.109375" style="137" bestFit="1" customWidth="1"/>
    <col min="8123" max="8123" width="8" style="137" customWidth="1"/>
    <col min="8124" max="8124" width="10.5546875" style="137" bestFit="1" customWidth="1"/>
    <col min="8125" max="8125" width="12.109375" style="137" bestFit="1" customWidth="1"/>
    <col min="8126" max="8126" width="8.109375" style="137" bestFit="1" customWidth="1"/>
    <col min="8127" max="8127" width="10.5546875" style="137" bestFit="1" customWidth="1"/>
    <col min="8128" max="8128" width="12.109375" style="137" bestFit="1" customWidth="1"/>
    <col min="8129" max="8129" width="18.109375" style="137" bestFit="1" customWidth="1"/>
    <col min="8130" max="8130" width="10.5546875" style="137" bestFit="1" customWidth="1"/>
    <col min="8131" max="8366" width="8.5546875" style="137"/>
    <col min="8367" max="8367" width="38.109375" style="137" customWidth="1"/>
    <col min="8368" max="8368" width="23.44140625" style="137" bestFit="1" customWidth="1"/>
    <col min="8369" max="8370" width="9.109375" style="137" customWidth="1"/>
    <col min="8371" max="8371" width="11.109375" style="137" bestFit="1" customWidth="1"/>
    <col min="8372" max="8372" width="14.44140625" style="137" bestFit="1" customWidth="1"/>
    <col min="8373" max="8373" width="8.109375" style="137" customWidth="1"/>
    <col min="8374" max="8374" width="10.5546875" style="137" bestFit="1" customWidth="1"/>
    <col min="8375" max="8375" width="12.109375" style="137" bestFit="1" customWidth="1"/>
    <col min="8376" max="8376" width="9.109375" style="137" customWidth="1"/>
    <col min="8377" max="8377" width="10.5546875" style="137" bestFit="1" customWidth="1"/>
    <col min="8378" max="8378" width="12.109375" style="137" bestFit="1" customWidth="1"/>
    <col min="8379" max="8379" width="8" style="137" customWidth="1"/>
    <col min="8380" max="8380" width="10.5546875" style="137" bestFit="1" customWidth="1"/>
    <col min="8381" max="8381" width="12.109375" style="137" bestFit="1" customWidth="1"/>
    <col min="8382" max="8382" width="8.109375" style="137" bestFit="1" customWidth="1"/>
    <col min="8383" max="8383" width="10.5546875" style="137" bestFit="1" customWidth="1"/>
    <col min="8384" max="8384" width="12.109375" style="137" bestFit="1" customWidth="1"/>
    <col min="8385" max="8385" width="18.109375" style="137" bestFit="1" customWidth="1"/>
    <col min="8386" max="8386" width="10.5546875" style="137" bestFit="1" customWidth="1"/>
    <col min="8387" max="8622" width="8.5546875" style="137"/>
    <col min="8623" max="8623" width="38.109375" style="137" customWidth="1"/>
    <col min="8624" max="8624" width="23.44140625" style="137" bestFit="1" customWidth="1"/>
    <col min="8625" max="8626" width="9.109375" style="137" customWidth="1"/>
    <col min="8627" max="8627" width="11.109375" style="137" bestFit="1" customWidth="1"/>
    <col min="8628" max="8628" width="14.44140625" style="137" bestFit="1" customWidth="1"/>
    <col min="8629" max="8629" width="8.109375" style="137" customWidth="1"/>
    <col min="8630" max="8630" width="10.5546875" style="137" bestFit="1" customWidth="1"/>
    <col min="8631" max="8631" width="12.109375" style="137" bestFit="1" customWidth="1"/>
    <col min="8632" max="8632" width="9.109375" style="137" customWidth="1"/>
    <col min="8633" max="8633" width="10.5546875" style="137" bestFit="1" customWidth="1"/>
    <col min="8634" max="8634" width="12.109375" style="137" bestFit="1" customWidth="1"/>
    <col min="8635" max="8635" width="8" style="137" customWidth="1"/>
    <col min="8636" max="8636" width="10.5546875" style="137" bestFit="1" customWidth="1"/>
    <col min="8637" max="8637" width="12.109375" style="137" bestFit="1" customWidth="1"/>
    <col min="8638" max="8638" width="8.109375" style="137" bestFit="1" customWidth="1"/>
    <col min="8639" max="8639" width="10.5546875" style="137" bestFit="1" customWidth="1"/>
    <col min="8640" max="8640" width="12.109375" style="137" bestFit="1" customWidth="1"/>
    <col min="8641" max="8641" width="18.109375" style="137" bestFit="1" customWidth="1"/>
    <col min="8642" max="8642" width="10.5546875" style="137" bestFit="1" customWidth="1"/>
    <col min="8643" max="8878" width="8.5546875" style="137"/>
    <col min="8879" max="8879" width="38.109375" style="137" customWidth="1"/>
    <col min="8880" max="8880" width="23.44140625" style="137" bestFit="1" customWidth="1"/>
    <col min="8881" max="8882" width="9.109375" style="137" customWidth="1"/>
    <col min="8883" max="8883" width="11.109375" style="137" bestFit="1" customWidth="1"/>
    <col min="8884" max="8884" width="14.44140625" style="137" bestFit="1" customWidth="1"/>
    <col min="8885" max="8885" width="8.109375" style="137" customWidth="1"/>
    <col min="8886" max="8886" width="10.5546875" style="137" bestFit="1" customWidth="1"/>
    <col min="8887" max="8887" width="12.109375" style="137" bestFit="1" customWidth="1"/>
    <col min="8888" max="8888" width="9.109375" style="137" customWidth="1"/>
    <col min="8889" max="8889" width="10.5546875" style="137" bestFit="1" customWidth="1"/>
    <col min="8890" max="8890" width="12.109375" style="137" bestFit="1" customWidth="1"/>
    <col min="8891" max="8891" width="8" style="137" customWidth="1"/>
    <col min="8892" max="8892" width="10.5546875" style="137" bestFit="1" customWidth="1"/>
    <col min="8893" max="8893" width="12.109375" style="137" bestFit="1" customWidth="1"/>
    <col min="8894" max="8894" width="8.109375" style="137" bestFit="1" customWidth="1"/>
    <col min="8895" max="8895" width="10.5546875" style="137" bestFit="1" customWidth="1"/>
    <col min="8896" max="8896" width="12.109375" style="137" bestFit="1" customWidth="1"/>
    <col min="8897" max="8897" width="18.109375" style="137" bestFit="1" customWidth="1"/>
    <col min="8898" max="8898" width="10.5546875" style="137" bestFit="1" customWidth="1"/>
    <col min="8899" max="9134" width="8.5546875" style="137"/>
    <col min="9135" max="9135" width="38.109375" style="137" customWidth="1"/>
    <col min="9136" max="9136" width="23.44140625" style="137" bestFit="1" customWidth="1"/>
    <col min="9137" max="9138" width="9.109375" style="137" customWidth="1"/>
    <col min="9139" max="9139" width="11.109375" style="137" bestFit="1" customWidth="1"/>
    <col min="9140" max="9140" width="14.44140625" style="137" bestFit="1" customWidth="1"/>
    <col min="9141" max="9141" width="8.109375" style="137" customWidth="1"/>
    <col min="9142" max="9142" width="10.5546875" style="137" bestFit="1" customWidth="1"/>
    <col min="9143" max="9143" width="12.109375" style="137" bestFit="1" customWidth="1"/>
    <col min="9144" max="9144" width="9.109375" style="137" customWidth="1"/>
    <col min="9145" max="9145" width="10.5546875" style="137" bestFit="1" customWidth="1"/>
    <col min="9146" max="9146" width="12.109375" style="137" bestFit="1" customWidth="1"/>
    <col min="9147" max="9147" width="8" style="137" customWidth="1"/>
    <col min="9148" max="9148" width="10.5546875" style="137" bestFit="1" customWidth="1"/>
    <col min="9149" max="9149" width="12.109375" style="137" bestFit="1" customWidth="1"/>
    <col min="9150" max="9150" width="8.109375" style="137" bestFit="1" customWidth="1"/>
    <col min="9151" max="9151" width="10.5546875" style="137" bestFit="1" customWidth="1"/>
    <col min="9152" max="9152" width="12.109375" style="137" bestFit="1" customWidth="1"/>
    <col min="9153" max="9153" width="18.109375" style="137" bestFit="1" customWidth="1"/>
    <col min="9154" max="9154" width="10.5546875" style="137" bestFit="1" customWidth="1"/>
    <col min="9155" max="9390" width="8.5546875" style="137"/>
    <col min="9391" max="9391" width="38.109375" style="137" customWidth="1"/>
    <col min="9392" max="9392" width="23.44140625" style="137" bestFit="1" customWidth="1"/>
    <col min="9393" max="9394" width="9.109375" style="137" customWidth="1"/>
    <col min="9395" max="9395" width="11.109375" style="137" bestFit="1" customWidth="1"/>
    <col min="9396" max="9396" width="14.44140625" style="137" bestFit="1" customWidth="1"/>
    <col min="9397" max="9397" width="8.109375" style="137" customWidth="1"/>
    <col min="9398" max="9398" width="10.5546875" style="137" bestFit="1" customWidth="1"/>
    <col min="9399" max="9399" width="12.109375" style="137" bestFit="1" customWidth="1"/>
    <col min="9400" max="9400" width="9.109375" style="137" customWidth="1"/>
    <col min="9401" max="9401" width="10.5546875" style="137" bestFit="1" customWidth="1"/>
    <col min="9402" max="9402" width="12.109375" style="137" bestFit="1" customWidth="1"/>
    <col min="9403" max="9403" width="8" style="137" customWidth="1"/>
    <col min="9404" max="9404" width="10.5546875" style="137" bestFit="1" customWidth="1"/>
    <col min="9405" max="9405" width="12.109375" style="137" bestFit="1" customWidth="1"/>
    <col min="9406" max="9406" width="8.109375" style="137" bestFit="1" customWidth="1"/>
    <col min="9407" max="9407" width="10.5546875" style="137" bestFit="1" customWidth="1"/>
    <col min="9408" max="9408" width="12.109375" style="137" bestFit="1" customWidth="1"/>
    <col min="9409" max="9409" width="18.109375" style="137" bestFit="1" customWidth="1"/>
    <col min="9410" max="9410" width="10.5546875" style="137" bestFit="1" customWidth="1"/>
    <col min="9411" max="9646" width="8.5546875" style="137"/>
    <col min="9647" max="9647" width="38.109375" style="137" customWidth="1"/>
    <col min="9648" max="9648" width="23.44140625" style="137" bestFit="1" customWidth="1"/>
    <col min="9649" max="9650" width="9.109375" style="137" customWidth="1"/>
    <col min="9651" max="9651" width="11.109375" style="137" bestFit="1" customWidth="1"/>
    <col min="9652" max="9652" width="14.44140625" style="137" bestFit="1" customWidth="1"/>
    <col min="9653" max="9653" width="8.109375" style="137" customWidth="1"/>
    <col min="9654" max="9654" width="10.5546875" style="137" bestFit="1" customWidth="1"/>
    <col min="9655" max="9655" width="12.109375" style="137" bestFit="1" customWidth="1"/>
    <col min="9656" max="9656" width="9.109375" style="137" customWidth="1"/>
    <col min="9657" max="9657" width="10.5546875" style="137" bestFit="1" customWidth="1"/>
    <col min="9658" max="9658" width="12.109375" style="137" bestFit="1" customWidth="1"/>
    <col min="9659" max="9659" width="8" style="137" customWidth="1"/>
    <col min="9660" max="9660" width="10.5546875" style="137" bestFit="1" customWidth="1"/>
    <col min="9661" max="9661" width="12.109375" style="137" bestFit="1" customWidth="1"/>
    <col min="9662" max="9662" width="8.109375" style="137" bestFit="1" customWidth="1"/>
    <col min="9663" max="9663" width="10.5546875" style="137" bestFit="1" customWidth="1"/>
    <col min="9664" max="9664" width="12.109375" style="137" bestFit="1" customWidth="1"/>
    <col min="9665" max="9665" width="18.109375" style="137" bestFit="1" customWidth="1"/>
    <col min="9666" max="9666" width="10.5546875" style="137" bestFit="1" customWidth="1"/>
    <col min="9667" max="9902" width="8.5546875" style="137"/>
    <col min="9903" max="9903" width="38.109375" style="137" customWidth="1"/>
    <col min="9904" max="9904" width="23.44140625" style="137" bestFit="1" customWidth="1"/>
    <col min="9905" max="9906" width="9.109375" style="137" customWidth="1"/>
    <col min="9907" max="9907" width="11.109375" style="137" bestFit="1" customWidth="1"/>
    <col min="9908" max="9908" width="14.44140625" style="137" bestFit="1" customWidth="1"/>
    <col min="9909" max="9909" width="8.109375" style="137" customWidth="1"/>
    <col min="9910" max="9910" width="10.5546875" style="137" bestFit="1" customWidth="1"/>
    <col min="9911" max="9911" width="12.109375" style="137" bestFit="1" customWidth="1"/>
    <col min="9912" max="9912" width="9.109375" style="137" customWidth="1"/>
    <col min="9913" max="9913" width="10.5546875" style="137" bestFit="1" customWidth="1"/>
    <col min="9914" max="9914" width="12.109375" style="137" bestFit="1" customWidth="1"/>
    <col min="9915" max="9915" width="8" style="137" customWidth="1"/>
    <col min="9916" max="9916" width="10.5546875" style="137" bestFit="1" customWidth="1"/>
    <col min="9917" max="9917" width="12.109375" style="137" bestFit="1" customWidth="1"/>
    <col min="9918" max="9918" width="8.109375" style="137" bestFit="1" customWidth="1"/>
    <col min="9919" max="9919" width="10.5546875" style="137" bestFit="1" customWidth="1"/>
    <col min="9920" max="9920" width="12.109375" style="137" bestFit="1" customWidth="1"/>
    <col min="9921" max="9921" width="18.109375" style="137" bestFit="1" customWidth="1"/>
    <col min="9922" max="9922" width="10.5546875" style="137" bestFit="1" customWidth="1"/>
    <col min="9923" max="10158" width="8.5546875" style="137"/>
    <col min="10159" max="10159" width="38.109375" style="137" customWidth="1"/>
    <col min="10160" max="10160" width="23.44140625" style="137" bestFit="1" customWidth="1"/>
    <col min="10161" max="10162" width="9.109375" style="137" customWidth="1"/>
    <col min="10163" max="10163" width="11.109375" style="137" bestFit="1" customWidth="1"/>
    <col min="10164" max="10164" width="14.44140625" style="137" bestFit="1" customWidth="1"/>
    <col min="10165" max="10165" width="8.109375" style="137" customWidth="1"/>
    <col min="10166" max="10166" width="10.5546875" style="137" bestFit="1" customWidth="1"/>
    <col min="10167" max="10167" width="12.109375" style="137" bestFit="1" customWidth="1"/>
    <col min="10168" max="10168" width="9.109375" style="137" customWidth="1"/>
    <col min="10169" max="10169" width="10.5546875" style="137" bestFit="1" customWidth="1"/>
    <col min="10170" max="10170" width="12.109375" style="137" bestFit="1" customWidth="1"/>
    <col min="10171" max="10171" width="8" style="137" customWidth="1"/>
    <col min="10172" max="10172" width="10.5546875" style="137" bestFit="1" customWidth="1"/>
    <col min="10173" max="10173" width="12.109375" style="137" bestFit="1" customWidth="1"/>
    <col min="10174" max="10174" width="8.109375" style="137" bestFit="1" customWidth="1"/>
    <col min="10175" max="10175" width="10.5546875" style="137" bestFit="1" customWidth="1"/>
    <col min="10176" max="10176" width="12.109375" style="137" bestFit="1" customWidth="1"/>
    <col min="10177" max="10177" width="18.109375" style="137" bestFit="1" customWidth="1"/>
    <col min="10178" max="10178" width="10.5546875" style="137" bestFit="1" customWidth="1"/>
    <col min="10179" max="10414" width="8.5546875" style="137"/>
    <col min="10415" max="10415" width="38.109375" style="137" customWidth="1"/>
    <col min="10416" max="10416" width="23.44140625" style="137" bestFit="1" customWidth="1"/>
    <col min="10417" max="10418" width="9.109375" style="137" customWidth="1"/>
    <col min="10419" max="10419" width="11.109375" style="137" bestFit="1" customWidth="1"/>
    <col min="10420" max="10420" width="14.44140625" style="137" bestFit="1" customWidth="1"/>
    <col min="10421" max="10421" width="8.109375" style="137" customWidth="1"/>
    <col min="10422" max="10422" width="10.5546875" style="137" bestFit="1" customWidth="1"/>
    <col min="10423" max="10423" width="12.109375" style="137" bestFit="1" customWidth="1"/>
    <col min="10424" max="10424" width="9.109375" style="137" customWidth="1"/>
    <col min="10425" max="10425" width="10.5546875" style="137" bestFit="1" customWidth="1"/>
    <col min="10426" max="10426" width="12.109375" style="137" bestFit="1" customWidth="1"/>
    <col min="10427" max="10427" width="8" style="137" customWidth="1"/>
    <col min="10428" max="10428" width="10.5546875" style="137" bestFit="1" customWidth="1"/>
    <col min="10429" max="10429" width="12.109375" style="137" bestFit="1" customWidth="1"/>
    <col min="10430" max="10430" width="8.109375" style="137" bestFit="1" customWidth="1"/>
    <col min="10431" max="10431" width="10.5546875" style="137" bestFit="1" customWidth="1"/>
    <col min="10432" max="10432" width="12.109375" style="137" bestFit="1" customWidth="1"/>
    <col min="10433" max="10433" width="18.109375" style="137" bestFit="1" customWidth="1"/>
    <col min="10434" max="10434" width="10.5546875" style="137" bestFit="1" customWidth="1"/>
    <col min="10435" max="10670" width="8.5546875" style="137"/>
    <col min="10671" max="10671" width="38.109375" style="137" customWidth="1"/>
    <col min="10672" max="10672" width="23.44140625" style="137" bestFit="1" customWidth="1"/>
    <col min="10673" max="10674" width="9.109375" style="137" customWidth="1"/>
    <col min="10675" max="10675" width="11.109375" style="137" bestFit="1" customWidth="1"/>
    <col min="10676" max="10676" width="14.44140625" style="137" bestFit="1" customWidth="1"/>
    <col min="10677" max="10677" width="8.109375" style="137" customWidth="1"/>
    <col min="10678" max="10678" width="10.5546875" style="137" bestFit="1" customWidth="1"/>
    <col min="10679" max="10679" width="12.109375" style="137" bestFit="1" customWidth="1"/>
    <col min="10680" max="10680" width="9.109375" style="137" customWidth="1"/>
    <col min="10681" max="10681" width="10.5546875" style="137" bestFit="1" customWidth="1"/>
    <col min="10682" max="10682" width="12.109375" style="137" bestFit="1" customWidth="1"/>
    <col min="10683" max="10683" width="8" style="137" customWidth="1"/>
    <col min="10684" max="10684" width="10.5546875" style="137" bestFit="1" customWidth="1"/>
    <col min="10685" max="10685" width="12.109375" style="137" bestFit="1" customWidth="1"/>
    <col min="10686" max="10686" width="8.109375" style="137" bestFit="1" customWidth="1"/>
    <col min="10687" max="10687" width="10.5546875" style="137" bestFit="1" customWidth="1"/>
    <col min="10688" max="10688" width="12.109375" style="137" bestFit="1" customWidth="1"/>
    <col min="10689" max="10689" width="18.109375" style="137" bestFit="1" customWidth="1"/>
    <col min="10690" max="10690" width="10.5546875" style="137" bestFit="1" customWidth="1"/>
    <col min="10691" max="10926" width="8.5546875" style="137"/>
    <col min="10927" max="10927" width="38.109375" style="137" customWidth="1"/>
    <col min="10928" max="10928" width="23.44140625" style="137" bestFit="1" customWidth="1"/>
    <col min="10929" max="10930" width="9.109375" style="137" customWidth="1"/>
    <col min="10931" max="10931" width="11.109375" style="137" bestFit="1" customWidth="1"/>
    <col min="10932" max="10932" width="14.44140625" style="137" bestFit="1" customWidth="1"/>
    <col min="10933" max="10933" width="8.109375" style="137" customWidth="1"/>
    <col min="10934" max="10934" width="10.5546875" style="137" bestFit="1" customWidth="1"/>
    <col min="10935" max="10935" width="12.109375" style="137" bestFit="1" customWidth="1"/>
    <col min="10936" max="10936" width="9.109375" style="137" customWidth="1"/>
    <col min="10937" max="10937" width="10.5546875" style="137" bestFit="1" customWidth="1"/>
    <col min="10938" max="10938" width="12.109375" style="137" bestFit="1" customWidth="1"/>
    <col min="10939" max="10939" width="8" style="137" customWidth="1"/>
    <col min="10940" max="10940" width="10.5546875" style="137" bestFit="1" customWidth="1"/>
    <col min="10941" max="10941" width="12.109375" style="137" bestFit="1" customWidth="1"/>
    <col min="10942" max="10942" width="8.109375" style="137" bestFit="1" customWidth="1"/>
    <col min="10943" max="10943" width="10.5546875" style="137" bestFit="1" customWidth="1"/>
    <col min="10944" max="10944" width="12.109375" style="137" bestFit="1" customWidth="1"/>
    <col min="10945" max="10945" width="18.109375" style="137" bestFit="1" customWidth="1"/>
    <col min="10946" max="10946" width="10.5546875" style="137" bestFit="1" customWidth="1"/>
    <col min="10947" max="11182" width="8.5546875" style="137"/>
    <col min="11183" max="11183" width="38.109375" style="137" customWidth="1"/>
    <col min="11184" max="11184" width="23.44140625" style="137" bestFit="1" customWidth="1"/>
    <col min="11185" max="11186" width="9.109375" style="137" customWidth="1"/>
    <col min="11187" max="11187" width="11.109375" style="137" bestFit="1" customWidth="1"/>
    <col min="11188" max="11188" width="14.44140625" style="137" bestFit="1" customWidth="1"/>
    <col min="11189" max="11189" width="8.109375" style="137" customWidth="1"/>
    <col min="11190" max="11190" width="10.5546875" style="137" bestFit="1" customWidth="1"/>
    <col min="11191" max="11191" width="12.109375" style="137" bestFit="1" customWidth="1"/>
    <col min="11192" max="11192" width="9.109375" style="137" customWidth="1"/>
    <col min="11193" max="11193" width="10.5546875" style="137" bestFit="1" customWidth="1"/>
    <col min="11194" max="11194" width="12.109375" style="137" bestFit="1" customWidth="1"/>
    <col min="11195" max="11195" width="8" style="137" customWidth="1"/>
    <col min="11196" max="11196" width="10.5546875" style="137" bestFit="1" customWidth="1"/>
    <col min="11197" max="11197" width="12.109375" style="137" bestFit="1" customWidth="1"/>
    <col min="11198" max="11198" width="8.109375" style="137" bestFit="1" customWidth="1"/>
    <col min="11199" max="11199" width="10.5546875" style="137" bestFit="1" customWidth="1"/>
    <col min="11200" max="11200" width="12.109375" style="137" bestFit="1" customWidth="1"/>
    <col min="11201" max="11201" width="18.109375" style="137" bestFit="1" customWidth="1"/>
    <col min="11202" max="11202" width="10.5546875" style="137" bestFit="1" customWidth="1"/>
    <col min="11203" max="11438" width="8.5546875" style="137"/>
    <col min="11439" max="11439" width="38.109375" style="137" customWidth="1"/>
    <col min="11440" max="11440" width="23.44140625" style="137" bestFit="1" customWidth="1"/>
    <col min="11441" max="11442" width="9.109375" style="137" customWidth="1"/>
    <col min="11443" max="11443" width="11.109375" style="137" bestFit="1" customWidth="1"/>
    <col min="11444" max="11444" width="14.44140625" style="137" bestFit="1" customWidth="1"/>
    <col min="11445" max="11445" width="8.109375" style="137" customWidth="1"/>
    <col min="11446" max="11446" width="10.5546875" style="137" bestFit="1" customWidth="1"/>
    <col min="11447" max="11447" width="12.109375" style="137" bestFit="1" customWidth="1"/>
    <col min="11448" max="11448" width="9.109375" style="137" customWidth="1"/>
    <col min="11449" max="11449" width="10.5546875" style="137" bestFit="1" customWidth="1"/>
    <col min="11450" max="11450" width="12.109375" style="137" bestFit="1" customWidth="1"/>
    <col min="11451" max="11451" width="8" style="137" customWidth="1"/>
    <col min="11452" max="11452" width="10.5546875" style="137" bestFit="1" customWidth="1"/>
    <col min="11453" max="11453" width="12.109375" style="137" bestFit="1" customWidth="1"/>
    <col min="11454" max="11454" width="8.109375" style="137" bestFit="1" customWidth="1"/>
    <col min="11455" max="11455" width="10.5546875" style="137" bestFit="1" customWidth="1"/>
    <col min="11456" max="11456" width="12.109375" style="137" bestFit="1" customWidth="1"/>
    <col min="11457" max="11457" width="18.109375" style="137" bestFit="1" customWidth="1"/>
    <col min="11458" max="11458" width="10.5546875" style="137" bestFit="1" customWidth="1"/>
    <col min="11459" max="11694" width="8.5546875" style="137"/>
    <col min="11695" max="11695" width="38.109375" style="137" customWidth="1"/>
    <col min="11696" max="11696" width="23.44140625" style="137" bestFit="1" customWidth="1"/>
    <col min="11697" max="11698" width="9.109375" style="137" customWidth="1"/>
    <col min="11699" max="11699" width="11.109375" style="137" bestFit="1" customWidth="1"/>
    <col min="11700" max="11700" width="14.44140625" style="137" bestFit="1" customWidth="1"/>
    <col min="11701" max="11701" width="8.109375" style="137" customWidth="1"/>
    <col min="11702" max="11702" width="10.5546875" style="137" bestFit="1" customWidth="1"/>
    <col min="11703" max="11703" width="12.109375" style="137" bestFit="1" customWidth="1"/>
    <col min="11704" max="11704" width="9.109375" style="137" customWidth="1"/>
    <col min="11705" max="11705" width="10.5546875" style="137" bestFit="1" customWidth="1"/>
    <col min="11706" max="11706" width="12.109375" style="137" bestFit="1" customWidth="1"/>
    <col min="11707" max="11707" width="8" style="137" customWidth="1"/>
    <col min="11708" max="11708" width="10.5546875" style="137" bestFit="1" customWidth="1"/>
    <col min="11709" max="11709" width="12.109375" style="137" bestFit="1" customWidth="1"/>
    <col min="11710" max="11710" width="8.109375" style="137" bestFit="1" customWidth="1"/>
    <col min="11711" max="11711" width="10.5546875" style="137" bestFit="1" customWidth="1"/>
    <col min="11712" max="11712" width="12.109375" style="137" bestFit="1" customWidth="1"/>
    <col min="11713" max="11713" width="18.109375" style="137" bestFit="1" customWidth="1"/>
    <col min="11714" max="11714" width="10.5546875" style="137" bestFit="1" customWidth="1"/>
    <col min="11715" max="11950" width="8.5546875" style="137"/>
    <col min="11951" max="11951" width="38.109375" style="137" customWidth="1"/>
    <col min="11952" max="11952" width="23.44140625" style="137" bestFit="1" customWidth="1"/>
    <col min="11953" max="11954" width="9.109375" style="137" customWidth="1"/>
    <col min="11955" max="11955" width="11.109375" style="137" bestFit="1" customWidth="1"/>
    <col min="11956" max="11956" width="14.44140625" style="137" bestFit="1" customWidth="1"/>
    <col min="11957" max="11957" width="8.109375" style="137" customWidth="1"/>
    <col min="11958" max="11958" width="10.5546875" style="137" bestFit="1" customWidth="1"/>
    <col min="11959" max="11959" width="12.109375" style="137" bestFit="1" customWidth="1"/>
    <col min="11960" max="11960" width="9.109375" style="137" customWidth="1"/>
    <col min="11961" max="11961" width="10.5546875" style="137" bestFit="1" customWidth="1"/>
    <col min="11962" max="11962" width="12.109375" style="137" bestFit="1" customWidth="1"/>
    <col min="11963" max="11963" width="8" style="137" customWidth="1"/>
    <col min="11964" max="11964" width="10.5546875" style="137" bestFit="1" customWidth="1"/>
    <col min="11965" max="11965" width="12.109375" style="137" bestFit="1" customWidth="1"/>
    <col min="11966" max="11966" width="8.109375" style="137" bestFit="1" customWidth="1"/>
    <col min="11967" max="11967" width="10.5546875" style="137" bestFit="1" customWidth="1"/>
    <col min="11968" max="11968" width="12.109375" style="137" bestFit="1" customWidth="1"/>
    <col min="11969" max="11969" width="18.109375" style="137" bestFit="1" customWidth="1"/>
    <col min="11970" max="11970" width="10.5546875" style="137" bestFit="1" customWidth="1"/>
    <col min="11971" max="12206" width="8.5546875" style="137"/>
    <col min="12207" max="12207" width="38.109375" style="137" customWidth="1"/>
    <col min="12208" max="12208" width="23.44140625" style="137" bestFit="1" customWidth="1"/>
    <col min="12209" max="12210" width="9.109375" style="137" customWidth="1"/>
    <col min="12211" max="12211" width="11.109375" style="137" bestFit="1" customWidth="1"/>
    <col min="12212" max="12212" width="14.44140625" style="137" bestFit="1" customWidth="1"/>
    <col min="12213" max="12213" width="8.109375" style="137" customWidth="1"/>
    <col min="12214" max="12214" width="10.5546875" style="137" bestFit="1" customWidth="1"/>
    <col min="12215" max="12215" width="12.109375" style="137" bestFit="1" customWidth="1"/>
    <col min="12216" max="12216" width="9.109375" style="137" customWidth="1"/>
    <col min="12217" max="12217" width="10.5546875" style="137" bestFit="1" customWidth="1"/>
    <col min="12218" max="12218" width="12.109375" style="137" bestFit="1" customWidth="1"/>
    <col min="12219" max="12219" width="8" style="137" customWidth="1"/>
    <col min="12220" max="12220" width="10.5546875" style="137" bestFit="1" customWidth="1"/>
    <col min="12221" max="12221" width="12.109375" style="137" bestFit="1" customWidth="1"/>
    <col min="12222" max="12222" width="8.109375" style="137" bestFit="1" customWidth="1"/>
    <col min="12223" max="12223" width="10.5546875" style="137" bestFit="1" customWidth="1"/>
    <col min="12224" max="12224" width="12.109375" style="137" bestFit="1" customWidth="1"/>
    <col min="12225" max="12225" width="18.109375" style="137" bestFit="1" customWidth="1"/>
    <col min="12226" max="12226" width="10.5546875" style="137" bestFit="1" customWidth="1"/>
    <col min="12227" max="12462" width="8.5546875" style="137"/>
    <col min="12463" max="12463" width="38.109375" style="137" customWidth="1"/>
    <col min="12464" max="12464" width="23.44140625" style="137" bestFit="1" customWidth="1"/>
    <col min="12465" max="12466" width="9.109375" style="137" customWidth="1"/>
    <col min="12467" max="12467" width="11.109375" style="137" bestFit="1" customWidth="1"/>
    <col min="12468" max="12468" width="14.44140625" style="137" bestFit="1" customWidth="1"/>
    <col min="12469" max="12469" width="8.109375" style="137" customWidth="1"/>
    <col min="12470" max="12470" width="10.5546875" style="137" bestFit="1" customWidth="1"/>
    <col min="12471" max="12471" width="12.109375" style="137" bestFit="1" customWidth="1"/>
    <col min="12472" max="12472" width="9.109375" style="137" customWidth="1"/>
    <col min="12473" max="12473" width="10.5546875" style="137" bestFit="1" customWidth="1"/>
    <col min="12474" max="12474" width="12.109375" style="137" bestFit="1" customWidth="1"/>
    <col min="12475" max="12475" width="8" style="137" customWidth="1"/>
    <col min="12476" max="12476" width="10.5546875" style="137" bestFit="1" customWidth="1"/>
    <col min="12477" max="12477" width="12.109375" style="137" bestFit="1" customWidth="1"/>
    <col min="12478" max="12478" width="8.109375" style="137" bestFit="1" customWidth="1"/>
    <col min="12479" max="12479" width="10.5546875" style="137" bestFit="1" customWidth="1"/>
    <col min="12480" max="12480" width="12.109375" style="137" bestFit="1" customWidth="1"/>
    <col min="12481" max="12481" width="18.109375" style="137" bestFit="1" customWidth="1"/>
    <col min="12482" max="12482" width="10.5546875" style="137" bestFit="1" customWidth="1"/>
    <col min="12483" max="12718" width="8.5546875" style="137"/>
    <col min="12719" max="12719" width="38.109375" style="137" customWidth="1"/>
    <col min="12720" max="12720" width="23.44140625" style="137" bestFit="1" customWidth="1"/>
    <col min="12721" max="12722" width="9.109375" style="137" customWidth="1"/>
    <col min="12723" max="12723" width="11.109375" style="137" bestFit="1" customWidth="1"/>
    <col min="12724" max="12724" width="14.44140625" style="137" bestFit="1" customWidth="1"/>
    <col min="12725" max="12725" width="8.109375" style="137" customWidth="1"/>
    <col min="12726" max="12726" width="10.5546875" style="137" bestFit="1" customWidth="1"/>
    <col min="12727" max="12727" width="12.109375" style="137" bestFit="1" customWidth="1"/>
    <col min="12728" max="12728" width="9.109375" style="137" customWidth="1"/>
    <col min="12729" max="12729" width="10.5546875" style="137" bestFit="1" customWidth="1"/>
    <col min="12730" max="12730" width="12.109375" style="137" bestFit="1" customWidth="1"/>
    <col min="12731" max="12731" width="8" style="137" customWidth="1"/>
    <col min="12732" max="12732" width="10.5546875" style="137" bestFit="1" customWidth="1"/>
    <col min="12733" max="12733" width="12.109375" style="137" bestFit="1" customWidth="1"/>
    <col min="12734" max="12734" width="8.109375" style="137" bestFit="1" customWidth="1"/>
    <col min="12735" max="12735" width="10.5546875" style="137" bestFit="1" customWidth="1"/>
    <col min="12736" max="12736" width="12.109375" style="137" bestFit="1" customWidth="1"/>
    <col min="12737" max="12737" width="18.109375" style="137" bestFit="1" customWidth="1"/>
    <col min="12738" max="12738" width="10.5546875" style="137" bestFit="1" customWidth="1"/>
    <col min="12739" max="12974" width="8.5546875" style="137"/>
    <col min="12975" max="12975" width="38.109375" style="137" customWidth="1"/>
    <col min="12976" max="12976" width="23.44140625" style="137" bestFit="1" customWidth="1"/>
    <col min="12977" max="12978" width="9.109375" style="137" customWidth="1"/>
    <col min="12979" max="12979" width="11.109375" style="137" bestFit="1" customWidth="1"/>
    <col min="12980" max="12980" width="14.44140625" style="137" bestFit="1" customWidth="1"/>
    <col min="12981" max="12981" width="8.109375" style="137" customWidth="1"/>
    <col min="12982" max="12982" width="10.5546875" style="137" bestFit="1" customWidth="1"/>
    <col min="12983" max="12983" width="12.109375" style="137" bestFit="1" customWidth="1"/>
    <col min="12984" max="12984" width="9.109375" style="137" customWidth="1"/>
    <col min="12985" max="12985" width="10.5546875" style="137" bestFit="1" customWidth="1"/>
    <col min="12986" max="12986" width="12.109375" style="137" bestFit="1" customWidth="1"/>
    <col min="12987" max="12987" width="8" style="137" customWidth="1"/>
    <col min="12988" max="12988" width="10.5546875" style="137" bestFit="1" customWidth="1"/>
    <col min="12989" max="12989" width="12.109375" style="137" bestFit="1" customWidth="1"/>
    <col min="12990" max="12990" width="8.109375" style="137" bestFit="1" customWidth="1"/>
    <col min="12991" max="12991" width="10.5546875" style="137" bestFit="1" customWidth="1"/>
    <col min="12992" max="12992" width="12.109375" style="137" bestFit="1" customWidth="1"/>
    <col min="12993" max="12993" width="18.109375" style="137" bestFit="1" customWidth="1"/>
    <col min="12994" max="12994" width="10.5546875" style="137" bestFit="1" customWidth="1"/>
    <col min="12995" max="13230" width="8.5546875" style="137"/>
    <col min="13231" max="13231" width="38.109375" style="137" customWidth="1"/>
    <col min="13232" max="13232" width="23.44140625" style="137" bestFit="1" customWidth="1"/>
    <col min="13233" max="13234" width="9.109375" style="137" customWidth="1"/>
    <col min="13235" max="13235" width="11.109375" style="137" bestFit="1" customWidth="1"/>
    <col min="13236" max="13236" width="14.44140625" style="137" bestFit="1" customWidth="1"/>
    <col min="13237" max="13237" width="8.109375" style="137" customWidth="1"/>
    <col min="13238" max="13238" width="10.5546875" style="137" bestFit="1" customWidth="1"/>
    <col min="13239" max="13239" width="12.109375" style="137" bestFit="1" customWidth="1"/>
    <col min="13240" max="13240" width="9.109375" style="137" customWidth="1"/>
    <col min="13241" max="13241" width="10.5546875" style="137" bestFit="1" customWidth="1"/>
    <col min="13242" max="13242" width="12.109375" style="137" bestFit="1" customWidth="1"/>
    <col min="13243" max="13243" width="8" style="137" customWidth="1"/>
    <col min="13244" max="13244" width="10.5546875" style="137" bestFit="1" customWidth="1"/>
    <col min="13245" max="13245" width="12.109375" style="137" bestFit="1" customWidth="1"/>
    <col min="13246" max="13246" width="8.109375" style="137" bestFit="1" customWidth="1"/>
    <col min="13247" max="13247" width="10.5546875" style="137" bestFit="1" customWidth="1"/>
    <col min="13248" max="13248" width="12.109375" style="137" bestFit="1" customWidth="1"/>
    <col min="13249" max="13249" width="18.109375" style="137" bestFit="1" customWidth="1"/>
    <col min="13250" max="13250" width="10.5546875" style="137" bestFit="1" customWidth="1"/>
    <col min="13251" max="13486" width="8.5546875" style="137"/>
    <col min="13487" max="13487" width="38.109375" style="137" customWidth="1"/>
    <col min="13488" max="13488" width="23.44140625" style="137" bestFit="1" customWidth="1"/>
    <col min="13489" max="13490" width="9.109375" style="137" customWidth="1"/>
    <col min="13491" max="13491" width="11.109375" style="137" bestFit="1" customWidth="1"/>
    <col min="13492" max="13492" width="14.44140625" style="137" bestFit="1" customWidth="1"/>
    <col min="13493" max="13493" width="8.109375" style="137" customWidth="1"/>
    <col min="13494" max="13494" width="10.5546875" style="137" bestFit="1" customWidth="1"/>
    <col min="13495" max="13495" width="12.109375" style="137" bestFit="1" customWidth="1"/>
    <col min="13496" max="13496" width="9.109375" style="137" customWidth="1"/>
    <col min="13497" max="13497" width="10.5546875" style="137" bestFit="1" customWidth="1"/>
    <col min="13498" max="13498" width="12.109375" style="137" bestFit="1" customWidth="1"/>
    <col min="13499" max="13499" width="8" style="137" customWidth="1"/>
    <col min="13500" max="13500" width="10.5546875" style="137" bestFit="1" customWidth="1"/>
    <col min="13501" max="13501" width="12.109375" style="137" bestFit="1" customWidth="1"/>
    <col min="13502" max="13502" width="8.109375" style="137" bestFit="1" customWidth="1"/>
    <col min="13503" max="13503" width="10.5546875" style="137" bestFit="1" customWidth="1"/>
    <col min="13504" max="13504" width="12.109375" style="137" bestFit="1" customWidth="1"/>
    <col min="13505" max="13505" width="18.109375" style="137" bestFit="1" customWidth="1"/>
    <col min="13506" max="13506" width="10.5546875" style="137" bestFit="1" customWidth="1"/>
    <col min="13507" max="13742" width="8.5546875" style="137"/>
    <col min="13743" max="13743" width="38.109375" style="137" customWidth="1"/>
    <col min="13744" max="13744" width="23.44140625" style="137" bestFit="1" customWidth="1"/>
    <col min="13745" max="13746" width="9.109375" style="137" customWidth="1"/>
    <col min="13747" max="13747" width="11.109375" style="137" bestFit="1" customWidth="1"/>
    <col min="13748" max="13748" width="14.44140625" style="137" bestFit="1" customWidth="1"/>
    <col min="13749" max="13749" width="8.109375" style="137" customWidth="1"/>
    <col min="13750" max="13750" width="10.5546875" style="137" bestFit="1" customWidth="1"/>
    <col min="13751" max="13751" width="12.109375" style="137" bestFit="1" customWidth="1"/>
    <col min="13752" max="13752" width="9.109375" style="137" customWidth="1"/>
    <col min="13753" max="13753" width="10.5546875" style="137" bestFit="1" customWidth="1"/>
    <col min="13754" max="13754" width="12.109375" style="137" bestFit="1" customWidth="1"/>
    <col min="13755" max="13755" width="8" style="137" customWidth="1"/>
    <col min="13756" max="13756" width="10.5546875" style="137" bestFit="1" customWidth="1"/>
    <col min="13757" max="13757" width="12.109375" style="137" bestFit="1" customWidth="1"/>
    <col min="13758" max="13758" width="8.109375" style="137" bestFit="1" customWidth="1"/>
    <col min="13759" max="13759" width="10.5546875" style="137" bestFit="1" customWidth="1"/>
    <col min="13760" max="13760" width="12.109375" style="137" bestFit="1" customWidth="1"/>
    <col min="13761" max="13761" width="18.109375" style="137" bestFit="1" customWidth="1"/>
    <col min="13762" max="13762" width="10.5546875" style="137" bestFit="1" customWidth="1"/>
    <col min="13763" max="13998" width="8.5546875" style="137"/>
    <col min="13999" max="13999" width="38.109375" style="137" customWidth="1"/>
    <col min="14000" max="14000" width="23.44140625" style="137" bestFit="1" customWidth="1"/>
    <col min="14001" max="14002" width="9.109375" style="137" customWidth="1"/>
    <col min="14003" max="14003" width="11.109375" style="137" bestFit="1" customWidth="1"/>
    <col min="14004" max="14004" width="14.44140625" style="137" bestFit="1" customWidth="1"/>
    <col min="14005" max="14005" width="8.109375" style="137" customWidth="1"/>
    <col min="14006" max="14006" width="10.5546875" style="137" bestFit="1" customWidth="1"/>
    <col min="14007" max="14007" width="12.109375" style="137" bestFit="1" customWidth="1"/>
    <col min="14008" max="14008" width="9.109375" style="137" customWidth="1"/>
    <col min="14009" max="14009" width="10.5546875" style="137" bestFit="1" customWidth="1"/>
    <col min="14010" max="14010" width="12.109375" style="137" bestFit="1" customWidth="1"/>
    <col min="14011" max="14011" width="8" style="137" customWidth="1"/>
    <col min="14012" max="14012" width="10.5546875" style="137" bestFit="1" customWidth="1"/>
    <col min="14013" max="14013" width="12.109375" style="137" bestFit="1" customWidth="1"/>
    <col min="14014" max="14014" width="8.109375" style="137" bestFit="1" customWidth="1"/>
    <col min="14015" max="14015" width="10.5546875" style="137" bestFit="1" customWidth="1"/>
    <col min="14016" max="14016" width="12.109375" style="137" bestFit="1" customWidth="1"/>
    <col min="14017" max="14017" width="18.109375" style="137" bestFit="1" customWidth="1"/>
    <col min="14018" max="14018" width="10.5546875" style="137" bestFit="1" customWidth="1"/>
    <col min="14019" max="14254" width="8.5546875" style="137"/>
    <col min="14255" max="14255" width="38.109375" style="137" customWidth="1"/>
    <col min="14256" max="14256" width="23.44140625" style="137" bestFit="1" customWidth="1"/>
    <col min="14257" max="14258" width="9.109375" style="137" customWidth="1"/>
    <col min="14259" max="14259" width="11.109375" style="137" bestFit="1" customWidth="1"/>
    <col min="14260" max="14260" width="14.44140625" style="137" bestFit="1" customWidth="1"/>
    <col min="14261" max="14261" width="8.109375" style="137" customWidth="1"/>
    <col min="14262" max="14262" width="10.5546875" style="137" bestFit="1" customWidth="1"/>
    <col min="14263" max="14263" width="12.109375" style="137" bestFit="1" customWidth="1"/>
    <col min="14264" max="14264" width="9.109375" style="137" customWidth="1"/>
    <col min="14265" max="14265" width="10.5546875" style="137" bestFit="1" customWidth="1"/>
    <col min="14266" max="14266" width="12.109375" style="137" bestFit="1" customWidth="1"/>
    <col min="14267" max="14267" width="8" style="137" customWidth="1"/>
    <col min="14268" max="14268" width="10.5546875" style="137" bestFit="1" customWidth="1"/>
    <col min="14269" max="14269" width="12.109375" style="137" bestFit="1" customWidth="1"/>
    <col min="14270" max="14270" width="8.109375" style="137" bestFit="1" customWidth="1"/>
    <col min="14271" max="14271" width="10.5546875" style="137" bestFit="1" customWidth="1"/>
    <col min="14272" max="14272" width="12.109375" style="137" bestFit="1" customWidth="1"/>
    <col min="14273" max="14273" width="18.109375" style="137" bestFit="1" customWidth="1"/>
    <col min="14274" max="14274" width="10.5546875" style="137" bestFit="1" customWidth="1"/>
    <col min="14275" max="14510" width="8.5546875" style="137"/>
    <col min="14511" max="14511" width="38.109375" style="137" customWidth="1"/>
    <col min="14512" max="14512" width="23.44140625" style="137" bestFit="1" customWidth="1"/>
    <col min="14513" max="14514" width="9.109375" style="137" customWidth="1"/>
    <col min="14515" max="14515" width="11.109375" style="137" bestFit="1" customWidth="1"/>
    <col min="14516" max="14516" width="14.44140625" style="137" bestFit="1" customWidth="1"/>
    <col min="14517" max="14517" width="8.109375" style="137" customWidth="1"/>
    <col min="14518" max="14518" width="10.5546875" style="137" bestFit="1" customWidth="1"/>
    <col min="14519" max="14519" width="12.109375" style="137" bestFit="1" customWidth="1"/>
    <col min="14520" max="14520" width="9.109375" style="137" customWidth="1"/>
    <col min="14521" max="14521" width="10.5546875" style="137" bestFit="1" customWidth="1"/>
    <col min="14522" max="14522" width="12.109375" style="137" bestFit="1" customWidth="1"/>
    <col min="14523" max="14523" width="8" style="137" customWidth="1"/>
    <col min="14524" max="14524" width="10.5546875" style="137" bestFit="1" customWidth="1"/>
    <col min="14525" max="14525" width="12.109375" style="137" bestFit="1" customWidth="1"/>
    <col min="14526" max="14526" width="8.109375" style="137" bestFit="1" customWidth="1"/>
    <col min="14527" max="14527" width="10.5546875" style="137" bestFit="1" customWidth="1"/>
    <col min="14528" max="14528" width="12.109375" style="137" bestFit="1" customWidth="1"/>
    <col min="14529" max="14529" width="18.109375" style="137" bestFit="1" customWidth="1"/>
    <col min="14530" max="14530" width="10.5546875" style="137" bestFit="1" customWidth="1"/>
    <col min="14531" max="14766" width="8.5546875" style="137"/>
    <col min="14767" max="14767" width="38.109375" style="137" customWidth="1"/>
    <col min="14768" max="14768" width="23.44140625" style="137" bestFit="1" customWidth="1"/>
    <col min="14769" max="14770" width="9.109375" style="137" customWidth="1"/>
    <col min="14771" max="14771" width="11.109375" style="137" bestFit="1" customWidth="1"/>
    <col min="14772" max="14772" width="14.44140625" style="137" bestFit="1" customWidth="1"/>
    <col min="14773" max="14773" width="8.109375" style="137" customWidth="1"/>
    <col min="14774" max="14774" width="10.5546875" style="137" bestFit="1" customWidth="1"/>
    <col min="14775" max="14775" width="12.109375" style="137" bestFit="1" customWidth="1"/>
    <col min="14776" max="14776" width="9.109375" style="137" customWidth="1"/>
    <col min="14777" max="14777" width="10.5546875" style="137" bestFit="1" customWidth="1"/>
    <col min="14778" max="14778" width="12.109375" style="137" bestFit="1" customWidth="1"/>
    <col min="14779" max="14779" width="8" style="137" customWidth="1"/>
    <col min="14780" max="14780" width="10.5546875" style="137" bestFit="1" customWidth="1"/>
    <col min="14781" max="14781" width="12.109375" style="137" bestFit="1" customWidth="1"/>
    <col min="14782" max="14782" width="8.109375" style="137" bestFit="1" customWidth="1"/>
    <col min="14783" max="14783" width="10.5546875" style="137" bestFit="1" customWidth="1"/>
    <col min="14784" max="14784" width="12.109375" style="137" bestFit="1" customWidth="1"/>
    <col min="14785" max="14785" width="18.109375" style="137" bestFit="1" customWidth="1"/>
    <col min="14786" max="14786" width="10.5546875" style="137" bestFit="1" customWidth="1"/>
    <col min="14787" max="15022" width="8.5546875" style="137"/>
    <col min="15023" max="15023" width="38.109375" style="137" customWidth="1"/>
    <col min="15024" max="15024" width="23.44140625" style="137" bestFit="1" customWidth="1"/>
    <col min="15025" max="15026" width="9.109375" style="137" customWidth="1"/>
    <col min="15027" max="15027" width="11.109375" style="137" bestFit="1" customWidth="1"/>
    <col min="15028" max="15028" width="14.44140625" style="137" bestFit="1" customWidth="1"/>
    <col min="15029" max="15029" width="8.109375" style="137" customWidth="1"/>
    <col min="15030" max="15030" width="10.5546875" style="137" bestFit="1" customWidth="1"/>
    <col min="15031" max="15031" width="12.109375" style="137" bestFit="1" customWidth="1"/>
    <col min="15032" max="15032" width="9.109375" style="137" customWidth="1"/>
    <col min="15033" max="15033" width="10.5546875" style="137" bestFit="1" customWidth="1"/>
    <col min="15034" max="15034" width="12.109375" style="137" bestFit="1" customWidth="1"/>
    <col min="15035" max="15035" width="8" style="137" customWidth="1"/>
    <col min="15036" max="15036" width="10.5546875" style="137" bestFit="1" customWidth="1"/>
    <col min="15037" max="15037" width="12.109375" style="137" bestFit="1" customWidth="1"/>
    <col min="15038" max="15038" width="8.109375" style="137" bestFit="1" customWidth="1"/>
    <col min="15039" max="15039" width="10.5546875" style="137" bestFit="1" customWidth="1"/>
    <col min="15040" max="15040" width="12.109375" style="137" bestFit="1" customWidth="1"/>
    <col min="15041" max="15041" width="18.109375" style="137" bestFit="1" customWidth="1"/>
    <col min="15042" max="15042" width="10.5546875" style="137" bestFit="1" customWidth="1"/>
    <col min="15043" max="15278" width="8.5546875" style="137"/>
    <col min="15279" max="15279" width="38.109375" style="137" customWidth="1"/>
    <col min="15280" max="15280" width="23.44140625" style="137" bestFit="1" customWidth="1"/>
    <col min="15281" max="15282" width="9.109375" style="137" customWidth="1"/>
    <col min="15283" max="15283" width="11.109375" style="137" bestFit="1" customWidth="1"/>
    <col min="15284" max="15284" width="14.44140625" style="137" bestFit="1" customWidth="1"/>
    <col min="15285" max="15285" width="8.109375" style="137" customWidth="1"/>
    <col min="15286" max="15286" width="10.5546875" style="137" bestFit="1" customWidth="1"/>
    <col min="15287" max="15287" width="12.109375" style="137" bestFit="1" customWidth="1"/>
    <col min="15288" max="15288" width="9.109375" style="137" customWidth="1"/>
    <col min="15289" max="15289" width="10.5546875" style="137" bestFit="1" customWidth="1"/>
    <col min="15290" max="15290" width="12.109375" style="137" bestFit="1" customWidth="1"/>
    <col min="15291" max="15291" width="8" style="137" customWidth="1"/>
    <col min="15292" max="15292" width="10.5546875" style="137" bestFit="1" customWidth="1"/>
    <col min="15293" max="15293" width="12.109375" style="137" bestFit="1" customWidth="1"/>
    <col min="15294" max="15294" width="8.109375" style="137" bestFit="1" customWidth="1"/>
    <col min="15295" max="15295" width="10.5546875" style="137" bestFit="1" customWidth="1"/>
    <col min="15296" max="15296" width="12.109375" style="137" bestFit="1" customWidth="1"/>
    <col min="15297" max="15297" width="18.109375" style="137" bestFit="1" customWidth="1"/>
    <col min="15298" max="15298" width="10.5546875" style="137" bestFit="1" customWidth="1"/>
    <col min="15299" max="15534" width="8.5546875" style="137"/>
    <col min="15535" max="15535" width="38.109375" style="137" customWidth="1"/>
    <col min="15536" max="15536" width="23.44140625" style="137" bestFit="1" customWidth="1"/>
    <col min="15537" max="15538" width="9.109375" style="137" customWidth="1"/>
    <col min="15539" max="15539" width="11.109375" style="137" bestFit="1" customWidth="1"/>
    <col min="15540" max="15540" width="14.44140625" style="137" bestFit="1" customWidth="1"/>
    <col min="15541" max="15541" width="8.109375" style="137" customWidth="1"/>
    <col min="15542" max="15542" width="10.5546875" style="137" bestFit="1" customWidth="1"/>
    <col min="15543" max="15543" width="12.109375" style="137" bestFit="1" customWidth="1"/>
    <col min="15544" max="15544" width="9.109375" style="137" customWidth="1"/>
    <col min="15545" max="15545" width="10.5546875" style="137" bestFit="1" customWidth="1"/>
    <col min="15546" max="15546" width="12.109375" style="137" bestFit="1" customWidth="1"/>
    <col min="15547" max="15547" width="8" style="137" customWidth="1"/>
    <col min="15548" max="15548" width="10.5546875" style="137" bestFit="1" customWidth="1"/>
    <col min="15549" max="15549" width="12.109375" style="137" bestFit="1" customWidth="1"/>
    <col min="15550" max="15550" width="8.109375" style="137" bestFit="1" customWidth="1"/>
    <col min="15551" max="15551" width="10.5546875" style="137" bestFit="1" customWidth="1"/>
    <col min="15552" max="15552" width="12.109375" style="137" bestFit="1" customWidth="1"/>
    <col min="15553" max="15553" width="18.109375" style="137" bestFit="1" customWidth="1"/>
    <col min="15554" max="15554" width="10.5546875" style="137" bestFit="1" customWidth="1"/>
    <col min="15555" max="15790" width="8.5546875" style="137"/>
    <col min="15791" max="15791" width="38.109375" style="137" customWidth="1"/>
    <col min="15792" max="15792" width="23.44140625" style="137" bestFit="1" customWidth="1"/>
    <col min="15793" max="15794" width="9.109375" style="137" customWidth="1"/>
    <col min="15795" max="15795" width="11.109375" style="137" bestFit="1" customWidth="1"/>
    <col min="15796" max="15796" width="14.44140625" style="137" bestFit="1" customWidth="1"/>
    <col min="15797" max="15797" width="8.109375" style="137" customWidth="1"/>
    <col min="15798" max="15798" width="10.5546875" style="137" bestFit="1" customWidth="1"/>
    <col min="15799" max="15799" width="12.109375" style="137" bestFit="1" customWidth="1"/>
    <col min="15800" max="15800" width="9.109375" style="137" customWidth="1"/>
    <col min="15801" max="15801" width="10.5546875" style="137" bestFit="1" customWidth="1"/>
    <col min="15802" max="15802" width="12.109375" style="137" bestFit="1" customWidth="1"/>
    <col min="15803" max="15803" width="8" style="137" customWidth="1"/>
    <col min="15804" max="15804" width="10.5546875" style="137" bestFit="1" customWidth="1"/>
    <col min="15805" max="15805" width="12.109375" style="137" bestFit="1" customWidth="1"/>
    <col min="15806" max="15806" width="8.109375" style="137" bestFit="1" customWidth="1"/>
    <col min="15807" max="15807" width="10.5546875" style="137" bestFit="1" customWidth="1"/>
    <col min="15808" max="15808" width="12.109375" style="137" bestFit="1" customWidth="1"/>
    <col min="15809" max="15809" width="18.109375" style="137" bestFit="1" customWidth="1"/>
    <col min="15810" max="15810" width="10.5546875" style="137" bestFit="1" customWidth="1"/>
    <col min="15811" max="16046" width="8.5546875" style="137"/>
    <col min="16047" max="16047" width="38.109375" style="137" customWidth="1"/>
    <col min="16048" max="16048" width="23.44140625" style="137" bestFit="1" customWidth="1"/>
    <col min="16049" max="16050" width="9.109375" style="137" customWidth="1"/>
    <col min="16051" max="16051" width="11.109375" style="137" bestFit="1" customWidth="1"/>
    <col min="16052" max="16052" width="14.44140625" style="137" bestFit="1" customWidth="1"/>
    <col min="16053" max="16053" width="8.109375" style="137" customWidth="1"/>
    <col min="16054" max="16054" width="10.5546875" style="137" bestFit="1" customWidth="1"/>
    <col min="16055" max="16055" width="12.109375" style="137" bestFit="1" customWidth="1"/>
    <col min="16056" max="16056" width="9.109375" style="137" customWidth="1"/>
    <col min="16057" max="16057" width="10.5546875" style="137" bestFit="1" customWidth="1"/>
    <col min="16058" max="16058" width="12.109375" style="137" bestFit="1" customWidth="1"/>
    <col min="16059" max="16059" width="8" style="137" customWidth="1"/>
    <col min="16060" max="16060" width="10.5546875" style="137" bestFit="1" customWidth="1"/>
    <col min="16061" max="16061" width="12.109375" style="137" bestFit="1" customWidth="1"/>
    <col min="16062" max="16062" width="8.109375" style="137" bestFit="1" customWidth="1"/>
    <col min="16063" max="16063" width="10.5546875" style="137" bestFit="1" customWidth="1"/>
    <col min="16064" max="16064" width="12.109375" style="137" bestFit="1" customWidth="1"/>
    <col min="16065" max="16065" width="18.109375" style="137" bestFit="1" customWidth="1"/>
    <col min="16066" max="16066" width="10.5546875" style="137" bestFit="1" customWidth="1"/>
    <col min="16067" max="16294" width="8.5546875" style="137"/>
    <col min="16295" max="16384" width="8.5546875" style="137" customWidth="1"/>
  </cols>
  <sheetData>
    <row r="2" spans="1:23" ht="24" customHeight="1">
      <c r="A2" s="884" t="s">
        <v>62</v>
      </c>
      <c r="B2" s="885" t="s">
        <v>63</v>
      </c>
      <c r="C2" s="882" t="s">
        <v>64</v>
      </c>
      <c r="D2" s="882"/>
      <c r="E2" s="882"/>
      <c r="F2" s="882"/>
      <c r="G2" s="882" t="s">
        <v>65</v>
      </c>
      <c r="H2" s="882"/>
      <c r="I2" s="882"/>
      <c r="J2" s="882"/>
      <c r="K2" s="882" t="s">
        <v>66</v>
      </c>
      <c r="L2" s="882"/>
      <c r="M2" s="882"/>
      <c r="N2" s="882"/>
      <c r="O2" s="882" t="s">
        <v>67</v>
      </c>
      <c r="P2" s="882"/>
      <c r="Q2" s="882"/>
      <c r="R2" s="882"/>
      <c r="S2" s="882" t="s">
        <v>68</v>
      </c>
      <c r="T2" s="882"/>
      <c r="U2" s="882"/>
      <c r="V2" s="882"/>
      <c r="W2" s="883" t="s">
        <v>69</v>
      </c>
    </row>
    <row r="3" spans="1:23" ht="48" customHeight="1">
      <c r="A3" s="884"/>
      <c r="B3" s="885"/>
      <c r="C3" s="281" t="s">
        <v>70</v>
      </c>
      <c r="D3" s="145" t="s">
        <v>71</v>
      </c>
      <c r="E3" s="146" t="s">
        <v>72</v>
      </c>
      <c r="F3" s="820" t="s">
        <v>69</v>
      </c>
      <c r="G3" s="281" t="s">
        <v>70</v>
      </c>
      <c r="H3" s="145" t="s">
        <v>71</v>
      </c>
      <c r="I3" s="147" t="s">
        <v>72</v>
      </c>
      <c r="J3" s="835" t="s">
        <v>69</v>
      </c>
      <c r="K3" s="281" t="s">
        <v>70</v>
      </c>
      <c r="L3" s="145" t="s">
        <v>71</v>
      </c>
      <c r="M3" s="146" t="s">
        <v>72</v>
      </c>
      <c r="N3" s="835" t="s">
        <v>69</v>
      </c>
      <c r="O3" s="281" t="s">
        <v>70</v>
      </c>
      <c r="P3" s="145" t="s">
        <v>71</v>
      </c>
      <c r="Q3" s="147" t="s">
        <v>72</v>
      </c>
      <c r="R3" s="835" t="s">
        <v>69</v>
      </c>
      <c r="S3" s="281" t="s">
        <v>70</v>
      </c>
      <c r="T3" s="145" t="s">
        <v>71</v>
      </c>
      <c r="U3" s="147" t="s">
        <v>72</v>
      </c>
      <c r="V3" s="835" t="s">
        <v>69</v>
      </c>
      <c r="W3" s="883"/>
    </row>
    <row r="4" spans="1:23" ht="18.3">
      <c r="A4" s="372" t="s">
        <v>73</v>
      </c>
      <c r="B4" s="148"/>
      <c r="C4" s="296"/>
      <c r="D4" s="150"/>
      <c r="E4" s="151"/>
      <c r="F4" s="821"/>
      <c r="G4" s="296"/>
      <c r="H4" s="150"/>
      <c r="I4" s="152"/>
      <c r="J4" s="836"/>
      <c r="K4" s="296"/>
      <c r="L4" s="150"/>
      <c r="M4" s="151"/>
      <c r="N4" s="836"/>
      <c r="O4" s="282"/>
      <c r="P4" s="150"/>
      <c r="Q4" s="152"/>
      <c r="R4" s="836"/>
      <c r="S4" s="282"/>
      <c r="T4" s="150"/>
      <c r="U4" s="152"/>
      <c r="V4" s="842"/>
      <c r="W4" s="836"/>
    </row>
    <row r="5" spans="1:23" s="162" customFormat="1" ht="15" customHeight="1" outlineLevel="1">
      <c r="A5" s="373" t="s">
        <v>47</v>
      </c>
      <c r="B5" s="155"/>
      <c r="C5" s="283"/>
      <c r="D5" s="157"/>
      <c r="E5" s="158"/>
      <c r="F5" s="822"/>
      <c r="G5" s="283"/>
      <c r="H5" s="157"/>
      <c r="I5" s="160"/>
      <c r="J5" s="837"/>
      <c r="K5" s="283"/>
      <c r="L5" s="157"/>
      <c r="M5" s="158"/>
      <c r="N5" s="837"/>
      <c r="O5" s="283"/>
      <c r="P5" s="157"/>
      <c r="Q5" s="160"/>
      <c r="R5" s="837"/>
      <c r="S5" s="283"/>
      <c r="T5" s="157"/>
      <c r="U5" s="160"/>
      <c r="V5" s="837"/>
      <c r="W5" s="843"/>
    </row>
    <row r="6" spans="1:23" s="162" customFormat="1" ht="15.6" outlineLevel="1">
      <c r="A6" s="374" t="s">
        <v>74</v>
      </c>
      <c r="B6" s="164"/>
      <c r="C6" s="283"/>
      <c r="D6" s="157"/>
      <c r="E6" s="158"/>
      <c r="F6" s="822"/>
      <c r="G6" s="283"/>
      <c r="H6" s="157"/>
      <c r="I6" s="160"/>
      <c r="J6" s="837"/>
      <c r="K6" s="283"/>
      <c r="L6" s="157"/>
      <c r="M6" s="158"/>
      <c r="N6" s="837"/>
      <c r="O6" s="283"/>
      <c r="P6" s="157"/>
      <c r="Q6" s="160"/>
      <c r="R6" s="837"/>
      <c r="S6" s="283"/>
      <c r="T6" s="157"/>
      <c r="U6" s="160"/>
      <c r="V6" s="837"/>
      <c r="W6" s="843"/>
    </row>
    <row r="7" spans="1:23" outlineLevel="1">
      <c r="A7" s="166" t="s">
        <v>75</v>
      </c>
      <c r="B7" s="181"/>
      <c r="C7" s="138"/>
      <c r="D7" s="218"/>
      <c r="F7" s="823">
        <f>C7*D7*E7</f>
        <v>0</v>
      </c>
      <c r="G7" s="138"/>
      <c r="H7" s="218"/>
      <c r="I7" s="140"/>
      <c r="J7" s="823">
        <f>G7*H7*I7</f>
        <v>0</v>
      </c>
      <c r="K7" s="138"/>
      <c r="L7" s="218"/>
      <c r="N7" s="823">
        <f>K7*L7*M7</f>
        <v>0</v>
      </c>
      <c r="O7" s="138"/>
      <c r="P7" s="218"/>
      <c r="Q7" s="140"/>
      <c r="R7" s="823">
        <f>O7*P7*Q7</f>
        <v>0</v>
      </c>
      <c r="S7" s="138"/>
      <c r="T7" s="218"/>
      <c r="U7" s="140"/>
      <c r="V7" s="823">
        <f>S7*T7*U7</f>
        <v>0</v>
      </c>
      <c r="W7" s="838">
        <f t="shared" ref="W7" si="0">F7+J7+N7+R7+V7</f>
        <v>0</v>
      </c>
    </row>
    <row r="8" spans="1:23" ht="15" customHeight="1" outlineLevel="1">
      <c r="A8" s="375" t="s">
        <v>76</v>
      </c>
      <c r="B8" s="176"/>
      <c r="C8" s="285"/>
      <c r="D8" s="178"/>
      <c r="E8" s="179"/>
      <c r="F8" s="824">
        <f>SUM(F7:F7)</f>
        <v>0</v>
      </c>
      <c r="G8" s="285"/>
      <c r="H8" s="178"/>
      <c r="I8" s="180"/>
      <c r="J8" s="824">
        <f>SUM(J7:J7)</f>
        <v>0</v>
      </c>
      <c r="K8" s="285"/>
      <c r="L8" s="178"/>
      <c r="M8" s="179"/>
      <c r="N8" s="824">
        <f>SUM(N7:N7)</f>
        <v>0</v>
      </c>
      <c r="O8" s="285"/>
      <c r="P8" s="178"/>
      <c r="Q8" s="180"/>
      <c r="R8" s="824">
        <f>SUM(R7:R7)</f>
        <v>0</v>
      </c>
      <c r="S8" s="285"/>
      <c r="T8" s="178"/>
      <c r="U8" s="180"/>
      <c r="V8" s="824">
        <f>SUM(V7:V7)</f>
        <v>0</v>
      </c>
      <c r="W8" s="844">
        <f>+F8+J8+N8+R8+V8</f>
        <v>0</v>
      </c>
    </row>
    <row r="9" spans="1:23" s="162" customFormat="1" ht="15" customHeight="1" outlineLevel="1">
      <c r="A9" s="374" t="s">
        <v>77</v>
      </c>
      <c r="B9" s="181"/>
      <c r="C9" s="286"/>
      <c r="D9" s="183"/>
      <c r="E9" s="184"/>
      <c r="F9" s="823"/>
      <c r="G9" s="286"/>
      <c r="H9" s="183"/>
      <c r="I9" s="185"/>
      <c r="J9" s="838"/>
      <c r="K9" s="286"/>
      <c r="L9" s="183"/>
      <c r="M9" s="184"/>
      <c r="N9" s="838"/>
      <c r="O9" s="286"/>
      <c r="P9" s="183"/>
      <c r="Q9" s="185"/>
      <c r="R9" s="838"/>
      <c r="S9" s="286"/>
      <c r="T9" s="183"/>
      <c r="U9" s="185"/>
      <c r="V9" s="838"/>
      <c r="W9" s="838"/>
    </row>
    <row r="10" spans="1:23" ht="15" customHeight="1" outlineLevel="1">
      <c r="A10" s="166" t="str">
        <f>'Program Budget'!D12</f>
        <v>Key Personnel: Chief of Party</v>
      </c>
      <c r="B10" s="167" t="str">
        <f>'Program Budget'!F12</f>
        <v>Month</v>
      </c>
      <c r="C10" s="168">
        <f>'Program Budget'!H12</f>
        <v>9583.3333333333339</v>
      </c>
      <c r="D10" s="169">
        <f>'Program Budget'!G12</f>
        <v>11</v>
      </c>
      <c r="E10" s="170">
        <f>'Program Budget'!E12+'Activity 1'!E10+'Activity 2'!E10+'Activity 3'!E10</f>
        <v>0.99999999999999989</v>
      </c>
      <c r="F10" s="823">
        <f t="shared" ref="F10" si="1">C10*D10*E10</f>
        <v>105416.66666666666</v>
      </c>
      <c r="G10" s="168">
        <f t="shared" ref="G10" si="2">C10*1.05</f>
        <v>10062.500000000002</v>
      </c>
      <c r="H10" s="169">
        <f>'Program Budget'!K12</f>
        <v>12</v>
      </c>
      <c r="I10" s="170">
        <f>Admin!I10+'Activity 1'!I10+'Activity 2'!I10+'Activity 3'!I10</f>
        <v>1</v>
      </c>
      <c r="J10" s="823">
        <f t="shared" ref="J10" si="3">G10*H10*I10</f>
        <v>120750.00000000003</v>
      </c>
      <c r="K10" s="168">
        <f t="shared" ref="K10" si="4">G10*1.05</f>
        <v>10565.625000000002</v>
      </c>
      <c r="L10" s="169">
        <f>'Program Budget'!N12</f>
        <v>12</v>
      </c>
      <c r="M10" s="170">
        <f>Admin!M10+'Activity 1'!M10+'Activity 2'!M10+'Activity 3'!M10</f>
        <v>1</v>
      </c>
      <c r="N10" s="823">
        <f t="shared" ref="N10" si="5">K10*L10*M10</f>
        <v>126787.50000000003</v>
      </c>
      <c r="O10" s="168">
        <f t="shared" ref="O10" si="6">K10*1.05</f>
        <v>11093.906250000002</v>
      </c>
      <c r="P10" s="169">
        <f>'Program Budget'!Q12</f>
        <v>12</v>
      </c>
      <c r="Q10" s="170">
        <f>Admin!Q10+'Activity 1'!Q10+'Activity 2'!Q10+'Activity 3'!Q10</f>
        <v>1</v>
      </c>
      <c r="R10" s="823">
        <f t="shared" ref="R10" si="7">O10*P10*Q10</f>
        <v>133126.87500000003</v>
      </c>
      <c r="S10" s="168">
        <f t="shared" ref="S10" si="8">O10*1.05</f>
        <v>11648.601562500002</v>
      </c>
      <c r="T10" s="169">
        <f>'Program Budget'!T12</f>
        <v>0</v>
      </c>
      <c r="U10" s="170">
        <f>Admin!U10+'Activity 1'!U10+'Activity 2'!U10+'Activity 3'!U10</f>
        <v>0</v>
      </c>
      <c r="V10" s="823">
        <f t="shared" ref="V10" si="9">S10*T10*U10</f>
        <v>0</v>
      </c>
      <c r="W10" s="845">
        <f t="shared" ref="W10" si="10">F10+J10+N10+R10+V10</f>
        <v>486081.04166666674</v>
      </c>
    </row>
    <row r="11" spans="1:23" ht="15" customHeight="1" outlineLevel="1">
      <c r="A11" s="166" t="str">
        <f>'Program Budget'!D13</f>
        <v>Technical Director</v>
      </c>
      <c r="B11" s="167" t="str">
        <f>'Program Budget'!F13</f>
        <v>Month</v>
      </c>
      <c r="C11" s="168">
        <f>'Program Budget'!H13</f>
        <v>3500</v>
      </c>
      <c r="D11" s="169">
        <f>'Program Budget'!G13</f>
        <v>9</v>
      </c>
      <c r="E11" s="170">
        <f>'Program Budget'!E13+'Activity 1'!E11+'Activity 2'!E11+'Activity 3'!E11</f>
        <v>1</v>
      </c>
      <c r="F11" s="823">
        <f t="shared" ref="F11:F22" si="11">C11*D11*E11</f>
        <v>31500</v>
      </c>
      <c r="G11" s="168">
        <f t="shared" ref="G11:G22" si="12">C11*1.05</f>
        <v>3675</v>
      </c>
      <c r="H11" s="169">
        <f>'Program Budget'!K13</f>
        <v>12</v>
      </c>
      <c r="I11" s="170">
        <f>Admin!I11+'Activity 1'!I11+'Activity 2'!I11+'Activity 3'!I11</f>
        <v>1</v>
      </c>
      <c r="J11" s="823">
        <f t="shared" ref="J11:J22" si="13">G11*H11*I11</f>
        <v>44100</v>
      </c>
      <c r="K11" s="168">
        <f t="shared" ref="K11:K22" si="14">G11*1.05</f>
        <v>3858.75</v>
      </c>
      <c r="L11" s="169">
        <f>'Program Budget'!N13</f>
        <v>12</v>
      </c>
      <c r="M11" s="170">
        <f>Admin!M11+'Activity 1'!M11+'Activity 2'!M11+'Activity 3'!M11</f>
        <v>1</v>
      </c>
      <c r="N11" s="823">
        <f t="shared" ref="N11:N22" si="15">K11*L11*M11</f>
        <v>46305</v>
      </c>
      <c r="O11" s="168">
        <f t="shared" ref="O11:O22" si="16">K11*1.05</f>
        <v>4051.6875</v>
      </c>
      <c r="P11" s="169">
        <f>'Program Budget'!Q13</f>
        <v>12</v>
      </c>
      <c r="Q11" s="170">
        <f>Admin!Q11+'Activity 1'!Q11+'Activity 2'!Q11+'Activity 3'!Q11</f>
        <v>0.99999999999999989</v>
      </c>
      <c r="R11" s="823">
        <f t="shared" ref="R11:R22" si="17">O11*P11*Q11</f>
        <v>48620.249999999993</v>
      </c>
      <c r="S11" s="168">
        <f t="shared" ref="S11:S22" si="18">O11*1.05</f>
        <v>4254.2718750000004</v>
      </c>
      <c r="T11" s="169">
        <f>'Program Budget'!T13</f>
        <v>0</v>
      </c>
      <c r="U11" s="170">
        <f>Admin!U11+'Activity 1'!U11+'Activity 2'!U11+'Activity 3'!U11</f>
        <v>0</v>
      </c>
      <c r="V11" s="823">
        <f t="shared" ref="V11:V22" si="19">S11*T11*U11</f>
        <v>0</v>
      </c>
      <c r="W11" s="845">
        <f t="shared" ref="W11:W22" si="20">F11+J11+N11+R11+V11</f>
        <v>170525.25</v>
      </c>
    </row>
    <row r="12" spans="1:23" ht="15" customHeight="1" outlineLevel="1">
      <c r="A12" s="166" t="str">
        <f>'Program Budget'!D14</f>
        <v>Technical Lead - Activity 2 US Exports</v>
      </c>
      <c r="B12" s="167" t="str">
        <f>'Program Budget'!F14</f>
        <v>Month</v>
      </c>
      <c r="C12" s="168">
        <f>'Program Budget'!H14</f>
        <v>2833.3333333333335</v>
      </c>
      <c r="D12" s="169">
        <f>'Program Budget'!G14</f>
        <v>8</v>
      </c>
      <c r="E12" s="170">
        <f>'Program Budget'!E14+'Activity 1'!E12+'Activity 2'!E12+'Activity 3'!E12</f>
        <v>1</v>
      </c>
      <c r="F12" s="823">
        <f t="shared" si="11"/>
        <v>22666.666666666668</v>
      </c>
      <c r="G12" s="168">
        <f t="shared" si="12"/>
        <v>2975.0000000000005</v>
      </c>
      <c r="H12" s="169">
        <f>'Program Budget'!K14</f>
        <v>12</v>
      </c>
      <c r="I12" s="170">
        <f>Admin!I12+'Activity 1'!I12+'Activity 2'!I12+'Activity 3'!I12</f>
        <v>1</v>
      </c>
      <c r="J12" s="823">
        <f t="shared" si="13"/>
        <v>35700.000000000007</v>
      </c>
      <c r="K12" s="168">
        <f t="shared" si="14"/>
        <v>3123.7500000000005</v>
      </c>
      <c r="L12" s="169">
        <f>'Program Budget'!N14</f>
        <v>12</v>
      </c>
      <c r="M12" s="170">
        <f>Admin!M12+'Activity 1'!M12+'Activity 2'!M12+'Activity 3'!M12</f>
        <v>1</v>
      </c>
      <c r="N12" s="823">
        <f t="shared" si="15"/>
        <v>37485.000000000007</v>
      </c>
      <c r="O12" s="168">
        <f t="shared" si="16"/>
        <v>3279.9375000000005</v>
      </c>
      <c r="P12" s="169">
        <f>'Program Budget'!Q14</f>
        <v>12</v>
      </c>
      <c r="Q12" s="170">
        <f>Admin!Q12+'Activity 1'!Q12+'Activity 2'!Q12+'Activity 3'!Q12</f>
        <v>1</v>
      </c>
      <c r="R12" s="823">
        <f t="shared" si="17"/>
        <v>39359.250000000007</v>
      </c>
      <c r="S12" s="168">
        <f t="shared" si="18"/>
        <v>3443.9343750000007</v>
      </c>
      <c r="T12" s="169">
        <f>'Program Budget'!T14</f>
        <v>0</v>
      </c>
      <c r="U12" s="170">
        <f>Admin!U12+'Activity 1'!U12+'Activity 2'!U12+'Activity 3'!U12</f>
        <v>0</v>
      </c>
      <c r="V12" s="823">
        <f t="shared" si="19"/>
        <v>0</v>
      </c>
      <c r="W12" s="845">
        <f t="shared" si="20"/>
        <v>135210.91666666669</v>
      </c>
    </row>
    <row r="13" spans="1:23" ht="15" customHeight="1" outlineLevel="1">
      <c r="A13" s="166" t="str">
        <f>'Program Budget'!D15</f>
        <v>Technical Lead - Activity 2 Access to Finance Specialist</v>
      </c>
      <c r="B13" s="167" t="str">
        <f>'Program Budget'!F15</f>
        <v>Month</v>
      </c>
      <c r="C13" s="168">
        <f>'Program Budget'!H15</f>
        <v>2833.3333333333335</v>
      </c>
      <c r="D13" s="169">
        <f>'Program Budget'!G15</f>
        <v>8</v>
      </c>
      <c r="E13" s="170">
        <f>'Program Budget'!E15+'Activity 1'!E13+'Activity 2'!E13+'Activity 3'!E13</f>
        <v>1</v>
      </c>
      <c r="F13" s="823">
        <f t="shared" si="11"/>
        <v>22666.666666666668</v>
      </c>
      <c r="G13" s="168">
        <f t="shared" si="12"/>
        <v>2975.0000000000005</v>
      </c>
      <c r="H13" s="169">
        <f>'Program Budget'!K15</f>
        <v>12</v>
      </c>
      <c r="I13" s="170">
        <f>Admin!I13+'Activity 1'!I13+'Activity 2'!I13+'Activity 3'!I13</f>
        <v>1</v>
      </c>
      <c r="J13" s="823">
        <f t="shared" si="13"/>
        <v>35700.000000000007</v>
      </c>
      <c r="K13" s="168">
        <f t="shared" si="14"/>
        <v>3123.7500000000005</v>
      </c>
      <c r="L13" s="169">
        <f>'Program Budget'!N15</f>
        <v>12</v>
      </c>
      <c r="M13" s="170">
        <f>Admin!M13+'Activity 1'!M13+'Activity 2'!M13+'Activity 3'!M13</f>
        <v>1</v>
      </c>
      <c r="N13" s="823">
        <f t="shared" si="15"/>
        <v>37485.000000000007</v>
      </c>
      <c r="O13" s="168">
        <f t="shared" si="16"/>
        <v>3279.9375000000005</v>
      </c>
      <c r="P13" s="169">
        <f>'Program Budget'!Q15</f>
        <v>12</v>
      </c>
      <c r="Q13" s="170">
        <f>Admin!Q13+'Activity 1'!Q13+'Activity 2'!Q13+'Activity 3'!Q13</f>
        <v>1</v>
      </c>
      <c r="R13" s="823">
        <f t="shared" si="17"/>
        <v>39359.250000000007</v>
      </c>
      <c r="S13" s="168">
        <f t="shared" si="18"/>
        <v>3443.9343750000007</v>
      </c>
      <c r="T13" s="169">
        <f>'Program Budget'!T15</f>
        <v>0</v>
      </c>
      <c r="U13" s="170">
        <f>Admin!U13+'Activity 1'!U13+'Activity 2'!U13+'Activity 3'!U13</f>
        <v>0</v>
      </c>
      <c r="V13" s="823">
        <f t="shared" si="19"/>
        <v>0</v>
      </c>
      <c r="W13" s="845">
        <f t="shared" si="20"/>
        <v>135210.91666666669</v>
      </c>
    </row>
    <row r="14" spans="1:23" ht="15" customHeight="1" outlineLevel="1">
      <c r="A14" s="166" t="str">
        <f>'Program Budget'!D16</f>
        <v>Communications/Strategic Partnerships Manager</v>
      </c>
      <c r="B14" s="167" t="str">
        <f>'Program Budget'!F16</f>
        <v>Month</v>
      </c>
      <c r="C14" s="168">
        <f>'Program Budget'!H16</f>
        <v>2666.6666666666665</v>
      </c>
      <c r="D14" s="169">
        <f>'Program Budget'!G16</f>
        <v>8</v>
      </c>
      <c r="E14" s="170">
        <f>'Program Budget'!E16+'Activity 1'!E14+'Activity 2'!E14+'Activity 3'!E14</f>
        <v>1</v>
      </c>
      <c r="F14" s="823">
        <f t="shared" si="11"/>
        <v>21333.333333333332</v>
      </c>
      <c r="G14" s="168">
        <f t="shared" si="12"/>
        <v>2800</v>
      </c>
      <c r="H14" s="169">
        <f>'Program Budget'!K16</f>
        <v>12</v>
      </c>
      <c r="I14" s="170">
        <f>Admin!I14+'Activity 1'!I14+'Activity 2'!I14+'Activity 3'!I14</f>
        <v>1</v>
      </c>
      <c r="J14" s="823">
        <f t="shared" si="13"/>
        <v>33600</v>
      </c>
      <c r="K14" s="168">
        <f t="shared" si="14"/>
        <v>2940</v>
      </c>
      <c r="L14" s="169">
        <f>'Program Budget'!N16</f>
        <v>12</v>
      </c>
      <c r="M14" s="170">
        <f>Admin!M14+'Activity 1'!M14+'Activity 2'!M14+'Activity 3'!M14</f>
        <v>1</v>
      </c>
      <c r="N14" s="823">
        <f t="shared" si="15"/>
        <v>35280</v>
      </c>
      <c r="O14" s="168">
        <f t="shared" si="16"/>
        <v>3087</v>
      </c>
      <c r="P14" s="169">
        <f>'Program Budget'!Q16</f>
        <v>12</v>
      </c>
      <c r="Q14" s="170">
        <f>Admin!Q14+'Activity 1'!Q14+'Activity 2'!Q14+'Activity 3'!Q14</f>
        <v>1</v>
      </c>
      <c r="R14" s="823">
        <f t="shared" si="17"/>
        <v>37044</v>
      </c>
      <c r="S14" s="168">
        <f t="shared" si="18"/>
        <v>3241.3500000000004</v>
      </c>
      <c r="T14" s="169">
        <f>'Program Budget'!T16</f>
        <v>0</v>
      </c>
      <c r="U14" s="170">
        <f>Admin!U14+'Activity 1'!U14+'Activity 2'!U14+'Activity 3'!U14</f>
        <v>0</v>
      </c>
      <c r="V14" s="823">
        <f t="shared" si="19"/>
        <v>0</v>
      </c>
      <c r="W14" s="845">
        <f t="shared" si="20"/>
        <v>127257.33333333333</v>
      </c>
    </row>
    <row r="15" spans="1:23" ht="15" customHeight="1" outlineLevel="1">
      <c r="A15" s="166" t="str">
        <f>'Program Budget'!D17</f>
        <v xml:space="preserve">M&amp;E Director </v>
      </c>
      <c r="B15" s="167" t="str">
        <f>'Program Budget'!F17</f>
        <v>Month</v>
      </c>
      <c r="C15" s="168">
        <f>'Program Budget'!H17</f>
        <v>3500</v>
      </c>
      <c r="D15" s="169">
        <f>'Program Budget'!G17</f>
        <v>10</v>
      </c>
      <c r="E15" s="170">
        <f>'Program Budget'!E17+'Activity 1'!E15+'Activity 2'!E15+'Activity 3'!E15</f>
        <v>1</v>
      </c>
      <c r="F15" s="823">
        <f t="shared" si="11"/>
        <v>35000</v>
      </c>
      <c r="G15" s="168">
        <f t="shared" si="12"/>
        <v>3675</v>
      </c>
      <c r="H15" s="169">
        <f>'Program Budget'!K17</f>
        <v>12</v>
      </c>
      <c r="I15" s="170">
        <f>Admin!I15+'Activity 1'!I15+'Activity 2'!I15+'Activity 3'!I15</f>
        <v>1</v>
      </c>
      <c r="J15" s="823">
        <f t="shared" si="13"/>
        <v>44100</v>
      </c>
      <c r="K15" s="168">
        <f t="shared" si="14"/>
        <v>3858.75</v>
      </c>
      <c r="L15" s="169">
        <f>'Program Budget'!N17</f>
        <v>12</v>
      </c>
      <c r="M15" s="170">
        <f>Admin!M15+'Activity 1'!M15+'Activity 2'!M15+'Activity 3'!M15</f>
        <v>1</v>
      </c>
      <c r="N15" s="823">
        <f t="shared" si="15"/>
        <v>46305</v>
      </c>
      <c r="O15" s="168">
        <f t="shared" si="16"/>
        <v>4051.6875</v>
      </c>
      <c r="P15" s="169">
        <f>'Program Budget'!Q17</f>
        <v>12</v>
      </c>
      <c r="Q15" s="170">
        <f>Admin!Q15+'Activity 1'!Q15+'Activity 2'!Q15+'Activity 3'!Q15</f>
        <v>0.99999999999999989</v>
      </c>
      <c r="R15" s="823">
        <f t="shared" si="17"/>
        <v>48620.249999999993</v>
      </c>
      <c r="S15" s="168">
        <f t="shared" si="18"/>
        <v>4254.2718750000004</v>
      </c>
      <c r="T15" s="169">
        <f>'Program Budget'!T17</f>
        <v>0</v>
      </c>
      <c r="U15" s="170">
        <f>Admin!U15+'Activity 1'!U15+'Activity 2'!U15+'Activity 3'!U15</f>
        <v>0</v>
      </c>
      <c r="V15" s="823">
        <f t="shared" si="19"/>
        <v>0</v>
      </c>
      <c r="W15" s="845">
        <f t="shared" si="20"/>
        <v>174025.25</v>
      </c>
    </row>
    <row r="16" spans="1:23" ht="15" customHeight="1" outlineLevel="1">
      <c r="A16" s="166" t="str">
        <f>'Program Budget'!D18</f>
        <v>M&amp;E Specialist</v>
      </c>
      <c r="B16" s="167" t="str">
        <f>'Program Budget'!F18</f>
        <v>Month</v>
      </c>
      <c r="C16" s="168">
        <f>'Program Budget'!H18</f>
        <v>2000</v>
      </c>
      <c r="D16" s="169">
        <f>'Program Budget'!G18</f>
        <v>8</v>
      </c>
      <c r="E16" s="170">
        <f>'Program Budget'!E18+'Activity 1'!E16+'Activity 2'!E16+'Activity 3'!E16</f>
        <v>1</v>
      </c>
      <c r="F16" s="823">
        <f t="shared" si="11"/>
        <v>16000</v>
      </c>
      <c r="G16" s="168">
        <f t="shared" si="12"/>
        <v>2100</v>
      </c>
      <c r="H16" s="169">
        <f>'Program Budget'!K18</f>
        <v>12</v>
      </c>
      <c r="I16" s="170">
        <f>Admin!I16+'Activity 1'!I16+'Activity 2'!I16+'Activity 3'!I16</f>
        <v>1</v>
      </c>
      <c r="J16" s="823">
        <f t="shared" si="13"/>
        <v>25200</v>
      </c>
      <c r="K16" s="168">
        <f t="shared" si="14"/>
        <v>2205</v>
      </c>
      <c r="L16" s="169">
        <f>'Program Budget'!N18</f>
        <v>12</v>
      </c>
      <c r="M16" s="170">
        <f>Admin!M16+'Activity 1'!M16+'Activity 2'!M16+'Activity 3'!M16</f>
        <v>1</v>
      </c>
      <c r="N16" s="823">
        <f t="shared" si="15"/>
        <v>26460</v>
      </c>
      <c r="O16" s="168">
        <f t="shared" si="16"/>
        <v>2315.25</v>
      </c>
      <c r="P16" s="169">
        <f>'Program Budget'!Q18</f>
        <v>12</v>
      </c>
      <c r="Q16" s="170">
        <f>Admin!Q16+'Activity 1'!Q16+'Activity 2'!Q16+'Activity 3'!Q16</f>
        <v>0.99999999999999989</v>
      </c>
      <c r="R16" s="823">
        <f t="shared" si="17"/>
        <v>27782.999999999996</v>
      </c>
      <c r="S16" s="168">
        <f t="shared" si="18"/>
        <v>2431.0125000000003</v>
      </c>
      <c r="T16" s="169">
        <f>'Program Budget'!T18</f>
        <v>0</v>
      </c>
      <c r="U16" s="170">
        <f>Admin!U16+'Activity 1'!U16+'Activity 2'!U16+'Activity 3'!U16</f>
        <v>0</v>
      </c>
      <c r="V16" s="823">
        <f t="shared" si="19"/>
        <v>0</v>
      </c>
      <c r="W16" s="845">
        <f t="shared" si="20"/>
        <v>95443</v>
      </c>
    </row>
    <row r="17" spans="1:25" ht="15" customHeight="1" outlineLevel="1">
      <c r="A17" s="166" t="str">
        <f>'Program Budget'!D19</f>
        <v xml:space="preserve">Key Personnel: Finance &amp; Administration (F&amp;A) Director </v>
      </c>
      <c r="B17" s="167" t="str">
        <f>'Program Budget'!F19</f>
        <v>Month</v>
      </c>
      <c r="C17" s="168">
        <f>'Program Budget'!H19</f>
        <v>3500</v>
      </c>
      <c r="D17" s="169">
        <f>'Program Budget'!G19</f>
        <v>10</v>
      </c>
      <c r="E17" s="170">
        <f>'Program Budget'!E19+'Activity 1'!E17+'Activity 2'!E17+'Activity 3'!E17</f>
        <v>1</v>
      </c>
      <c r="F17" s="823">
        <f t="shared" si="11"/>
        <v>35000</v>
      </c>
      <c r="G17" s="168">
        <f t="shared" si="12"/>
        <v>3675</v>
      </c>
      <c r="H17" s="169">
        <f>'Program Budget'!K19</f>
        <v>12</v>
      </c>
      <c r="I17" s="170">
        <f>Admin!I17+'Activity 1'!I17+'Activity 2'!I17+'Activity 3'!I17</f>
        <v>1</v>
      </c>
      <c r="J17" s="823">
        <f t="shared" si="13"/>
        <v>44100</v>
      </c>
      <c r="K17" s="168">
        <f t="shared" si="14"/>
        <v>3858.75</v>
      </c>
      <c r="L17" s="169">
        <f>'Program Budget'!N19</f>
        <v>12</v>
      </c>
      <c r="M17" s="170">
        <f>Admin!M17+'Activity 1'!M17+'Activity 2'!M17+'Activity 3'!M17</f>
        <v>1</v>
      </c>
      <c r="N17" s="823">
        <f t="shared" si="15"/>
        <v>46305</v>
      </c>
      <c r="O17" s="168">
        <f t="shared" si="16"/>
        <v>4051.6875</v>
      </c>
      <c r="P17" s="169">
        <f>'Program Budget'!Q19</f>
        <v>12</v>
      </c>
      <c r="Q17" s="170">
        <f>Admin!Q17+'Activity 1'!Q17+'Activity 2'!Q17+'Activity 3'!Q17</f>
        <v>1</v>
      </c>
      <c r="R17" s="823">
        <f t="shared" si="17"/>
        <v>48620.25</v>
      </c>
      <c r="S17" s="168">
        <f t="shared" si="18"/>
        <v>4254.2718750000004</v>
      </c>
      <c r="T17" s="169">
        <f>'Program Budget'!T19</f>
        <v>0</v>
      </c>
      <c r="U17" s="170">
        <f>Admin!U17+'Activity 1'!U17+'Activity 2'!U17+'Activity 3'!U17</f>
        <v>0</v>
      </c>
      <c r="V17" s="823">
        <f t="shared" si="19"/>
        <v>0</v>
      </c>
      <c r="W17" s="845">
        <f t="shared" si="20"/>
        <v>174025.25</v>
      </c>
    </row>
    <row r="18" spans="1:25" ht="15" customHeight="1" outlineLevel="1">
      <c r="A18" s="166" t="str">
        <f>'Program Budget'!D20</f>
        <v xml:space="preserve">Accountant </v>
      </c>
      <c r="B18" s="167" t="str">
        <f>'Program Budget'!F20</f>
        <v>Month</v>
      </c>
      <c r="C18" s="168">
        <f>'Program Budget'!H20</f>
        <v>2000</v>
      </c>
      <c r="D18" s="169">
        <f>'Program Budget'!G20</f>
        <v>8</v>
      </c>
      <c r="E18" s="170">
        <f>'Program Budget'!E20+'Activity 1'!E18+'Activity 2'!E18+'Activity 3'!E18</f>
        <v>1</v>
      </c>
      <c r="F18" s="823">
        <f t="shared" si="11"/>
        <v>16000</v>
      </c>
      <c r="G18" s="168">
        <f t="shared" si="12"/>
        <v>2100</v>
      </c>
      <c r="H18" s="169">
        <f>'Program Budget'!K20</f>
        <v>12</v>
      </c>
      <c r="I18" s="170">
        <f>Admin!I18+'Activity 1'!I18+'Activity 2'!I18+'Activity 3'!I18</f>
        <v>1</v>
      </c>
      <c r="J18" s="823">
        <f t="shared" si="13"/>
        <v>25200</v>
      </c>
      <c r="K18" s="168">
        <f t="shared" si="14"/>
        <v>2205</v>
      </c>
      <c r="L18" s="169">
        <f>'Program Budget'!N20</f>
        <v>12</v>
      </c>
      <c r="M18" s="170">
        <f>Admin!M18+'Activity 1'!M18+'Activity 2'!M18+'Activity 3'!M18</f>
        <v>1</v>
      </c>
      <c r="N18" s="823">
        <f t="shared" si="15"/>
        <v>26460</v>
      </c>
      <c r="O18" s="168">
        <f t="shared" si="16"/>
        <v>2315.25</v>
      </c>
      <c r="P18" s="169">
        <f>'Program Budget'!Q20</f>
        <v>12</v>
      </c>
      <c r="Q18" s="170">
        <f>Admin!Q18+'Activity 1'!Q18+'Activity 2'!Q18+'Activity 3'!Q18</f>
        <v>1</v>
      </c>
      <c r="R18" s="823">
        <f t="shared" si="17"/>
        <v>27783</v>
      </c>
      <c r="S18" s="168">
        <f t="shared" si="18"/>
        <v>2431.0125000000003</v>
      </c>
      <c r="T18" s="169">
        <f>'Program Budget'!T20</f>
        <v>0</v>
      </c>
      <c r="U18" s="170">
        <f>Admin!U18+'Activity 1'!U18+'Activity 2'!U18+'Activity 3'!U18</f>
        <v>0</v>
      </c>
      <c r="V18" s="823">
        <f t="shared" si="19"/>
        <v>0</v>
      </c>
      <c r="W18" s="845">
        <f t="shared" si="20"/>
        <v>95443</v>
      </c>
    </row>
    <row r="19" spans="1:25" ht="15" customHeight="1" outlineLevel="1">
      <c r="A19" s="166" t="str">
        <f>'Program Budget'!D21</f>
        <v>Administration/ HR Manager</v>
      </c>
      <c r="B19" s="167" t="str">
        <f>'Program Budget'!F21</f>
        <v>Month</v>
      </c>
      <c r="C19" s="168">
        <f>'Program Budget'!H21</f>
        <v>2666.6666666666665</v>
      </c>
      <c r="D19" s="169">
        <f>'Program Budget'!G21</f>
        <v>10</v>
      </c>
      <c r="E19" s="170">
        <f>'Program Budget'!E21+'Activity 1'!E19+'Activity 2'!E19+'Activity 3'!E19</f>
        <v>1</v>
      </c>
      <c r="F19" s="823">
        <f t="shared" si="11"/>
        <v>26666.666666666664</v>
      </c>
      <c r="G19" s="168">
        <f t="shared" si="12"/>
        <v>2800</v>
      </c>
      <c r="H19" s="169">
        <f>'Program Budget'!K21</f>
        <v>12</v>
      </c>
      <c r="I19" s="170">
        <f>Admin!I19+'Activity 1'!I19+'Activity 2'!I19+'Activity 3'!I19</f>
        <v>1</v>
      </c>
      <c r="J19" s="823">
        <f t="shared" si="13"/>
        <v>33600</v>
      </c>
      <c r="K19" s="168">
        <f t="shared" si="14"/>
        <v>2940</v>
      </c>
      <c r="L19" s="169">
        <f>'Program Budget'!N21</f>
        <v>12</v>
      </c>
      <c r="M19" s="170">
        <f>Admin!M19+'Activity 1'!M19+'Activity 2'!M19+'Activity 3'!M19</f>
        <v>1</v>
      </c>
      <c r="N19" s="823">
        <f t="shared" si="15"/>
        <v>35280</v>
      </c>
      <c r="O19" s="168">
        <f t="shared" si="16"/>
        <v>3087</v>
      </c>
      <c r="P19" s="169">
        <f>'Program Budget'!Q21</f>
        <v>12</v>
      </c>
      <c r="Q19" s="170">
        <f>Admin!Q19+'Activity 1'!Q19+'Activity 2'!Q19+'Activity 3'!Q19</f>
        <v>1</v>
      </c>
      <c r="R19" s="823">
        <f t="shared" si="17"/>
        <v>37044</v>
      </c>
      <c r="S19" s="168">
        <f t="shared" si="18"/>
        <v>3241.3500000000004</v>
      </c>
      <c r="T19" s="169">
        <f>'Program Budget'!T21</f>
        <v>0</v>
      </c>
      <c r="U19" s="170">
        <f>Admin!U19+'Activity 1'!U19+'Activity 2'!U19+'Activity 3'!U19</f>
        <v>0</v>
      </c>
      <c r="V19" s="823">
        <f t="shared" si="19"/>
        <v>0</v>
      </c>
      <c r="W19" s="845">
        <f t="shared" si="20"/>
        <v>132590.66666666666</v>
      </c>
    </row>
    <row r="20" spans="1:25" ht="15" customHeight="1" outlineLevel="1">
      <c r="A20" s="166" t="str">
        <f>'Program Budget'!D22</f>
        <v>Grants &amp; Contracts Manager</v>
      </c>
      <c r="B20" s="167" t="str">
        <f>'Program Budget'!F22</f>
        <v>Month</v>
      </c>
      <c r="C20" s="168">
        <f>'Program Budget'!H22</f>
        <v>2666.6666666666665</v>
      </c>
      <c r="D20" s="169">
        <f>'Program Budget'!G22</f>
        <v>9</v>
      </c>
      <c r="E20" s="170">
        <f>'Program Budget'!E22+'Activity 1'!E20+'Activity 2'!E20+'Activity 3'!E20</f>
        <v>1</v>
      </c>
      <c r="F20" s="823">
        <f t="shared" si="11"/>
        <v>24000</v>
      </c>
      <c r="G20" s="168">
        <f t="shared" si="12"/>
        <v>2800</v>
      </c>
      <c r="H20" s="169">
        <f>'Program Budget'!K22</f>
        <v>12</v>
      </c>
      <c r="I20" s="170">
        <f>Admin!I20+'Activity 1'!I20+'Activity 2'!I20+'Activity 3'!I20</f>
        <v>1</v>
      </c>
      <c r="J20" s="823">
        <f t="shared" si="13"/>
        <v>33600</v>
      </c>
      <c r="K20" s="168">
        <f t="shared" si="14"/>
        <v>2940</v>
      </c>
      <c r="L20" s="169">
        <f>'Program Budget'!N22</f>
        <v>12</v>
      </c>
      <c r="M20" s="170">
        <f>Admin!M20+'Activity 1'!M20+'Activity 2'!M20+'Activity 3'!M20</f>
        <v>1</v>
      </c>
      <c r="N20" s="823">
        <f t="shared" si="15"/>
        <v>35280</v>
      </c>
      <c r="O20" s="168">
        <f t="shared" si="16"/>
        <v>3087</v>
      </c>
      <c r="P20" s="169">
        <f>'Program Budget'!Q22</f>
        <v>12</v>
      </c>
      <c r="Q20" s="170">
        <f>Admin!Q20+'Activity 1'!Q20+'Activity 2'!Q20+'Activity 3'!Q20</f>
        <v>1</v>
      </c>
      <c r="R20" s="823">
        <f t="shared" si="17"/>
        <v>37044</v>
      </c>
      <c r="S20" s="168">
        <f t="shared" si="18"/>
        <v>3241.3500000000004</v>
      </c>
      <c r="T20" s="169">
        <f>'Program Budget'!T22</f>
        <v>0</v>
      </c>
      <c r="U20" s="170">
        <f>Admin!U20+'Activity 1'!U20+'Activity 2'!U20+'Activity 3'!U20</f>
        <v>0</v>
      </c>
      <c r="V20" s="823">
        <f t="shared" si="19"/>
        <v>0</v>
      </c>
      <c r="W20" s="845">
        <f t="shared" si="20"/>
        <v>129924</v>
      </c>
    </row>
    <row r="21" spans="1:25" ht="15" customHeight="1" outlineLevel="1">
      <c r="A21" s="166" t="str">
        <f>'Program Budget'!D23</f>
        <v>Compliance &amp; Procurement Specialist</v>
      </c>
      <c r="B21" s="167" t="str">
        <f>'Program Budget'!F23</f>
        <v>Month</v>
      </c>
      <c r="C21" s="168">
        <f>'Program Budget'!H23</f>
        <v>2000</v>
      </c>
      <c r="D21" s="169">
        <f>'Program Budget'!G23</f>
        <v>9</v>
      </c>
      <c r="E21" s="170">
        <f>'Program Budget'!E23+'Activity 1'!E21+'Activity 2'!E21+'Activity 3'!E21</f>
        <v>1</v>
      </c>
      <c r="F21" s="823">
        <f t="shared" si="11"/>
        <v>18000</v>
      </c>
      <c r="G21" s="168">
        <f t="shared" si="12"/>
        <v>2100</v>
      </c>
      <c r="H21" s="169">
        <f>'Program Budget'!K23</f>
        <v>12</v>
      </c>
      <c r="I21" s="170">
        <f>Admin!I21+'Activity 1'!I21+'Activity 2'!I21+'Activity 3'!I21</f>
        <v>1</v>
      </c>
      <c r="J21" s="823">
        <f t="shared" si="13"/>
        <v>25200</v>
      </c>
      <c r="K21" s="168">
        <f t="shared" si="14"/>
        <v>2205</v>
      </c>
      <c r="L21" s="169">
        <f>'Program Budget'!N23</f>
        <v>12</v>
      </c>
      <c r="M21" s="170">
        <f>Admin!M21+'Activity 1'!M21+'Activity 2'!M21+'Activity 3'!M21</f>
        <v>1</v>
      </c>
      <c r="N21" s="823">
        <f t="shared" si="15"/>
        <v>26460</v>
      </c>
      <c r="O21" s="168">
        <f t="shared" si="16"/>
        <v>2315.25</v>
      </c>
      <c r="P21" s="169">
        <f>'Program Budget'!Q23</f>
        <v>12</v>
      </c>
      <c r="Q21" s="170">
        <f>Admin!Q21+'Activity 1'!Q21+'Activity 2'!Q21+'Activity 3'!Q21</f>
        <v>1</v>
      </c>
      <c r="R21" s="823">
        <f t="shared" si="17"/>
        <v>27783</v>
      </c>
      <c r="S21" s="168">
        <f t="shared" si="18"/>
        <v>2431.0125000000003</v>
      </c>
      <c r="T21" s="169">
        <f>'Program Budget'!T23</f>
        <v>0</v>
      </c>
      <c r="U21" s="170">
        <f>Admin!U21+'Activity 1'!U21+'Activity 2'!U21+'Activity 3'!U21</f>
        <v>0</v>
      </c>
      <c r="V21" s="823">
        <f t="shared" si="19"/>
        <v>0</v>
      </c>
      <c r="W21" s="845">
        <f t="shared" si="20"/>
        <v>97443</v>
      </c>
    </row>
    <row r="22" spans="1:25" ht="15" customHeight="1" outlineLevel="1">
      <c r="A22" s="166" t="str">
        <f>'Program Budget'!D24</f>
        <v>Driver</v>
      </c>
      <c r="B22" s="167" t="str">
        <f>'Program Budget'!F24</f>
        <v>Month</v>
      </c>
      <c r="C22" s="168">
        <f>'Program Budget'!H24</f>
        <v>500</v>
      </c>
      <c r="D22" s="169">
        <f>'Program Budget'!G24</f>
        <v>7</v>
      </c>
      <c r="E22" s="170">
        <f>'Program Budget'!E24+'Activity 1'!E22+'Activity 2'!E22+'Activity 3'!E22</f>
        <v>1</v>
      </c>
      <c r="F22" s="823">
        <f t="shared" si="11"/>
        <v>3500</v>
      </c>
      <c r="G22" s="168">
        <f t="shared" si="12"/>
        <v>525</v>
      </c>
      <c r="H22" s="169">
        <f>'Program Budget'!K24</f>
        <v>12</v>
      </c>
      <c r="I22" s="170">
        <f>Admin!I22+'Activity 1'!I22+'Activity 2'!I22+'Activity 3'!I22</f>
        <v>1</v>
      </c>
      <c r="J22" s="823">
        <f t="shared" si="13"/>
        <v>6300</v>
      </c>
      <c r="K22" s="168">
        <f t="shared" si="14"/>
        <v>551.25</v>
      </c>
      <c r="L22" s="169">
        <f>'Program Budget'!N24</f>
        <v>12</v>
      </c>
      <c r="M22" s="170">
        <f>Admin!M22+'Activity 1'!M22+'Activity 2'!M22+'Activity 3'!M22</f>
        <v>1</v>
      </c>
      <c r="N22" s="823">
        <f t="shared" si="15"/>
        <v>6615</v>
      </c>
      <c r="O22" s="168">
        <f t="shared" si="16"/>
        <v>578.8125</v>
      </c>
      <c r="P22" s="169">
        <f>'Program Budget'!Q24</f>
        <v>12</v>
      </c>
      <c r="Q22" s="170">
        <f>Admin!Q22+'Activity 1'!Q22+'Activity 2'!Q22+'Activity 3'!Q22</f>
        <v>1</v>
      </c>
      <c r="R22" s="823">
        <f t="shared" si="17"/>
        <v>6945.75</v>
      </c>
      <c r="S22" s="168">
        <f t="shared" si="18"/>
        <v>607.75312500000007</v>
      </c>
      <c r="T22" s="169">
        <f>'Program Budget'!T24</f>
        <v>0</v>
      </c>
      <c r="U22" s="170">
        <f>Admin!U22+'Activity 1'!U22+'Activity 2'!U22+'Activity 3'!U22</f>
        <v>0</v>
      </c>
      <c r="V22" s="823">
        <f t="shared" si="19"/>
        <v>0</v>
      </c>
      <c r="W22" s="845">
        <f t="shared" si="20"/>
        <v>23360.75</v>
      </c>
    </row>
    <row r="23" spans="1:25" ht="15" customHeight="1" outlineLevel="1">
      <c r="A23" s="375" t="s">
        <v>78</v>
      </c>
      <c r="B23" s="176"/>
      <c r="C23" s="285"/>
      <c r="D23" s="178"/>
      <c r="E23" s="179"/>
      <c r="F23" s="825">
        <f>SUM(F10:F22)</f>
        <v>377750</v>
      </c>
      <c r="G23" s="285"/>
      <c r="H23" s="178"/>
      <c r="I23" s="180"/>
      <c r="J23" s="825">
        <f>SUM(J10:J22)</f>
        <v>507150</v>
      </c>
      <c r="K23" s="285"/>
      <c r="L23" s="178"/>
      <c r="M23" s="179"/>
      <c r="N23" s="825">
        <f>SUM(N10:N22)</f>
        <v>532507.5</v>
      </c>
      <c r="O23" s="285"/>
      <c r="P23" s="178"/>
      <c r="Q23" s="180"/>
      <c r="R23" s="825">
        <f>SUM(R10:R22)</f>
        <v>559132.875</v>
      </c>
      <c r="S23" s="285"/>
      <c r="T23" s="178"/>
      <c r="U23" s="180"/>
      <c r="V23" s="825">
        <f>SUM(V10:V22)</f>
        <v>0</v>
      </c>
      <c r="W23" s="825">
        <f>SUM(W10:W22)</f>
        <v>1976540.3750000002</v>
      </c>
      <c r="Y23" s="137">
        <f>Admin!W23+'Activity 1'!W23+'Activity 2'!W23+'Activity 3'!W23</f>
        <v>1976540.3750000005</v>
      </c>
    </row>
    <row r="24" spans="1:25" s="162" customFormat="1" ht="15.6" outlineLevel="1">
      <c r="A24" s="374" t="s">
        <v>79</v>
      </c>
      <c r="B24" s="164"/>
      <c r="C24" s="283"/>
      <c r="D24" s="157"/>
      <c r="E24" s="158"/>
      <c r="F24" s="822"/>
      <c r="G24" s="159"/>
      <c r="H24" s="159"/>
      <c r="I24" s="159"/>
      <c r="J24" s="822"/>
      <c r="K24" s="159"/>
      <c r="L24" s="159"/>
      <c r="M24" s="159"/>
      <c r="N24" s="822"/>
      <c r="O24" s="159"/>
      <c r="P24" s="159"/>
      <c r="Q24" s="159"/>
      <c r="R24" s="822"/>
      <c r="S24" s="159"/>
      <c r="T24" s="159"/>
      <c r="U24" s="159"/>
      <c r="V24" s="822"/>
      <c r="W24" s="843"/>
    </row>
    <row r="25" spans="1:25" outlineLevel="1">
      <c r="A25" s="166" t="str">
        <f>'Program Budget'!D26</f>
        <v>Senior Vice President of Programs</v>
      </c>
      <c r="B25" s="167" t="str">
        <f>'Program Budget'!F26</f>
        <v>Month</v>
      </c>
      <c r="C25" s="284">
        <f>'Program Budget'!H26</f>
        <v>13500</v>
      </c>
      <c r="D25" s="169">
        <f>'Program Budget'!G26</f>
        <v>12</v>
      </c>
      <c r="E25" s="170">
        <f>Admin!E25+'Activity 1'!E25+'Activity 2'!E25+'Activity 3'!E25</f>
        <v>0.05</v>
      </c>
      <c r="F25" s="823">
        <f>C25*D25*E25</f>
        <v>8100</v>
      </c>
      <c r="G25" s="168">
        <f>C25*1.05</f>
        <v>14175</v>
      </c>
      <c r="H25" s="169">
        <f>'Program Budget'!K26</f>
        <v>12</v>
      </c>
      <c r="I25" s="170">
        <f>Admin!I25+'Activity 1'!I25+'Activity 2'!I25+'Activity 3'!I25</f>
        <v>0.05</v>
      </c>
      <c r="J25" s="823">
        <f>G25*H25*I25</f>
        <v>8505</v>
      </c>
      <c r="K25" s="168">
        <f>G25*1.05</f>
        <v>14883.75</v>
      </c>
      <c r="L25" s="169">
        <f>'Program Budget'!N26</f>
        <v>12</v>
      </c>
      <c r="M25" s="170">
        <f>Admin!M25+'Activity 1'!M25+'Activity 2'!M25+'Activity 3'!M25</f>
        <v>0.05</v>
      </c>
      <c r="N25" s="823">
        <f>K25*L25*M25</f>
        <v>8930.25</v>
      </c>
      <c r="O25" s="168">
        <f>K25*1.05</f>
        <v>15627.9375</v>
      </c>
      <c r="P25" s="169">
        <f>'Program Budget'!Q26</f>
        <v>12</v>
      </c>
      <c r="Q25" s="170">
        <f>Admin!Q25+'Activity 1'!Q25+'Activity 2'!Q25+'Activity 3'!Q25</f>
        <v>0.05</v>
      </c>
      <c r="R25" s="823">
        <f>O25*P25*Q25</f>
        <v>9376.7625000000007</v>
      </c>
      <c r="S25" s="168">
        <f>O25*1.05</f>
        <v>16409.334375000002</v>
      </c>
      <c r="T25" s="169">
        <f>'Program Budget'!T26</f>
        <v>0</v>
      </c>
      <c r="U25" s="170">
        <f>Admin!U25+'Activity 1'!U25+'Activity 2'!U25+'Activity 3'!U25</f>
        <v>0</v>
      </c>
      <c r="V25" s="823">
        <f>S25*T25*U25</f>
        <v>0</v>
      </c>
      <c r="W25" s="845">
        <f>F25+J25+N25+R25+V25</f>
        <v>34912.012499999997</v>
      </c>
    </row>
    <row r="26" spans="1:25" ht="15" customHeight="1" outlineLevel="1">
      <c r="A26" s="166" t="str">
        <f>'Program Budget'!D27</f>
        <v xml:space="preserve">Senior Program Director </v>
      </c>
      <c r="B26" s="167" t="str">
        <f>'Program Budget'!F27</f>
        <v>Month</v>
      </c>
      <c r="C26" s="284">
        <f>'Program Budget'!H27</f>
        <v>12500</v>
      </c>
      <c r="D26" s="169">
        <f>'Program Budget'!G27</f>
        <v>12</v>
      </c>
      <c r="E26" s="170">
        <f>Admin!E26+'Activity 1'!E26+'Activity 2'!E26+'Activity 3'!E26</f>
        <v>0.25</v>
      </c>
      <c r="F26" s="823">
        <f>C26*D26*E26</f>
        <v>37500</v>
      </c>
      <c r="G26" s="168">
        <f t="shared" ref="G26" si="21">C26*1.05</f>
        <v>13125</v>
      </c>
      <c r="H26" s="169">
        <f>'Program Budget'!K27</f>
        <v>12</v>
      </c>
      <c r="I26" s="170">
        <f>Admin!I26+'Activity 1'!I26+'Activity 2'!I26+'Activity 3'!I26</f>
        <v>0.25</v>
      </c>
      <c r="J26" s="823">
        <f>G26*H26*I26</f>
        <v>39375</v>
      </c>
      <c r="K26" s="168">
        <f>G26*1.05</f>
        <v>13781.25</v>
      </c>
      <c r="L26" s="169">
        <f>'Program Budget'!N27</f>
        <v>12</v>
      </c>
      <c r="M26" s="170">
        <f>Admin!M26+'Activity 1'!M26+'Activity 2'!M26+'Activity 3'!M26</f>
        <v>0.25</v>
      </c>
      <c r="N26" s="823">
        <f>K26*L26*M26</f>
        <v>41343.75</v>
      </c>
      <c r="O26" s="168">
        <f t="shared" ref="O26" si="22">K26*1.05</f>
        <v>14470.3125</v>
      </c>
      <c r="P26" s="169">
        <f>'Program Budget'!Q27</f>
        <v>12</v>
      </c>
      <c r="Q26" s="170">
        <f>Admin!Q26+'Activity 1'!Q26+'Activity 2'!Q26+'Activity 3'!Q26</f>
        <v>0.25</v>
      </c>
      <c r="R26" s="823">
        <f>O26*P26*Q26</f>
        <v>43410.9375</v>
      </c>
      <c r="S26" s="168">
        <f t="shared" ref="S26" si="23">O26*1.05</f>
        <v>15193.828125</v>
      </c>
      <c r="T26" s="169">
        <f>'Program Budget'!T27</f>
        <v>0</v>
      </c>
      <c r="U26" s="170">
        <f>Admin!U26+'Activity 1'!U26+'Activity 2'!U26+'Activity 3'!U26</f>
        <v>0</v>
      </c>
      <c r="V26" s="823">
        <f>S26*T26*U26</f>
        <v>0</v>
      </c>
      <c r="W26" s="845">
        <f>F26+J26+N26+R26+V26</f>
        <v>161629.6875</v>
      </c>
    </row>
    <row r="27" spans="1:25" ht="15" customHeight="1" outlineLevel="1">
      <c r="A27" s="166" t="str">
        <f>'Program Budget'!D28</f>
        <v>Associate Director</v>
      </c>
      <c r="B27" s="167" t="str">
        <f>'Program Budget'!F28</f>
        <v>Month</v>
      </c>
      <c r="C27" s="284">
        <f>'Program Budget'!H28</f>
        <v>7500</v>
      </c>
      <c r="D27" s="169">
        <f>'Program Budget'!G28</f>
        <v>12</v>
      </c>
      <c r="E27" s="170">
        <f>Admin!E27+'Activity 1'!E27+'Activity 2'!E27+'Activity 3'!E27</f>
        <v>1</v>
      </c>
      <c r="F27" s="823">
        <f>C27*D27*E27</f>
        <v>90000</v>
      </c>
      <c r="G27" s="168">
        <f t="shared" ref="G27" si="24">C27*1.05</f>
        <v>7875</v>
      </c>
      <c r="H27" s="169">
        <f>'Program Budget'!K28</f>
        <v>12</v>
      </c>
      <c r="I27" s="170">
        <f>Admin!I27+'Activity 1'!I27+'Activity 2'!I27+'Activity 3'!I27</f>
        <v>1</v>
      </c>
      <c r="J27" s="823">
        <f>G27*H27*I27</f>
        <v>94500</v>
      </c>
      <c r="K27" s="168">
        <f>G27*1.05</f>
        <v>8268.75</v>
      </c>
      <c r="L27" s="169">
        <f>'Program Budget'!N28</f>
        <v>12</v>
      </c>
      <c r="M27" s="170">
        <f>Admin!M27+'Activity 1'!M27+'Activity 2'!M27+'Activity 3'!M27</f>
        <v>1</v>
      </c>
      <c r="N27" s="823">
        <f>K27*L27*M27</f>
        <v>99225</v>
      </c>
      <c r="O27" s="168">
        <f t="shared" ref="O27" si="25">K27*1.05</f>
        <v>8682.1875</v>
      </c>
      <c r="P27" s="169">
        <f>'Program Budget'!Q28</f>
        <v>12</v>
      </c>
      <c r="Q27" s="170">
        <f>Admin!Q27+'Activity 1'!Q27+'Activity 2'!Q27+'Activity 3'!Q27</f>
        <v>1</v>
      </c>
      <c r="R27" s="823">
        <f>O27*P27*Q27</f>
        <v>104186.25</v>
      </c>
      <c r="S27" s="168">
        <f t="shared" ref="S27" si="26">O27*1.05</f>
        <v>9116.296875</v>
      </c>
      <c r="T27" s="169">
        <f>'Program Budget'!T28</f>
        <v>0</v>
      </c>
      <c r="U27" s="170">
        <f>Admin!U27+'Activity 1'!U27+'Activity 2'!U27+'Activity 3'!U27</f>
        <v>0</v>
      </c>
      <c r="V27" s="823">
        <f>S27*T27*U27</f>
        <v>0</v>
      </c>
      <c r="W27" s="845">
        <f>F27+J27+N27+R27+V27</f>
        <v>387911.25</v>
      </c>
    </row>
    <row r="28" spans="1:25" ht="15" customHeight="1" outlineLevel="1">
      <c r="A28" s="166" t="str">
        <f>'Program Budget'!D29</f>
        <v>Compliance &amp; Contracts Director</v>
      </c>
      <c r="B28" s="167" t="str">
        <f>'Program Budget'!F29</f>
        <v>Month</v>
      </c>
      <c r="C28" s="284">
        <f>'Program Budget'!H29</f>
        <v>9166.6666666666661</v>
      </c>
      <c r="D28" s="169">
        <f>'Program Budget'!G29</f>
        <v>12</v>
      </c>
      <c r="E28" s="170">
        <f>Admin!E28+'Activity 1'!E28+'Activity 2'!E28+'Activity 3'!E28</f>
        <v>0.25</v>
      </c>
      <c r="F28" s="823">
        <f>C28*D28*E28</f>
        <v>27500</v>
      </c>
      <c r="G28" s="168">
        <f t="shared" ref="G28" si="27">C28*1.05</f>
        <v>9625</v>
      </c>
      <c r="H28" s="169">
        <f>'Program Budget'!K29</f>
        <v>12</v>
      </c>
      <c r="I28" s="170">
        <f>Admin!I28+'Activity 1'!I28+'Activity 2'!I28+'Activity 3'!I28</f>
        <v>0.25</v>
      </c>
      <c r="J28" s="823">
        <f>G28*H28*I28</f>
        <v>28875</v>
      </c>
      <c r="K28" s="168">
        <f>G28*1.05</f>
        <v>10106.25</v>
      </c>
      <c r="L28" s="169">
        <f>'Program Budget'!N29</f>
        <v>12</v>
      </c>
      <c r="M28" s="170">
        <f>Admin!M28+'Activity 1'!M28+'Activity 2'!M28+'Activity 3'!M28</f>
        <v>0.25</v>
      </c>
      <c r="N28" s="823">
        <f>K28*L28*M28</f>
        <v>30318.75</v>
      </c>
      <c r="O28" s="168">
        <f t="shared" ref="O28" si="28">K28*1.05</f>
        <v>10611.5625</v>
      </c>
      <c r="P28" s="169">
        <f>'Program Budget'!Q29</f>
        <v>12</v>
      </c>
      <c r="Q28" s="170">
        <f>Admin!Q28+'Activity 1'!Q28+'Activity 2'!Q28+'Activity 3'!Q28</f>
        <v>0.25</v>
      </c>
      <c r="R28" s="823">
        <f>O28*P28*Q28</f>
        <v>31834.6875</v>
      </c>
      <c r="S28" s="168">
        <f t="shared" ref="S28" si="29">O28*1.05</f>
        <v>11142.140625</v>
      </c>
      <c r="T28" s="169">
        <f>'Program Budget'!T29</f>
        <v>0</v>
      </c>
      <c r="U28" s="170">
        <f>Admin!U28+'Activity 1'!U28+'Activity 2'!U28+'Activity 3'!U28</f>
        <v>0</v>
      </c>
      <c r="V28" s="823">
        <f>S28*T28*U28</f>
        <v>0</v>
      </c>
      <c r="W28" s="845">
        <f>F28+J28+N28+R28+V28</f>
        <v>118528.4375</v>
      </c>
      <c r="Y28" s="137">
        <f>W28+W29</f>
        <v>390066.3125</v>
      </c>
    </row>
    <row r="29" spans="1:25" ht="15" customHeight="1" outlineLevel="1">
      <c r="A29" s="166" t="str">
        <f>'Program Budget'!D30</f>
        <v>Finance, HR, &amp; Administration Home Office Support</v>
      </c>
      <c r="B29" s="167" t="str">
        <f>'Program Budget'!F30</f>
        <v>Month</v>
      </c>
      <c r="C29" s="284">
        <f>'Program Budget'!H30</f>
        <v>7500</v>
      </c>
      <c r="D29" s="169">
        <f>'Program Budget'!G30</f>
        <v>12</v>
      </c>
      <c r="E29" s="170">
        <f>Admin!E29+'Activity 1'!E29+'Activity 2'!E29+'Activity 3'!E29</f>
        <v>0.7</v>
      </c>
      <c r="F29" s="823">
        <f>C29*D29*E29</f>
        <v>62999.999999999993</v>
      </c>
      <c r="G29" s="168">
        <f t="shared" ref="G29" si="30">C29*1.05</f>
        <v>7875</v>
      </c>
      <c r="H29" s="169">
        <f>'Program Budget'!K30</f>
        <v>12</v>
      </c>
      <c r="I29" s="170">
        <f>Admin!I29+'Activity 1'!I29+'Activity 2'!I29+'Activity 3'!I29</f>
        <v>0.70000000000000007</v>
      </c>
      <c r="J29" s="823">
        <f>G29*H29*I29</f>
        <v>66150</v>
      </c>
      <c r="K29" s="168">
        <f>G29*1.05</f>
        <v>8268.75</v>
      </c>
      <c r="L29" s="169">
        <f>'Program Budget'!N30</f>
        <v>12</v>
      </c>
      <c r="M29" s="170">
        <f>Admin!M29+'Activity 1'!M29+'Activity 2'!M29+'Activity 3'!M29</f>
        <v>0.70000000000000007</v>
      </c>
      <c r="N29" s="823">
        <f>K29*L29*M29</f>
        <v>69457.5</v>
      </c>
      <c r="O29" s="168">
        <f t="shared" ref="O29" si="31">K29*1.05</f>
        <v>8682.1875</v>
      </c>
      <c r="P29" s="169">
        <f>'Program Budget'!Q30</f>
        <v>12</v>
      </c>
      <c r="Q29" s="170">
        <f>Admin!Q29+'Activity 1'!Q29+'Activity 2'!Q29+'Activity 3'!Q29</f>
        <v>0.70000000000000007</v>
      </c>
      <c r="R29" s="823">
        <f>O29*P29*Q29</f>
        <v>72930.375</v>
      </c>
      <c r="S29" s="168">
        <f t="shared" ref="S29" si="32">O29*1.05</f>
        <v>9116.296875</v>
      </c>
      <c r="T29" s="169">
        <f>'Program Budget'!T30</f>
        <v>0</v>
      </c>
      <c r="U29" s="170">
        <f>Admin!U29+'Activity 1'!U29+'Activity 2'!U29+'Activity 3'!U29</f>
        <v>0</v>
      </c>
      <c r="V29" s="823">
        <f>S29*T29*U29</f>
        <v>0</v>
      </c>
      <c r="W29" s="845">
        <f>F29+J29+N29+R29+V29</f>
        <v>271537.875</v>
      </c>
    </row>
    <row r="30" spans="1:25" ht="15" customHeight="1" outlineLevel="1">
      <c r="A30" s="375" t="s">
        <v>80</v>
      </c>
      <c r="B30" s="176"/>
      <c r="C30" s="285"/>
      <c r="D30" s="178"/>
      <c r="E30" s="179"/>
      <c r="F30" s="824">
        <f>SUM(F24:F29)</f>
        <v>226100</v>
      </c>
      <c r="G30" s="285"/>
      <c r="H30" s="178"/>
      <c r="I30" s="180"/>
      <c r="J30" s="824">
        <f>SUM(J24:J29)</f>
        <v>237405</v>
      </c>
      <c r="K30" s="285"/>
      <c r="L30" s="178"/>
      <c r="M30" s="179"/>
      <c r="N30" s="824">
        <f>SUM(N24:N29)</f>
        <v>249275.25</v>
      </c>
      <c r="O30" s="285"/>
      <c r="P30" s="178"/>
      <c r="Q30" s="180"/>
      <c r="R30" s="824">
        <f>SUM(R24:R29)</f>
        <v>261739.01250000001</v>
      </c>
      <c r="S30" s="285"/>
      <c r="T30" s="178"/>
      <c r="U30" s="180"/>
      <c r="V30" s="824">
        <f>SUM(V24:V29)</f>
        <v>0</v>
      </c>
      <c r="W30" s="824">
        <f>SUM(W24:W29)</f>
        <v>974519.26249999995</v>
      </c>
      <c r="Y30" s="137">
        <f>Admin!W30+'Activity 1'!W30+'Activity 2'!W30+'Activity 3'!W30</f>
        <v>974519.26249999995</v>
      </c>
    </row>
    <row r="31" spans="1:25" s="162" customFormat="1" ht="15" customHeight="1" outlineLevel="1">
      <c r="A31" s="376"/>
      <c r="B31" s="181"/>
      <c r="C31" s="286"/>
      <c r="D31" s="183"/>
      <c r="E31" s="140"/>
      <c r="F31" s="823"/>
      <c r="G31" s="286"/>
      <c r="H31" s="183"/>
      <c r="I31" s="140"/>
      <c r="J31" s="823"/>
      <c r="K31" s="286"/>
      <c r="L31" s="183"/>
      <c r="M31" s="140"/>
      <c r="N31" s="823"/>
      <c r="O31" s="286"/>
      <c r="P31" s="183"/>
      <c r="Q31" s="140"/>
      <c r="R31" s="823"/>
      <c r="S31" s="286"/>
      <c r="T31" s="183"/>
      <c r="U31" s="140"/>
      <c r="V31" s="823"/>
      <c r="W31" s="845"/>
    </row>
    <row r="32" spans="1:25" s="195" customFormat="1" ht="15" customHeight="1">
      <c r="A32" s="377" t="s">
        <v>81</v>
      </c>
      <c r="B32" s="188"/>
      <c r="C32" s="287"/>
      <c r="D32" s="190"/>
      <c r="E32" s="191"/>
      <c r="F32" s="826">
        <f>F30+F23+F8</f>
        <v>603850</v>
      </c>
      <c r="G32" s="287"/>
      <c r="H32" s="190"/>
      <c r="I32" s="192"/>
      <c r="J32" s="826">
        <f>J30+J23+J8</f>
        <v>744555</v>
      </c>
      <c r="K32" s="287"/>
      <c r="L32" s="190"/>
      <c r="M32" s="191"/>
      <c r="N32" s="826">
        <f>N30+N23+N8</f>
        <v>781782.75</v>
      </c>
      <c r="O32" s="287"/>
      <c r="P32" s="190"/>
      <c r="Q32" s="192"/>
      <c r="R32" s="826">
        <f>R30+R23+R8</f>
        <v>820871.88749999995</v>
      </c>
      <c r="S32" s="287"/>
      <c r="T32" s="190"/>
      <c r="U32" s="192"/>
      <c r="V32" s="826">
        <f>V30+V23+V8</f>
        <v>0</v>
      </c>
      <c r="W32" s="846">
        <f>+F32+J32+N32+R32+V32</f>
        <v>2951059.6375000002</v>
      </c>
    </row>
    <row r="33" spans="1:34" s="162" customFormat="1" ht="15" customHeight="1" outlineLevel="1">
      <c r="A33" s="374" t="s">
        <v>82</v>
      </c>
      <c r="B33" s="164"/>
      <c r="C33" s="283"/>
      <c r="D33" s="157"/>
      <c r="E33" s="158"/>
      <c r="F33" s="822"/>
      <c r="G33" s="283"/>
      <c r="H33" s="157"/>
      <c r="I33" s="160"/>
      <c r="J33" s="837"/>
      <c r="K33" s="283"/>
      <c r="L33" s="157"/>
      <c r="M33" s="158"/>
      <c r="N33" s="837"/>
      <c r="O33" s="283"/>
      <c r="P33" s="157"/>
      <c r="Q33" s="160"/>
      <c r="R33" s="837"/>
      <c r="S33" s="283"/>
      <c r="T33" s="157"/>
      <c r="U33" s="160"/>
      <c r="V33" s="837"/>
      <c r="W33" s="843"/>
    </row>
    <row r="34" spans="1:34" s="162" customFormat="1" ht="15" customHeight="1" outlineLevel="1">
      <c r="A34" s="196" t="s">
        <v>74</v>
      </c>
      <c r="B34" s="181" t="str">
        <f>'Program Budget'!F36</f>
        <v>%</v>
      </c>
      <c r="C34" s="275">
        <f>F8</f>
        <v>0</v>
      </c>
      <c r="D34" s="183">
        <v>1</v>
      </c>
      <c r="E34" s="140">
        <v>0</v>
      </c>
      <c r="F34" s="823">
        <f>C34*D34*E34</f>
        <v>0</v>
      </c>
      <c r="G34" s="275">
        <f>J8</f>
        <v>0</v>
      </c>
      <c r="H34" s="183">
        <v>1</v>
      </c>
      <c r="I34" s="140">
        <f t="shared" ref="I34:I35" si="33">E34</f>
        <v>0</v>
      </c>
      <c r="J34" s="823">
        <f t="shared" ref="J34:J35" si="34">G34*H34*I34</f>
        <v>0</v>
      </c>
      <c r="K34" s="275">
        <f>N8</f>
        <v>0</v>
      </c>
      <c r="L34" s="183">
        <v>1</v>
      </c>
      <c r="M34" s="140">
        <f t="shared" ref="M34" si="35">I34</f>
        <v>0</v>
      </c>
      <c r="N34" s="823">
        <f t="shared" ref="N34:N35" si="36">K34*L34*M34</f>
        <v>0</v>
      </c>
      <c r="O34" s="275">
        <f>R8</f>
        <v>0</v>
      </c>
      <c r="P34" s="183">
        <v>1</v>
      </c>
      <c r="Q34" s="140">
        <f t="shared" ref="Q34" si="37">M34</f>
        <v>0</v>
      </c>
      <c r="R34" s="823">
        <f t="shared" ref="R34:R35" si="38">O34*P34*Q34</f>
        <v>0</v>
      </c>
      <c r="S34" s="275">
        <f>V8</f>
        <v>0</v>
      </c>
      <c r="T34" s="183">
        <v>1</v>
      </c>
      <c r="U34" s="140">
        <v>0</v>
      </c>
      <c r="V34" s="823">
        <f t="shared" ref="V34:V35" si="39">S34*T34*U34</f>
        <v>0</v>
      </c>
      <c r="W34" s="838">
        <f t="shared" ref="W34:W35" si="40">F34+J34+N34+R34+V34</f>
        <v>0</v>
      </c>
      <c r="X34" s="137"/>
      <c r="Y34" s="137"/>
      <c r="Z34" s="137"/>
    </row>
    <row r="35" spans="1:34" s="162" customFormat="1" ht="15" customHeight="1" outlineLevel="1">
      <c r="A35" s="196" t="str">
        <f>'Program Budget'!D35</f>
        <v>Fringe Benefits CCN - Nigeria</v>
      </c>
      <c r="B35" s="181" t="str">
        <f>'Program Budget'!F35</f>
        <v>%</v>
      </c>
      <c r="C35" s="275">
        <f>F23</f>
        <v>377750</v>
      </c>
      <c r="D35" s="183">
        <v>1</v>
      </c>
      <c r="E35" s="140">
        <f>'Program Budget'!H35</f>
        <v>0.29599999999999999</v>
      </c>
      <c r="F35" s="823">
        <f>C35*D35*E35</f>
        <v>111814</v>
      </c>
      <c r="G35" s="275">
        <f>J23</f>
        <v>507150</v>
      </c>
      <c r="H35" s="183">
        <v>1</v>
      </c>
      <c r="I35" s="140">
        <f t="shared" si="33"/>
        <v>0.29599999999999999</v>
      </c>
      <c r="J35" s="823">
        <f t="shared" si="34"/>
        <v>150116.4</v>
      </c>
      <c r="K35" s="275">
        <f>N23</f>
        <v>532507.5</v>
      </c>
      <c r="L35" s="183">
        <v>1</v>
      </c>
      <c r="M35" s="140">
        <f t="shared" ref="M35" si="41">E35</f>
        <v>0.29599999999999999</v>
      </c>
      <c r="N35" s="823">
        <f t="shared" si="36"/>
        <v>157622.22</v>
      </c>
      <c r="O35" s="275">
        <f>R23</f>
        <v>559132.875</v>
      </c>
      <c r="P35" s="183">
        <v>1</v>
      </c>
      <c r="Q35" s="140">
        <f t="shared" ref="Q35" si="42">E35</f>
        <v>0.29599999999999999</v>
      </c>
      <c r="R35" s="823">
        <f t="shared" si="38"/>
        <v>165503.33100000001</v>
      </c>
      <c r="S35" s="275">
        <f>V23</f>
        <v>0</v>
      </c>
      <c r="T35" s="183">
        <v>1</v>
      </c>
      <c r="U35" s="140">
        <v>0</v>
      </c>
      <c r="V35" s="823">
        <f t="shared" si="39"/>
        <v>0</v>
      </c>
      <c r="W35" s="838">
        <f t="shared" si="40"/>
        <v>585055.951</v>
      </c>
      <c r="X35" s="137"/>
      <c r="Y35" s="137"/>
      <c r="Z35" s="137"/>
      <c r="AE35" s="137"/>
    </row>
    <row r="36" spans="1:34" s="162" customFormat="1" ht="15" customHeight="1" outlineLevel="1">
      <c r="A36" s="378" t="s">
        <v>83</v>
      </c>
      <c r="B36" s="181" t="str">
        <f>'Program Budget'!F36</f>
        <v>%</v>
      </c>
      <c r="C36" s="276">
        <f>F30</f>
        <v>226100</v>
      </c>
      <c r="D36" s="201">
        <v>1</v>
      </c>
      <c r="E36" s="140">
        <f>'Program Budget'!H36</f>
        <v>0.23469999999999999</v>
      </c>
      <c r="F36" s="827">
        <f>C36*D36*E36</f>
        <v>53065.67</v>
      </c>
      <c r="G36" s="276">
        <f>J30</f>
        <v>237405</v>
      </c>
      <c r="H36" s="201">
        <v>1</v>
      </c>
      <c r="I36" s="140">
        <f t="shared" ref="I36" si="43">E36</f>
        <v>0.23469999999999999</v>
      </c>
      <c r="J36" s="827">
        <f t="shared" ref="J36" si="44">G36*H36*I36</f>
        <v>55718.953499999996</v>
      </c>
      <c r="K36" s="276">
        <f>N30</f>
        <v>249275.25</v>
      </c>
      <c r="L36" s="201">
        <v>1</v>
      </c>
      <c r="M36" s="140">
        <f t="shared" ref="M36" si="45">I36</f>
        <v>0.23469999999999999</v>
      </c>
      <c r="N36" s="827">
        <f t="shared" ref="N36" si="46">K36*L36*M36</f>
        <v>58504.901174999999</v>
      </c>
      <c r="O36" s="276">
        <f>R30</f>
        <v>261739.01250000001</v>
      </c>
      <c r="P36" s="201">
        <v>1</v>
      </c>
      <c r="Q36" s="140">
        <f t="shared" ref="Q36" si="47">M36</f>
        <v>0.23469999999999999</v>
      </c>
      <c r="R36" s="827">
        <f t="shared" ref="R36" si="48">O36*P36*Q36</f>
        <v>61430.146233749998</v>
      </c>
      <c r="S36" s="276">
        <f>V30</f>
        <v>0</v>
      </c>
      <c r="T36" s="201">
        <v>1</v>
      </c>
      <c r="U36" s="140">
        <v>0</v>
      </c>
      <c r="V36" s="827">
        <f t="shared" ref="V36" si="49">S36*T36*U36</f>
        <v>0</v>
      </c>
      <c r="W36" s="847">
        <f t="shared" ref="W36" si="50">F36+J36+N36+R36+V36</f>
        <v>228719.67090874998</v>
      </c>
      <c r="Z36" s="137"/>
    </row>
    <row r="37" spans="1:34" ht="15" customHeight="1" outlineLevel="1">
      <c r="A37" s="375" t="s">
        <v>84</v>
      </c>
      <c r="B37" s="176"/>
      <c r="C37" s="285"/>
      <c r="D37" s="178"/>
      <c r="E37" s="179"/>
      <c r="F37" s="824">
        <f>+SUM(F34:F36)</f>
        <v>164879.66999999998</v>
      </c>
      <c r="G37" s="285"/>
      <c r="H37" s="178"/>
      <c r="I37" s="180"/>
      <c r="J37" s="824">
        <f>+SUM(J34:J36)</f>
        <v>205835.3535</v>
      </c>
      <c r="K37" s="285"/>
      <c r="L37" s="178"/>
      <c r="M37" s="179"/>
      <c r="N37" s="824">
        <f>+SUM(N34:N36)</f>
        <v>216127.12117500001</v>
      </c>
      <c r="O37" s="285"/>
      <c r="P37" s="178"/>
      <c r="Q37" s="180"/>
      <c r="R37" s="824">
        <f>+SUM(R34:R36)</f>
        <v>226933.47723374999</v>
      </c>
      <c r="S37" s="285"/>
      <c r="T37" s="178"/>
      <c r="U37" s="180"/>
      <c r="V37" s="824">
        <f>+SUM(V34:V36)</f>
        <v>0</v>
      </c>
      <c r="W37" s="844">
        <f>+F37+J37+N37+R37+V37</f>
        <v>813775.62190874992</v>
      </c>
      <c r="AA37" s="162"/>
      <c r="AB37" s="162"/>
    </row>
    <row r="38" spans="1:34" s="162" customFormat="1" ht="15" customHeight="1" outlineLevel="1">
      <c r="A38" s="374" t="s">
        <v>85</v>
      </c>
      <c r="B38" s="204"/>
      <c r="C38" s="286"/>
      <c r="D38" s="183"/>
      <c r="E38" s="140"/>
      <c r="F38" s="828"/>
      <c r="G38" s="286"/>
      <c r="H38" s="183"/>
      <c r="I38" s="141"/>
      <c r="J38" s="839"/>
      <c r="K38" s="286"/>
      <c r="L38" s="183"/>
      <c r="M38" s="140"/>
      <c r="N38" s="839"/>
      <c r="O38" s="286"/>
      <c r="P38" s="183"/>
      <c r="Q38" s="141"/>
      <c r="R38" s="839"/>
      <c r="S38" s="286"/>
      <c r="T38" s="183"/>
      <c r="U38" s="141"/>
      <c r="V38" s="839"/>
      <c r="W38" s="838"/>
      <c r="Z38" s="137"/>
    </row>
    <row r="39" spans="1:34" outlineLevel="1">
      <c r="A39" s="166" t="s">
        <v>75</v>
      </c>
      <c r="B39" s="181"/>
      <c r="C39" s="138"/>
      <c r="D39" s="218"/>
      <c r="F39" s="823">
        <f>C39*D39*E39</f>
        <v>0</v>
      </c>
      <c r="G39" s="138"/>
      <c r="H39" s="218"/>
      <c r="I39" s="140"/>
      <c r="J39" s="823">
        <f>G39*H39*I39</f>
        <v>0</v>
      </c>
      <c r="K39" s="138"/>
      <c r="L39" s="218"/>
      <c r="N39" s="823">
        <f>K39*L39*M39</f>
        <v>0</v>
      </c>
      <c r="O39" s="138"/>
      <c r="P39" s="218"/>
      <c r="Q39" s="140"/>
      <c r="R39" s="823">
        <f>O39*P39*Q39</f>
        <v>0</v>
      </c>
      <c r="S39" s="138"/>
      <c r="T39" s="218"/>
      <c r="U39" s="140"/>
      <c r="V39" s="823">
        <f>S39*T39*U39</f>
        <v>0</v>
      </c>
      <c r="W39" s="838">
        <f t="shared" ref="W39" si="51">F39+J39+N39+R39+V39</f>
        <v>0</v>
      </c>
    </row>
    <row r="40" spans="1:34" ht="15" customHeight="1" outlineLevel="1">
      <c r="A40" s="375" t="s">
        <v>86</v>
      </c>
      <c r="B40" s="176"/>
      <c r="C40" s="285"/>
      <c r="D40" s="178"/>
      <c r="E40" s="179"/>
      <c r="F40" s="824">
        <f>SUM(F39:F39)</f>
        <v>0</v>
      </c>
      <c r="G40" s="285"/>
      <c r="H40" s="178"/>
      <c r="I40" s="180"/>
      <c r="J40" s="824">
        <f>SUM(J39:J39)</f>
        <v>0</v>
      </c>
      <c r="K40" s="285"/>
      <c r="L40" s="178"/>
      <c r="M40" s="179"/>
      <c r="N40" s="824">
        <f>SUM(N39:N39)</f>
        <v>0</v>
      </c>
      <c r="O40" s="285"/>
      <c r="P40" s="178"/>
      <c r="Q40" s="180"/>
      <c r="R40" s="824">
        <f>SUM(R39:R39)</f>
        <v>0</v>
      </c>
      <c r="S40" s="285"/>
      <c r="T40" s="178"/>
      <c r="U40" s="180"/>
      <c r="V40" s="824">
        <f>SUM(V39:V39)</f>
        <v>0</v>
      </c>
      <c r="W40" s="824">
        <f>SUM(W39:W39)</f>
        <v>0</v>
      </c>
      <c r="AA40" s="162"/>
      <c r="AB40" s="162"/>
      <c r="AE40" s="162"/>
      <c r="AF40" s="162"/>
      <c r="AG40" s="162"/>
      <c r="AH40" s="162"/>
    </row>
    <row r="41" spans="1:34" s="162" customFormat="1" ht="15" customHeight="1" outlineLevel="1">
      <c r="A41" s="166"/>
      <c r="B41" s="181"/>
      <c r="C41" s="274"/>
      <c r="D41" s="139"/>
      <c r="E41" s="140"/>
      <c r="F41" s="823"/>
      <c r="G41" s="274"/>
      <c r="H41" s="139"/>
      <c r="I41" s="141"/>
      <c r="J41" s="823"/>
      <c r="K41" s="274"/>
      <c r="L41" s="139"/>
      <c r="M41" s="140"/>
      <c r="N41" s="823"/>
      <c r="O41" s="274"/>
      <c r="P41" s="139"/>
      <c r="Q41" s="141"/>
      <c r="R41" s="823"/>
      <c r="S41" s="274"/>
      <c r="T41" s="139"/>
      <c r="U41" s="141"/>
      <c r="V41" s="823"/>
      <c r="W41" s="847"/>
      <c r="Z41" s="137"/>
    </row>
    <row r="42" spans="1:34" s="212" customFormat="1" ht="18.3" outlineLevel="1">
      <c r="A42" s="379" t="s">
        <v>87</v>
      </c>
      <c r="B42" s="207"/>
      <c r="C42" s="288"/>
      <c r="D42" s="209"/>
      <c r="E42" s="210"/>
      <c r="F42" s="829">
        <f>F40+F37</f>
        <v>164879.66999999998</v>
      </c>
      <c r="G42" s="288"/>
      <c r="H42" s="209"/>
      <c r="I42" s="211"/>
      <c r="J42" s="829">
        <f>J40+J37</f>
        <v>205835.3535</v>
      </c>
      <c r="K42" s="288"/>
      <c r="L42" s="209"/>
      <c r="M42" s="210"/>
      <c r="N42" s="829">
        <f>N40+N37</f>
        <v>216127.12117500001</v>
      </c>
      <c r="O42" s="288"/>
      <c r="P42" s="209"/>
      <c r="Q42" s="211"/>
      <c r="R42" s="829">
        <f>R40+R37</f>
        <v>226933.47723374999</v>
      </c>
      <c r="S42" s="288"/>
      <c r="T42" s="209"/>
      <c r="U42" s="211"/>
      <c r="V42" s="829">
        <f>V40+V37</f>
        <v>0</v>
      </c>
      <c r="W42" s="846">
        <f>+F42+J42+N42+R42+V42</f>
        <v>813775.62190874992</v>
      </c>
    </row>
    <row r="43" spans="1:34" s="213" customFormat="1" ht="15.6" outlineLevel="1">
      <c r="A43" s="374" t="s">
        <v>88</v>
      </c>
      <c r="B43" s="164"/>
      <c r="C43" s="274"/>
      <c r="D43" s="139"/>
      <c r="E43" s="158"/>
      <c r="F43" s="823"/>
      <c r="G43" s="274"/>
      <c r="H43" s="139"/>
      <c r="I43" s="160"/>
      <c r="J43" s="823"/>
      <c r="K43" s="274"/>
      <c r="L43" s="139"/>
      <c r="M43" s="158"/>
      <c r="N43" s="823"/>
      <c r="O43" s="274"/>
      <c r="P43" s="139"/>
      <c r="Q43" s="160"/>
      <c r="R43" s="823"/>
      <c r="S43" s="274"/>
      <c r="T43" s="139"/>
      <c r="U43" s="160"/>
      <c r="V43" s="823"/>
      <c r="W43" s="838"/>
    </row>
    <row r="44" spans="1:34" ht="15" customHeight="1" outlineLevel="1">
      <c r="A44" s="166" t="str">
        <f>'Program Budget'!D42</f>
        <v>Airfare - DC-Nigeria - HO Project Management Trip</v>
      </c>
      <c r="B44" s="167" t="str">
        <f>'Program Budget'!F42</f>
        <v>Trip</v>
      </c>
      <c r="C44" s="284">
        <f>'Program Budget'!H42</f>
        <v>1800</v>
      </c>
      <c r="D44" s="169">
        <f>'Program Budget'!G42</f>
        <v>3</v>
      </c>
      <c r="E44" s="170">
        <v>1</v>
      </c>
      <c r="F44" s="823">
        <f t="shared" ref="F44:F45" si="52">C44*D44*E44</f>
        <v>5400</v>
      </c>
      <c r="G44" s="284">
        <f>C44*1.05</f>
        <v>1890</v>
      </c>
      <c r="H44" s="169">
        <f>'Program Budget'!K42</f>
        <v>2</v>
      </c>
      <c r="I44" s="170">
        <v>1</v>
      </c>
      <c r="J44" s="823">
        <f t="shared" ref="J44:J45" si="53">G44*H44*I44</f>
        <v>3780</v>
      </c>
      <c r="K44" s="284">
        <f>G44*1.05</f>
        <v>1984.5</v>
      </c>
      <c r="L44" s="169">
        <f>'Program Budget'!N42</f>
        <v>2</v>
      </c>
      <c r="M44" s="170">
        <v>1</v>
      </c>
      <c r="N44" s="823">
        <f t="shared" ref="N44:N45" si="54">K44*L44*M44</f>
        <v>3969</v>
      </c>
      <c r="O44" s="284">
        <f>K44*1.05</f>
        <v>2083.7249999999999</v>
      </c>
      <c r="P44" s="169">
        <f>'Program Budget'!Q42</f>
        <v>2</v>
      </c>
      <c r="Q44" s="170">
        <v>1</v>
      </c>
      <c r="R44" s="823">
        <f t="shared" ref="R44:R45" si="55">O44*P44*Q44</f>
        <v>4167.45</v>
      </c>
      <c r="S44" s="284">
        <f>O44*1.05</f>
        <v>2187.9112500000001</v>
      </c>
      <c r="T44" s="169">
        <f>'Program Budget'!T42</f>
        <v>0</v>
      </c>
      <c r="U44" s="170">
        <v>0</v>
      </c>
      <c r="V44" s="823">
        <f t="shared" ref="V44:V45" si="56">S44*T44*U44</f>
        <v>0</v>
      </c>
      <c r="W44" s="839">
        <f t="shared" ref="W44:W45" si="57">F44+J44+N44+R44+V44</f>
        <v>17316.45</v>
      </c>
    </row>
    <row r="45" spans="1:34" ht="15" customHeight="1" outlineLevel="1">
      <c r="A45" s="166" t="str">
        <f>'Program Budget'!D48</f>
        <v>Airfare - Roundtrip - Nigeria to USA</v>
      </c>
      <c r="B45" s="167" t="str">
        <f>'Program Budget'!F48</f>
        <v>Trip</v>
      </c>
      <c r="C45" s="284">
        <f>'Program Budget'!H48</f>
        <v>1800</v>
      </c>
      <c r="D45" s="169">
        <f>'Program Budget'!G48</f>
        <v>3</v>
      </c>
      <c r="E45" s="170">
        <v>1</v>
      </c>
      <c r="F45" s="823">
        <f t="shared" si="52"/>
        <v>5400</v>
      </c>
      <c r="G45" s="284">
        <f t="shared" ref="G45:G50" si="58">C45*1.05</f>
        <v>1890</v>
      </c>
      <c r="H45" s="169">
        <f>'Program Budget'!K48</f>
        <v>3</v>
      </c>
      <c r="I45" s="170">
        <v>1</v>
      </c>
      <c r="J45" s="823">
        <f t="shared" si="53"/>
        <v>5670</v>
      </c>
      <c r="K45" s="284">
        <f t="shared" ref="K45:K68" si="59">G45*1.05</f>
        <v>1984.5</v>
      </c>
      <c r="L45" s="169">
        <f>'Program Budget'!N48</f>
        <v>3</v>
      </c>
      <c r="M45" s="170">
        <v>1</v>
      </c>
      <c r="N45" s="823">
        <f t="shared" si="54"/>
        <v>5953.5</v>
      </c>
      <c r="O45" s="284">
        <f t="shared" ref="O45:O68" si="60">K45*1.05</f>
        <v>2083.7249999999999</v>
      </c>
      <c r="P45" s="169">
        <f>'Program Budget'!Q48</f>
        <v>3</v>
      </c>
      <c r="Q45" s="170">
        <v>1</v>
      </c>
      <c r="R45" s="823">
        <f t="shared" si="55"/>
        <v>6251.1749999999993</v>
      </c>
      <c r="S45" s="284">
        <f t="shared" ref="S45:S68" si="61">O45*1.05</f>
        <v>2187.9112500000001</v>
      </c>
      <c r="T45" s="169">
        <f>'Program Budget'!T48</f>
        <v>0</v>
      </c>
      <c r="U45" s="170">
        <v>0</v>
      </c>
      <c r="V45" s="823">
        <f t="shared" si="56"/>
        <v>0</v>
      </c>
      <c r="W45" s="839">
        <f t="shared" si="57"/>
        <v>23274.674999999999</v>
      </c>
    </row>
    <row r="46" spans="1:34" ht="15" customHeight="1" outlineLevel="1">
      <c r="A46" s="166" t="str">
        <f>'Program Budget'!D230</f>
        <v>Airfare - Roundtrip - USA to Nigeria - Buyer Conferences for American Farmers, Ranchers and Agricultural Professionals - 50% of Cost</v>
      </c>
      <c r="B46" s="167" t="str">
        <f>'Program Budget'!F230</f>
        <v>Trip</v>
      </c>
      <c r="C46" s="284">
        <f>'Program Budget'!H230</f>
        <v>900</v>
      </c>
      <c r="D46" s="169">
        <f>'Program Budget'!G230</f>
        <v>0</v>
      </c>
      <c r="E46" s="170">
        <v>1</v>
      </c>
      <c r="F46" s="823">
        <f t="shared" ref="F46" si="62">C46*D46*E46</f>
        <v>0</v>
      </c>
      <c r="G46" s="284">
        <f t="shared" ref="G46" si="63">C46*1.05</f>
        <v>945</v>
      </c>
      <c r="H46" s="169">
        <f>'Program Budget'!K230</f>
        <v>10</v>
      </c>
      <c r="I46" s="170">
        <v>1</v>
      </c>
      <c r="J46" s="823">
        <f t="shared" ref="J46" si="64">G46*H46*I46</f>
        <v>9450</v>
      </c>
      <c r="K46" s="284">
        <f t="shared" ref="K46" si="65">G46*1.05</f>
        <v>992.25</v>
      </c>
      <c r="L46" s="169">
        <f>'Program Budget'!N230</f>
        <v>10</v>
      </c>
      <c r="M46" s="170">
        <v>1</v>
      </c>
      <c r="N46" s="823">
        <f t="shared" ref="N46" si="66">K46*L46*M46</f>
        <v>9922.5</v>
      </c>
      <c r="O46" s="284">
        <f t="shared" ref="O46" si="67">K46*1.05</f>
        <v>1041.8625</v>
      </c>
      <c r="P46" s="169">
        <f>'Program Budget'!Q230</f>
        <v>0</v>
      </c>
      <c r="Q46" s="170">
        <v>1</v>
      </c>
      <c r="R46" s="823">
        <f t="shared" ref="R46" si="68">O46*P46*Q46</f>
        <v>0</v>
      </c>
      <c r="S46" s="284">
        <f t="shared" ref="S46" si="69">O46*1.05</f>
        <v>1093.9556250000001</v>
      </c>
      <c r="T46" s="169">
        <f>'Program Budget'!T230</f>
        <v>0</v>
      </c>
      <c r="U46" s="170">
        <v>0</v>
      </c>
      <c r="V46" s="823">
        <f t="shared" ref="V46" si="70">S46*T46*U46</f>
        <v>0</v>
      </c>
      <c r="W46" s="839">
        <f t="shared" ref="W46" si="71">F46+J46+N46+R46+V46</f>
        <v>19372.5</v>
      </c>
    </row>
    <row r="47" spans="1:34" ht="15" customHeight="1" outlineLevel="1">
      <c r="A47" s="166" t="str">
        <f>'Program Budget'!D232</f>
        <v>Airfare - Roundtrip - USA to Nigeria - Trade Finance &amp; Export Consultant</v>
      </c>
      <c r="B47" s="167" t="str">
        <f>'Program Budget'!F232</f>
        <v>Trip</v>
      </c>
      <c r="C47" s="284">
        <f>'Program Budget'!H232</f>
        <v>1800</v>
      </c>
      <c r="D47" s="169">
        <f>'Program Budget'!G232</f>
        <v>1</v>
      </c>
      <c r="E47" s="170">
        <v>1</v>
      </c>
      <c r="F47" s="823">
        <f t="shared" ref="F47" si="72">C47*D47*E47</f>
        <v>1800</v>
      </c>
      <c r="G47" s="284">
        <f t="shared" ref="G47" si="73">C47*1.05</f>
        <v>1890</v>
      </c>
      <c r="H47" s="169">
        <f>'Program Budget'!K232</f>
        <v>2</v>
      </c>
      <c r="I47" s="170">
        <v>1</v>
      </c>
      <c r="J47" s="823">
        <f t="shared" ref="J47" si="74">G47*H47*I47</f>
        <v>3780</v>
      </c>
      <c r="K47" s="284">
        <f t="shared" ref="K47" si="75">G47*1.05</f>
        <v>1984.5</v>
      </c>
      <c r="L47" s="169">
        <f>'Program Budget'!N232</f>
        <v>2</v>
      </c>
      <c r="M47" s="170">
        <v>1</v>
      </c>
      <c r="N47" s="823">
        <f t="shared" ref="N47" si="76">K47*L47*M47</f>
        <v>3969</v>
      </c>
      <c r="O47" s="284">
        <f t="shared" ref="O47" si="77">K47*1.05</f>
        <v>2083.7249999999999</v>
      </c>
      <c r="P47" s="169">
        <f>'Program Budget'!Q232</f>
        <v>1</v>
      </c>
      <c r="Q47" s="170">
        <v>1</v>
      </c>
      <c r="R47" s="823">
        <f t="shared" ref="R47" si="78">O47*P47*Q47</f>
        <v>2083.7249999999999</v>
      </c>
      <c r="S47" s="284">
        <f t="shared" ref="S47" si="79">O47*1.05</f>
        <v>2187.9112500000001</v>
      </c>
      <c r="T47" s="169">
        <f>'Program Budget'!T232</f>
        <v>0</v>
      </c>
      <c r="U47" s="170">
        <v>0</v>
      </c>
      <c r="V47" s="823">
        <f t="shared" ref="V47" si="80">S47*T47*U47</f>
        <v>0</v>
      </c>
      <c r="W47" s="839">
        <f t="shared" ref="W47" si="81">F47+J47+N47+R47+V47</f>
        <v>11632.725</v>
      </c>
    </row>
    <row r="48" spans="1:34" s="213" customFormat="1" ht="15.6" outlineLevel="1">
      <c r="A48" s="374" t="s">
        <v>89</v>
      </c>
      <c r="B48" s="164"/>
      <c r="C48" s="274"/>
      <c r="D48" s="139"/>
      <c r="E48" s="158"/>
      <c r="F48" s="823"/>
      <c r="G48" s="284"/>
      <c r="H48" s="139"/>
      <c r="I48" s="160"/>
      <c r="J48" s="823"/>
      <c r="K48" s="284"/>
      <c r="L48" s="139"/>
      <c r="M48" s="158"/>
      <c r="N48" s="823"/>
      <c r="O48" s="284"/>
      <c r="P48" s="139"/>
      <c r="Q48" s="160"/>
      <c r="R48" s="823"/>
      <c r="S48" s="284"/>
      <c r="T48" s="139"/>
      <c r="U48" s="170"/>
      <c r="V48" s="823"/>
      <c r="W48" s="839"/>
    </row>
    <row r="49" spans="1:23" ht="15" customHeight="1" outlineLevel="1">
      <c r="A49" s="166" t="str">
        <f>'Program Budget'!D44</f>
        <v>Ground Transportation – HO Project Management Trip</v>
      </c>
      <c r="B49" s="167" t="str">
        <f>'Program Budget'!F44</f>
        <v>Trip</v>
      </c>
      <c r="C49" s="284">
        <f>'Program Budget'!H44</f>
        <v>150</v>
      </c>
      <c r="D49" s="169">
        <f>'Program Budget'!G44</f>
        <v>3</v>
      </c>
      <c r="E49" s="170">
        <v>1</v>
      </c>
      <c r="F49" s="823">
        <f>C49*D49*E49</f>
        <v>450</v>
      </c>
      <c r="G49" s="284">
        <f t="shared" si="58"/>
        <v>157.5</v>
      </c>
      <c r="H49" s="169">
        <f>'Program Budget'!K44</f>
        <v>2</v>
      </c>
      <c r="I49" s="170">
        <v>1</v>
      </c>
      <c r="J49" s="823">
        <f>G49*H49*I49</f>
        <v>315</v>
      </c>
      <c r="K49" s="284">
        <f t="shared" si="59"/>
        <v>165.375</v>
      </c>
      <c r="L49" s="169">
        <f>'Program Budget'!N44</f>
        <v>2</v>
      </c>
      <c r="M49" s="170">
        <v>1</v>
      </c>
      <c r="N49" s="823">
        <f>K49*L49*M49</f>
        <v>330.75</v>
      </c>
      <c r="O49" s="284">
        <f t="shared" si="60"/>
        <v>173.64375000000001</v>
      </c>
      <c r="P49" s="169">
        <f>'Program Budget'!Q44</f>
        <v>2</v>
      </c>
      <c r="Q49" s="170">
        <v>1</v>
      </c>
      <c r="R49" s="823">
        <f>O49*P49*Q49</f>
        <v>347.28750000000002</v>
      </c>
      <c r="S49" s="284">
        <f t="shared" si="61"/>
        <v>182.32593750000001</v>
      </c>
      <c r="T49" s="169">
        <f>'Program Budget'!T44</f>
        <v>0</v>
      </c>
      <c r="U49" s="170">
        <v>0</v>
      </c>
      <c r="V49" s="823">
        <f>S49*T49*U49</f>
        <v>0</v>
      </c>
      <c r="W49" s="839">
        <f>F49+J49+N49+R49+V49</f>
        <v>1443.0374999999999</v>
      </c>
    </row>
    <row r="50" spans="1:23" ht="15" customHeight="1" outlineLevel="1">
      <c r="A50" s="166" t="str">
        <f>'Program Budget'!D50</f>
        <v>Ground Transportation for Nigeria Staff Travel</v>
      </c>
      <c r="B50" s="167" t="str">
        <f>'Program Budget'!F50</f>
        <v>Trip</v>
      </c>
      <c r="C50" s="284">
        <f>'Program Budget'!H50</f>
        <v>250</v>
      </c>
      <c r="D50" s="169">
        <f>'Program Budget'!G50</f>
        <v>3</v>
      </c>
      <c r="E50" s="170">
        <v>1</v>
      </c>
      <c r="F50" s="823">
        <f>C50*D50*E50</f>
        <v>750</v>
      </c>
      <c r="G50" s="284">
        <f t="shared" si="58"/>
        <v>262.5</v>
      </c>
      <c r="H50" s="169">
        <f>'Program Budget'!K50</f>
        <v>3</v>
      </c>
      <c r="I50" s="170">
        <v>1</v>
      </c>
      <c r="J50" s="823">
        <f>G50*H50*I50</f>
        <v>787.5</v>
      </c>
      <c r="K50" s="284">
        <f t="shared" si="59"/>
        <v>275.625</v>
      </c>
      <c r="L50" s="169">
        <f>'Program Budget'!N50</f>
        <v>3</v>
      </c>
      <c r="M50" s="170">
        <v>1</v>
      </c>
      <c r="N50" s="823">
        <f>K50*L50*M50</f>
        <v>826.875</v>
      </c>
      <c r="O50" s="284">
        <f t="shared" si="60"/>
        <v>289.40625</v>
      </c>
      <c r="P50" s="169">
        <f>'Program Budget'!Q50</f>
        <v>3</v>
      </c>
      <c r="Q50" s="170">
        <v>1</v>
      </c>
      <c r="R50" s="823">
        <f>O50*P50*Q50</f>
        <v>868.21875</v>
      </c>
      <c r="S50" s="284">
        <f t="shared" si="61"/>
        <v>303.87656250000003</v>
      </c>
      <c r="T50" s="169">
        <f>'Program Budget'!T50</f>
        <v>0</v>
      </c>
      <c r="U50" s="170">
        <v>0</v>
      </c>
      <c r="V50" s="823">
        <f>S50*T50*U50</f>
        <v>0</v>
      </c>
      <c r="W50" s="839">
        <f>F50+J50+N50+R50+V50</f>
        <v>3232.59375</v>
      </c>
    </row>
    <row r="51" spans="1:23" ht="15" customHeight="1" outlineLevel="1">
      <c r="A51" s="166" t="str">
        <f>'Program Budget'!D55</f>
        <v>Roundtrip Domestic Airfare - Lagos to Implementing Regions  – Training, M&amp;E, &amp; Data Collection</v>
      </c>
      <c r="B51" s="167" t="str">
        <f>'Program Budget'!F55</f>
        <v>Trip</v>
      </c>
      <c r="C51" s="284">
        <f>'Program Budget'!H55</f>
        <v>250</v>
      </c>
      <c r="D51" s="169">
        <f>'Program Budget'!G55</f>
        <v>36</v>
      </c>
      <c r="E51" s="170">
        <v>1</v>
      </c>
      <c r="F51" s="823">
        <f t="shared" ref="F51:F52" si="82">C51*D51*E51</f>
        <v>9000</v>
      </c>
      <c r="G51" s="284">
        <f t="shared" ref="G51:G52" si="83">C51*1.05</f>
        <v>262.5</v>
      </c>
      <c r="H51" s="169">
        <f>'Program Budget'!K55</f>
        <v>36</v>
      </c>
      <c r="I51" s="170">
        <v>1</v>
      </c>
      <c r="J51" s="823">
        <f t="shared" ref="J51:J52" si="84">G51*H51*I51</f>
        <v>9450</v>
      </c>
      <c r="K51" s="284">
        <f t="shared" ref="K51:K52" si="85">G51*1.05</f>
        <v>275.625</v>
      </c>
      <c r="L51" s="169">
        <f>'Program Budget'!N55</f>
        <v>36</v>
      </c>
      <c r="M51" s="170">
        <v>1</v>
      </c>
      <c r="N51" s="823">
        <f t="shared" ref="N51:N52" si="86">K51*L51*M51</f>
        <v>9922.5</v>
      </c>
      <c r="O51" s="284">
        <f t="shared" ref="O51:O52" si="87">K51*1.05</f>
        <v>289.40625</v>
      </c>
      <c r="P51" s="169">
        <f>'Program Budget'!Q55</f>
        <v>36</v>
      </c>
      <c r="Q51" s="170">
        <v>1</v>
      </c>
      <c r="R51" s="823">
        <f t="shared" ref="R51:R52" si="88">O51*P51*Q51</f>
        <v>10418.625</v>
      </c>
      <c r="S51" s="284">
        <f t="shared" ref="S51:S52" si="89">O51*1.05</f>
        <v>303.87656250000003</v>
      </c>
      <c r="T51" s="169">
        <f>'Program Budget'!T55</f>
        <v>0</v>
      </c>
      <c r="U51" s="170">
        <v>0</v>
      </c>
      <c r="V51" s="823">
        <f t="shared" ref="V51:V52" si="90">S51*T51*U51</f>
        <v>0</v>
      </c>
      <c r="W51" s="839">
        <f t="shared" ref="W51:W52" si="91">F51+J51+N51+R51+V51</f>
        <v>38791.125</v>
      </c>
    </row>
    <row r="52" spans="1:23" ht="15" customHeight="1" outlineLevel="1">
      <c r="A52" s="166" t="str">
        <f>'Program Budget'!D56</f>
        <v>Local Transportation (Car Rental, Taxis)  – Training, M&amp;E, &amp; Data Collection</v>
      </c>
      <c r="B52" s="167" t="str">
        <f>'Program Budget'!F56</f>
        <v>Trip</v>
      </c>
      <c r="C52" s="284">
        <f>'Program Budget'!H56</f>
        <v>30</v>
      </c>
      <c r="D52" s="169">
        <f>'Program Budget'!G56</f>
        <v>36</v>
      </c>
      <c r="E52" s="170">
        <v>1</v>
      </c>
      <c r="F52" s="823">
        <f t="shared" si="82"/>
        <v>1080</v>
      </c>
      <c r="G52" s="284">
        <f t="shared" si="83"/>
        <v>31.5</v>
      </c>
      <c r="H52" s="169">
        <f>'Program Budget'!K56</f>
        <v>36</v>
      </c>
      <c r="I52" s="170">
        <v>1</v>
      </c>
      <c r="J52" s="823">
        <f t="shared" si="84"/>
        <v>1134</v>
      </c>
      <c r="K52" s="284">
        <f t="shared" si="85"/>
        <v>33.075000000000003</v>
      </c>
      <c r="L52" s="169">
        <f>'Program Budget'!N56</f>
        <v>36</v>
      </c>
      <c r="M52" s="170">
        <v>1</v>
      </c>
      <c r="N52" s="823">
        <f t="shared" si="86"/>
        <v>1190.7</v>
      </c>
      <c r="O52" s="284">
        <f t="shared" si="87"/>
        <v>34.728750000000005</v>
      </c>
      <c r="P52" s="169">
        <f>'Program Budget'!Q56</f>
        <v>36</v>
      </c>
      <c r="Q52" s="170">
        <v>1</v>
      </c>
      <c r="R52" s="823">
        <f t="shared" si="88"/>
        <v>1250.2350000000001</v>
      </c>
      <c r="S52" s="284">
        <f t="shared" si="89"/>
        <v>36.465187500000006</v>
      </c>
      <c r="T52" s="169">
        <f>'Program Budget'!T56</f>
        <v>0</v>
      </c>
      <c r="U52" s="170">
        <v>0</v>
      </c>
      <c r="V52" s="823">
        <f t="shared" si="90"/>
        <v>0</v>
      </c>
      <c r="W52" s="839">
        <f t="shared" si="91"/>
        <v>4654.9349999999995</v>
      </c>
    </row>
    <row r="53" spans="1:23" ht="15" customHeight="1" outlineLevel="1">
      <c r="A53" s="166" t="str">
        <f>'Program Budget'!D168</f>
        <v>Local Transportation (Taxis/Ubers)  for Project Implementation</v>
      </c>
      <c r="B53" s="167" t="str">
        <f>'Program Budget'!F168</f>
        <v>Month</v>
      </c>
      <c r="C53" s="284">
        <f>'Activity 1'!C46+'Activity 2'!C46+'Activity 3'!C44</f>
        <v>900</v>
      </c>
      <c r="D53" s="169">
        <f>'Program Budget'!G168</f>
        <v>6</v>
      </c>
      <c r="E53" s="170">
        <v>1</v>
      </c>
      <c r="F53" s="823">
        <f t="shared" ref="F53:F54" si="92">C53*D53*E53</f>
        <v>5400</v>
      </c>
      <c r="G53" s="284">
        <f t="shared" ref="G53:G54" si="93">C53*1.05</f>
        <v>945</v>
      </c>
      <c r="H53" s="169">
        <f>'Program Budget'!K168</f>
        <v>12</v>
      </c>
      <c r="I53" s="170">
        <v>1</v>
      </c>
      <c r="J53" s="823">
        <f t="shared" ref="J53:J54" si="94">G53*H53*I53</f>
        <v>11340</v>
      </c>
      <c r="K53" s="284">
        <f t="shared" ref="K53:K54" si="95">G53*1.05</f>
        <v>992.25</v>
      </c>
      <c r="L53" s="169">
        <f>'Program Budget'!N168</f>
        <v>12</v>
      </c>
      <c r="M53" s="170">
        <v>1</v>
      </c>
      <c r="N53" s="823">
        <f t="shared" ref="N53:N54" si="96">K53*L53*M53</f>
        <v>11907</v>
      </c>
      <c r="O53" s="284">
        <f t="shared" ref="O53:O54" si="97">K53*1.05</f>
        <v>1041.8625</v>
      </c>
      <c r="P53" s="169">
        <f>'Program Budget'!Q168</f>
        <v>12</v>
      </c>
      <c r="Q53" s="170">
        <v>1</v>
      </c>
      <c r="R53" s="823">
        <f t="shared" ref="R53:R54" si="98">O53*P53*Q53</f>
        <v>12502.349999999999</v>
      </c>
      <c r="S53" s="284">
        <f t="shared" ref="S53:S54" si="99">O53*1.05</f>
        <v>1093.9556250000001</v>
      </c>
      <c r="T53" s="169">
        <f>'Program Budget'!T168</f>
        <v>0</v>
      </c>
      <c r="U53" s="170">
        <v>0</v>
      </c>
      <c r="V53" s="823">
        <f t="shared" ref="V53:V54" si="100">S53*T53*U53</f>
        <v>0</v>
      </c>
      <c r="W53" s="839">
        <f t="shared" ref="W53:W54" si="101">F53+J53+N53+R53+V53</f>
        <v>41149.35</v>
      </c>
    </row>
    <row r="54" spans="1:23" ht="15" customHeight="1" outlineLevel="1">
      <c r="A54" s="166" t="str">
        <f>'Program Budget'!D169</f>
        <v>Roundtrip Domestic Airfare - Lagos to Implementing Regions for Trainings on Activity 1</v>
      </c>
      <c r="B54" s="167" t="str">
        <f>'Program Budget'!F169</f>
        <v>Trip</v>
      </c>
      <c r="C54" s="284">
        <f>'Program Budget'!H169</f>
        <v>250</v>
      </c>
      <c r="D54" s="169">
        <f>'Program Budget'!G169</f>
        <v>12</v>
      </c>
      <c r="E54" s="170">
        <v>1</v>
      </c>
      <c r="F54" s="823">
        <f t="shared" si="92"/>
        <v>3000</v>
      </c>
      <c r="G54" s="284">
        <f t="shared" si="93"/>
        <v>262.5</v>
      </c>
      <c r="H54" s="169">
        <f>'Program Budget'!K169</f>
        <v>24</v>
      </c>
      <c r="I54" s="170">
        <v>1</v>
      </c>
      <c r="J54" s="823">
        <f t="shared" si="94"/>
        <v>6300</v>
      </c>
      <c r="K54" s="284">
        <f t="shared" si="95"/>
        <v>275.625</v>
      </c>
      <c r="L54" s="169">
        <f>'Program Budget'!N169</f>
        <v>24</v>
      </c>
      <c r="M54" s="170">
        <v>1</v>
      </c>
      <c r="N54" s="823">
        <f t="shared" si="96"/>
        <v>6615</v>
      </c>
      <c r="O54" s="284">
        <f t="shared" si="97"/>
        <v>289.40625</v>
      </c>
      <c r="P54" s="169">
        <f>'Program Budget'!Q169</f>
        <v>24</v>
      </c>
      <c r="Q54" s="170">
        <v>1</v>
      </c>
      <c r="R54" s="823">
        <f t="shared" si="98"/>
        <v>6945.75</v>
      </c>
      <c r="S54" s="284">
        <f t="shared" si="99"/>
        <v>303.87656250000003</v>
      </c>
      <c r="T54" s="169">
        <f>'Program Budget'!T169</f>
        <v>0</v>
      </c>
      <c r="U54" s="170">
        <v>0</v>
      </c>
      <c r="V54" s="823">
        <f t="shared" si="100"/>
        <v>0</v>
      </c>
      <c r="W54" s="839">
        <f t="shared" si="101"/>
        <v>22860.75</v>
      </c>
    </row>
    <row r="55" spans="1:23" ht="15" customHeight="1" outlineLevel="1">
      <c r="A55" s="166" t="str">
        <f>'Program Budget'!D170</f>
        <v>Local Transportation (Car Rental, Taxis) for Trainings on Activity 1</v>
      </c>
      <c r="B55" s="167" t="str">
        <f>'Program Budget'!F170</f>
        <v>Trip</v>
      </c>
      <c r="C55" s="284">
        <f>'Program Budget'!H170</f>
        <v>30</v>
      </c>
      <c r="D55" s="169">
        <f>'Program Budget'!G170</f>
        <v>12</v>
      </c>
      <c r="E55" s="170">
        <v>1</v>
      </c>
      <c r="F55" s="823">
        <f t="shared" ref="F55" si="102">C55*D55*E55</f>
        <v>360</v>
      </c>
      <c r="G55" s="284">
        <f t="shared" ref="G55" si="103">C55*1.05</f>
        <v>31.5</v>
      </c>
      <c r="H55" s="169">
        <f>'Program Budget'!K170</f>
        <v>24</v>
      </c>
      <c r="I55" s="170">
        <v>1</v>
      </c>
      <c r="J55" s="823">
        <f t="shared" ref="J55" si="104">G55*H55*I55</f>
        <v>756</v>
      </c>
      <c r="K55" s="284">
        <f t="shared" ref="K55" si="105">G55*1.05</f>
        <v>33.075000000000003</v>
      </c>
      <c r="L55" s="169">
        <f>'Program Budget'!N170</f>
        <v>24</v>
      </c>
      <c r="M55" s="170">
        <v>1</v>
      </c>
      <c r="N55" s="823">
        <f t="shared" ref="N55" si="106">K55*L55*M55</f>
        <v>793.80000000000007</v>
      </c>
      <c r="O55" s="284">
        <f t="shared" ref="O55" si="107">K55*1.05</f>
        <v>34.728750000000005</v>
      </c>
      <c r="P55" s="169">
        <f>'Program Budget'!Q170</f>
        <v>24</v>
      </c>
      <c r="Q55" s="170">
        <v>1</v>
      </c>
      <c r="R55" s="823">
        <f t="shared" ref="R55" si="108">O55*P55*Q55</f>
        <v>833.49000000000012</v>
      </c>
      <c r="S55" s="284">
        <f t="shared" ref="S55" si="109">O55*1.05</f>
        <v>36.465187500000006</v>
      </c>
      <c r="T55" s="169">
        <f>'Program Budget'!T170</f>
        <v>0</v>
      </c>
      <c r="U55" s="170">
        <v>0</v>
      </c>
      <c r="V55" s="823">
        <f t="shared" ref="V55" si="110">S55*T55*U55</f>
        <v>0</v>
      </c>
      <c r="W55" s="839">
        <f t="shared" ref="W55" si="111">F55+J55+N55+R55+V55</f>
        <v>2743.2900000000004</v>
      </c>
    </row>
    <row r="56" spans="1:23" ht="15" customHeight="1" outlineLevel="1">
      <c r="A56" s="166" t="str">
        <f>'Program Budget'!D227</f>
        <v>Roundtrip Domestic Airfare - Lagos to Implementing Regions for Trainings on Activity 2</v>
      </c>
      <c r="B56" s="167" t="str">
        <f>'Program Budget'!F227</f>
        <v>Trip</v>
      </c>
      <c r="C56" s="284">
        <f>'Program Budget'!H227</f>
        <v>250</v>
      </c>
      <c r="D56" s="169">
        <f>'Program Budget'!G227</f>
        <v>12</v>
      </c>
      <c r="E56" s="170">
        <v>1</v>
      </c>
      <c r="F56" s="823">
        <f t="shared" ref="F56" si="112">C56*D56*E56</f>
        <v>3000</v>
      </c>
      <c r="G56" s="284">
        <f t="shared" ref="G56" si="113">C56*1.05</f>
        <v>262.5</v>
      </c>
      <c r="H56" s="169">
        <f>'Program Budget'!K227</f>
        <v>24</v>
      </c>
      <c r="I56" s="170">
        <v>1</v>
      </c>
      <c r="J56" s="823">
        <f t="shared" ref="J56" si="114">G56*H56*I56</f>
        <v>6300</v>
      </c>
      <c r="K56" s="284">
        <f t="shared" ref="K56" si="115">G56*1.05</f>
        <v>275.625</v>
      </c>
      <c r="L56" s="169">
        <f>'Program Budget'!N227</f>
        <v>24</v>
      </c>
      <c r="M56" s="170">
        <v>1</v>
      </c>
      <c r="N56" s="823">
        <f t="shared" ref="N56" si="116">K56*L56*M56</f>
        <v>6615</v>
      </c>
      <c r="O56" s="284">
        <f t="shared" ref="O56" si="117">K56*1.05</f>
        <v>289.40625</v>
      </c>
      <c r="P56" s="169">
        <f>'Program Budget'!Q227</f>
        <v>24</v>
      </c>
      <c r="Q56" s="170">
        <v>1</v>
      </c>
      <c r="R56" s="823">
        <f t="shared" ref="R56" si="118">O56*P56*Q56</f>
        <v>6945.75</v>
      </c>
      <c r="S56" s="284">
        <f t="shared" ref="S56" si="119">O56*1.05</f>
        <v>303.87656250000003</v>
      </c>
      <c r="T56" s="169">
        <f>'Program Budget'!T227</f>
        <v>0</v>
      </c>
      <c r="U56" s="170">
        <v>0</v>
      </c>
      <c r="V56" s="823">
        <f t="shared" ref="V56" si="120">S56*T56*U56</f>
        <v>0</v>
      </c>
      <c r="W56" s="839">
        <f t="shared" ref="W56" si="121">F56+J56+N56+R56+V56</f>
        <v>22860.75</v>
      </c>
    </row>
    <row r="57" spans="1:23" ht="15" customHeight="1" outlineLevel="1">
      <c r="A57" s="166" t="str">
        <f>'Program Budget'!D228</f>
        <v>Local Transportation (Car Rental, Taxis) for Trainings on Activity 2</v>
      </c>
      <c r="B57" s="167" t="str">
        <f>'Program Budget'!F228</f>
        <v>Trip</v>
      </c>
      <c r="C57" s="284">
        <f>'Program Budget'!H228</f>
        <v>30</v>
      </c>
      <c r="D57" s="169">
        <f>'Program Budget'!G228</f>
        <v>12</v>
      </c>
      <c r="E57" s="170">
        <v>1</v>
      </c>
      <c r="F57" s="823">
        <f t="shared" ref="F57" si="122">C57*D57*E57</f>
        <v>360</v>
      </c>
      <c r="G57" s="284">
        <f t="shared" ref="G57" si="123">C57*1.05</f>
        <v>31.5</v>
      </c>
      <c r="H57" s="169">
        <f>'Program Budget'!K228</f>
        <v>24</v>
      </c>
      <c r="I57" s="170">
        <v>1</v>
      </c>
      <c r="J57" s="823">
        <f t="shared" ref="J57" si="124">G57*H57*I57</f>
        <v>756</v>
      </c>
      <c r="K57" s="284">
        <f t="shared" ref="K57" si="125">G57*1.05</f>
        <v>33.075000000000003</v>
      </c>
      <c r="L57" s="169">
        <f>'Program Budget'!N228</f>
        <v>24</v>
      </c>
      <c r="M57" s="170">
        <v>1</v>
      </c>
      <c r="N57" s="823">
        <f t="shared" ref="N57" si="126">K57*L57*M57</f>
        <v>793.80000000000007</v>
      </c>
      <c r="O57" s="284">
        <f t="shared" ref="O57" si="127">K57*1.05</f>
        <v>34.728750000000005</v>
      </c>
      <c r="P57" s="169">
        <f>'Program Budget'!Q228</f>
        <v>24</v>
      </c>
      <c r="Q57" s="170">
        <v>1</v>
      </c>
      <c r="R57" s="823">
        <f t="shared" ref="R57" si="128">O57*P57*Q57</f>
        <v>833.49000000000012</v>
      </c>
      <c r="S57" s="284">
        <f t="shared" ref="S57" si="129">O57*1.05</f>
        <v>36.465187500000006</v>
      </c>
      <c r="T57" s="169">
        <f>'Program Budget'!T228</f>
        <v>0</v>
      </c>
      <c r="U57" s="170">
        <v>0</v>
      </c>
      <c r="V57" s="823">
        <f t="shared" ref="V57" si="130">S57*T57*U57</f>
        <v>0</v>
      </c>
      <c r="W57" s="839">
        <f t="shared" ref="W57" si="131">F57+J57+N57+R57+V57</f>
        <v>2743.2900000000004</v>
      </c>
    </row>
    <row r="58" spans="1:23" ht="15" customHeight="1" outlineLevel="1">
      <c r="A58" s="166" t="str">
        <f>'Program Budget'!D234</f>
        <v>Ground Transportation – Trade Finance &amp; Export Consultant</v>
      </c>
      <c r="B58" s="167" t="str">
        <f>'Program Budget'!F234</f>
        <v>Trip</v>
      </c>
      <c r="C58" s="284">
        <f>'Program Budget'!H234</f>
        <v>150</v>
      </c>
      <c r="D58" s="169">
        <f>'Program Budget'!G234</f>
        <v>1</v>
      </c>
      <c r="E58" s="170">
        <v>1</v>
      </c>
      <c r="F58" s="823">
        <f t="shared" ref="F58" si="132">C58*D58*E58</f>
        <v>150</v>
      </c>
      <c r="G58" s="284">
        <f t="shared" ref="G58" si="133">C58*1.05</f>
        <v>157.5</v>
      </c>
      <c r="H58" s="169">
        <f>'Program Budget'!K234</f>
        <v>2</v>
      </c>
      <c r="I58" s="170">
        <v>1</v>
      </c>
      <c r="J58" s="823">
        <f t="shared" ref="J58" si="134">G58*H58*I58</f>
        <v>315</v>
      </c>
      <c r="K58" s="284">
        <f t="shared" ref="K58" si="135">G58*1.05</f>
        <v>165.375</v>
      </c>
      <c r="L58" s="169">
        <f>'Program Budget'!N234</f>
        <v>2</v>
      </c>
      <c r="M58" s="170">
        <v>1</v>
      </c>
      <c r="N58" s="823">
        <f t="shared" ref="N58" si="136">K58*L58*M58</f>
        <v>330.75</v>
      </c>
      <c r="O58" s="284">
        <f t="shared" ref="O58" si="137">K58*1.05</f>
        <v>173.64375000000001</v>
      </c>
      <c r="P58" s="169">
        <f>'Program Budget'!Q234</f>
        <v>1</v>
      </c>
      <c r="Q58" s="170">
        <v>1</v>
      </c>
      <c r="R58" s="823">
        <f t="shared" ref="R58" si="138">O58*P58*Q58</f>
        <v>173.64375000000001</v>
      </c>
      <c r="S58" s="284">
        <f t="shared" ref="S58" si="139">O58*1.05</f>
        <v>182.32593750000001</v>
      </c>
      <c r="T58" s="169">
        <f>'Program Budget'!T234</f>
        <v>0</v>
      </c>
      <c r="U58" s="170">
        <v>0</v>
      </c>
      <c r="V58" s="823">
        <f t="shared" ref="V58" si="140">S58*T58*U58</f>
        <v>0</v>
      </c>
      <c r="W58" s="839">
        <f t="shared" ref="W58" si="141">F58+J58+N58+R58+V58</f>
        <v>969.39374999999995</v>
      </c>
    </row>
    <row r="59" spans="1:23" ht="15" customHeight="1" outlineLevel="1">
      <c r="A59" s="166" t="str">
        <f>'Program Budget'!D305</f>
        <v>Roundtrip Domestic Airfare - Lagos to Implementing Regions for Trainings on Activity 3</v>
      </c>
      <c r="B59" s="167" t="str">
        <f>'Program Budget'!F305</f>
        <v>Trip</v>
      </c>
      <c r="C59" s="284">
        <f>'Program Budget'!H305</f>
        <v>250</v>
      </c>
      <c r="D59" s="169">
        <f>'Program Budget'!G305</f>
        <v>6</v>
      </c>
      <c r="E59" s="170">
        <v>1</v>
      </c>
      <c r="F59" s="823">
        <f t="shared" ref="F59" si="142">C59*D59*E59</f>
        <v>1500</v>
      </c>
      <c r="G59" s="284">
        <f t="shared" ref="G59" si="143">C59*1.05</f>
        <v>262.5</v>
      </c>
      <c r="H59" s="169">
        <f>'Program Budget'!K305</f>
        <v>12</v>
      </c>
      <c r="I59" s="170">
        <v>1</v>
      </c>
      <c r="J59" s="823">
        <f t="shared" ref="J59" si="144">G59*H59*I59</f>
        <v>3150</v>
      </c>
      <c r="K59" s="284">
        <f t="shared" ref="K59" si="145">G59*1.05</f>
        <v>275.625</v>
      </c>
      <c r="L59" s="169">
        <f>'Program Budget'!N305</f>
        <v>12</v>
      </c>
      <c r="M59" s="170">
        <v>1</v>
      </c>
      <c r="N59" s="823">
        <f t="shared" ref="N59" si="146">K59*L59*M59</f>
        <v>3307.5</v>
      </c>
      <c r="O59" s="284">
        <f t="shared" ref="O59" si="147">K59*1.05</f>
        <v>289.40625</v>
      </c>
      <c r="P59" s="169">
        <f>'Program Budget'!Q305</f>
        <v>12</v>
      </c>
      <c r="Q59" s="170">
        <v>1</v>
      </c>
      <c r="R59" s="823">
        <f t="shared" ref="R59" si="148">O59*P59*Q59</f>
        <v>3472.875</v>
      </c>
      <c r="S59" s="284">
        <f t="shared" ref="S59" si="149">O59*1.05</f>
        <v>303.87656250000003</v>
      </c>
      <c r="T59" s="169">
        <f>'Program Budget'!T305</f>
        <v>0</v>
      </c>
      <c r="U59" s="170">
        <v>0</v>
      </c>
      <c r="V59" s="823">
        <f t="shared" ref="V59" si="150">S59*T59*U59</f>
        <v>0</v>
      </c>
      <c r="W59" s="839">
        <f t="shared" ref="W59" si="151">F59+J59+N59+R59+V59</f>
        <v>11430.375</v>
      </c>
    </row>
    <row r="60" spans="1:23" ht="15" customHeight="1" outlineLevel="1">
      <c r="A60" s="166" t="str">
        <f>'Program Budget'!D306</f>
        <v>Local Transportation (Car Rental, Taxis) for Trainings on Activity 3</v>
      </c>
      <c r="B60" s="167" t="str">
        <f>'Program Budget'!F306</f>
        <v>Trip</v>
      </c>
      <c r="C60" s="284">
        <f>'Program Budget'!H306</f>
        <v>30</v>
      </c>
      <c r="D60" s="169">
        <f>'Program Budget'!G306</f>
        <v>6</v>
      </c>
      <c r="E60" s="170">
        <v>1</v>
      </c>
      <c r="F60" s="823">
        <f t="shared" ref="F60" si="152">C60*D60*E60</f>
        <v>180</v>
      </c>
      <c r="G60" s="284">
        <f t="shared" ref="G60" si="153">C60*1.05</f>
        <v>31.5</v>
      </c>
      <c r="H60" s="169">
        <f>'Program Budget'!K306</f>
        <v>12</v>
      </c>
      <c r="I60" s="170">
        <v>1</v>
      </c>
      <c r="J60" s="823">
        <f t="shared" ref="J60" si="154">G60*H60*I60</f>
        <v>378</v>
      </c>
      <c r="K60" s="284">
        <f t="shared" ref="K60" si="155">G60*1.05</f>
        <v>33.075000000000003</v>
      </c>
      <c r="L60" s="169">
        <f>'Program Budget'!N306</f>
        <v>12</v>
      </c>
      <c r="M60" s="170">
        <v>1</v>
      </c>
      <c r="N60" s="823">
        <f t="shared" ref="N60" si="156">K60*L60*M60</f>
        <v>396.90000000000003</v>
      </c>
      <c r="O60" s="284">
        <f t="shared" ref="O60" si="157">K60*1.05</f>
        <v>34.728750000000005</v>
      </c>
      <c r="P60" s="169">
        <f>'Program Budget'!Q306</f>
        <v>12</v>
      </c>
      <c r="Q60" s="170">
        <v>1</v>
      </c>
      <c r="R60" s="823">
        <f t="shared" ref="R60" si="158">O60*P60*Q60</f>
        <v>416.74500000000006</v>
      </c>
      <c r="S60" s="284">
        <f t="shared" ref="S60" si="159">O60*1.05</f>
        <v>36.465187500000006</v>
      </c>
      <c r="T60" s="169">
        <f>'Program Budget'!T306</f>
        <v>0</v>
      </c>
      <c r="U60" s="170">
        <v>0</v>
      </c>
      <c r="V60" s="823">
        <f t="shared" ref="V60" si="160">S60*T60*U60</f>
        <v>0</v>
      </c>
      <c r="W60" s="839">
        <f t="shared" ref="W60" si="161">F60+J60+N60+R60+V60</f>
        <v>1371.6450000000002</v>
      </c>
    </row>
    <row r="61" spans="1:23" s="213" customFormat="1" ht="15.6" outlineLevel="1">
      <c r="A61" s="374" t="s">
        <v>90</v>
      </c>
      <c r="B61" s="181"/>
      <c r="C61" s="289"/>
      <c r="D61" s="139"/>
      <c r="E61" s="140"/>
      <c r="F61" s="823"/>
      <c r="G61" s="284"/>
      <c r="H61" s="139"/>
      <c r="I61" s="141"/>
      <c r="J61" s="823"/>
      <c r="K61" s="284"/>
      <c r="L61" s="139"/>
      <c r="M61" s="140"/>
      <c r="N61" s="823"/>
      <c r="O61" s="284"/>
      <c r="P61" s="139"/>
      <c r="Q61" s="141"/>
      <c r="R61" s="823"/>
      <c r="S61" s="284"/>
      <c r="T61" s="139"/>
      <c r="U61" s="170"/>
      <c r="V61" s="823"/>
      <c r="W61" s="839"/>
    </row>
    <row r="62" spans="1:23" ht="15" customHeight="1" outlineLevel="1">
      <c r="A62" s="166" t="str">
        <f>'Program Budget'!D54</f>
        <v>Vehicle Fuel Expense (for Field Office Vehicles)</v>
      </c>
      <c r="B62" s="167" t="str">
        <f>'Program Budget'!F54</f>
        <v>Month</v>
      </c>
      <c r="C62" s="284">
        <f>'Program Budget'!H54+'Program Budget'!H167+'Program Budget'!H225+'Program Budget'!H303</f>
        <v>230</v>
      </c>
      <c r="D62" s="169">
        <f>'Program Budget'!G54</f>
        <v>3</v>
      </c>
      <c r="E62" s="170">
        <v>1</v>
      </c>
      <c r="F62" s="823">
        <f t="shared" ref="F62" si="162">C62*D62*E62</f>
        <v>690</v>
      </c>
      <c r="G62" s="284">
        <f t="shared" ref="G62" si="163">C62*1.05</f>
        <v>241.5</v>
      </c>
      <c r="H62" s="169">
        <f>'Program Budget'!K54</f>
        <v>12</v>
      </c>
      <c r="I62" s="170">
        <v>1</v>
      </c>
      <c r="J62" s="823">
        <f t="shared" ref="J62" si="164">G62*H62*I62</f>
        <v>2898</v>
      </c>
      <c r="K62" s="284">
        <f t="shared" ref="K62" si="165">G62*1.05</f>
        <v>253.57500000000002</v>
      </c>
      <c r="L62" s="169">
        <f>'Program Budget'!N54</f>
        <v>12</v>
      </c>
      <c r="M62" s="170">
        <v>1</v>
      </c>
      <c r="N62" s="823">
        <f t="shared" ref="N62" si="166">K62*L62*M62</f>
        <v>3042.9</v>
      </c>
      <c r="O62" s="284">
        <f t="shared" ref="O62" si="167">K62*1.05</f>
        <v>266.25375000000003</v>
      </c>
      <c r="P62" s="169">
        <f>'Program Budget'!Q54</f>
        <v>12</v>
      </c>
      <c r="Q62" s="170">
        <v>1</v>
      </c>
      <c r="R62" s="823">
        <f t="shared" ref="R62" si="168">O62*P62*Q62</f>
        <v>3195.0450000000001</v>
      </c>
      <c r="S62" s="284">
        <f t="shared" ref="S62" si="169">O62*1.05</f>
        <v>279.56643750000006</v>
      </c>
      <c r="T62" s="169">
        <f>'Program Budget'!T54</f>
        <v>0</v>
      </c>
      <c r="U62" s="170">
        <v>0</v>
      </c>
      <c r="V62" s="823">
        <f t="shared" ref="V62" si="170">S62*T62*U62</f>
        <v>0</v>
      </c>
      <c r="W62" s="839">
        <f t="shared" ref="W62" si="171">F62+J62+N62+R62+V62</f>
        <v>9825.9449999999997</v>
      </c>
    </row>
    <row r="63" spans="1:23" s="213" customFormat="1" ht="15.6" outlineLevel="1">
      <c r="A63" s="163" t="s">
        <v>91</v>
      </c>
      <c r="B63" s="181"/>
      <c r="C63" s="289"/>
      <c r="D63" s="139"/>
      <c r="E63" s="140"/>
      <c r="F63" s="823"/>
      <c r="G63" s="284"/>
      <c r="H63" s="171"/>
      <c r="I63" s="171"/>
      <c r="J63" s="823"/>
      <c r="K63" s="284"/>
      <c r="L63" s="171"/>
      <c r="M63" s="171"/>
      <c r="N63" s="823"/>
      <c r="O63" s="284"/>
      <c r="P63" s="171"/>
      <c r="Q63" s="171"/>
      <c r="R63" s="823"/>
      <c r="S63" s="284"/>
      <c r="T63" s="171"/>
      <c r="U63" s="170"/>
      <c r="V63" s="823"/>
      <c r="W63" s="839"/>
    </row>
    <row r="64" spans="1:23" ht="15" customHeight="1" outlineLevel="1">
      <c r="A64" s="166" t="str">
        <f>'Program Budget'!D43</f>
        <v>Lodging and M&amp;IE - HO Project Management Trip</v>
      </c>
      <c r="B64" s="167" t="str">
        <f>'Program Budget'!F43</f>
        <v>Day</v>
      </c>
      <c r="C64" s="297">
        <f>'Program Budget'!H43</f>
        <v>310.5</v>
      </c>
      <c r="D64" s="298">
        <f>'Program Budget'!G43</f>
        <v>30</v>
      </c>
      <c r="E64" s="170">
        <v>1</v>
      </c>
      <c r="F64" s="823">
        <f t="shared" ref="F64:F70" si="172">C64*D64*E64</f>
        <v>9315</v>
      </c>
      <c r="G64" s="284">
        <f>C64*1.05</f>
        <v>326.02500000000003</v>
      </c>
      <c r="H64" s="169">
        <f>'Program Budget'!K43</f>
        <v>20</v>
      </c>
      <c r="I64" s="170">
        <v>1</v>
      </c>
      <c r="J64" s="823">
        <f t="shared" ref="J64:J70" si="173">G64*H64*I64</f>
        <v>6520.5000000000009</v>
      </c>
      <c r="K64" s="284">
        <f t="shared" si="59"/>
        <v>342.32625000000007</v>
      </c>
      <c r="L64" s="169">
        <f>'Program Budget'!N43</f>
        <v>20</v>
      </c>
      <c r="M64" s="170">
        <v>1</v>
      </c>
      <c r="N64" s="823">
        <f t="shared" ref="N64:N70" si="174">K64*L64*M64</f>
        <v>6846.5250000000015</v>
      </c>
      <c r="O64" s="284">
        <f t="shared" si="60"/>
        <v>359.44256250000007</v>
      </c>
      <c r="P64" s="169">
        <f>'Program Budget'!Q43</f>
        <v>20</v>
      </c>
      <c r="Q64" s="170">
        <v>1</v>
      </c>
      <c r="R64" s="823">
        <f t="shared" ref="R64:R70" si="175">O64*P64*Q64</f>
        <v>7188.8512500000015</v>
      </c>
      <c r="S64" s="284">
        <f t="shared" si="61"/>
        <v>377.41469062500011</v>
      </c>
      <c r="T64" s="169">
        <f>'Program Budget'!T43</f>
        <v>0</v>
      </c>
      <c r="U64" s="170">
        <v>0</v>
      </c>
      <c r="V64" s="823">
        <f t="shared" ref="V64:V70" si="176">S64*T64*U64</f>
        <v>0</v>
      </c>
      <c r="W64" s="839">
        <f t="shared" ref="W64:W70" si="177">F64+J64+N64+R64+V64</f>
        <v>29870.876250000001</v>
      </c>
    </row>
    <row r="65" spans="1:23" ht="15" customHeight="1" outlineLevel="1">
      <c r="A65" s="166" t="str">
        <f>'Program Budget'!D45</f>
        <v>Other Travel Related Expenses – HO Project Management Trip</v>
      </c>
      <c r="B65" s="167" t="str">
        <f>'Program Budget'!F45</f>
        <v>Trip</v>
      </c>
      <c r="C65" s="284">
        <f>'Program Budget'!H45</f>
        <v>150</v>
      </c>
      <c r="D65" s="169">
        <f>'Program Budget'!G45</f>
        <v>3</v>
      </c>
      <c r="E65" s="170">
        <v>1</v>
      </c>
      <c r="F65" s="823">
        <f t="shared" si="172"/>
        <v>450</v>
      </c>
      <c r="G65" s="284">
        <f t="shared" ref="G65:G68" si="178">C65*1.05</f>
        <v>157.5</v>
      </c>
      <c r="H65" s="169">
        <f>'Program Budget'!K45</f>
        <v>2</v>
      </c>
      <c r="I65" s="170">
        <v>1</v>
      </c>
      <c r="J65" s="823">
        <f t="shared" si="173"/>
        <v>315</v>
      </c>
      <c r="K65" s="284">
        <f t="shared" si="59"/>
        <v>165.375</v>
      </c>
      <c r="L65" s="169">
        <f>'Program Budget'!N45</f>
        <v>2</v>
      </c>
      <c r="M65" s="170">
        <v>1</v>
      </c>
      <c r="N65" s="823">
        <f t="shared" si="174"/>
        <v>330.75</v>
      </c>
      <c r="O65" s="284">
        <f t="shared" si="60"/>
        <v>173.64375000000001</v>
      </c>
      <c r="P65" s="169">
        <f>'Program Budget'!Q45</f>
        <v>2</v>
      </c>
      <c r="Q65" s="170">
        <v>1</v>
      </c>
      <c r="R65" s="823">
        <f t="shared" si="175"/>
        <v>347.28750000000002</v>
      </c>
      <c r="S65" s="284">
        <f t="shared" si="61"/>
        <v>182.32593750000001</v>
      </c>
      <c r="T65" s="169">
        <f>'Program Budget'!T45</f>
        <v>0</v>
      </c>
      <c r="U65" s="170">
        <v>0</v>
      </c>
      <c r="V65" s="823">
        <f t="shared" si="176"/>
        <v>0</v>
      </c>
      <c r="W65" s="839">
        <f t="shared" si="177"/>
        <v>1443.0374999999999</v>
      </c>
    </row>
    <row r="66" spans="1:23" ht="15" customHeight="1" outlineLevel="1">
      <c r="A66" s="166" t="str">
        <f>'Program Budget'!D46</f>
        <v>Visa Cost for US Staff Travel</v>
      </c>
      <c r="B66" s="167" t="str">
        <f>'Program Budget'!F46</f>
        <v>Trip</v>
      </c>
      <c r="C66" s="284">
        <f>'Program Budget'!H46</f>
        <v>160</v>
      </c>
      <c r="D66" s="169">
        <f>'Program Budget'!G46</f>
        <v>3</v>
      </c>
      <c r="E66" s="170">
        <v>1</v>
      </c>
      <c r="F66" s="823">
        <f t="shared" si="172"/>
        <v>480</v>
      </c>
      <c r="G66" s="284">
        <f t="shared" ref="G66" si="179">C66*1.05</f>
        <v>168</v>
      </c>
      <c r="H66" s="169">
        <f>'Program Budget'!K46</f>
        <v>2</v>
      </c>
      <c r="I66" s="170">
        <v>1</v>
      </c>
      <c r="J66" s="823">
        <f t="shared" si="173"/>
        <v>336</v>
      </c>
      <c r="K66" s="284">
        <f t="shared" ref="K66" si="180">G66*1.05</f>
        <v>176.4</v>
      </c>
      <c r="L66" s="169">
        <f>'Program Budget'!N46</f>
        <v>2</v>
      </c>
      <c r="M66" s="170">
        <v>1</v>
      </c>
      <c r="N66" s="823">
        <f t="shared" si="174"/>
        <v>352.8</v>
      </c>
      <c r="O66" s="284">
        <f t="shared" ref="O66" si="181">K66*1.05</f>
        <v>185.22000000000003</v>
      </c>
      <c r="P66" s="169">
        <f>'Program Budget'!Q46</f>
        <v>2</v>
      </c>
      <c r="Q66" s="170">
        <v>1</v>
      </c>
      <c r="R66" s="823">
        <f t="shared" si="175"/>
        <v>370.44000000000005</v>
      </c>
      <c r="S66" s="284">
        <f t="shared" ref="S66" si="182">O66*1.05</f>
        <v>194.48100000000002</v>
      </c>
      <c r="T66" s="169">
        <f>'Program Budget'!T46</f>
        <v>0</v>
      </c>
      <c r="U66" s="170">
        <v>0</v>
      </c>
      <c r="V66" s="823">
        <f t="shared" si="176"/>
        <v>0</v>
      </c>
      <c r="W66" s="839">
        <f t="shared" si="177"/>
        <v>1539.24</v>
      </c>
    </row>
    <row r="67" spans="1:23" ht="15" customHeight="1" outlineLevel="1">
      <c r="A67" s="166" t="str">
        <f>'Program Budget'!D49</f>
        <v>Lodging and M&amp;IE for Nigeria Staff Travel</v>
      </c>
      <c r="B67" s="167" t="str">
        <f>'Program Budget'!F49</f>
        <v>Day</v>
      </c>
      <c r="C67" s="284">
        <f>'Program Budget'!H49</f>
        <v>262.8</v>
      </c>
      <c r="D67" s="169">
        <f>'Program Budget'!G49</f>
        <v>21</v>
      </c>
      <c r="E67" s="170">
        <v>1</v>
      </c>
      <c r="F67" s="823">
        <f t="shared" si="172"/>
        <v>5518.8</v>
      </c>
      <c r="G67" s="284">
        <f t="shared" si="178"/>
        <v>275.94</v>
      </c>
      <c r="H67" s="169">
        <f>'Program Budget'!K49</f>
        <v>21</v>
      </c>
      <c r="I67" s="170">
        <v>1</v>
      </c>
      <c r="J67" s="823">
        <f t="shared" si="173"/>
        <v>5794.74</v>
      </c>
      <c r="K67" s="284">
        <f t="shared" si="59"/>
        <v>289.73700000000002</v>
      </c>
      <c r="L67" s="169">
        <f>'Program Budget'!N49</f>
        <v>21</v>
      </c>
      <c r="M67" s="170">
        <v>1</v>
      </c>
      <c r="N67" s="823">
        <f t="shared" si="174"/>
        <v>6084.4770000000008</v>
      </c>
      <c r="O67" s="284">
        <f t="shared" si="60"/>
        <v>304.22385000000003</v>
      </c>
      <c r="P67" s="169">
        <f>'Program Budget'!Q49</f>
        <v>21</v>
      </c>
      <c r="Q67" s="170">
        <v>1</v>
      </c>
      <c r="R67" s="823">
        <f t="shared" si="175"/>
        <v>6388.7008500000002</v>
      </c>
      <c r="S67" s="284">
        <f t="shared" si="61"/>
        <v>319.43504250000007</v>
      </c>
      <c r="T67" s="169">
        <f>'Program Budget'!T49</f>
        <v>0</v>
      </c>
      <c r="U67" s="170">
        <v>0</v>
      </c>
      <c r="V67" s="823">
        <f t="shared" si="176"/>
        <v>0</v>
      </c>
      <c r="W67" s="839">
        <f t="shared" si="177"/>
        <v>23786.717850000001</v>
      </c>
    </row>
    <row r="68" spans="1:23" ht="15" customHeight="1" outlineLevel="1">
      <c r="A68" s="166" t="str">
        <f>'Program Budget'!D51</f>
        <v>Other Travel Related Expenses for Nigeria Staff Travel</v>
      </c>
      <c r="B68" s="167" t="str">
        <f>'Program Budget'!F51</f>
        <v>Trip</v>
      </c>
      <c r="C68" s="284">
        <f>'Program Budget'!H51</f>
        <v>150</v>
      </c>
      <c r="D68" s="169">
        <f>'Program Budget'!G51</f>
        <v>3</v>
      </c>
      <c r="E68" s="170">
        <v>1</v>
      </c>
      <c r="F68" s="823">
        <f t="shared" si="172"/>
        <v>450</v>
      </c>
      <c r="G68" s="284">
        <f t="shared" si="178"/>
        <v>157.5</v>
      </c>
      <c r="H68" s="169">
        <f>'Program Budget'!K51</f>
        <v>3</v>
      </c>
      <c r="I68" s="170">
        <v>1</v>
      </c>
      <c r="J68" s="823">
        <f t="shared" si="173"/>
        <v>472.5</v>
      </c>
      <c r="K68" s="284">
        <f t="shared" si="59"/>
        <v>165.375</v>
      </c>
      <c r="L68" s="169">
        <f>'Program Budget'!N51</f>
        <v>3</v>
      </c>
      <c r="M68" s="170">
        <v>1</v>
      </c>
      <c r="N68" s="823">
        <f t="shared" si="174"/>
        <v>496.125</v>
      </c>
      <c r="O68" s="284">
        <f t="shared" si="60"/>
        <v>173.64375000000001</v>
      </c>
      <c r="P68" s="169">
        <f>'Program Budget'!Q51</f>
        <v>3</v>
      </c>
      <c r="Q68" s="170">
        <v>1</v>
      </c>
      <c r="R68" s="823">
        <f t="shared" si="175"/>
        <v>520.93125000000009</v>
      </c>
      <c r="S68" s="284">
        <f t="shared" si="61"/>
        <v>182.32593750000001</v>
      </c>
      <c r="T68" s="169">
        <f>'Program Budget'!T51</f>
        <v>0</v>
      </c>
      <c r="U68" s="170">
        <v>0</v>
      </c>
      <c r="V68" s="823">
        <f t="shared" si="176"/>
        <v>0</v>
      </c>
      <c r="W68" s="839">
        <f t="shared" si="177"/>
        <v>1939.5562500000001</v>
      </c>
    </row>
    <row r="69" spans="1:23" ht="15" customHeight="1" outlineLevel="1">
      <c r="A69" s="166" t="str">
        <f>'Program Budget'!D52</f>
        <v>Visa Cost for Nigerian Staff Travel</v>
      </c>
      <c r="B69" s="167" t="str">
        <f>'Program Budget'!F52</f>
        <v>Trip</v>
      </c>
      <c r="C69" s="284">
        <f>'Program Budget'!H52</f>
        <v>185</v>
      </c>
      <c r="D69" s="169">
        <f>'Program Budget'!G52</f>
        <v>4</v>
      </c>
      <c r="E69" s="170">
        <v>1</v>
      </c>
      <c r="F69" s="823">
        <f t="shared" si="172"/>
        <v>740</v>
      </c>
      <c r="G69" s="284">
        <f t="shared" ref="G69" si="183">C69*1.05</f>
        <v>194.25</v>
      </c>
      <c r="H69" s="169">
        <f>'Program Budget'!K52</f>
        <v>2</v>
      </c>
      <c r="I69" s="170">
        <v>1</v>
      </c>
      <c r="J69" s="823">
        <f t="shared" si="173"/>
        <v>388.5</v>
      </c>
      <c r="K69" s="284">
        <f t="shared" ref="K69" si="184">G69*1.05</f>
        <v>203.96250000000001</v>
      </c>
      <c r="L69" s="169">
        <f>'Program Budget'!N52</f>
        <v>0</v>
      </c>
      <c r="M69" s="170">
        <v>1</v>
      </c>
      <c r="N69" s="823">
        <f t="shared" si="174"/>
        <v>0</v>
      </c>
      <c r="O69" s="284">
        <f t="shared" ref="O69" si="185">K69*1.05</f>
        <v>214.16062500000001</v>
      </c>
      <c r="P69" s="169">
        <f>'Program Budget'!Q52</f>
        <v>0</v>
      </c>
      <c r="Q69" s="170">
        <v>1</v>
      </c>
      <c r="R69" s="823">
        <f t="shared" si="175"/>
        <v>0</v>
      </c>
      <c r="S69" s="284">
        <f t="shared" ref="S69" si="186">O69*1.05</f>
        <v>224.86865625000002</v>
      </c>
      <c r="T69" s="169">
        <f>'Program Budget'!T52</f>
        <v>0</v>
      </c>
      <c r="U69" s="170">
        <v>0</v>
      </c>
      <c r="V69" s="823">
        <f t="shared" si="176"/>
        <v>0</v>
      </c>
      <c r="W69" s="839">
        <f t="shared" si="177"/>
        <v>1128.5</v>
      </c>
    </row>
    <row r="70" spans="1:23" ht="15" customHeight="1" outlineLevel="1">
      <c r="A70" s="166" t="str">
        <f>'Program Budget'!D57</f>
        <v>Lodging and M&amp;IE - Training, M&amp;E, &amp; Data Collection</v>
      </c>
      <c r="B70" s="167" t="str">
        <f>'Program Budget'!F57</f>
        <v>Day</v>
      </c>
      <c r="C70" s="284">
        <f>'Program Budget'!H57</f>
        <v>145.5</v>
      </c>
      <c r="D70" s="169">
        <f>'Program Budget'!G57</f>
        <v>144</v>
      </c>
      <c r="E70" s="170">
        <v>1</v>
      </c>
      <c r="F70" s="823">
        <f t="shared" si="172"/>
        <v>20952</v>
      </c>
      <c r="G70" s="284">
        <f>C70*1.05</f>
        <v>152.77500000000001</v>
      </c>
      <c r="H70" s="169">
        <f>'Program Budget'!K57</f>
        <v>144</v>
      </c>
      <c r="I70" s="170">
        <v>1</v>
      </c>
      <c r="J70" s="823">
        <f t="shared" si="173"/>
        <v>21999.600000000002</v>
      </c>
      <c r="K70" s="284">
        <f t="shared" ref="K70:K76" si="187">G70*1.05</f>
        <v>160.41375000000002</v>
      </c>
      <c r="L70" s="169">
        <f>'Program Budget'!N57</f>
        <v>144</v>
      </c>
      <c r="M70" s="170">
        <v>1</v>
      </c>
      <c r="N70" s="823">
        <f t="shared" si="174"/>
        <v>23099.58</v>
      </c>
      <c r="O70" s="284">
        <f>K70*1.05</f>
        <v>168.43443750000003</v>
      </c>
      <c r="P70" s="169">
        <f>'Program Budget'!Q57</f>
        <v>144</v>
      </c>
      <c r="Q70" s="170">
        <v>1</v>
      </c>
      <c r="R70" s="823">
        <f t="shared" si="175"/>
        <v>24254.559000000005</v>
      </c>
      <c r="S70" s="284">
        <f>O70*1.05</f>
        <v>176.85615937500003</v>
      </c>
      <c r="T70" s="169">
        <f>'Program Budget'!T57</f>
        <v>0</v>
      </c>
      <c r="U70" s="170">
        <v>0</v>
      </c>
      <c r="V70" s="823">
        <f t="shared" si="176"/>
        <v>0</v>
      </c>
      <c r="W70" s="838">
        <f t="shared" si="177"/>
        <v>90305.739000000016</v>
      </c>
    </row>
    <row r="71" spans="1:23" ht="15" customHeight="1" outlineLevel="1">
      <c r="A71" s="166" t="str">
        <f>'Program Budget'!D171</f>
        <v>Lodging and M&amp;IE for Trainings on Activity 1</v>
      </c>
      <c r="B71" s="167" t="str">
        <f>'Program Budget'!F171</f>
        <v>Day</v>
      </c>
      <c r="C71" s="284">
        <f>'Program Budget'!H171</f>
        <v>145.5</v>
      </c>
      <c r="D71" s="169">
        <f>'Program Budget'!G171</f>
        <v>36</v>
      </c>
      <c r="E71" s="170">
        <v>1</v>
      </c>
      <c r="F71" s="823">
        <f t="shared" ref="F71" si="188">C71*D71*E71</f>
        <v>5238</v>
      </c>
      <c r="G71" s="284">
        <f t="shared" ref="G71" si="189">C71*1.05</f>
        <v>152.77500000000001</v>
      </c>
      <c r="H71" s="169">
        <f>'Program Budget'!K171</f>
        <v>72</v>
      </c>
      <c r="I71" s="170">
        <v>1</v>
      </c>
      <c r="J71" s="823">
        <f t="shared" ref="J71" si="190">G71*H71*I71</f>
        <v>10999.800000000001</v>
      </c>
      <c r="K71" s="284">
        <f t="shared" ref="K71" si="191">G71*1.05</f>
        <v>160.41375000000002</v>
      </c>
      <c r="L71" s="169">
        <f>'Program Budget'!N171</f>
        <v>72</v>
      </c>
      <c r="M71" s="170">
        <v>1</v>
      </c>
      <c r="N71" s="823">
        <f t="shared" ref="N71" si="192">K71*L71*M71</f>
        <v>11549.79</v>
      </c>
      <c r="O71" s="284">
        <f>K71*1.05</f>
        <v>168.43443750000003</v>
      </c>
      <c r="P71" s="169">
        <f>'Program Budget'!Q171</f>
        <v>72</v>
      </c>
      <c r="Q71" s="170">
        <v>1</v>
      </c>
      <c r="R71" s="823">
        <f t="shared" ref="R71" si="193">O71*P71*Q71</f>
        <v>12127.279500000002</v>
      </c>
      <c r="S71" s="284">
        <f t="shared" ref="S71" si="194">O71*1.05</f>
        <v>176.85615937500003</v>
      </c>
      <c r="T71" s="169">
        <f>'Program Budget'!T171</f>
        <v>0</v>
      </c>
      <c r="U71" s="170">
        <v>0</v>
      </c>
      <c r="V71" s="823">
        <f t="shared" ref="V71" si="195">S71*T71*U71</f>
        <v>0</v>
      </c>
      <c r="W71" s="838">
        <f t="shared" ref="W71" si="196">F71+J71+N71+R71+V71</f>
        <v>39914.869500000008</v>
      </c>
    </row>
    <row r="72" spans="1:23" ht="15" customHeight="1" outlineLevel="1">
      <c r="A72" s="166" t="str">
        <f>'Program Budget'!D229</f>
        <v>Lodging and M&amp;IE for Trainings on Activity 2</v>
      </c>
      <c r="B72" s="167" t="str">
        <f>'Program Budget'!F229</f>
        <v>Day</v>
      </c>
      <c r="C72" s="284">
        <f>'Program Budget'!H229</f>
        <v>145.5</v>
      </c>
      <c r="D72" s="169">
        <f>'Program Budget'!G229</f>
        <v>36</v>
      </c>
      <c r="E72" s="170">
        <v>1</v>
      </c>
      <c r="F72" s="823">
        <f t="shared" ref="F72" si="197">C72*D72*E72</f>
        <v>5238</v>
      </c>
      <c r="G72" s="284">
        <f t="shared" ref="G72" si="198">C72*1.05</f>
        <v>152.77500000000001</v>
      </c>
      <c r="H72" s="169">
        <f>'Program Budget'!K229</f>
        <v>72</v>
      </c>
      <c r="I72" s="170">
        <v>1</v>
      </c>
      <c r="J72" s="823">
        <f t="shared" ref="J72" si="199">G72*H72*I72</f>
        <v>10999.800000000001</v>
      </c>
      <c r="K72" s="284">
        <f t="shared" ref="K72" si="200">G72*1.05</f>
        <v>160.41375000000002</v>
      </c>
      <c r="L72" s="169">
        <f>'Program Budget'!N229</f>
        <v>72</v>
      </c>
      <c r="M72" s="170">
        <v>1</v>
      </c>
      <c r="N72" s="823">
        <f t="shared" ref="N72" si="201">K72*L72*M72</f>
        <v>11549.79</v>
      </c>
      <c r="O72" s="284">
        <f t="shared" ref="O72" si="202">K72*1.05</f>
        <v>168.43443750000003</v>
      </c>
      <c r="P72" s="169">
        <f>'Program Budget'!Q229</f>
        <v>72</v>
      </c>
      <c r="Q72" s="170">
        <v>1</v>
      </c>
      <c r="R72" s="823">
        <f t="shared" ref="R72" si="203">O72*P72*Q72</f>
        <v>12127.279500000002</v>
      </c>
      <c r="S72" s="284">
        <f t="shared" ref="S72" si="204">O72*1.05</f>
        <v>176.85615937500003</v>
      </c>
      <c r="T72" s="169">
        <f>'Program Budget'!T229</f>
        <v>0</v>
      </c>
      <c r="U72" s="170">
        <v>0</v>
      </c>
      <c r="V72" s="823">
        <f t="shared" ref="V72" si="205">S72*T72*U72</f>
        <v>0</v>
      </c>
      <c r="W72" s="838">
        <f t="shared" ref="W72" si="206">F72+J72+N72+R72+V72</f>
        <v>39914.869500000008</v>
      </c>
    </row>
    <row r="73" spans="1:23" ht="15" customHeight="1" outlineLevel="1">
      <c r="A73" s="166" t="str">
        <f>'Program Budget'!D231</f>
        <v>Lodging and M&amp;IE - Buyer Conferences for American Farmers, Ranchers and Agricultural Professionals - 50% of Cost</v>
      </c>
      <c r="B73" s="167" t="str">
        <f>'Program Budget'!F231</f>
        <v>Day</v>
      </c>
      <c r="C73" s="284">
        <f>'Program Budget'!H231</f>
        <v>155.25</v>
      </c>
      <c r="D73" s="169">
        <f>'Program Budget'!G231</f>
        <v>0</v>
      </c>
      <c r="E73" s="170">
        <v>1</v>
      </c>
      <c r="F73" s="823">
        <f t="shared" ref="F73" si="207">C73*D73*E73</f>
        <v>0</v>
      </c>
      <c r="G73" s="284">
        <f t="shared" ref="G73" si="208">C73*1.05</f>
        <v>163.01250000000002</v>
      </c>
      <c r="H73" s="169">
        <f>'Program Budget'!K231</f>
        <v>70</v>
      </c>
      <c r="I73" s="170">
        <v>1</v>
      </c>
      <c r="J73" s="823">
        <f t="shared" ref="J73" si="209">G73*H73*I73</f>
        <v>11410.875000000002</v>
      </c>
      <c r="K73" s="284">
        <f t="shared" ref="K73" si="210">G73*1.05</f>
        <v>171.16312500000004</v>
      </c>
      <c r="L73" s="169">
        <f>'Program Budget'!N231</f>
        <v>70</v>
      </c>
      <c r="M73" s="170">
        <v>1</v>
      </c>
      <c r="N73" s="823">
        <f t="shared" ref="N73" si="211">K73*L73*M73</f>
        <v>11981.418750000003</v>
      </c>
      <c r="O73" s="284">
        <f t="shared" ref="O73" si="212">K73*1.05</f>
        <v>179.72128125000003</v>
      </c>
      <c r="P73" s="169">
        <f>'Program Budget'!Q231</f>
        <v>0</v>
      </c>
      <c r="Q73" s="170">
        <v>1</v>
      </c>
      <c r="R73" s="823">
        <f t="shared" ref="R73" si="213">O73*P73*Q73</f>
        <v>0</v>
      </c>
      <c r="S73" s="284">
        <f t="shared" ref="S73" si="214">O73*1.05</f>
        <v>188.70734531250005</v>
      </c>
      <c r="T73" s="169">
        <f>'Program Budget'!T231</f>
        <v>0</v>
      </c>
      <c r="U73" s="170">
        <v>0</v>
      </c>
      <c r="V73" s="823">
        <f t="shared" ref="V73" si="215">S73*T73*U73</f>
        <v>0</v>
      </c>
      <c r="W73" s="838">
        <f t="shared" ref="W73" si="216">F73+J73+N73+R73+V73</f>
        <v>23392.293750000004</v>
      </c>
    </row>
    <row r="74" spans="1:23" ht="15" customHeight="1" outlineLevel="1">
      <c r="A74" s="166" t="str">
        <f>'Program Budget'!D233</f>
        <v>Lodging and M&amp;IE - Trade Finance &amp; Export Consultant</v>
      </c>
      <c r="B74" s="167" t="str">
        <f>'Program Budget'!F233</f>
        <v>Day</v>
      </c>
      <c r="C74" s="284">
        <f>'Program Budget'!H233</f>
        <v>310.5</v>
      </c>
      <c r="D74" s="169">
        <f>'Program Budget'!G233</f>
        <v>7</v>
      </c>
      <c r="E74" s="170">
        <v>1</v>
      </c>
      <c r="F74" s="823">
        <f t="shared" ref="F74" si="217">C74*D74*E74</f>
        <v>2173.5</v>
      </c>
      <c r="G74" s="284">
        <f t="shared" ref="G74" si="218">C74*1.05</f>
        <v>326.02500000000003</v>
      </c>
      <c r="H74" s="169">
        <f>'Program Budget'!K233</f>
        <v>14</v>
      </c>
      <c r="I74" s="170">
        <v>1</v>
      </c>
      <c r="J74" s="823">
        <f t="shared" ref="J74" si="219">G74*H74*I74</f>
        <v>4564.3500000000004</v>
      </c>
      <c r="K74" s="284">
        <f t="shared" ref="K74" si="220">G74*1.05</f>
        <v>342.32625000000007</v>
      </c>
      <c r="L74" s="169">
        <f>'Program Budget'!N233</f>
        <v>14</v>
      </c>
      <c r="M74" s="170">
        <v>1</v>
      </c>
      <c r="N74" s="823">
        <f t="shared" ref="N74" si="221">K74*L74*M74</f>
        <v>4792.567500000001</v>
      </c>
      <c r="O74" s="284">
        <f t="shared" ref="O74" si="222">K74*1.05</f>
        <v>359.44256250000007</v>
      </c>
      <c r="P74" s="169">
        <f>'Program Budget'!Q233</f>
        <v>7</v>
      </c>
      <c r="Q74" s="170">
        <v>1</v>
      </c>
      <c r="R74" s="823">
        <f t="shared" ref="R74" si="223">O74*P74*Q74</f>
        <v>2516.0979375000006</v>
      </c>
      <c r="S74" s="284">
        <f t="shared" ref="S74" si="224">O74*1.05</f>
        <v>377.41469062500011</v>
      </c>
      <c r="T74" s="169">
        <f>'Program Budget'!T233</f>
        <v>0</v>
      </c>
      <c r="U74" s="170">
        <v>0</v>
      </c>
      <c r="V74" s="823">
        <f t="shared" ref="V74" si="225">S74*T74*U74</f>
        <v>0</v>
      </c>
      <c r="W74" s="838">
        <f t="shared" ref="W74" si="226">F74+J74+N74+R74+V74</f>
        <v>14046.515437500002</v>
      </c>
    </row>
    <row r="75" spans="1:23" ht="15" customHeight="1" outlineLevel="1">
      <c r="A75" s="166" t="str">
        <f>'Program Budget'!D234</f>
        <v>Ground Transportation – Trade Finance &amp; Export Consultant</v>
      </c>
      <c r="B75" s="167" t="str">
        <f>'Program Budget'!F234</f>
        <v>Trip</v>
      </c>
      <c r="C75" s="284">
        <f>'Program Budget'!H234</f>
        <v>150</v>
      </c>
      <c r="D75" s="169">
        <f>'Program Budget'!G234</f>
        <v>1</v>
      </c>
      <c r="E75" s="170">
        <v>1</v>
      </c>
      <c r="F75" s="823">
        <f t="shared" ref="F75" si="227">C75*D75*E75</f>
        <v>150</v>
      </c>
      <c r="G75" s="284">
        <f t="shared" ref="G75" si="228">C75*1.05</f>
        <v>157.5</v>
      </c>
      <c r="H75" s="169">
        <f>'Program Budget'!K234</f>
        <v>2</v>
      </c>
      <c r="I75" s="170">
        <v>1</v>
      </c>
      <c r="J75" s="823">
        <f t="shared" ref="J75" si="229">G75*H75*I75</f>
        <v>315</v>
      </c>
      <c r="K75" s="284">
        <f t="shared" ref="K75" si="230">G75*1.05</f>
        <v>165.375</v>
      </c>
      <c r="L75" s="169">
        <f>'Program Budget'!N234</f>
        <v>2</v>
      </c>
      <c r="M75" s="170">
        <v>1</v>
      </c>
      <c r="N75" s="823">
        <f t="shared" ref="N75" si="231">K75*L75*M75</f>
        <v>330.75</v>
      </c>
      <c r="O75" s="284">
        <f t="shared" ref="O75" si="232">K75*1.05</f>
        <v>173.64375000000001</v>
      </c>
      <c r="P75" s="169">
        <f>'Program Budget'!Q234</f>
        <v>1</v>
      </c>
      <c r="Q75" s="170">
        <v>1</v>
      </c>
      <c r="R75" s="823">
        <f t="shared" ref="R75" si="233">O75*P75*Q75</f>
        <v>173.64375000000001</v>
      </c>
      <c r="S75" s="284">
        <f t="shared" ref="S75" si="234">O75*1.05</f>
        <v>182.32593750000001</v>
      </c>
      <c r="T75" s="169">
        <f>'Program Budget'!T234</f>
        <v>0</v>
      </c>
      <c r="U75" s="170">
        <v>0</v>
      </c>
      <c r="V75" s="823">
        <f t="shared" ref="V75" si="235">S75*T75*U75</f>
        <v>0</v>
      </c>
      <c r="W75" s="838">
        <f t="shared" ref="W75" si="236">F75+J75+N75+R75+V75</f>
        <v>969.39374999999995</v>
      </c>
    </row>
    <row r="76" spans="1:23" ht="15" customHeight="1" outlineLevel="1">
      <c r="A76" s="166" t="str">
        <f>'Program Budget'!D236</f>
        <v>Visa Cost - Trade Finance &amp; Expert Consultant</v>
      </c>
      <c r="B76" s="167" t="str">
        <f>'Program Budget'!F236</f>
        <v>Trip</v>
      </c>
      <c r="C76" s="284">
        <f>'Program Budget'!H236</f>
        <v>160</v>
      </c>
      <c r="D76" s="169">
        <f>'Program Budget'!G236</f>
        <v>1</v>
      </c>
      <c r="E76" s="170">
        <v>1</v>
      </c>
      <c r="F76" s="823">
        <f t="shared" ref="F76" si="237">C76*D76*E76</f>
        <v>160</v>
      </c>
      <c r="G76" s="284">
        <f t="shared" ref="G76" si="238">C76*1.05</f>
        <v>168</v>
      </c>
      <c r="H76" s="169">
        <f>'Program Budget'!K236</f>
        <v>2</v>
      </c>
      <c r="I76" s="170">
        <v>1</v>
      </c>
      <c r="J76" s="823">
        <f t="shared" ref="J76" si="239">G76*H76*I76</f>
        <v>336</v>
      </c>
      <c r="K76" s="284">
        <f t="shared" si="187"/>
        <v>176.4</v>
      </c>
      <c r="L76" s="169">
        <f>'Program Budget'!N236</f>
        <v>2</v>
      </c>
      <c r="M76" s="170">
        <v>1</v>
      </c>
      <c r="N76" s="823">
        <f t="shared" ref="N76" si="240">K76*L76*M76</f>
        <v>352.8</v>
      </c>
      <c r="O76" s="284">
        <f t="shared" ref="O76" si="241">K76*1.05</f>
        <v>185.22000000000003</v>
      </c>
      <c r="P76" s="169">
        <f>'Program Budget'!Q236</f>
        <v>1</v>
      </c>
      <c r="Q76" s="170">
        <v>1</v>
      </c>
      <c r="R76" s="823">
        <f t="shared" ref="R76" si="242">O76*P76*Q76</f>
        <v>185.22000000000003</v>
      </c>
      <c r="S76" s="284">
        <f t="shared" ref="S76" si="243">O76*1.05</f>
        <v>194.48100000000002</v>
      </c>
      <c r="T76" s="169">
        <f>'Program Budget'!T236</f>
        <v>0</v>
      </c>
      <c r="U76" s="170">
        <v>0</v>
      </c>
      <c r="V76" s="823">
        <f t="shared" ref="V76" si="244">S76*T76*U76</f>
        <v>0</v>
      </c>
      <c r="W76" s="838">
        <f t="shared" ref="W76" si="245">F76+J76+N76+R76+V76</f>
        <v>1034.02</v>
      </c>
    </row>
    <row r="77" spans="1:23" ht="15" customHeight="1" outlineLevel="1">
      <c r="A77" s="166" t="str">
        <f>'Program Budget'!D307</f>
        <v>Lodging and M&amp;IE for Trainings on Activity 3</v>
      </c>
      <c r="B77" s="167" t="str">
        <f>'Program Budget'!F307</f>
        <v>Day</v>
      </c>
      <c r="C77" s="284">
        <f>'Program Budget'!H307</f>
        <v>145.5</v>
      </c>
      <c r="D77" s="169">
        <f>'Program Budget'!G307</f>
        <v>18</v>
      </c>
      <c r="E77" s="170">
        <v>1</v>
      </c>
      <c r="F77" s="823">
        <f t="shared" ref="F77" si="246">C77*D77*E77</f>
        <v>2619</v>
      </c>
      <c r="G77" s="284">
        <f>C77*1.05</f>
        <v>152.77500000000001</v>
      </c>
      <c r="H77" s="169">
        <f>'Program Budget'!K307</f>
        <v>36</v>
      </c>
      <c r="I77" s="170">
        <v>1</v>
      </c>
      <c r="J77" s="823">
        <f t="shared" ref="J77" si="247">G77*H77*I77</f>
        <v>5499.9000000000005</v>
      </c>
      <c r="K77" s="284">
        <f>G77*1.05</f>
        <v>160.41375000000002</v>
      </c>
      <c r="L77" s="169">
        <f>'Program Budget'!N307</f>
        <v>36</v>
      </c>
      <c r="M77" s="170">
        <v>1</v>
      </c>
      <c r="N77" s="823">
        <f t="shared" ref="N77" si="248">K77*L77*M77</f>
        <v>5774.8950000000004</v>
      </c>
      <c r="O77" s="284">
        <f t="shared" ref="O77" si="249">K77*1.05</f>
        <v>168.43443750000003</v>
      </c>
      <c r="P77" s="169">
        <f>'Program Budget'!Q307</f>
        <v>36</v>
      </c>
      <c r="Q77" s="170">
        <v>1</v>
      </c>
      <c r="R77" s="823">
        <f t="shared" ref="R77" si="250">O77*P77*Q77</f>
        <v>6063.6397500000012</v>
      </c>
      <c r="S77" s="284">
        <f t="shared" ref="S77" si="251">O77*1.05</f>
        <v>176.85615937500003</v>
      </c>
      <c r="T77" s="169">
        <f>'Program Budget'!T307</f>
        <v>0</v>
      </c>
      <c r="U77" s="170">
        <v>0</v>
      </c>
      <c r="V77" s="823">
        <f t="shared" ref="V77" si="252">S77*T77*U77</f>
        <v>0</v>
      </c>
      <c r="W77" s="838">
        <f t="shared" ref="W77" si="253">F77+J77+N77+R77+V77</f>
        <v>19957.434750000004</v>
      </c>
    </row>
    <row r="78" spans="1:23" ht="15.6" outlineLevel="1">
      <c r="A78" s="380"/>
      <c r="B78" s="181"/>
      <c r="F78" s="823"/>
      <c r="J78" s="823"/>
      <c r="N78" s="823"/>
      <c r="R78" s="823"/>
      <c r="V78" s="823"/>
      <c r="W78" s="838"/>
    </row>
    <row r="79" spans="1:23" ht="18.3">
      <c r="A79" s="381" t="s">
        <v>92</v>
      </c>
      <c r="B79" s="188"/>
      <c r="C79" s="287"/>
      <c r="D79" s="215"/>
      <c r="E79" s="216"/>
      <c r="F79" s="826">
        <f>SUM(F44:F78)</f>
        <v>92004.3</v>
      </c>
      <c r="G79" s="287"/>
      <c r="H79" s="215"/>
      <c r="I79" s="192"/>
      <c r="J79" s="826">
        <f>SUM(J44:J78)</f>
        <v>146512.06500000003</v>
      </c>
      <c r="K79" s="287"/>
      <c r="L79" s="215"/>
      <c r="M79" s="216"/>
      <c r="N79" s="826">
        <f>SUM(N44:N78)</f>
        <v>153429.74325</v>
      </c>
      <c r="O79" s="287"/>
      <c r="P79" s="215"/>
      <c r="Q79" s="192"/>
      <c r="R79" s="826">
        <f>SUM(R44:R78)</f>
        <v>132969.78528750001</v>
      </c>
      <c r="S79" s="287"/>
      <c r="T79" s="215"/>
      <c r="U79" s="192"/>
      <c r="V79" s="826">
        <f>SUM(V44:V78)</f>
        <v>0</v>
      </c>
      <c r="W79" s="826">
        <f>SUM(W44:W78)</f>
        <v>524915.89353750017</v>
      </c>
    </row>
    <row r="80" spans="1:23" ht="15.6" outlineLevel="1">
      <c r="A80" s="374" t="s">
        <v>49</v>
      </c>
      <c r="B80" s="217"/>
      <c r="D80" s="218"/>
      <c r="E80" s="219"/>
      <c r="F80" s="828"/>
      <c r="H80" s="218"/>
      <c r="I80" s="220"/>
      <c r="J80" s="839"/>
      <c r="L80" s="218"/>
      <c r="M80" s="219"/>
      <c r="N80" s="839"/>
      <c r="P80" s="218"/>
      <c r="Q80" s="220"/>
      <c r="R80" s="839"/>
      <c r="T80" s="218"/>
      <c r="U80" s="220"/>
      <c r="V80" s="839"/>
      <c r="W80" s="838"/>
    </row>
    <row r="81" spans="1:23" ht="15.6" outlineLevel="1">
      <c r="A81" s="382" t="str">
        <f>'Program Budget'!D61</f>
        <v>Monetization Agent Fee</v>
      </c>
      <c r="B81" s="167" t="str">
        <f>'Program Budget'!F61</f>
        <v>%</v>
      </c>
      <c r="C81" s="284">
        <v>10790000</v>
      </c>
      <c r="D81" s="169">
        <v>1</v>
      </c>
      <c r="E81" s="170">
        <v>1.67E-2</v>
      </c>
      <c r="F81" s="823">
        <f>C81*D81*E81</f>
        <v>180193</v>
      </c>
      <c r="G81" s="284">
        <v>0</v>
      </c>
      <c r="H81" s="169">
        <v>0</v>
      </c>
      <c r="I81" s="170">
        <v>0</v>
      </c>
      <c r="J81" s="823">
        <f>G81*H81*I81</f>
        <v>0</v>
      </c>
      <c r="K81" s="284">
        <f>G81</f>
        <v>0</v>
      </c>
      <c r="L81" s="169">
        <f>'Program Budget'!N61</f>
        <v>0</v>
      </c>
      <c r="M81" s="170">
        <v>0</v>
      </c>
      <c r="N81" s="823">
        <f>K81*L81*M81</f>
        <v>0</v>
      </c>
      <c r="O81" s="284">
        <f>K81</f>
        <v>0</v>
      </c>
      <c r="P81" s="169">
        <f>'Program Budget'!Q611</f>
        <v>0</v>
      </c>
      <c r="Q81" s="170">
        <v>0</v>
      </c>
      <c r="R81" s="823">
        <f>O81*P81*Q81</f>
        <v>0</v>
      </c>
      <c r="S81" s="284">
        <f>O81</f>
        <v>0</v>
      </c>
      <c r="T81" s="169">
        <f>'Program Budget'!T61</f>
        <v>0</v>
      </c>
      <c r="U81" s="170">
        <v>0</v>
      </c>
      <c r="V81" s="823">
        <f>S81*T81*U81</f>
        <v>0</v>
      </c>
      <c r="W81" s="838">
        <f>F81+J81+N81+R81+V81</f>
        <v>180193</v>
      </c>
    </row>
    <row r="82" spans="1:23" ht="15.6" outlineLevel="1">
      <c r="A82" s="382" t="str">
        <f>'Program Budget'!D62</f>
        <v>Monetization Impact Assessment</v>
      </c>
      <c r="B82" s="167" t="str">
        <f>'Program Budget'!F62</f>
        <v>Unit</v>
      </c>
      <c r="C82" s="284">
        <f>'Program Budget'!H62</f>
        <v>60000</v>
      </c>
      <c r="D82" s="169">
        <f>'Program Budget'!G62</f>
        <v>0</v>
      </c>
      <c r="E82" s="170">
        <v>0</v>
      </c>
      <c r="F82" s="823">
        <f t="shared" ref="F82" si="254">C82*D82*E82</f>
        <v>0</v>
      </c>
      <c r="G82" s="284">
        <f t="shared" ref="G82" si="255">C82</f>
        <v>60000</v>
      </c>
      <c r="H82" s="169">
        <f>'Program Budget'!K62</f>
        <v>1</v>
      </c>
      <c r="I82" s="170">
        <v>1</v>
      </c>
      <c r="J82" s="823">
        <f t="shared" ref="J82" si="256">G82*H82*I82</f>
        <v>60000</v>
      </c>
      <c r="K82" s="284">
        <f t="shared" ref="K82" si="257">G82</f>
        <v>60000</v>
      </c>
      <c r="L82" s="169">
        <f>'Program Budget'!N62</f>
        <v>0</v>
      </c>
      <c r="M82" s="170">
        <v>0</v>
      </c>
      <c r="N82" s="823">
        <f t="shared" ref="N82" si="258">K82*L82*M82</f>
        <v>0</v>
      </c>
      <c r="O82" s="284">
        <f t="shared" ref="O82" si="259">K82</f>
        <v>60000</v>
      </c>
      <c r="P82" s="169">
        <f>'Program Budget'!Q62</f>
        <v>0</v>
      </c>
      <c r="Q82" s="170">
        <v>0</v>
      </c>
      <c r="R82" s="823">
        <f t="shared" ref="R82" si="260">O82*P82*Q82</f>
        <v>0</v>
      </c>
      <c r="S82" s="284">
        <f t="shared" ref="S82" si="261">O82</f>
        <v>60000</v>
      </c>
      <c r="T82" s="169">
        <f>'Program Budget'!T62</f>
        <v>0</v>
      </c>
      <c r="U82" s="170">
        <v>0</v>
      </c>
      <c r="V82" s="823">
        <f t="shared" ref="V82" si="262">S82*T82*U82</f>
        <v>0</v>
      </c>
      <c r="W82" s="838">
        <f t="shared" ref="W82" si="263">F82+J82+N82+R82+V82</f>
        <v>60000</v>
      </c>
    </row>
    <row r="83" spans="1:23" ht="15.6" outlineLevel="1">
      <c r="A83" s="382" t="str">
        <f>'Program Budget'!D63</f>
        <v xml:space="preserve">Single Audit </v>
      </c>
      <c r="B83" s="167" t="str">
        <f>'Program Budget'!F63</f>
        <v>Year</v>
      </c>
      <c r="C83" s="284">
        <f>'Program Budget'!H63</f>
        <v>13000</v>
      </c>
      <c r="D83" s="169">
        <f>'Program Budget'!G63</f>
        <v>1</v>
      </c>
      <c r="E83" s="170">
        <v>1</v>
      </c>
      <c r="F83" s="823">
        <f t="shared" ref="F83:F90" si="264">C83*D83*E83</f>
        <v>13000</v>
      </c>
      <c r="G83" s="284">
        <f t="shared" ref="G83:G90" si="265">C83</f>
        <v>13000</v>
      </c>
      <c r="H83" s="169">
        <f>'Program Budget'!K63</f>
        <v>1</v>
      </c>
      <c r="I83" s="170">
        <v>1</v>
      </c>
      <c r="J83" s="823">
        <f t="shared" ref="J83:J90" si="266">G83*H83*I83</f>
        <v>13000</v>
      </c>
      <c r="K83" s="284">
        <f t="shared" ref="K83:K90" si="267">G83</f>
        <v>13000</v>
      </c>
      <c r="L83" s="169">
        <f>'Program Budget'!N63</f>
        <v>1</v>
      </c>
      <c r="M83" s="170">
        <v>1</v>
      </c>
      <c r="N83" s="823">
        <f t="shared" ref="N83:N90" si="268">K83*L83*M83</f>
        <v>13000</v>
      </c>
      <c r="O83" s="284">
        <f t="shared" ref="O83:O90" si="269">K83</f>
        <v>13000</v>
      </c>
      <c r="P83" s="169">
        <f>'Program Budget'!Q63</f>
        <v>1</v>
      </c>
      <c r="Q83" s="170">
        <v>1</v>
      </c>
      <c r="R83" s="823">
        <f t="shared" ref="R83:R90" si="270">O83*P83*Q83</f>
        <v>13000</v>
      </c>
      <c r="S83" s="284">
        <f t="shared" ref="S83:S90" si="271">O83</f>
        <v>13000</v>
      </c>
      <c r="T83" s="169">
        <f>'Program Budget'!T63</f>
        <v>0</v>
      </c>
      <c r="U83" s="170">
        <v>0</v>
      </c>
      <c r="V83" s="823">
        <f t="shared" ref="V83:V90" si="272">S83*T83*U83</f>
        <v>0</v>
      </c>
      <c r="W83" s="838">
        <f t="shared" ref="W83:W90" si="273">F83+J83+N83+R83+V83</f>
        <v>52000</v>
      </c>
    </row>
    <row r="84" spans="1:23" ht="15.6" outlineLevel="1">
      <c r="A84" s="382" t="str">
        <f>'Program Budget'!D64</f>
        <v>Payroll Processing and Local Accounting Books Preparation</v>
      </c>
      <c r="B84" s="167" t="str">
        <f>'Program Budget'!F64</f>
        <v>Month</v>
      </c>
      <c r="C84" s="284">
        <f>'Program Budget'!H64</f>
        <v>2000</v>
      </c>
      <c r="D84" s="169">
        <f>'Program Budget'!G64</f>
        <v>12</v>
      </c>
      <c r="E84" s="170">
        <v>1</v>
      </c>
      <c r="F84" s="823">
        <f t="shared" si="264"/>
        <v>24000</v>
      </c>
      <c r="G84" s="284">
        <f t="shared" si="265"/>
        <v>2000</v>
      </c>
      <c r="H84" s="169">
        <f>'Program Budget'!K64</f>
        <v>12</v>
      </c>
      <c r="I84" s="170">
        <v>1</v>
      </c>
      <c r="J84" s="823">
        <f t="shared" si="266"/>
        <v>24000</v>
      </c>
      <c r="K84" s="284">
        <f t="shared" si="267"/>
        <v>2000</v>
      </c>
      <c r="L84" s="169">
        <f>'Program Budget'!N64</f>
        <v>12</v>
      </c>
      <c r="M84" s="170">
        <v>1</v>
      </c>
      <c r="N84" s="823">
        <f t="shared" si="268"/>
        <v>24000</v>
      </c>
      <c r="O84" s="284">
        <f t="shared" si="269"/>
        <v>2000</v>
      </c>
      <c r="P84" s="169">
        <f>'Program Budget'!Q64</f>
        <v>12</v>
      </c>
      <c r="Q84" s="170">
        <v>1</v>
      </c>
      <c r="R84" s="823">
        <f t="shared" si="270"/>
        <v>24000</v>
      </c>
      <c r="S84" s="284">
        <f t="shared" si="271"/>
        <v>2000</v>
      </c>
      <c r="T84" s="169">
        <f>'Program Budget'!T64</f>
        <v>0</v>
      </c>
      <c r="U84" s="170">
        <v>0</v>
      </c>
      <c r="V84" s="823">
        <f t="shared" si="272"/>
        <v>0</v>
      </c>
      <c r="W84" s="838">
        <f t="shared" si="273"/>
        <v>96000</v>
      </c>
    </row>
    <row r="85" spans="1:23" ht="15.6" outlineLevel="1">
      <c r="A85" s="382" t="str">
        <f>'Program Budget'!D65</f>
        <v>Legal &amp; Registration Fees</v>
      </c>
      <c r="B85" s="167" t="str">
        <f>'Program Budget'!F65</f>
        <v>Year</v>
      </c>
      <c r="C85" s="284">
        <f>'Program Budget'!H65</f>
        <v>3000</v>
      </c>
      <c r="D85" s="169">
        <f>'Program Budget'!G65</f>
        <v>1</v>
      </c>
      <c r="E85" s="170">
        <v>1</v>
      </c>
      <c r="F85" s="823">
        <f t="shared" si="264"/>
        <v>3000</v>
      </c>
      <c r="G85" s="284">
        <f t="shared" si="265"/>
        <v>3000</v>
      </c>
      <c r="H85" s="169">
        <f>'Program Budget'!K65</f>
        <v>1</v>
      </c>
      <c r="I85" s="170">
        <v>1</v>
      </c>
      <c r="J85" s="823">
        <f t="shared" si="266"/>
        <v>3000</v>
      </c>
      <c r="K85" s="284">
        <f t="shared" si="267"/>
        <v>3000</v>
      </c>
      <c r="L85" s="169">
        <f>'Program Budget'!N65</f>
        <v>1</v>
      </c>
      <c r="M85" s="170">
        <v>1</v>
      </c>
      <c r="N85" s="823">
        <f t="shared" si="268"/>
        <v>3000</v>
      </c>
      <c r="O85" s="284">
        <f t="shared" si="269"/>
        <v>3000</v>
      </c>
      <c r="P85" s="169">
        <f>'Program Budget'!Q65</f>
        <v>1</v>
      </c>
      <c r="Q85" s="170">
        <v>1</v>
      </c>
      <c r="R85" s="823">
        <f t="shared" si="270"/>
        <v>3000</v>
      </c>
      <c r="S85" s="284">
        <f t="shared" si="271"/>
        <v>3000</v>
      </c>
      <c r="T85" s="169">
        <f>'Program Budget'!T65</f>
        <v>0</v>
      </c>
      <c r="U85" s="170">
        <v>0</v>
      </c>
      <c r="V85" s="823">
        <f t="shared" si="272"/>
        <v>0</v>
      </c>
      <c r="W85" s="838">
        <f t="shared" si="273"/>
        <v>12000</v>
      </c>
    </row>
    <row r="86" spans="1:23" ht="15.6" outlineLevel="1">
      <c r="A86" s="382" t="str">
        <f>'Program Budget'!D66</f>
        <v>IT Services &amp; Management</v>
      </c>
      <c r="B86" s="167" t="str">
        <f>'Program Budget'!F66</f>
        <v>Month</v>
      </c>
      <c r="C86" s="284">
        <f>'Program Budget'!H66</f>
        <v>500</v>
      </c>
      <c r="D86" s="169">
        <f>'Program Budget'!G66</f>
        <v>12</v>
      </c>
      <c r="E86" s="170">
        <v>1</v>
      </c>
      <c r="F86" s="823">
        <f t="shared" si="264"/>
        <v>6000</v>
      </c>
      <c r="G86" s="284">
        <f t="shared" si="265"/>
        <v>500</v>
      </c>
      <c r="H86" s="169">
        <f>'Program Budget'!K66</f>
        <v>12</v>
      </c>
      <c r="I86" s="170">
        <v>1</v>
      </c>
      <c r="J86" s="823">
        <f t="shared" si="266"/>
        <v>6000</v>
      </c>
      <c r="K86" s="284">
        <f t="shared" si="267"/>
        <v>500</v>
      </c>
      <c r="L86" s="169">
        <f>'Program Budget'!N66</f>
        <v>12</v>
      </c>
      <c r="M86" s="170">
        <v>1</v>
      </c>
      <c r="N86" s="823">
        <f t="shared" si="268"/>
        <v>6000</v>
      </c>
      <c r="O86" s="284">
        <f t="shared" si="269"/>
        <v>500</v>
      </c>
      <c r="P86" s="169">
        <f>'Program Budget'!Q66</f>
        <v>12</v>
      </c>
      <c r="Q86" s="170">
        <v>1</v>
      </c>
      <c r="R86" s="823">
        <f t="shared" si="270"/>
        <v>6000</v>
      </c>
      <c r="S86" s="284">
        <f t="shared" si="271"/>
        <v>500</v>
      </c>
      <c r="T86" s="169">
        <f>'Program Budget'!T66</f>
        <v>0</v>
      </c>
      <c r="U86" s="170">
        <v>0</v>
      </c>
      <c r="V86" s="823">
        <f t="shared" si="272"/>
        <v>0</v>
      </c>
      <c r="W86" s="838">
        <f t="shared" si="273"/>
        <v>24000</v>
      </c>
    </row>
    <row r="87" spans="1:23" ht="15.6" outlineLevel="1">
      <c r="A87" s="382" t="str">
        <f>'Program Budget'!D67</f>
        <v>Security Services, Risk Assessments, &amp; Security Assessment</v>
      </c>
      <c r="B87" s="167" t="str">
        <f>'Program Budget'!F67</f>
        <v>Year</v>
      </c>
      <c r="C87" s="284">
        <f>Admin!C70+'Activity 1'!C57+'Activity 2'!C63+'Activity 3'!C54</f>
        <v>7000</v>
      </c>
      <c r="D87" s="169">
        <f>'Program Budget'!G67</f>
        <v>1</v>
      </c>
      <c r="E87" s="170">
        <v>1</v>
      </c>
      <c r="F87" s="823">
        <f t="shared" si="264"/>
        <v>7000</v>
      </c>
      <c r="G87" s="284">
        <f t="shared" si="265"/>
        <v>7000</v>
      </c>
      <c r="H87" s="169">
        <f>'Program Budget'!K67</f>
        <v>1</v>
      </c>
      <c r="I87" s="170">
        <v>1</v>
      </c>
      <c r="J87" s="823">
        <f t="shared" si="266"/>
        <v>7000</v>
      </c>
      <c r="K87" s="284">
        <f t="shared" si="267"/>
        <v>7000</v>
      </c>
      <c r="L87" s="169">
        <f>'Program Budget'!N67</f>
        <v>1</v>
      </c>
      <c r="M87" s="170">
        <v>1</v>
      </c>
      <c r="N87" s="823">
        <f t="shared" si="268"/>
        <v>7000</v>
      </c>
      <c r="O87" s="284">
        <f t="shared" si="269"/>
        <v>7000</v>
      </c>
      <c r="P87" s="169">
        <f>'Program Budget'!Q67</f>
        <v>1</v>
      </c>
      <c r="Q87" s="170">
        <v>1</v>
      </c>
      <c r="R87" s="823">
        <f t="shared" si="270"/>
        <v>7000</v>
      </c>
      <c r="S87" s="284">
        <f t="shared" si="271"/>
        <v>7000</v>
      </c>
      <c r="T87" s="169">
        <f>'Program Budget'!T67</f>
        <v>0</v>
      </c>
      <c r="U87" s="170">
        <v>0</v>
      </c>
      <c r="V87" s="823">
        <f t="shared" si="272"/>
        <v>0</v>
      </c>
      <c r="W87" s="838">
        <f t="shared" si="273"/>
        <v>28000</v>
      </c>
    </row>
    <row r="88" spans="1:23" ht="15.6" outlineLevel="1">
      <c r="A88" s="382" t="str">
        <f>'Program Budget'!D68</f>
        <v>Short-Term Administrative Support Consultants</v>
      </c>
      <c r="B88" s="167" t="str">
        <f>'Program Budget'!F68</f>
        <v>Day</v>
      </c>
      <c r="C88" s="284">
        <f>'Program Budget'!H68</f>
        <v>520</v>
      </c>
      <c r="D88" s="169">
        <f>'Program Budget'!G68</f>
        <v>15</v>
      </c>
      <c r="E88" s="170">
        <v>1</v>
      </c>
      <c r="F88" s="823">
        <f t="shared" si="264"/>
        <v>7800</v>
      </c>
      <c r="G88" s="284">
        <f t="shared" si="265"/>
        <v>520</v>
      </c>
      <c r="H88" s="169">
        <f>'Program Budget'!K68</f>
        <v>15</v>
      </c>
      <c r="I88" s="170">
        <v>1</v>
      </c>
      <c r="J88" s="823">
        <f t="shared" si="266"/>
        <v>7800</v>
      </c>
      <c r="K88" s="284">
        <f t="shared" si="267"/>
        <v>520</v>
      </c>
      <c r="L88" s="169">
        <f>'Program Budget'!N68</f>
        <v>15</v>
      </c>
      <c r="M88" s="170">
        <v>1</v>
      </c>
      <c r="N88" s="823">
        <f t="shared" si="268"/>
        <v>7800</v>
      </c>
      <c r="O88" s="284">
        <f t="shared" si="269"/>
        <v>520</v>
      </c>
      <c r="P88" s="169">
        <f>'Program Budget'!Q68</f>
        <v>15</v>
      </c>
      <c r="Q88" s="170">
        <v>1</v>
      </c>
      <c r="R88" s="823">
        <f t="shared" si="270"/>
        <v>7800</v>
      </c>
      <c r="S88" s="284">
        <f t="shared" si="271"/>
        <v>520</v>
      </c>
      <c r="T88" s="169">
        <f>'Program Budget'!T68</f>
        <v>0</v>
      </c>
      <c r="U88" s="170">
        <v>0</v>
      </c>
      <c r="V88" s="823">
        <f t="shared" si="272"/>
        <v>0</v>
      </c>
      <c r="W88" s="838">
        <f t="shared" si="273"/>
        <v>31200</v>
      </c>
    </row>
    <row r="89" spans="1:23" ht="15.6" outlineLevel="1">
      <c r="A89" s="382" t="str">
        <f>'Program Budget'!D158</f>
        <v>Contract for Nation-wide Poultry Consumption Campaign</v>
      </c>
      <c r="B89" s="167" t="str">
        <f>'Program Budget'!F158</f>
        <v>Year</v>
      </c>
      <c r="C89" s="284">
        <f>'Program Budget'!H158</f>
        <v>160000</v>
      </c>
      <c r="D89" s="169">
        <f>'Program Budget'!G158</f>
        <v>0</v>
      </c>
      <c r="E89" s="170">
        <v>1</v>
      </c>
      <c r="F89" s="823">
        <f t="shared" ref="F89" si="274">C89*D89*E89</f>
        <v>0</v>
      </c>
      <c r="G89" s="284">
        <f t="shared" ref="G89" si="275">C89</f>
        <v>160000</v>
      </c>
      <c r="H89" s="169">
        <f>'Program Budget'!K158</f>
        <v>0.5</v>
      </c>
      <c r="I89" s="170">
        <v>1</v>
      </c>
      <c r="J89" s="823">
        <f t="shared" ref="J89" si="276">G89*H89*I89</f>
        <v>80000</v>
      </c>
      <c r="K89" s="284">
        <f t="shared" ref="K89" si="277">G89</f>
        <v>160000</v>
      </c>
      <c r="L89" s="169">
        <f>'Program Budget'!N158</f>
        <v>1</v>
      </c>
      <c r="M89" s="170">
        <v>1</v>
      </c>
      <c r="N89" s="823">
        <f t="shared" ref="N89" si="278">K89*L89*M89</f>
        <v>160000</v>
      </c>
      <c r="O89" s="284">
        <f t="shared" ref="O89" si="279">K89</f>
        <v>160000</v>
      </c>
      <c r="P89" s="169">
        <f>'Program Budget'!Q158</f>
        <v>1</v>
      </c>
      <c r="Q89" s="170">
        <v>1</v>
      </c>
      <c r="R89" s="823">
        <f t="shared" ref="R89" si="280">O89*P89*Q89</f>
        <v>160000</v>
      </c>
      <c r="S89" s="284">
        <f t="shared" ref="S89" si="281">O89</f>
        <v>160000</v>
      </c>
      <c r="T89" s="169">
        <f>'Program Budget'!T158</f>
        <v>0</v>
      </c>
      <c r="U89" s="170">
        <v>0</v>
      </c>
      <c r="V89" s="823">
        <f t="shared" ref="V89" si="282">S89*T89*U89</f>
        <v>0</v>
      </c>
      <c r="W89" s="838">
        <f t="shared" ref="W89" si="283">F89+J89+N89+R89+V89</f>
        <v>400000</v>
      </c>
    </row>
    <row r="90" spans="1:23" ht="15.6" outlineLevel="1">
      <c r="A90" s="382" t="str">
        <f>'Program Budget'!D215</f>
        <v>Contracts for Trade Finance Capacity Building for American Producers and Cooperators (Nigerian)</v>
      </c>
      <c r="B90" s="167" t="str">
        <f>'Program Budget'!F215</f>
        <v>Lumpsum</v>
      </c>
      <c r="C90" s="284">
        <f>'Program Budget'!H215</f>
        <v>67000</v>
      </c>
      <c r="D90" s="169">
        <f>'Program Budget'!G215</f>
        <v>0.5</v>
      </c>
      <c r="E90" s="170">
        <v>1</v>
      </c>
      <c r="F90" s="823">
        <f t="shared" si="264"/>
        <v>33500</v>
      </c>
      <c r="G90" s="284">
        <f t="shared" si="265"/>
        <v>67000</v>
      </c>
      <c r="H90" s="169">
        <f>'Program Budget'!K215</f>
        <v>1</v>
      </c>
      <c r="I90" s="170">
        <v>1</v>
      </c>
      <c r="J90" s="823">
        <f t="shared" si="266"/>
        <v>67000</v>
      </c>
      <c r="K90" s="284">
        <f t="shared" si="267"/>
        <v>67000</v>
      </c>
      <c r="L90" s="169">
        <f>'Program Budget'!N215</f>
        <v>1</v>
      </c>
      <c r="M90" s="170">
        <v>1</v>
      </c>
      <c r="N90" s="823">
        <f t="shared" si="268"/>
        <v>67000</v>
      </c>
      <c r="O90" s="284">
        <f t="shared" si="269"/>
        <v>67000</v>
      </c>
      <c r="P90" s="169">
        <f>'Program Budget'!Q215</f>
        <v>0.5</v>
      </c>
      <c r="Q90" s="170">
        <v>1</v>
      </c>
      <c r="R90" s="823">
        <f t="shared" si="270"/>
        <v>33500</v>
      </c>
      <c r="S90" s="284">
        <f t="shared" si="271"/>
        <v>67000</v>
      </c>
      <c r="T90" s="169">
        <f>'Program Budget'!T215</f>
        <v>0</v>
      </c>
      <c r="U90" s="170">
        <v>0</v>
      </c>
      <c r="V90" s="823">
        <f t="shared" si="272"/>
        <v>0</v>
      </c>
      <c r="W90" s="838">
        <f t="shared" si="273"/>
        <v>201000</v>
      </c>
    </row>
    <row r="91" spans="1:23" ht="15.6" outlineLevel="1">
      <c r="A91" s="382" t="str">
        <f>'Program Budget'!D216</f>
        <v>Expert Consultant on Trade Finance &amp; Exports (US based)</v>
      </c>
      <c r="B91" s="167" t="str">
        <f>'Program Budget'!F216</f>
        <v>Day</v>
      </c>
      <c r="C91" s="284">
        <f>'Program Budget'!H216</f>
        <v>620</v>
      </c>
      <c r="D91" s="169">
        <f>'Program Budget'!G216</f>
        <v>40</v>
      </c>
      <c r="E91" s="170">
        <v>1</v>
      </c>
      <c r="F91" s="823">
        <f t="shared" ref="F91" si="284">C91*D91*E91</f>
        <v>24800</v>
      </c>
      <c r="G91" s="284">
        <f t="shared" ref="G91" si="285">C91</f>
        <v>620</v>
      </c>
      <c r="H91" s="169">
        <f>'Program Budget'!K216</f>
        <v>45</v>
      </c>
      <c r="I91" s="170">
        <v>1</v>
      </c>
      <c r="J91" s="823">
        <f t="shared" ref="J91" si="286">G91*H91*I91</f>
        <v>27900</v>
      </c>
      <c r="K91" s="284">
        <f t="shared" ref="K91" si="287">G91</f>
        <v>620</v>
      </c>
      <c r="L91" s="169">
        <f>'Program Budget'!N216</f>
        <v>45</v>
      </c>
      <c r="M91" s="170">
        <v>1</v>
      </c>
      <c r="N91" s="823">
        <f t="shared" ref="N91" si="288">K91*L91*M91</f>
        <v>27900</v>
      </c>
      <c r="O91" s="284">
        <f t="shared" ref="O91" si="289">K91</f>
        <v>620</v>
      </c>
      <c r="P91" s="169">
        <f>'Program Budget'!Q216</f>
        <v>37</v>
      </c>
      <c r="Q91" s="170">
        <v>1</v>
      </c>
      <c r="R91" s="823">
        <f t="shared" ref="R91" si="290">O91*P91*Q91</f>
        <v>22940</v>
      </c>
      <c r="S91" s="284">
        <f t="shared" ref="S91" si="291">O91</f>
        <v>620</v>
      </c>
      <c r="T91" s="169">
        <f>'Program Budget'!T216</f>
        <v>0</v>
      </c>
      <c r="U91" s="170">
        <v>0</v>
      </c>
      <c r="V91" s="823">
        <f t="shared" ref="V91" si="292">S91*T91*U91</f>
        <v>0</v>
      </c>
      <c r="W91" s="838">
        <f t="shared" ref="W91" si="293">F91+J91+N91+R91+V91</f>
        <v>103540</v>
      </c>
    </row>
    <row r="92" spans="1:23" ht="15.6" outlineLevel="1">
      <c r="A92" s="374" t="str">
        <f>'Program Budget'!D69</f>
        <v>Monitoring, Evaluation, and Collection of Reliable Data</v>
      </c>
      <c r="B92" s="167"/>
      <c r="C92" s="284"/>
      <c r="D92" s="169"/>
      <c r="E92" s="170"/>
      <c r="F92" s="823"/>
      <c r="G92" s="284"/>
      <c r="H92" s="169"/>
      <c r="I92" s="170"/>
      <c r="J92" s="823"/>
      <c r="K92" s="284"/>
      <c r="L92" s="169"/>
      <c r="M92" s="170"/>
      <c r="N92" s="823"/>
      <c r="O92" s="284"/>
      <c r="P92" s="169"/>
      <c r="Q92" s="170"/>
      <c r="R92" s="823"/>
      <c r="S92" s="284"/>
      <c r="T92" s="169"/>
      <c r="U92" s="170"/>
      <c r="V92" s="823"/>
      <c r="W92" s="838"/>
    </row>
    <row r="93" spans="1:23" ht="15.6" outlineLevel="1">
      <c r="A93" s="374" t="str">
        <f>'Program Budget'!D70</f>
        <v>Evaluations</v>
      </c>
      <c r="B93" s="167"/>
      <c r="C93" s="284"/>
      <c r="D93" s="169"/>
      <c r="E93" s="170"/>
      <c r="F93" s="823"/>
      <c r="G93" s="284"/>
      <c r="H93" s="169"/>
      <c r="I93" s="170"/>
      <c r="J93" s="823"/>
      <c r="K93" s="284"/>
      <c r="L93" s="169"/>
      <c r="M93" s="170"/>
      <c r="N93" s="823"/>
      <c r="O93" s="284"/>
      <c r="P93" s="169"/>
      <c r="Q93" s="170"/>
      <c r="R93" s="823"/>
      <c r="S93" s="284"/>
      <c r="T93" s="169"/>
      <c r="U93" s="170"/>
      <c r="V93" s="823"/>
      <c r="W93" s="838"/>
    </row>
    <row r="94" spans="1:23" ht="15.6" outlineLevel="1">
      <c r="A94" s="382" t="str">
        <f>'Program Budget'!D71</f>
        <v>Baseline Evaluation</v>
      </c>
      <c r="B94" s="167" t="str">
        <f>'Program Budget'!F71</f>
        <v>Unit</v>
      </c>
      <c r="C94" s="284">
        <f>'Program Budget'!H71</f>
        <v>150000</v>
      </c>
      <c r="D94" s="169">
        <f>'Program Budget'!G71</f>
        <v>1</v>
      </c>
      <c r="E94" s="170">
        <v>1</v>
      </c>
      <c r="F94" s="823">
        <f t="shared" ref="F94:F104" si="294">C94*D94*E94</f>
        <v>150000</v>
      </c>
      <c r="G94" s="284">
        <f t="shared" ref="G94:G104" si="295">C94</f>
        <v>150000</v>
      </c>
      <c r="H94" s="169">
        <f>'Program Budget'!K71</f>
        <v>0</v>
      </c>
      <c r="I94" s="170">
        <v>1</v>
      </c>
      <c r="J94" s="823">
        <f t="shared" ref="J94:J104" si="296">G94*H94*I94</f>
        <v>0</v>
      </c>
      <c r="K94" s="284">
        <f t="shared" ref="K94:K104" si="297">G94</f>
        <v>150000</v>
      </c>
      <c r="L94" s="169">
        <f>'Program Budget'!N71</f>
        <v>0</v>
      </c>
      <c r="M94" s="170">
        <v>1</v>
      </c>
      <c r="N94" s="823">
        <f t="shared" ref="N94:N104" si="298">K94*L94*M94</f>
        <v>0</v>
      </c>
      <c r="O94" s="284">
        <f t="shared" ref="O94:O104" si="299">K94</f>
        <v>150000</v>
      </c>
      <c r="P94" s="169">
        <f>'Program Budget'!Q71</f>
        <v>0</v>
      </c>
      <c r="Q94" s="170">
        <v>1</v>
      </c>
      <c r="R94" s="823">
        <f t="shared" ref="R94:R104" si="300">O94*P94*Q94</f>
        <v>0</v>
      </c>
      <c r="S94" s="284">
        <f t="shared" ref="S94:S104" si="301">O94</f>
        <v>150000</v>
      </c>
      <c r="T94" s="169">
        <f>'Program Budget'!T71</f>
        <v>0</v>
      </c>
      <c r="U94" s="170">
        <v>0</v>
      </c>
      <c r="V94" s="823">
        <f t="shared" ref="V94:V104" si="302">S94*T94*U94</f>
        <v>0</v>
      </c>
      <c r="W94" s="838">
        <f t="shared" ref="W94:W104" si="303">F94+J94+N94+R94+V94</f>
        <v>150000</v>
      </c>
    </row>
    <row r="95" spans="1:23" ht="15.6" outlineLevel="1">
      <c r="A95" s="382" t="str">
        <f>'Program Budget'!D72</f>
        <v>Midterm Evaluation</v>
      </c>
      <c r="B95" s="167" t="str">
        <f>'Program Budget'!F72</f>
        <v>Unit</v>
      </c>
      <c r="C95" s="284">
        <f>'Program Budget'!H72</f>
        <v>160000</v>
      </c>
      <c r="D95" s="169">
        <f>'Program Budget'!G72</f>
        <v>0</v>
      </c>
      <c r="E95" s="170">
        <v>1</v>
      </c>
      <c r="F95" s="823">
        <f t="shared" si="294"/>
        <v>0</v>
      </c>
      <c r="G95" s="284">
        <f t="shared" si="295"/>
        <v>160000</v>
      </c>
      <c r="H95" s="169">
        <f>'Program Budget'!K72</f>
        <v>0</v>
      </c>
      <c r="I95" s="170">
        <v>1</v>
      </c>
      <c r="J95" s="823">
        <f t="shared" si="296"/>
        <v>0</v>
      </c>
      <c r="K95" s="284">
        <f t="shared" si="297"/>
        <v>160000</v>
      </c>
      <c r="L95" s="169">
        <f>'Program Budget'!N72</f>
        <v>1</v>
      </c>
      <c r="M95" s="170">
        <v>1</v>
      </c>
      <c r="N95" s="823">
        <f t="shared" si="298"/>
        <v>160000</v>
      </c>
      <c r="O95" s="284">
        <f t="shared" si="299"/>
        <v>160000</v>
      </c>
      <c r="P95" s="169">
        <f>'Program Budget'!Q72</f>
        <v>0</v>
      </c>
      <c r="Q95" s="170">
        <v>1</v>
      </c>
      <c r="R95" s="823">
        <f t="shared" si="300"/>
        <v>0</v>
      </c>
      <c r="S95" s="284">
        <f t="shared" si="301"/>
        <v>160000</v>
      </c>
      <c r="T95" s="169">
        <f>'Program Budget'!T72</f>
        <v>0</v>
      </c>
      <c r="U95" s="170">
        <v>0</v>
      </c>
      <c r="V95" s="823">
        <f t="shared" si="302"/>
        <v>0</v>
      </c>
      <c r="W95" s="838">
        <f t="shared" si="303"/>
        <v>160000</v>
      </c>
    </row>
    <row r="96" spans="1:23" ht="15.6" outlineLevel="1">
      <c r="A96" s="382" t="str">
        <f>'Program Budget'!D73</f>
        <v>Final Evaluation</v>
      </c>
      <c r="B96" s="167" t="str">
        <f>'Program Budget'!F73</f>
        <v>Unit</v>
      </c>
      <c r="C96" s="284">
        <f>'Program Budget'!H73</f>
        <v>175000</v>
      </c>
      <c r="D96" s="169">
        <f>'Program Budget'!G73</f>
        <v>0</v>
      </c>
      <c r="E96" s="170">
        <v>1</v>
      </c>
      <c r="F96" s="823">
        <f t="shared" si="294"/>
        <v>0</v>
      </c>
      <c r="G96" s="284">
        <f t="shared" si="295"/>
        <v>175000</v>
      </c>
      <c r="H96" s="169">
        <f>'Program Budget'!K73</f>
        <v>0</v>
      </c>
      <c r="I96" s="170">
        <v>1</v>
      </c>
      <c r="J96" s="823">
        <f t="shared" si="296"/>
        <v>0</v>
      </c>
      <c r="K96" s="284">
        <f t="shared" si="297"/>
        <v>175000</v>
      </c>
      <c r="L96" s="169">
        <f>'Program Budget'!N73</f>
        <v>0</v>
      </c>
      <c r="M96" s="170">
        <v>1</v>
      </c>
      <c r="N96" s="823">
        <f t="shared" si="298"/>
        <v>0</v>
      </c>
      <c r="O96" s="284">
        <f t="shared" si="299"/>
        <v>175000</v>
      </c>
      <c r="P96" s="169">
        <f>'Program Budget'!Q73</f>
        <v>1</v>
      </c>
      <c r="Q96" s="170">
        <v>1</v>
      </c>
      <c r="R96" s="823">
        <f t="shared" si="300"/>
        <v>175000</v>
      </c>
      <c r="S96" s="284">
        <f t="shared" si="301"/>
        <v>175000</v>
      </c>
      <c r="T96" s="169">
        <f>'Program Budget'!T73</f>
        <v>0</v>
      </c>
      <c r="U96" s="170">
        <v>0</v>
      </c>
      <c r="V96" s="823">
        <f t="shared" si="302"/>
        <v>0</v>
      </c>
      <c r="W96" s="838">
        <f t="shared" si="303"/>
        <v>175000</v>
      </c>
    </row>
    <row r="97" spans="1:25" ht="15.6" outlineLevel="1">
      <c r="A97" s="374" t="str">
        <f>'Program Budget'!D74</f>
        <v>Monitoring Guidelines Development</v>
      </c>
      <c r="B97" s="167"/>
      <c r="C97" s="284"/>
      <c r="D97" s="169"/>
      <c r="E97" s="170"/>
      <c r="F97" s="823"/>
      <c r="G97" s="284"/>
      <c r="H97" s="169"/>
      <c r="I97" s="170"/>
      <c r="J97" s="823"/>
      <c r="K97" s="284"/>
      <c r="L97" s="169"/>
      <c r="M97" s="170"/>
      <c r="N97" s="823"/>
      <c r="O97" s="284"/>
      <c r="P97" s="169"/>
      <c r="Q97" s="170"/>
      <c r="R97" s="823"/>
      <c r="S97" s="284"/>
      <c r="T97" s="169"/>
      <c r="U97" s="170"/>
      <c r="V97" s="823"/>
      <c r="W97" s="838"/>
    </row>
    <row r="98" spans="1:25" ht="15.6" outlineLevel="1">
      <c r="A98" s="382" t="str">
        <f>'Program Budget'!D75</f>
        <v>Monitoring Guidelines Creation &amp; Printing</v>
      </c>
      <c r="B98" s="167" t="str">
        <f>'Program Budget'!F75</f>
        <v>Document</v>
      </c>
      <c r="C98" s="284">
        <f>'Program Budget'!H75</f>
        <v>2000</v>
      </c>
      <c r="D98" s="169">
        <f>'Program Budget'!G75</f>
        <v>1</v>
      </c>
      <c r="E98" s="170">
        <v>1</v>
      </c>
      <c r="F98" s="823">
        <f t="shared" si="294"/>
        <v>2000</v>
      </c>
      <c r="G98" s="284">
        <f t="shared" si="295"/>
        <v>2000</v>
      </c>
      <c r="H98" s="169">
        <f>'Program Budget'!K75</f>
        <v>0</v>
      </c>
      <c r="I98" s="170">
        <v>1</v>
      </c>
      <c r="J98" s="823">
        <f t="shared" si="296"/>
        <v>0</v>
      </c>
      <c r="K98" s="284">
        <f t="shared" si="297"/>
        <v>2000</v>
      </c>
      <c r="L98" s="169">
        <f>'Program Budget'!N75</f>
        <v>0</v>
      </c>
      <c r="M98" s="170">
        <v>1</v>
      </c>
      <c r="N98" s="823">
        <f t="shared" si="298"/>
        <v>0</v>
      </c>
      <c r="O98" s="284">
        <f t="shared" si="299"/>
        <v>2000</v>
      </c>
      <c r="P98" s="169">
        <f>'Program Budget'!Q75</f>
        <v>0</v>
      </c>
      <c r="Q98" s="170">
        <v>1</v>
      </c>
      <c r="R98" s="823">
        <f t="shared" si="300"/>
        <v>0</v>
      </c>
      <c r="S98" s="284">
        <f t="shared" si="301"/>
        <v>2000</v>
      </c>
      <c r="T98" s="169">
        <f>'Program Budget'!T75</f>
        <v>0</v>
      </c>
      <c r="U98" s="170">
        <v>0</v>
      </c>
      <c r="V98" s="823">
        <f t="shared" si="302"/>
        <v>0</v>
      </c>
      <c r="W98" s="838">
        <f t="shared" si="303"/>
        <v>2000</v>
      </c>
    </row>
    <row r="99" spans="1:25" ht="15.6" outlineLevel="1">
      <c r="A99" s="382" t="str">
        <f>'Program Budget'!D76</f>
        <v>Monitoring Guidelines Revision &amp; Printing</v>
      </c>
      <c r="B99" s="167" t="str">
        <f>'Program Budget'!F76</f>
        <v>Year</v>
      </c>
      <c r="C99" s="284">
        <f>'Program Budget'!H76</f>
        <v>1000</v>
      </c>
      <c r="D99" s="169">
        <f>'Program Budget'!G76</f>
        <v>0</v>
      </c>
      <c r="E99" s="170">
        <v>1</v>
      </c>
      <c r="F99" s="823">
        <f t="shared" si="294"/>
        <v>0</v>
      </c>
      <c r="G99" s="284">
        <f t="shared" si="295"/>
        <v>1000</v>
      </c>
      <c r="H99" s="169">
        <f>'Program Budget'!K76</f>
        <v>1</v>
      </c>
      <c r="I99" s="170">
        <v>1</v>
      </c>
      <c r="J99" s="823">
        <f t="shared" si="296"/>
        <v>1000</v>
      </c>
      <c r="K99" s="284">
        <f t="shared" si="297"/>
        <v>1000</v>
      </c>
      <c r="L99" s="169">
        <f>'Program Budget'!N76</f>
        <v>1</v>
      </c>
      <c r="M99" s="170">
        <v>1</v>
      </c>
      <c r="N99" s="823">
        <f t="shared" si="298"/>
        <v>1000</v>
      </c>
      <c r="O99" s="284">
        <f t="shared" si="299"/>
        <v>1000</v>
      </c>
      <c r="P99" s="169">
        <f>'Program Budget'!Q76</f>
        <v>1</v>
      </c>
      <c r="Q99" s="170">
        <v>1</v>
      </c>
      <c r="R99" s="823">
        <f t="shared" si="300"/>
        <v>1000</v>
      </c>
      <c r="S99" s="284">
        <f t="shared" si="301"/>
        <v>1000</v>
      </c>
      <c r="T99" s="169">
        <f>'Program Budget'!T76</f>
        <v>0</v>
      </c>
      <c r="U99" s="170">
        <v>0</v>
      </c>
      <c r="V99" s="823">
        <f t="shared" si="302"/>
        <v>0</v>
      </c>
      <c r="W99" s="838">
        <f t="shared" si="303"/>
        <v>3000</v>
      </c>
    </row>
    <row r="100" spans="1:25" ht="15.6" outlineLevel="1">
      <c r="A100" s="382" t="str">
        <f>'Program Budget'!D77</f>
        <v>Monitoring Guidelines Staff Training on Indicators and Data Collection/Analysis</v>
      </c>
      <c r="B100" s="167" t="str">
        <f>'Program Budget'!F77</f>
        <v xml:space="preserve">Workshop </v>
      </c>
      <c r="C100" s="284">
        <f>'Program Budget'!H77</f>
        <v>2500</v>
      </c>
      <c r="D100" s="169">
        <f>'Program Budget'!G77</f>
        <v>1</v>
      </c>
      <c r="E100" s="170">
        <v>1</v>
      </c>
      <c r="F100" s="823">
        <f t="shared" si="294"/>
        <v>2500</v>
      </c>
      <c r="G100" s="284">
        <f t="shared" si="295"/>
        <v>2500</v>
      </c>
      <c r="H100" s="169">
        <f>'Program Budget'!K77</f>
        <v>1</v>
      </c>
      <c r="I100" s="170">
        <v>1</v>
      </c>
      <c r="J100" s="823">
        <f t="shared" si="296"/>
        <v>2500</v>
      </c>
      <c r="K100" s="284">
        <f t="shared" si="297"/>
        <v>2500</v>
      </c>
      <c r="L100" s="169">
        <f>'Program Budget'!N77</f>
        <v>1</v>
      </c>
      <c r="M100" s="170">
        <v>1</v>
      </c>
      <c r="N100" s="823">
        <f t="shared" si="298"/>
        <v>2500</v>
      </c>
      <c r="O100" s="284">
        <f t="shared" si="299"/>
        <v>2500</v>
      </c>
      <c r="P100" s="169">
        <f>'Program Budget'!Q77</f>
        <v>1</v>
      </c>
      <c r="Q100" s="170">
        <v>1</v>
      </c>
      <c r="R100" s="823">
        <f t="shared" si="300"/>
        <v>2500</v>
      </c>
      <c r="S100" s="284">
        <f t="shared" si="301"/>
        <v>2500</v>
      </c>
      <c r="T100" s="169">
        <f>'Program Budget'!T77</f>
        <v>0</v>
      </c>
      <c r="U100" s="170">
        <v>0</v>
      </c>
      <c r="V100" s="823">
        <f t="shared" si="302"/>
        <v>0</v>
      </c>
      <c r="W100" s="838">
        <f t="shared" si="303"/>
        <v>10000</v>
      </c>
    </row>
    <row r="101" spans="1:25" ht="15.6" outlineLevel="1">
      <c r="A101" s="374" t="str">
        <f>'Program Budget'!D78</f>
        <v>M&amp;E Database</v>
      </c>
      <c r="B101" s="167"/>
      <c r="C101" s="284"/>
      <c r="D101" s="169"/>
      <c r="E101" s="170"/>
      <c r="F101" s="823"/>
      <c r="G101" s="284"/>
      <c r="H101" s="169"/>
      <c r="I101" s="170"/>
      <c r="J101" s="823"/>
      <c r="K101" s="284"/>
      <c r="L101" s="169"/>
      <c r="M101" s="170"/>
      <c r="N101" s="823"/>
      <c r="O101" s="284"/>
      <c r="P101" s="169"/>
      <c r="Q101" s="170"/>
      <c r="R101" s="823"/>
      <c r="S101" s="284"/>
      <c r="T101" s="169"/>
      <c r="U101" s="170"/>
      <c r="V101" s="823"/>
      <c r="W101" s="838"/>
    </row>
    <row r="102" spans="1:25" ht="15.6" outlineLevel="1">
      <c r="A102" s="382" t="str">
        <f>'Program Budget'!D79</f>
        <v>M&amp;E Database Trainings</v>
      </c>
      <c r="B102" s="167" t="str">
        <f>'Program Budget'!F79</f>
        <v>Year</v>
      </c>
      <c r="C102" s="284">
        <f>'Program Budget'!H79</f>
        <v>500</v>
      </c>
      <c r="D102" s="169">
        <f>'Program Budget'!G79</f>
        <v>1</v>
      </c>
      <c r="E102" s="170">
        <v>1</v>
      </c>
      <c r="F102" s="823">
        <f t="shared" ref="F102" si="304">C102*D102*E102</f>
        <v>500</v>
      </c>
      <c r="G102" s="284">
        <f t="shared" ref="G102" si="305">C102</f>
        <v>500</v>
      </c>
      <c r="H102" s="169">
        <f>'Program Budget'!K79</f>
        <v>1</v>
      </c>
      <c r="I102" s="170">
        <v>1</v>
      </c>
      <c r="J102" s="823">
        <f t="shared" ref="J102" si="306">G102*H102*I102</f>
        <v>500</v>
      </c>
      <c r="K102" s="284">
        <f t="shared" ref="K102" si="307">G102</f>
        <v>500</v>
      </c>
      <c r="L102" s="169">
        <f>'Program Budget'!N79</f>
        <v>1</v>
      </c>
      <c r="M102" s="170">
        <v>1</v>
      </c>
      <c r="N102" s="823">
        <f t="shared" ref="N102" si="308">K102*L102*M102</f>
        <v>500</v>
      </c>
      <c r="O102" s="284">
        <f t="shared" ref="O102" si="309">K102</f>
        <v>500</v>
      </c>
      <c r="P102" s="169">
        <f>'Program Budget'!Q79</f>
        <v>1</v>
      </c>
      <c r="Q102" s="170">
        <v>1</v>
      </c>
      <c r="R102" s="823">
        <f t="shared" ref="R102" si="310">O102*P102*Q102</f>
        <v>500</v>
      </c>
      <c r="S102" s="284">
        <f t="shared" ref="S102" si="311">O102</f>
        <v>500</v>
      </c>
      <c r="T102" s="169">
        <f>'Program Budget'!T79</f>
        <v>0</v>
      </c>
      <c r="U102" s="170">
        <v>0</v>
      </c>
      <c r="V102" s="823">
        <f t="shared" ref="V102" si="312">S102*T102*U102</f>
        <v>0</v>
      </c>
      <c r="W102" s="838">
        <f t="shared" ref="W102" si="313">F102+J102+N102+R102+V102</f>
        <v>2000</v>
      </c>
    </row>
    <row r="103" spans="1:25" ht="15.6" outlineLevel="1">
      <c r="A103" s="382" t="str">
        <f>'Program Budget'!D80</f>
        <v>M&amp;E Database Platform Startup</v>
      </c>
      <c r="B103" s="167" t="str">
        <f>'Program Budget'!F80</f>
        <v>Year</v>
      </c>
      <c r="C103" s="284">
        <f>'Program Budget'!H80</f>
        <v>5500</v>
      </c>
      <c r="D103" s="169">
        <f>'Program Budget'!G80</f>
        <v>1</v>
      </c>
      <c r="E103" s="170">
        <v>1</v>
      </c>
      <c r="F103" s="823">
        <f>C103*D103*E103</f>
        <v>5500</v>
      </c>
      <c r="G103" s="284">
        <f>C103</f>
        <v>5500</v>
      </c>
      <c r="H103" s="169">
        <f>'Program Budget'!K80</f>
        <v>0</v>
      </c>
      <c r="I103" s="170">
        <v>1</v>
      </c>
      <c r="J103" s="823">
        <f>G103*H103*I103</f>
        <v>0</v>
      </c>
      <c r="K103" s="284">
        <f>G103</f>
        <v>5500</v>
      </c>
      <c r="L103" s="169">
        <f>'Program Budget'!N80</f>
        <v>0</v>
      </c>
      <c r="M103" s="170">
        <v>1</v>
      </c>
      <c r="N103" s="823">
        <f>K103*L103*M103</f>
        <v>0</v>
      </c>
      <c r="O103" s="284">
        <f>K103</f>
        <v>5500</v>
      </c>
      <c r="P103" s="169">
        <f>'Program Budget'!Q80</f>
        <v>0</v>
      </c>
      <c r="Q103" s="170">
        <v>1</v>
      </c>
      <c r="R103" s="823">
        <f>O103*P103*Q103</f>
        <v>0</v>
      </c>
      <c r="S103" s="284">
        <f>O103</f>
        <v>5500</v>
      </c>
      <c r="T103" s="169">
        <f>'Program Budget'!T80</f>
        <v>0</v>
      </c>
      <c r="U103" s="170">
        <v>0</v>
      </c>
      <c r="V103" s="823">
        <f>S103*T103*U103</f>
        <v>0</v>
      </c>
      <c r="W103" s="838">
        <f>F103+J103+N103+R103+V103</f>
        <v>5500</v>
      </c>
    </row>
    <row r="104" spans="1:25" ht="15.6" outlineLevel="1">
      <c r="A104" s="382" t="str">
        <f>'Program Budget'!D81</f>
        <v>M&amp;E Database Platform Subscription Fee (Annual)</v>
      </c>
      <c r="B104" s="167" t="str">
        <f>'Program Budget'!F81</f>
        <v>Year</v>
      </c>
      <c r="C104" s="284">
        <f>'Program Budget'!H81</f>
        <v>6500</v>
      </c>
      <c r="D104" s="169">
        <f>'Program Budget'!G81</f>
        <v>1</v>
      </c>
      <c r="E104" s="170">
        <v>1</v>
      </c>
      <c r="F104" s="823">
        <f t="shared" si="294"/>
        <v>6500</v>
      </c>
      <c r="G104" s="284">
        <f t="shared" si="295"/>
        <v>6500</v>
      </c>
      <c r="H104" s="169">
        <f>'Program Budget'!K81</f>
        <v>1</v>
      </c>
      <c r="I104" s="170">
        <v>1</v>
      </c>
      <c r="J104" s="823">
        <f t="shared" si="296"/>
        <v>6500</v>
      </c>
      <c r="K104" s="284">
        <f t="shared" si="297"/>
        <v>6500</v>
      </c>
      <c r="L104" s="169">
        <f>'Program Budget'!N81</f>
        <v>1</v>
      </c>
      <c r="M104" s="170">
        <v>1</v>
      </c>
      <c r="N104" s="823">
        <f t="shared" si="298"/>
        <v>6500</v>
      </c>
      <c r="O104" s="284">
        <f t="shared" si="299"/>
        <v>6500</v>
      </c>
      <c r="P104" s="169">
        <f>'Program Budget'!Q81</f>
        <v>1</v>
      </c>
      <c r="Q104" s="170">
        <v>1</v>
      </c>
      <c r="R104" s="823">
        <f t="shared" si="300"/>
        <v>6500</v>
      </c>
      <c r="S104" s="284">
        <f t="shared" si="301"/>
        <v>6500</v>
      </c>
      <c r="T104" s="169">
        <f>'Program Budget'!T81</f>
        <v>0</v>
      </c>
      <c r="U104" s="170">
        <v>0</v>
      </c>
      <c r="V104" s="823">
        <f t="shared" si="302"/>
        <v>0</v>
      </c>
      <c r="W104" s="838">
        <f t="shared" si="303"/>
        <v>26000</v>
      </c>
      <c r="Y104" s="140">
        <f>SUM(W94:W104)/W168</f>
        <v>4.313258504226497E-2</v>
      </c>
    </row>
    <row r="105" spans="1:25" ht="15.6" outlineLevel="1">
      <c r="A105" s="382"/>
      <c r="B105" s="181"/>
      <c r="C105" s="289"/>
      <c r="D105" s="223"/>
      <c r="F105" s="823"/>
      <c r="G105" s="289"/>
      <c r="H105" s="223"/>
      <c r="I105" s="140"/>
      <c r="J105" s="823"/>
      <c r="K105" s="289"/>
      <c r="L105" s="223"/>
      <c r="N105" s="823"/>
      <c r="O105" s="289"/>
      <c r="P105" s="223"/>
      <c r="Q105" s="140"/>
      <c r="R105" s="823"/>
      <c r="S105" s="289"/>
      <c r="T105" s="223"/>
      <c r="U105" s="140"/>
      <c r="V105" s="823"/>
      <c r="W105" s="848"/>
    </row>
    <row r="106" spans="1:25" ht="18.3" outlineLevel="1">
      <c r="A106" s="381" t="s">
        <v>93</v>
      </c>
      <c r="B106" s="188"/>
      <c r="C106" s="287"/>
      <c r="D106" s="215"/>
      <c r="E106" s="216"/>
      <c r="F106" s="826">
        <f>SUM(F80:F105)</f>
        <v>466293</v>
      </c>
      <c r="G106" s="287"/>
      <c r="H106" s="215"/>
      <c r="I106" s="192"/>
      <c r="J106" s="826">
        <f>SUM(J80:J105)</f>
        <v>306200</v>
      </c>
      <c r="K106" s="287"/>
      <c r="L106" s="215"/>
      <c r="M106" s="216"/>
      <c r="N106" s="826">
        <f>SUM(N80:N105)</f>
        <v>486200</v>
      </c>
      <c r="O106" s="287"/>
      <c r="P106" s="215"/>
      <c r="Q106" s="192"/>
      <c r="R106" s="826">
        <f>SUM(R80:R105)</f>
        <v>462740</v>
      </c>
      <c r="S106" s="287"/>
      <c r="T106" s="215"/>
      <c r="U106" s="192"/>
      <c r="V106" s="826">
        <f>SUM(V80:V105)</f>
        <v>0</v>
      </c>
      <c r="W106" s="826">
        <f>SUM(W80:W105)</f>
        <v>1721433</v>
      </c>
      <c r="Y106" s="137">
        <f>Admin!W85+'Activity 1'!W58+'Activity 2'!W65+'Activity 3'!W56</f>
        <v>1721433</v>
      </c>
    </row>
    <row r="107" spans="1:25" ht="15.6" outlineLevel="1">
      <c r="A107" s="374" t="s">
        <v>94</v>
      </c>
      <c r="B107" s="224"/>
      <c r="D107" s="218"/>
      <c r="F107" s="823"/>
      <c r="H107" s="218"/>
      <c r="J107" s="838"/>
      <c r="L107" s="218"/>
      <c r="N107" s="838"/>
      <c r="P107" s="218"/>
      <c r="R107" s="838"/>
      <c r="T107" s="218"/>
      <c r="V107" s="838"/>
      <c r="W107" s="838"/>
    </row>
    <row r="108" spans="1:25" ht="15.6" outlineLevel="1">
      <c r="A108" s="382" t="str">
        <f>'Program Budget'!D87</f>
        <v>Vehicles for Field Office</v>
      </c>
      <c r="B108" s="167" t="str">
        <f>'Program Budget'!F87</f>
        <v>Unit</v>
      </c>
      <c r="C108" s="297">
        <f>'Program Budget'!H87</f>
        <v>60000</v>
      </c>
      <c r="D108" s="298">
        <f>'Program Budget'!G87</f>
        <v>1</v>
      </c>
      <c r="E108" s="170">
        <v>1</v>
      </c>
      <c r="F108" s="823">
        <f t="shared" ref="F108" si="314">C108*D108*E108</f>
        <v>60000</v>
      </c>
      <c r="G108" s="284">
        <f t="shared" ref="G108" si="315">C108</f>
        <v>60000</v>
      </c>
      <c r="H108" s="169">
        <f>'Program Budget'!K87</f>
        <v>0</v>
      </c>
      <c r="I108" s="170">
        <v>1</v>
      </c>
      <c r="J108" s="823">
        <f t="shared" ref="J108" si="316">G108*H108*I108</f>
        <v>0</v>
      </c>
      <c r="K108" s="284">
        <f t="shared" ref="K108" si="317">G108</f>
        <v>60000</v>
      </c>
      <c r="L108" s="169">
        <f>'Program Budget'!N87</f>
        <v>0</v>
      </c>
      <c r="M108" s="170">
        <v>1</v>
      </c>
      <c r="N108" s="823">
        <f t="shared" ref="N108" si="318">K108*L108*M108</f>
        <v>0</v>
      </c>
      <c r="O108" s="284">
        <f t="shared" ref="O108" si="319">K108</f>
        <v>60000</v>
      </c>
      <c r="P108" s="169">
        <f>'Program Budget'!Q87</f>
        <v>0</v>
      </c>
      <c r="Q108" s="170">
        <v>1</v>
      </c>
      <c r="R108" s="823">
        <f t="shared" ref="R108" si="320">O108*P108*Q108</f>
        <v>0</v>
      </c>
      <c r="S108" s="284">
        <f t="shared" ref="S108" si="321">O108</f>
        <v>60000</v>
      </c>
      <c r="T108" s="169">
        <f>'Program Budget'!T87</f>
        <v>0</v>
      </c>
      <c r="U108" s="170">
        <v>0</v>
      </c>
      <c r="V108" s="823">
        <f t="shared" ref="V108" si="322">S108*T108*U108</f>
        <v>0</v>
      </c>
      <c r="W108" s="838">
        <f t="shared" ref="W108" si="323">F108+J108+N108+R108+V108</f>
        <v>60000</v>
      </c>
    </row>
    <row r="109" spans="1:25" ht="15.6" outlineLevel="1">
      <c r="A109" s="380"/>
      <c r="B109" s="181"/>
      <c r="D109" s="218"/>
      <c r="F109" s="823"/>
      <c r="H109" s="218"/>
      <c r="I109" s="140"/>
      <c r="J109" s="823"/>
      <c r="L109" s="218"/>
      <c r="N109" s="823"/>
      <c r="P109" s="218"/>
      <c r="Q109" s="140"/>
      <c r="R109" s="823"/>
      <c r="T109" s="218"/>
      <c r="U109" s="140"/>
      <c r="V109" s="823"/>
      <c r="W109" s="838"/>
    </row>
    <row r="110" spans="1:25" ht="18.3" outlineLevel="1">
      <c r="A110" s="381" t="s">
        <v>95</v>
      </c>
      <c r="B110" s="188"/>
      <c r="C110" s="287"/>
      <c r="D110" s="215"/>
      <c r="E110" s="216"/>
      <c r="F110" s="826">
        <f>SUM(F108:F109)</f>
        <v>60000</v>
      </c>
      <c r="G110" s="287"/>
      <c r="H110" s="215"/>
      <c r="I110" s="192"/>
      <c r="J110" s="826">
        <f>SUM(J108:J109)</f>
        <v>0</v>
      </c>
      <c r="K110" s="287"/>
      <c r="L110" s="215"/>
      <c r="M110" s="216"/>
      <c r="N110" s="826">
        <f>SUM(N108:N109)</f>
        <v>0</v>
      </c>
      <c r="O110" s="287"/>
      <c r="P110" s="215"/>
      <c r="Q110" s="192"/>
      <c r="R110" s="826">
        <f>SUM(R108:R109)</f>
        <v>0</v>
      </c>
      <c r="S110" s="287"/>
      <c r="T110" s="215"/>
      <c r="U110" s="192"/>
      <c r="V110" s="826">
        <f>SUM(V108:V109)</f>
        <v>0</v>
      </c>
      <c r="W110" s="846">
        <f>+F110+J110+N110+R110+V110</f>
        <v>60000</v>
      </c>
    </row>
    <row r="111" spans="1:25" ht="15.6" outlineLevel="1">
      <c r="A111" s="374" t="s">
        <v>96</v>
      </c>
      <c r="B111" s="181"/>
      <c r="D111" s="218"/>
      <c r="F111" s="823"/>
      <c r="H111" s="218"/>
      <c r="I111" s="140"/>
      <c r="J111" s="823"/>
      <c r="L111" s="218"/>
      <c r="N111" s="823"/>
      <c r="P111" s="218"/>
      <c r="Q111" s="140"/>
      <c r="R111" s="823"/>
      <c r="T111" s="218"/>
      <c r="U111" s="140"/>
      <c r="V111" s="823"/>
      <c r="W111" s="838"/>
    </row>
    <row r="112" spans="1:25" ht="15" customHeight="1" outlineLevel="1">
      <c r="A112" s="166" t="str">
        <f>'Program Budget'!D93</f>
        <v>Banking and Cash Handling Fees (HO)</v>
      </c>
      <c r="B112" s="167" t="str">
        <f>'Program Budget'!F93</f>
        <v>Month</v>
      </c>
      <c r="C112" s="284">
        <f>'Program Budget'!H93</f>
        <v>250</v>
      </c>
      <c r="D112" s="169">
        <f>'Program Budget'!G93</f>
        <v>12</v>
      </c>
      <c r="E112" s="170">
        <v>1</v>
      </c>
      <c r="F112" s="823">
        <f t="shared" ref="F112:F122" si="324">C112*D112*E112</f>
        <v>3000</v>
      </c>
      <c r="G112" s="284">
        <f t="shared" ref="G112:G122" si="325">C112*1.05</f>
        <v>262.5</v>
      </c>
      <c r="H112" s="169">
        <f>'Program Budget'!K93</f>
        <v>12</v>
      </c>
      <c r="I112" s="170">
        <v>1</v>
      </c>
      <c r="J112" s="823">
        <f t="shared" ref="J112:J122" si="326">G112*H112*I112</f>
        <v>3150</v>
      </c>
      <c r="K112" s="284">
        <f t="shared" ref="K112:K122" si="327">G112*1.05</f>
        <v>275.625</v>
      </c>
      <c r="L112" s="169">
        <f>'Program Budget'!N93</f>
        <v>12</v>
      </c>
      <c r="M112" s="170">
        <v>1</v>
      </c>
      <c r="N112" s="823">
        <f t="shared" ref="N112:N122" si="328">K112*L112*M112</f>
        <v>3307.5</v>
      </c>
      <c r="O112" s="284">
        <f t="shared" ref="O112:O122" si="329">K112*1.05</f>
        <v>289.40625</v>
      </c>
      <c r="P112" s="169">
        <f>'Program Budget'!Q93</f>
        <v>12</v>
      </c>
      <c r="Q112" s="170">
        <v>1</v>
      </c>
      <c r="R112" s="823">
        <f t="shared" ref="R112:R122" si="330">O112*P112*Q112</f>
        <v>3472.875</v>
      </c>
      <c r="S112" s="284">
        <f t="shared" ref="S112:S122" si="331">O112*1.05</f>
        <v>303.87656250000003</v>
      </c>
      <c r="T112" s="169">
        <f>'Program Budget'!T93</f>
        <v>0</v>
      </c>
      <c r="U112" s="170">
        <v>0</v>
      </c>
      <c r="V112" s="823">
        <f t="shared" ref="V112:V122" si="332">S112*T112*U112</f>
        <v>0</v>
      </c>
      <c r="W112" s="838">
        <f t="shared" ref="W112:W122" si="333">F112+J112+N112+R112+V112</f>
        <v>12930.375</v>
      </c>
    </row>
    <row r="113" spans="1:23" ht="15" customHeight="1" outlineLevel="1">
      <c r="A113" s="166" t="str">
        <f>'Program Budget'!D94</f>
        <v>IT &amp; Communications Stipend for HO Staff</v>
      </c>
      <c r="B113" s="167" t="str">
        <f>'Program Budget'!F94</f>
        <v>Month</v>
      </c>
      <c r="C113" s="284">
        <f>'Program Budget'!H94</f>
        <v>112.5</v>
      </c>
      <c r="D113" s="169">
        <f>'Program Budget'!G94</f>
        <v>12</v>
      </c>
      <c r="E113" s="170">
        <v>1</v>
      </c>
      <c r="F113" s="823">
        <f t="shared" si="324"/>
        <v>1350</v>
      </c>
      <c r="G113" s="284">
        <f t="shared" si="325"/>
        <v>118.125</v>
      </c>
      <c r="H113" s="169">
        <f>'Program Budget'!K94</f>
        <v>12</v>
      </c>
      <c r="I113" s="170">
        <v>1</v>
      </c>
      <c r="J113" s="823">
        <f t="shared" si="326"/>
        <v>1417.5</v>
      </c>
      <c r="K113" s="284">
        <f t="shared" si="327"/>
        <v>124.03125</v>
      </c>
      <c r="L113" s="169">
        <f>'Program Budget'!N94</f>
        <v>12</v>
      </c>
      <c r="M113" s="170">
        <v>1</v>
      </c>
      <c r="N113" s="823">
        <f t="shared" si="328"/>
        <v>1488.375</v>
      </c>
      <c r="O113" s="284">
        <f t="shared" si="329"/>
        <v>130.23281249999999</v>
      </c>
      <c r="P113" s="169">
        <f>'Program Budget'!Q94</f>
        <v>12</v>
      </c>
      <c r="Q113" s="170">
        <v>1</v>
      </c>
      <c r="R113" s="823">
        <f t="shared" si="330"/>
        <v>1562.7937499999998</v>
      </c>
      <c r="S113" s="284">
        <f t="shared" si="331"/>
        <v>136.74445312500001</v>
      </c>
      <c r="T113" s="169">
        <f>'Program Budget'!T94</f>
        <v>0</v>
      </c>
      <c r="U113" s="170">
        <v>0</v>
      </c>
      <c r="V113" s="823">
        <f t="shared" si="332"/>
        <v>0</v>
      </c>
      <c r="W113" s="838">
        <f t="shared" si="333"/>
        <v>5818.6687499999998</v>
      </c>
    </row>
    <row r="114" spans="1:23" ht="15" customHeight="1" outlineLevel="1">
      <c r="A114" s="374" t="s">
        <v>97</v>
      </c>
      <c r="B114" s="819"/>
      <c r="D114" s="218"/>
      <c r="F114" s="823"/>
      <c r="H114" s="218"/>
      <c r="I114" s="140"/>
      <c r="J114" s="823"/>
      <c r="L114" s="218"/>
      <c r="N114" s="823"/>
      <c r="P114" s="218"/>
      <c r="Q114" s="140"/>
      <c r="R114" s="823"/>
      <c r="T114" s="218"/>
      <c r="U114" s="140"/>
      <c r="V114" s="823"/>
      <c r="W114" s="838"/>
    </row>
    <row r="115" spans="1:23" ht="15" customHeight="1" outlineLevel="1">
      <c r="A115" s="166" t="str">
        <f>'Program Budget'!D96</f>
        <v>Banking and Cash Handling Fees (Nigeria)</v>
      </c>
      <c r="B115" s="167" t="str">
        <f>'Program Budget'!F96</f>
        <v>Month</v>
      </c>
      <c r="C115" s="284">
        <f>'Program Budget'!H96</f>
        <v>50</v>
      </c>
      <c r="D115" s="169">
        <f>'Program Budget'!G96</f>
        <v>6</v>
      </c>
      <c r="E115" s="170">
        <v>1</v>
      </c>
      <c r="F115" s="823">
        <f>C115*D115*E115</f>
        <v>300</v>
      </c>
      <c r="G115" s="284">
        <f>C115*1.05</f>
        <v>52.5</v>
      </c>
      <c r="H115" s="169">
        <f>'Program Budget'!K96</f>
        <v>12</v>
      </c>
      <c r="I115" s="170">
        <v>1</v>
      </c>
      <c r="J115" s="823">
        <f>G115*H115*I115</f>
        <v>630</v>
      </c>
      <c r="K115" s="284">
        <f>G115*1.05</f>
        <v>55.125</v>
      </c>
      <c r="L115" s="169">
        <f>'Program Budget'!N96</f>
        <v>12</v>
      </c>
      <c r="M115" s="170">
        <v>1</v>
      </c>
      <c r="N115" s="823">
        <f>K115*L115*M115</f>
        <v>661.5</v>
      </c>
      <c r="O115" s="284">
        <f>K115*1.05</f>
        <v>57.881250000000001</v>
      </c>
      <c r="P115" s="169">
        <f>'Program Budget'!Q96</f>
        <v>9</v>
      </c>
      <c r="Q115" s="170">
        <v>1</v>
      </c>
      <c r="R115" s="823">
        <f>O115*P115*Q115</f>
        <v>520.93124999999998</v>
      </c>
      <c r="S115" s="284">
        <f>O115*1.05</f>
        <v>60.775312500000005</v>
      </c>
      <c r="T115" s="169">
        <f>'Program Budget'!T96</f>
        <v>0</v>
      </c>
      <c r="U115" s="170">
        <v>0</v>
      </c>
      <c r="V115" s="823">
        <f>S115*T115*U115</f>
        <v>0</v>
      </c>
      <c r="W115" s="838">
        <f>F115+J115+N115+R115+V115</f>
        <v>2112.4312500000001</v>
      </c>
    </row>
    <row r="116" spans="1:23" ht="15" customHeight="1" outlineLevel="1">
      <c r="A116" s="166" t="str">
        <f>'Program Budget'!D97</f>
        <v>Communications Costs (Internet, Phone, Data) (Lagos)</v>
      </c>
      <c r="B116" s="167" t="str">
        <f>'Program Budget'!F97</f>
        <v>Month</v>
      </c>
      <c r="C116" s="284">
        <f>'Program Budget'!H97</f>
        <v>375</v>
      </c>
      <c r="D116" s="169">
        <f>'Program Budget'!G97</f>
        <v>3</v>
      </c>
      <c r="E116" s="170">
        <v>1</v>
      </c>
      <c r="F116" s="823">
        <f t="shared" si="324"/>
        <v>1125</v>
      </c>
      <c r="G116" s="284">
        <f t="shared" si="325"/>
        <v>393.75</v>
      </c>
      <c r="H116" s="169">
        <f>'Program Budget'!K97</f>
        <v>12</v>
      </c>
      <c r="I116" s="170">
        <v>1</v>
      </c>
      <c r="J116" s="823">
        <f t="shared" si="326"/>
        <v>4725</v>
      </c>
      <c r="K116" s="284">
        <f t="shared" si="327"/>
        <v>413.4375</v>
      </c>
      <c r="L116" s="169">
        <f>'Program Budget'!N97</f>
        <v>12</v>
      </c>
      <c r="M116" s="170">
        <v>1</v>
      </c>
      <c r="N116" s="823">
        <f t="shared" si="328"/>
        <v>4961.25</v>
      </c>
      <c r="O116" s="284">
        <f t="shared" si="329"/>
        <v>434.109375</v>
      </c>
      <c r="P116" s="169">
        <f>'Program Budget'!Q97</f>
        <v>9</v>
      </c>
      <c r="Q116" s="170">
        <v>1</v>
      </c>
      <c r="R116" s="823">
        <f t="shared" si="330"/>
        <v>3906.984375</v>
      </c>
      <c r="S116" s="284">
        <f t="shared" si="331"/>
        <v>455.81484375000002</v>
      </c>
      <c r="T116" s="169">
        <f>'Program Budget'!T97</f>
        <v>0</v>
      </c>
      <c r="U116" s="170">
        <v>0</v>
      </c>
      <c r="V116" s="823">
        <f t="shared" si="332"/>
        <v>0</v>
      </c>
      <c r="W116" s="839">
        <f t="shared" si="333"/>
        <v>14718.234375</v>
      </c>
    </row>
    <row r="117" spans="1:23" ht="15" customHeight="1" outlineLevel="1">
      <c r="A117" s="166" t="str">
        <f>'Program Budget'!D98</f>
        <v>Office Rent, Utilities &amp; Cleaning (Lagos) (Coworking Space, rental price includes all costs)</v>
      </c>
      <c r="B117" s="167" t="str">
        <f>'Program Budget'!F98</f>
        <v>Month</v>
      </c>
      <c r="C117" s="284">
        <f>'Program Budget'!H98</f>
        <v>2150</v>
      </c>
      <c r="D117" s="169">
        <f>'Program Budget'!G98</f>
        <v>3</v>
      </c>
      <c r="E117" s="170">
        <v>1</v>
      </c>
      <c r="F117" s="823">
        <f t="shared" si="324"/>
        <v>6450</v>
      </c>
      <c r="G117" s="284">
        <f t="shared" si="325"/>
        <v>2257.5</v>
      </c>
      <c r="H117" s="169">
        <f>'Program Budget'!K98</f>
        <v>12</v>
      </c>
      <c r="I117" s="170">
        <v>1</v>
      </c>
      <c r="J117" s="823">
        <f t="shared" si="326"/>
        <v>27090</v>
      </c>
      <c r="K117" s="284">
        <f t="shared" si="327"/>
        <v>2370.375</v>
      </c>
      <c r="L117" s="169">
        <f>'Program Budget'!N98</f>
        <v>12</v>
      </c>
      <c r="M117" s="170">
        <v>1</v>
      </c>
      <c r="N117" s="823">
        <f t="shared" si="328"/>
        <v>28444.5</v>
      </c>
      <c r="O117" s="284">
        <f t="shared" si="329"/>
        <v>2488.8937500000002</v>
      </c>
      <c r="P117" s="169">
        <f>'Program Budget'!Q98</f>
        <v>9</v>
      </c>
      <c r="Q117" s="170">
        <v>1</v>
      </c>
      <c r="R117" s="823">
        <f t="shared" si="330"/>
        <v>22400.043750000001</v>
      </c>
      <c r="S117" s="284">
        <f t="shared" si="331"/>
        <v>2613.3384375000005</v>
      </c>
      <c r="T117" s="169">
        <f>'Program Budget'!T98</f>
        <v>0</v>
      </c>
      <c r="U117" s="170">
        <v>0</v>
      </c>
      <c r="V117" s="823">
        <f t="shared" si="332"/>
        <v>0</v>
      </c>
      <c r="W117" s="838">
        <f t="shared" si="333"/>
        <v>84384.543749999997</v>
      </c>
    </row>
    <row r="118" spans="1:23" ht="15" customHeight="1" outlineLevel="1">
      <c r="A118" s="166" t="str">
        <f>'Program Budget'!D99</f>
        <v>Courier fees/Services/Postage</v>
      </c>
      <c r="B118" s="167" t="str">
        <f>'Program Budget'!F99</f>
        <v>Month</v>
      </c>
      <c r="C118" s="284">
        <f>'Program Budget'!H99</f>
        <v>20</v>
      </c>
      <c r="D118" s="169">
        <f>'Program Budget'!G99</f>
        <v>3</v>
      </c>
      <c r="E118" s="170">
        <v>1</v>
      </c>
      <c r="F118" s="823">
        <f t="shared" si="324"/>
        <v>60</v>
      </c>
      <c r="G118" s="284">
        <f t="shared" si="325"/>
        <v>21</v>
      </c>
      <c r="H118" s="169">
        <f>'Program Budget'!K99</f>
        <v>12</v>
      </c>
      <c r="I118" s="170">
        <v>1</v>
      </c>
      <c r="J118" s="823">
        <f t="shared" si="326"/>
        <v>252</v>
      </c>
      <c r="K118" s="284">
        <f t="shared" si="327"/>
        <v>22.05</v>
      </c>
      <c r="L118" s="169">
        <f>'Program Budget'!N99</f>
        <v>12</v>
      </c>
      <c r="M118" s="170">
        <v>1</v>
      </c>
      <c r="N118" s="823">
        <f t="shared" si="328"/>
        <v>264.60000000000002</v>
      </c>
      <c r="O118" s="284">
        <f t="shared" si="329"/>
        <v>23.152500000000003</v>
      </c>
      <c r="P118" s="169">
        <f>'Program Budget'!Q99</f>
        <v>9</v>
      </c>
      <c r="Q118" s="170">
        <v>1</v>
      </c>
      <c r="R118" s="823">
        <f t="shared" si="330"/>
        <v>208.37250000000003</v>
      </c>
      <c r="S118" s="284">
        <f t="shared" si="331"/>
        <v>24.310125000000003</v>
      </c>
      <c r="T118" s="169">
        <f>'Program Budget'!T99</f>
        <v>0</v>
      </c>
      <c r="U118" s="170">
        <v>0</v>
      </c>
      <c r="V118" s="823">
        <f t="shared" si="332"/>
        <v>0</v>
      </c>
      <c r="W118" s="838">
        <f t="shared" si="333"/>
        <v>784.97250000000008</v>
      </c>
    </row>
    <row r="119" spans="1:23" ht="15" customHeight="1" outlineLevel="1">
      <c r="A119" s="166" t="str">
        <f>'Program Budget'!D100</f>
        <v xml:space="preserve">Recruitment/Procurement Advertising </v>
      </c>
      <c r="B119" s="167" t="str">
        <f>'Program Budget'!F100</f>
        <v>Year</v>
      </c>
      <c r="C119" s="284">
        <f>'Program Budget'!H100</f>
        <v>300</v>
      </c>
      <c r="D119" s="169">
        <f>'Program Budget'!G100</f>
        <v>1</v>
      </c>
      <c r="E119" s="170">
        <v>1</v>
      </c>
      <c r="F119" s="823">
        <f t="shared" si="324"/>
        <v>300</v>
      </c>
      <c r="G119" s="284">
        <f t="shared" si="325"/>
        <v>315</v>
      </c>
      <c r="H119" s="169">
        <f>'Program Budget'!K100</f>
        <v>1</v>
      </c>
      <c r="I119" s="170">
        <v>1</v>
      </c>
      <c r="J119" s="823">
        <f t="shared" si="326"/>
        <v>315</v>
      </c>
      <c r="K119" s="284">
        <f t="shared" si="327"/>
        <v>330.75</v>
      </c>
      <c r="L119" s="169">
        <f>'Program Budget'!N100</f>
        <v>1</v>
      </c>
      <c r="M119" s="170">
        <v>1</v>
      </c>
      <c r="N119" s="823">
        <f t="shared" si="328"/>
        <v>330.75</v>
      </c>
      <c r="O119" s="284">
        <f t="shared" si="329"/>
        <v>347.28750000000002</v>
      </c>
      <c r="P119" s="169">
        <f>'Program Budget'!Q100</f>
        <v>1</v>
      </c>
      <c r="Q119" s="170">
        <v>1</v>
      </c>
      <c r="R119" s="823">
        <f t="shared" si="330"/>
        <v>347.28750000000002</v>
      </c>
      <c r="S119" s="284">
        <f t="shared" si="331"/>
        <v>364.65187500000002</v>
      </c>
      <c r="T119" s="169">
        <f>'Program Budget'!T100</f>
        <v>0</v>
      </c>
      <c r="U119" s="170">
        <v>0</v>
      </c>
      <c r="V119" s="823">
        <f t="shared" si="332"/>
        <v>0</v>
      </c>
      <c r="W119" s="838">
        <f t="shared" si="333"/>
        <v>1293.0374999999999</v>
      </c>
    </row>
    <row r="120" spans="1:23" ht="15" customHeight="1" outlineLevel="1">
      <c r="A120" s="166" t="str">
        <f>'Program Budget'!D101</f>
        <v>Meeting Expenses - Room Rental and A/V Equipment (for Small Meeting, Rooms Space Rented per Hour)</v>
      </c>
      <c r="B120" s="167" t="str">
        <f>'Program Budget'!F101</f>
        <v>Hours</v>
      </c>
      <c r="C120" s="284">
        <f>'Program Budget'!H101</f>
        <v>20</v>
      </c>
      <c r="D120" s="169">
        <f>'Program Budget'!G101</f>
        <v>120</v>
      </c>
      <c r="E120" s="170">
        <v>1</v>
      </c>
      <c r="F120" s="823">
        <f t="shared" si="324"/>
        <v>2400</v>
      </c>
      <c r="G120" s="284">
        <f t="shared" si="325"/>
        <v>21</v>
      </c>
      <c r="H120" s="169">
        <f>'Program Budget'!K101</f>
        <v>160</v>
      </c>
      <c r="I120" s="170">
        <v>1</v>
      </c>
      <c r="J120" s="823">
        <f t="shared" si="326"/>
        <v>3360</v>
      </c>
      <c r="K120" s="284">
        <f t="shared" si="327"/>
        <v>22.05</v>
      </c>
      <c r="L120" s="169">
        <f>'Program Budget'!N101</f>
        <v>160</v>
      </c>
      <c r="M120" s="170">
        <v>1</v>
      </c>
      <c r="N120" s="823">
        <f t="shared" si="328"/>
        <v>3528</v>
      </c>
      <c r="O120" s="284">
        <f t="shared" si="329"/>
        <v>23.152500000000003</v>
      </c>
      <c r="P120" s="169">
        <f>'Program Budget'!Q101</f>
        <v>160</v>
      </c>
      <c r="Q120" s="170">
        <v>1</v>
      </c>
      <c r="R120" s="823">
        <f t="shared" si="330"/>
        <v>3704.4000000000005</v>
      </c>
      <c r="S120" s="284">
        <f t="shared" si="331"/>
        <v>24.310125000000003</v>
      </c>
      <c r="T120" s="169">
        <f>'Program Budget'!T101</f>
        <v>0</v>
      </c>
      <c r="U120" s="170">
        <v>0</v>
      </c>
      <c r="V120" s="823">
        <f t="shared" si="332"/>
        <v>0</v>
      </c>
      <c r="W120" s="838">
        <f t="shared" si="333"/>
        <v>12992.400000000001</v>
      </c>
    </row>
    <row r="121" spans="1:23" ht="15" customHeight="1" outlineLevel="1">
      <c r="A121" s="166" t="str">
        <f>'Program Budget'!D102</f>
        <v>Accounting Platform (Sage Intacct &amp; QuickBooks)</v>
      </c>
      <c r="B121" s="167" t="str">
        <f>'Program Budget'!F102</f>
        <v>Month</v>
      </c>
      <c r="C121" s="284">
        <f>'Program Budget'!H102</f>
        <v>1500</v>
      </c>
      <c r="D121" s="169">
        <f>'Program Budget'!G102</f>
        <v>9</v>
      </c>
      <c r="E121" s="170">
        <v>1</v>
      </c>
      <c r="F121" s="823">
        <f t="shared" si="324"/>
        <v>13500</v>
      </c>
      <c r="G121" s="284">
        <f t="shared" si="325"/>
        <v>1575</v>
      </c>
      <c r="H121" s="169">
        <f>'Program Budget'!K102</f>
        <v>12</v>
      </c>
      <c r="I121" s="170">
        <v>1</v>
      </c>
      <c r="J121" s="823">
        <f t="shared" si="326"/>
        <v>18900</v>
      </c>
      <c r="K121" s="284">
        <f t="shared" si="327"/>
        <v>1653.75</v>
      </c>
      <c r="L121" s="169">
        <f>'Program Budget'!N102</f>
        <v>12</v>
      </c>
      <c r="M121" s="170">
        <v>1</v>
      </c>
      <c r="N121" s="823">
        <f t="shared" si="328"/>
        <v>19845</v>
      </c>
      <c r="O121" s="284">
        <f t="shared" si="329"/>
        <v>1736.4375</v>
      </c>
      <c r="P121" s="169">
        <f>'Program Budget'!Q102</f>
        <v>9</v>
      </c>
      <c r="Q121" s="170">
        <v>1</v>
      </c>
      <c r="R121" s="823">
        <f t="shared" si="330"/>
        <v>15627.9375</v>
      </c>
      <c r="S121" s="284">
        <f t="shared" si="331"/>
        <v>1823.2593750000001</v>
      </c>
      <c r="T121" s="169">
        <f>'Program Budget'!T102</f>
        <v>0</v>
      </c>
      <c r="U121" s="170">
        <v>0</v>
      </c>
      <c r="V121" s="823">
        <f t="shared" si="332"/>
        <v>0</v>
      </c>
      <c r="W121" s="838">
        <f t="shared" si="333"/>
        <v>67872.9375</v>
      </c>
    </row>
    <row r="122" spans="1:23" ht="15" customHeight="1" outlineLevel="1">
      <c r="A122" s="166" t="str">
        <f>'Program Budget'!D103</f>
        <v>Licenses &amp; Subscriptions (Microsoft 365, Replicon, PandaDoc, TripLog, Adobe, DeepL &amp; Visual Compliance)</v>
      </c>
      <c r="B122" s="167" t="str">
        <f>'Program Budget'!F103</f>
        <v>Month</v>
      </c>
      <c r="C122" s="284">
        <f>'Program Budget'!H103</f>
        <v>1521.6666666666667</v>
      </c>
      <c r="D122" s="169">
        <f>'Program Budget'!G103</f>
        <v>12</v>
      </c>
      <c r="E122" s="170">
        <v>1</v>
      </c>
      <c r="F122" s="823">
        <f t="shared" si="324"/>
        <v>18260</v>
      </c>
      <c r="G122" s="284">
        <f t="shared" si="325"/>
        <v>1597.7500000000002</v>
      </c>
      <c r="H122" s="169">
        <f>'Program Budget'!K103</f>
        <v>12</v>
      </c>
      <c r="I122" s="170">
        <v>1</v>
      </c>
      <c r="J122" s="823">
        <f t="shared" si="326"/>
        <v>19173.000000000004</v>
      </c>
      <c r="K122" s="284">
        <f t="shared" si="327"/>
        <v>1677.6375000000003</v>
      </c>
      <c r="L122" s="169">
        <f>'Program Budget'!N103</f>
        <v>12</v>
      </c>
      <c r="M122" s="170">
        <v>1</v>
      </c>
      <c r="N122" s="823">
        <f t="shared" si="328"/>
        <v>20131.650000000001</v>
      </c>
      <c r="O122" s="284">
        <f t="shared" si="329"/>
        <v>1761.5193750000003</v>
      </c>
      <c r="P122" s="169">
        <f>'Program Budget'!Q103</f>
        <v>9</v>
      </c>
      <c r="Q122" s="170">
        <v>1</v>
      </c>
      <c r="R122" s="823">
        <f t="shared" si="330"/>
        <v>15853.674375000002</v>
      </c>
      <c r="S122" s="284">
        <f t="shared" si="331"/>
        <v>1849.5953437500004</v>
      </c>
      <c r="T122" s="169">
        <f>'Program Budget'!T103</f>
        <v>0</v>
      </c>
      <c r="U122" s="170">
        <v>0</v>
      </c>
      <c r="V122" s="823">
        <f t="shared" si="332"/>
        <v>0</v>
      </c>
      <c r="W122" s="838">
        <f t="shared" si="333"/>
        <v>73418.324374999997</v>
      </c>
    </row>
    <row r="123" spans="1:23" ht="15.6" outlineLevel="1">
      <c r="A123" s="380"/>
      <c r="B123" s="181"/>
      <c r="D123" s="218"/>
      <c r="F123" s="823"/>
      <c r="H123" s="218"/>
      <c r="I123" s="140"/>
      <c r="J123" s="823"/>
      <c r="L123" s="218"/>
      <c r="N123" s="823"/>
      <c r="P123" s="218"/>
      <c r="Q123" s="140"/>
      <c r="R123" s="823"/>
      <c r="T123" s="218"/>
      <c r="U123" s="140"/>
      <c r="V123" s="823"/>
      <c r="W123" s="838"/>
    </row>
    <row r="124" spans="1:23" ht="18.3" outlineLevel="1">
      <c r="A124" s="381" t="s">
        <v>98</v>
      </c>
      <c r="B124" s="188"/>
      <c r="C124" s="287"/>
      <c r="D124" s="215"/>
      <c r="E124" s="216"/>
      <c r="F124" s="826">
        <f>SUM(F111:F122)</f>
        <v>46745</v>
      </c>
      <c r="G124" s="287"/>
      <c r="H124" s="215"/>
      <c r="I124" s="192"/>
      <c r="J124" s="826">
        <f>SUM(J111:J122)</f>
        <v>79012.5</v>
      </c>
      <c r="K124" s="287"/>
      <c r="L124" s="215"/>
      <c r="M124" s="216"/>
      <c r="N124" s="826">
        <f>SUM(N111:N122)</f>
        <v>82963.125</v>
      </c>
      <c r="O124" s="287"/>
      <c r="P124" s="215"/>
      <c r="Q124" s="192"/>
      <c r="R124" s="826">
        <f>SUM(R111:R122)</f>
        <v>67605.3</v>
      </c>
      <c r="S124" s="287"/>
      <c r="T124" s="215"/>
      <c r="U124" s="192"/>
      <c r="V124" s="826">
        <f>SUM(V111:V122)</f>
        <v>0</v>
      </c>
      <c r="W124" s="826">
        <f>SUM(W111:W122)</f>
        <v>276325.92500000005</v>
      </c>
    </row>
    <row r="125" spans="1:23" ht="15.6" outlineLevel="1">
      <c r="A125" s="374" t="s">
        <v>33</v>
      </c>
      <c r="B125" s="217"/>
      <c r="D125" s="218"/>
      <c r="E125" s="219"/>
      <c r="F125" s="828"/>
      <c r="H125" s="218"/>
      <c r="I125" s="220"/>
      <c r="J125" s="839"/>
      <c r="L125" s="218"/>
      <c r="M125" s="219"/>
      <c r="N125" s="839"/>
      <c r="P125" s="218"/>
      <c r="Q125" s="220"/>
      <c r="R125" s="839"/>
      <c r="T125" s="218"/>
      <c r="U125" s="220"/>
      <c r="V125" s="839"/>
      <c r="W125" s="838"/>
    </row>
    <row r="126" spans="1:23" outlineLevel="1">
      <c r="A126" s="166" t="str">
        <f>'Program Budget'!D108</f>
        <v xml:space="preserve">Desktop/Laptop Computers </v>
      </c>
      <c r="B126" s="167" t="str">
        <f>'Program Budget'!F108</f>
        <v>Unit</v>
      </c>
      <c r="C126" s="284">
        <f>'Program Budget'!H108</f>
        <v>600</v>
      </c>
      <c r="D126" s="169">
        <f>'Program Budget'!G108</f>
        <v>12</v>
      </c>
      <c r="E126" s="170">
        <v>1</v>
      </c>
      <c r="F126" s="823">
        <f t="shared" ref="F126" si="334">C126*D126*E126</f>
        <v>7200</v>
      </c>
      <c r="G126" s="284">
        <f>C126</f>
        <v>600</v>
      </c>
      <c r="H126" s="169">
        <f>'Program Budget'!K108</f>
        <v>0</v>
      </c>
      <c r="I126" s="170">
        <v>0</v>
      </c>
      <c r="J126" s="823">
        <f t="shared" ref="J126" si="335">G126*H126*I126</f>
        <v>0</v>
      </c>
      <c r="K126" s="284">
        <f>G126</f>
        <v>600</v>
      </c>
      <c r="L126" s="169">
        <f>'Program Budget'!N108</f>
        <v>0</v>
      </c>
      <c r="M126" s="170">
        <v>0</v>
      </c>
      <c r="N126" s="823">
        <f t="shared" ref="N126" si="336">K126*L126*M126</f>
        <v>0</v>
      </c>
      <c r="O126" s="284">
        <f>K126</f>
        <v>600</v>
      </c>
      <c r="P126" s="169">
        <f>'Program Budget'!Q108</f>
        <v>0</v>
      </c>
      <c r="Q126" s="170">
        <v>0</v>
      </c>
      <c r="R126" s="823">
        <f t="shared" ref="R126" si="337">O126*P126*Q126</f>
        <v>0</v>
      </c>
      <c r="S126" s="284">
        <f>O126</f>
        <v>600</v>
      </c>
      <c r="T126" s="169">
        <f>'Program Budget'!T108</f>
        <v>0</v>
      </c>
      <c r="U126" s="170">
        <v>0</v>
      </c>
      <c r="V126" s="823">
        <f t="shared" ref="V126" si="338">S126*T126*U126</f>
        <v>0</v>
      </c>
      <c r="W126" s="839">
        <f t="shared" ref="W126" si="339">F126+J126+N126+R126+V126</f>
        <v>7200</v>
      </c>
    </row>
    <row r="127" spans="1:23" outlineLevel="1">
      <c r="A127" s="166" t="str">
        <f>'Program Budget'!D109</f>
        <v>All in One: Printer, Photocopier &amp; Scanner</v>
      </c>
      <c r="B127" s="167" t="str">
        <f>'Program Budget'!F109</f>
        <v>Unit</v>
      </c>
      <c r="C127" s="284">
        <f>'Program Budget'!H109</f>
        <v>335</v>
      </c>
      <c r="D127" s="169">
        <f>'Program Budget'!G109</f>
        <v>2</v>
      </c>
      <c r="E127" s="170">
        <v>1</v>
      </c>
      <c r="F127" s="823">
        <f>C127*D127*E127</f>
        <v>670</v>
      </c>
      <c r="G127" s="284">
        <f>C127</f>
        <v>335</v>
      </c>
      <c r="H127" s="169">
        <f>'Program Budget'!K109</f>
        <v>0</v>
      </c>
      <c r="I127" s="170">
        <v>0</v>
      </c>
      <c r="J127" s="823">
        <f>G127*H127*I127</f>
        <v>0</v>
      </c>
      <c r="K127" s="284">
        <f>G127</f>
        <v>335</v>
      </c>
      <c r="L127" s="169">
        <f>'Program Budget'!N109</f>
        <v>0</v>
      </c>
      <c r="M127" s="170">
        <v>0</v>
      </c>
      <c r="N127" s="823">
        <f>K127*L127*M127</f>
        <v>0</v>
      </c>
      <c r="O127" s="284">
        <f>K127</f>
        <v>335</v>
      </c>
      <c r="P127" s="169">
        <f>'Program Budget'!Q109</f>
        <v>0</v>
      </c>
      <c r="Q127" s="170">
        <v>0</v>
      </c>
      <c r="R127" s="823">
        <f>O127*P127*Q127</f>
        <v>0</v>
      </c>
      <c r="S127" s="284">
        <f>O127</f>
        <v>335</v>
      </c>
      <c r="T127" s="169">
        <f>'Program Budget'!T109</f>
        <v>0</v>
      </c>
      <c r="U127" s="170">
        <v>0</v>
      </c>
      <c r="V127" s="823">
        <f>S127*T127*U127</f>
        <v>0</v>
      </c>
      <c r="W127" s="838">
        <f>F127+J127+N127+R127+V127</f>
        <v>670</v>
      </c>
    </row>
    <row r="128" spans="1:23" outlineLevel="1">
      <c r="A128" s="166" t="str">
        <f>'Program Budget'!D110</f>
        <v>Projector and Video Conferencing Equipment</v>
      </c>
      <c r="B128" s="167" t="str">
        <f>'Program Budget'!F110</f>
        <v>Unit</v>
      </c>
      <c r="C128" s="284">
        <f>'Program Budget'!H110</f>
        <v>416.63</v>
      </c>
      <c r="D128" s="169">
        <f>'Program Budget'!G110</f>
        <v>1</v>
      </c>
      <c r="E128" s="170">
        <v>1</v>
      </c>
      <c r="F128" s="823">
        <f>C128*D128*E128</f>
        <v>416.63</v>
      </c>
      <c r="G128" s="284">
        <f>C128</f>
        <v>416.63</v>
      </c>
      <c r="H128" s="169">
        <f>'Program Budget'!K110</f>
        <v>0</v>
      </c>
      <c r="I128" s="170">
        <v>0</v>
      </c>
      <c r="J128" s="823">
        <f>G128*H128*I128</f>
        <v>0</v>
      </c>
      <c r="K128" s="284">
        <f>G128</f>
        <v>416.63</v>
      </c>
      <c r="L128" s="169">
        <f>'Program Budget'!N110</f>
        <v>0</v>
      </c>
      <c r="M128" s="170">
        <v>0</v>
      </c>
      <c r="N128" s="823">
        <f>K128*L128*M128</f>
        <v>0</v>
      </c>
      <c r="O128" s="284">
        <f>K128</f>
        <v>416.63</v>
      </c>
      <c r="P128" s="169">
        <f>'Program Budget'!Q110</f>
        <v>0</v>
      </c>
      <c r="Q128" s="170">
        <v>0</v>
      </c>
      <c r="R128" s="823">
        <f>O128*P128*Q128</f>
        <v>0</v>
      </c>
      <c r="S128" s="284">
        <f>O128</f>
        <v>416.63</v>
      </c>
      <c r="T128" s="169">
        <f>'Program Budget'!T110</f>
        <v>0</v>
      </c>
      <c r="U128" s="170">
        <v>0</v>
      </c>
      <c r="V128" s="823">
        <f>S128*T128*U128</f>
        <v>0</v>
      </c>
      <c r="W128" s="838">
        <f>F128+J128+N128+R128+V128</f>
        <v>416.63</v>
      </c>
    </row>
    <row r="129" spans="1:23" outlineLevel="1">
      <c r="A129" s="166" t="str">
        <f>'Program Budget'!D111</f>
        <v>Shelves and Filing Cabinets, &amp; Safe for Office Storage</v>
      </c>
      <c r="B129" s="167" t="str">
        <f>'Program Budget'!F111</f>
        <v>Unit</v>
      </c>
      <c r="C129" s="284">
        <f>'Program Budget'!H111</f>
        <v>80</v>
      </c>
      <c r="D129" s="169">
        <f>'Program Budget'!G111</f>
        <v>5</v>
      </c>
      <c r="E129" s="170">
        <v>1</v>
      </c>
      <c r="F129" s="823">
        <f>C129*D129*E129</f>
        <v>400</v>
      </c>
      <c r="G129" s="284">
        <f>C129</f>
        <v>80</v>
      </c>
      <c r="H129" s="169">
        <f>'Program Budget'!K111</f>
        <v>0</v>
      </c>
      <c r="I129" s="170">
        <v>0</v>
      </c>
      <c r="J129" s="823">
        <f>G129*H129*I129</f>
        <v>0</v>
      </c>
      <c r="K129" s="284">
        <f>G129</f>
        <v>80</v>
      </c>
      <c r="L129" s="169">
        <f>'Program Budget'!N111</f>
        <v>0</v>
      </c>
      <c r="M129" s="170">
        <v>0</v>
      </c>
      <c r="N129" s="823">
        <f>K129*L129*M129</f>
        <v>0</v>
      </c>
      <c r="O129" s="284">
        <f>K129</f>
        <v>80</v>
      </c>
      <c r="P129" s="169">
        <f>'Program Budget'!Q111</f>
        <v>0</v>
      </c>
      <c r="Q129" s="170">
        <v>0</v>
      </c>
      <c r="R129" s="823">
        <f>O129*P129*Q129</f>
        <v>0</v>
      </c>
      <c r="S129" s="284">
        <f>O129</f>
        <v>80</v>
      </c>
      <c r="T129" s="169">
        <f>'Program Budget'!T111</f>
        <v>0</v>
      </c>
      <c r="U129" s="170">
        <v>0</v>
      </c>
      <c r="V129" s="823">
        <f>S129*T129*U129</f>
        <v>0</v>
      </c>
      <c r="W129" s="838">
        <f>F129+J129+N129+R129+V129</f>
        <v>400</v>
      </c>
    </row>
    <row r="130" spans="1:23" outlineLevel="1">
      <c r="A130" s="166" t="str">
        <f>'Program Budget'!D112</f>
        <v xml:space="preserve">Office Supplies </v>
      </c>
      <c r="B130" s="167" t="str">
        <f>'Program Budget'!F112</f>
        <v>Month</v>
      </c>
      <c r="C130" s="284">
        <f>'Program Budget'!H112</f>
        <v>135</v>
      </c>
      <c r="D130" s="169">
        <f>'Program Budget'!G112</f>
        <v>12</v>
      </c>
      <c r="E130" s="170">
        <v>1</v>
      </c>
      <c r="F130" s="823">
        <f>C130*D130*E130</f>
        <v>1620</v>
      </c>
      <c r="G130" s="284">
        <f>C130*1.05</f>
        <v>141.75</v>
      </c>
      <c r="H130" s="169">
        <f>'Program Budget'!K112</f>
        <v>12</v>
      </c>
      <c r="I130" s="170">
        <v>1</v>
      </c>
      <c r="J130" s="823">
        <f>G130*H130*I130</f>
        <v>1701</v>
      </c>
      <c r="K130" s="284">
        <f>G130*1.05</f>
        <v>148.83750000000001</v>
      </c>
      <c r="L130" s="169">
        <f>'Program Budget'!N112</f>
        <v>12</v>
      </c>
      <c r="M130" s="170">
        <v>1</v>
      </c>
      <c r="N130" s="823">
        <f>K130*L130*M130</f>
        <v>1786.0500000000002</v>
      </c>
      <c r="O130" s="284">
        <f>K130*1.05</f>
        <v>156.27937500000002</v>
      </c>
      <c r="P130" s="169">
        <f>'Program Budget'!Q112</f>
        <v>12</v>
      </c>
      <c r="Q130" s="170">
        <v>1</v>
      </c>
      <c r="R130" s="823">
        <f>O130*P130*Q130</f>
        <v>1875.3525000000002</v>
      </c>
      <c r="S130" s="284">
        <f>O130*1.05</f>
        <v>164.09334375000003</v>
      </c>
      <c r="T130" s="169">
        <f>'Program Budget'!T112</f>
        <v>0</v>
      </c>
      <c r="U130" s="170">
        <v>0</v>
      </c>
      <c r="V130" s="823">
        <f>S130*T130*U130</f>
        <v>0</v>
      </c>
      <c r="W130" s="838">
        <f>F130+J130+N130+R130+V130</f>
        <v>6982.4025000000001</v>
      </c>
    </row>
    <row r="131" spans="1:23" outlineLevel="1">
      <c r="A131" s="166" t="str">
        <f>'Program Budget'!D221</f>
        <v>Webinar Platform (Zoom) for Trainings</v>
      </c>
      <c r="B131" s="167" t="str">
        <f>'Program Budget'!F221</f>
        <v>Month</v>
      </c>
      <c r="C131" s="284">
        <f>'Program Budget'!H221</f>
        <v>340</v>
      </c>
      <c r="D131" s="169">
        <f>'Program Budget'!G221</f>
        <v>6</v>
      </c>
      <c r="E131" s="170">
        <v>1</v>
      </c>
      <c r="F131" s="823">
        <f>C131*D131*E131</f>
        <v>2040</v>
      </c>
      <c r="G131" s="284">
        <f>C131*1.05</f>
        <v>357</v>
      </c>
      <c r="H131" s="169">
        <f>'Program Budget'!K221</f>
        <v>12</v>
      </c>
      <c r="I131" s="170">
        <v>1</v>
      </c>
      <c r="J131" s="823">
        <f>G131*H131*I131</f>
        <v>4284</v>
      </c>
      <c r="K131" s="284">
        <f>G131*1.05</f>
        <v>374.85</v>
      </c>
      <c r="L131" s="169">
        <f>'Program Budget'!N221</f>
        <v>12</v>
      </c>
      <c r="M131" s="170">
        <v>1</v>
      </c>
      <c r="N131" s="823">
        <f>K131*L131*M131</f>
        <v>4498.2000000000007</v>
      </c>
      <c r="O131" s="284">
        <f>K131*1.05</f>
        <v>393.59250000000003</v>
      </c>
      <c r="P131" s="169">
        <f>'Program Budget'!Q221</f>
        <v>12</v>
      </c>
      <c r="Q131" s="170">
        <v>1</v>
      </c>
      <c r="R131" s="823">
        <f>O131*P131*Q131</f>
        <v>4723.1100000000006</v>
      </c>
      <c r="S131" s="284">
        <f>O131*1.05</f>
        <v>413.27212500000007</v>
      </c>
      <c r="T131" s="169">
        <f>'Program Budget'!T221</f>
        <v>0</v>
      </c>
      <c r="U131" s="170">
        <v>0</v>
      </c>
      <c r="V131" s="823">
        <f>S131*T131*U131</f>
        <v>0</v>
      </c>
      <c r="W131" s="838">
        <f>F131+J131+N131+R131+V131</f>
        <v>15545.310000000001</v>
      </c>
    </row>
    <row r="132" spans="1:23" ht="15.6" outlineLevel="1">
      <c r="A132" s="382"/>
      <c r="B132" s="181"/>
      <c r="C132" s="289"/>
      <c r="D132" s="223"/>
      <c r="F132" s="823"/>
      <c r="G132" s="289"/>
      <c r="H132" s="223"/>
      <c r="I132" s="140"/>
      <c r="J132" s="823"/>
      <c r="K132" s="289"/>
      <c r="L132" s="223"/>
      <c r="N132" s="823"/>
      <c r="O132" s="289"/>
      <c r="P132" s="223"/>
      <c r="Q132" s="140"/>
      <c r="R132" s="823"/>
      <c r="S132" s="289"/>
      <c r="T132" s="223"/>
      <c r="U132" s="140"/>
      <c r="V132" s="823"/>
      <c r="W132" s="838"/>
    </row>
    <row r="133" spans="1:23" ht="18.3" outlineLevel="1">
      <c r="A133" s="381" t="s">
        <v>99</v>
      </c>
      <c r="B133" s="188"/>
      <c r="C133" s="287"/>
      <c r="D133" s="215"/>
      <c r="E133" s="216"/>
      <c r="F133" s="826">
        <f>SUM(F126:F132)</f>
        <v>12346.63</v>
      </c>
      <c r="G133" s="287"/>
      <c r="H133" s="215"/>
      <c r="I133" s="192"/>
      <c r="J133" s="826">
        <f>SUM(J126:J132)</f>
        <v>5985</v>
      </c>
      <c r="K133" s="287"/>
      <c r="L133" s="215"/>
      <c r="M133" s="216"/>
      <c r="N133" s="826">
        <f>SUM(N126:N132)</f>
        <v>6284.2500000000009</v>
      </c>
      <c r="O133" s="287"/>
      <c r="P133" s="215"/>
      <c r="Q133" s="192"/>
      <c r="R133" s="826">
        <f>SUM(R126:R132)</f>
        <v>6598.4625000000005</v>
      </c>
      <c r="S133" s="287"/>
      <c r="T133" s="215"/>
      <c r="U133" s="192"/>
      <c r="V133" s="826">
        <f>SUM(V126:V132)</f>
        <v>0</v>
      </c>
      <c r="W133" s="826">
        <f>SUM(W126:W132)</f>
        <v>31214.342499999999</v>
      </c>
    </row>
    <row r="134" spans="1:23" ht="15.6" outlineLevel="1">
      <c r="A134" s="383" t="s">
        <v>100</v>
      </c>
      <c r="B134" s="181"/>
      <c r="C134" s="290"/>
      <c r="D134" s="228"/>
      <c r="F134" s="828"/>
      <c r="G134" s="205"/>
      <c r="H134" s="205"/>
      <c r="I134" s="205"/>
      <c r="J134" s="828"/>
      <c r="K134" s="205"/>
      <c r="L134" s="228"/>
      <c r="N134" s="839"/>
      <c r="O134" s="290"/>
      <c r="P134" s="228"/>
      <c r="R134" s="839"/>
      <c r="S134" s="290"/>
      <c r="T134" s="228"/>
      <c r="V134" s="839"/>
      <c r="W134" s="838"/>
    </row>
    <row r="135" spans="1:23" ht="15.6" outlineLevel="1">
      <c r="A135" s="374" t="s">
        <v>101</v>
      </c>
      <c r="B135" s="181"/>
      <c r="C135" s="290"/>
      <c r="D135" s="228"/>
      <c r="F135" s="823"/>
      <c r="G135" s="290"/>
      <c r="H135" s="228"/>
      <c r="I135" s="140"/>
      <c r="J135" s="823"/>
      <c r="K135" s="290"/>
      <c r="L135" s="228"/>
      <c r="N135" s="823"/>
      <c r="O135" s="290"/>
      <c r="P135" s="228"/>
      <c r="Q135" s="140"/>
      <c r="R135" s="823"/>
      <c r="S135" s="290"/>
      <c r="T135" s="228"/>
      <c r="U135" s="140"/>
      <c r="V135" s="823"/>
      <c r="W135" s="839"/>
    </row>
    <row r="136" spans="1:23" outlineLevel="1">
      <c r="A136" s="166" t="str">
        <f>'Program Budget'!D117</f>
        <v xml:space="preserve">Training, Workshops, Conference and Registration Fees </v>
      </c>
      <c r="B136" s="167" t="str">
        <f>'Program Budget'!F117</f>
        <v>Unit</v>
      </c>
      <c r="C136" s="284">
        <f>'Program Budget'!H117</f>
        <v>1500</v>
      </c>
      <c r="D136" s="169">
        <f>'Program Budget'!G117</f>
        <v>3</v>
      </c>
      <c r="E136" s="170">
        <v>1</v>
      </c>
      <c r="F136" s="823">
        <f t="shared" ref="F136" si="340">C136*D136*E136</f>
        <v>4500</v>
      </c>
      <c r="G136" s="284">
        <f t="shared" ref="G136" si="341">C136</f>
        <v>1500</v>
      </c>
      <c r="H136" s="169">
        <f>'Program Budget'!K117</f>
        <v>3</v>
      </c>
      <c r="I136" s="170">
        <v>1</v>
      </c>
      <c r="J136" s="823">
        <f t="shared" ref="J136" si="342">G136*H136*I136</f>
        <v>4500</v>
      </c>
      <c r="K136" s="284">
        <f t="shared" ref="K136" si="343">G136</f>
        <v>1500</v>
      </c>
      <c r="L136" s="169">
        <f>'Program Budget'!N117</f>
        <v>3</v>
      </c>
      <c r="M136" s="170">
        <v>1</v>
      </c>
      <c r="N136" s="823">
        <f t="shared" ref="N136" si="344">K136*L136*M136</f>
        <v>4500</v>
      </c>
      <c r="O136" s="284">
        <f t="shared" ref="O136" si="345">K136</f>
        <v>1500</v>
      </c>
      <c r="P136" s="169">
        <f>'Program Budget'!Q117</f>
        <v>3</v>
      </c>
      <c r="Q136" s="170">
        <v>1</v>
      </c>
      <c r="R136" s="823">
        <f t="shared" ref="R136" si="346">O136*P136*Q136</f>
        <v>4500</v>
      </c>
      <c r="S136" s="284">
        <f t="shared" ref="S136" si="347">O136</f>
        <v>1500</v>
      </c>
      <c r="T136" s="169">
        <f>'Program Budget'!T117</f>
        <v>0</v>
      </c>
      <c r="U136" s="170">
        <v>0</v>
      </c>
      <c r="V136" s="823">
        <f t="shared" ref="V136" si="348">S136*T136*U136</f>
        <v>0</v>
      </c>
      <c r="W136" s="839">
        <f t="shared" ref="W136" si="349">F136+J136+N136+R136+V136</f>
        <v>18000</v>
      </c>
    </row>
    <row r="137" spans="1:23" outlineLevel="1">
      <c r="A137" s="166" t="str">
        <f>'Program Budget'!D243</f>
        <v>One-Day Workshops for Nigerian Banks and Importers on FAS Programs</v>
      </c>
      <c r="B137" s="167" t="str">
        <f>'Program Budget'!F243</f>
        <v>Workshop</v>
      </c>
      <c r="C137" s="284">
        <f>'Program Budget'!H243</f>
        <v>1719</v>
      </c>
      <c r="D137" s="169">
        <f>'Program Budget'!G243</f>
        <v>2</v>
      </c>
      <c r="E137" s="170">
        <v>1</v>
      </c>
      <c r="F137" s="823">
        <f t="shared" ref="F137" si="350">C137*D137*E137</f>
        <v>3438</v>
      </c>
      <c r="G137" s="284">
        <f t="shared" ref="G137" si="351">C137</f>
        <v>1719</v>
      </c>
      <c r="H137" s="169">
        <f>'Program Budget'!K243</f>
        <v>0</v>
      </c>
      <c r="I137" s="170">
        <v>1</v>
      </c>
      <c r="J137" s="823">
        <f t="shared" ref="J137" si="352">G137*H137*I137</f>
        <v>0</v>
      </c>
      <c r="K137" s="284">
        <f t="shared" ref="K137" si="353">G137</f>
        <v>1719</v>
      </c>
      <c r="L137" s="169">
        <f>'Program Budget'!N243</f>
        <v>0</v>
      </c>
      <c r="M137" s="170">
        <v>1</v>
      </c>
      <c r="N137" s="823">
        <f t="shared" ref="N137" si="354">K137*L137*M137</f>
        <v>0</v>
      </c>
      <c r="O137" s="284">
        <f t="shared" ref="O137" si="355">K137</f>
        <v>1719</v>
      </c>
      <c r="P137" s="169">
        <f>'Program Budget'!Q243</f>
        <v>0</v>
      </c>
      <c r="Q137" s="170">
        <v>1</v>
      </c>
      <c r="R137" s="823">
        <f t="shared" ref="R137" si="356">O137*P137*Q137</f>
        <v>0</v>
      </c>
      <c r="S137" s="284">
        <f t="shared" ref="S137" si="357">O137</f>
        <v>1719</v>
      </c>
      <c r="T137" s="169">
        <f>'Program Budget'!T243</f>
        <v>0</v>
      </c>
      <c r="U137" s="170">
        <v>0</v>
      </c>
      <c r="V137" s="823">
        <f t="shared" ref="V137" si="358">S137*T137*U137</f>
        <v>0</v>
      </c>
      <c r="W137" s="838">
        <f t="shared" ref="W137" si="359">F137+J137+N137+R137+V137</f>
        <v>3438</v>
      </c>
    </row>
    <row r="138" spans="1:23" outlineLevel="1">
      <c r="A138" s="166" t="str">
        <f>'Program Budget'!D244</f>
        <v>One-Day Workshops for Nigerian Banks and Importers on Foreign Currency Risk</v>
      </c>
      <c r="B138" s="167" t="str">
        <f>'Program Budget'!F244</f>
        <v>Workshop</v>
      </c>
      <c r="C138" s="284">
        <f>'Program Budget'!H244</f>
        <v>1719</v>
      </c>
      <c r="D138" s="169">
        <f>'Program Budget'!G244</f>
        <v>0</v>
      </c>
      <c r="E138" s="170">
        <v>1</v>
      </c>
      <c r="F138" s="823">
        <f t="shared" ref="F138" si="360">C138*D138*E138</f>
        <v>0</v>
      </c>
      <c r="G138" s="284">
        <f t="shared" ref="G138" si="361">C138</f>
        <v>1719</v>
      </c>
      <c r="H138" s="169">
        <f>'Program Budget'!K244</f>
        <v>1</v>
      </c>
      <c r="I138" s="170">
        <v>1</v>
      </c>
      <c r="J138" s="823">
        <f t="shared" ref="J138" si="362">G138*H138*I138</f>
        <v>1719</v>
      </c>
      <c r="K138" s="284">
        <f t="shared" ref="K138" si="363">G138</f>
        <v>1719</v>
      </c>
      <c r="L138" s="169">
        <f>'Program Budget'!N244</f>
        <v>1</v>
      </c>
      <c r="M138" s="170">
        <v>1</v>
      </c>
      <c r="N138" s="823">
        <f t="shared" ref="N138" si="364">K138*L138*M138</f>
        <v>1719</v>
      </c>
      <c r="O138" s="284">
        <f t="shared" ref="O138" si="365">K138</f>
        <v>1719</v>
      </c>
      <c r="P138" s="169">
        <f>'Program Budget'!Q244</f>
        <v>0</v>
      </c>
      <c r="Q138" s="170">
        <v>1</v>
      </c>
      <c r="R138" s="823">
        <f t="shared" ref="R138" si="366">O138*P138*Q138</f>
        <v>0</v>
      </c>
      <c r="S138" s="284">
        <f t="shared" ref="S138" si="367">O138</f>
        <v>1719</v>
      </c>
      <c r="T138" s="169">
        <f>'Program Budget'!T244</f>
        <v>0</v>
      </c>
      <c r="U138" s="170">
        <v>0</v>
      </c>
      <c r="V138" s="823">
        <f t="shared" ref="V138" si="368">S138*T138*U138</f>
        <v>0</v>
      </c>
      <c r="W138" s="838">
        <f t="shared" ref="W138" si="369">F138+J138+N138+R138+V138</f>
        <v>3438</v>
      </c>
    </row>
    <row r="139" spans="1:23" outlineLevel="1">
      <c r="A139" s="166" t="str">
        <f>'Program Budget'!D245</f>
        <v>Three-Day Buyers Conferences</v>
      </c>
      <c r="B139" s="167" t="str">
        <f>'Program Budget'!F245</f>
        <v>Conference</v>
      </c>
      <c r="C139" s="284">
        <f>'Program Budget'!H245</f>
        <v>75000</v>
      </c>
      <c r="D139" s="169">
        <f>'Program Budget'!G245</f>
        <v>0</v>
      </c>
      <c r="E139" s="170">
        <v>1</v>
      </c>
      <c r="F139" s="823">
        <f t="shared" ref="F139:F141" si="370">C139*D139*E139</f>
        <v>0</v>
      </c>
      <c r="G139" s="284">
        <f t="shared" ref="G139:G141" si="371">C139</f>
        <v>75000</v>
      </c>
      <c r="H139" s="169">
        <f>'Program Budget'!K245</f>
        <v>1</v>
      </c>
      <c r="I139" s="170">
        <v>1</v>
      </c>
      <c r="J139" s="823">
        <f t="shared" ref="J139:J141" si="372">G139*H139*I139</f>
        <v>75000</v>
      </c>
      <c r="K139" s="284">
        <f t="shared" ref="K139:K141" si="373">G139</f>
        <v>75000</v>
      </c>
      <c r="L139" s="169">
        <f>'Program Budget'!N245</f>
        <v>1</v>
      </c>
      <c r="M139" s="170">
        <v>1</v>
      </c>
      <c r="N139" s="823">
        <f t="shared" ref="N139:N141" si="374">K139*L139*M139</f>
        <v>75000</v>
      </c>
      <c r="O139" s="284">
        <f t="shared" ref="O139:O141" si="375">K139</f>
        <v>75000</v>
      </c>
      <c r="P139" s="169">
        <f>'Program Budget'!Q245</f>
        <v>0</v>
      </c>
      <c r="Q139" s="170">
        <v>1</v>
      </c>
      <c r="R139" s="823">
        <f t="shared" ref="R139:R141" si="376">O139*P139*Q139</f>
        <v>0</v>
      </c>
      <c r="S139" s="284">
        <f t="shared" ref="S139:S141" si="377">O139</f>
        <v>75000</v>
      </c>
      <c r="T139" s="169">
        <f>'Program Budget'!T245</f>
        <v>0</v>
      </c>
      <c r="U139" s="170">
        <v>0</v>
      </c>
      <c r="V139" s="823">
        <f t="shared" ref="V139:V141" si="378">S139*T139*U139</f>
        <v>0</v>
      </c>
      <c r="W139" s="838">
        <f t="shared" ref="W139:W141" si="379">F139+J139+N139+R139+V139</f>
        <v>150000</v>
      </c>
    </row>
    <row r="140" spans="1:23" outlineLevel="1">
      <c r="A140" s="166" t="str">
        <f>'Program Budget'!D246</f>
        <v>One-Day Workshop for Institutions, Ministries and Private Sector - Identify &amp; Prioritize Financing Solutions</v>
      </c>
      <c r="B140" s="167" t="str">
        <f>'Program Budget'!F246</f>
        <v>Workshop</v>
      </c>
      <c r="C140" s="284">
        <f>'Program Budget'!H246</f>
        <v>1824</v>
      </c>
      <c r="D140" s="169">
        <f>'Program Budget'!G246</f>
        <v>1</v>
      </c>
      <c r="E140" s="170">
        <v>1</v>
      </c>
      <c r="F140" s="823">
        <f t="shared" si="370"/>
        <v>1824</v>
      </c>
      <c r="G140" s="284">
        <f t="shared" si="371"/>
        <v>1824</v>
      </c>
      <c r="H140" s="169">
        <f>'Program Budget'!K246</f>
        <v>0</v>
      </c>
      <c r="I140" s="170">
        <v>1</v>
      </c>
      <c r="J140" s="823">
        <f t="shared" si="372"/>
        <v>0</v>
      </c>
      <c r="K140" s="284">
        <f t="shared" si="373"/>
        <v>1824</v>
      </c>
      <c r="L140" s="169">
        <f>'Program Budget'!N246</f>
        <v>0</v>
      </c>
      <c r="M140" s="170">
        <v>1</v>
      </c>
      <c r="N140" s="823">
        <f t="shared" si="374"/>
        <v>0</v>
      </c>
      <c r="O140" s="284">
        <f t="shared" si="375"/>
        <v>1824</v>
      </c>
      <c r="P140" s="169">
        <f>'Program Budget'!Q246</f>
        <v>0</v>
      </c>
      <c r="Q140" s="170">
        <v>1</v>
      </c>
      <c r="R140" s="823">
        <f t="shared" si="376"/>
        <v>0</v>
      </c>
      <c r="S140" s="284">
        <f t="shared" si="377"/>
        <v>1824</v>
      </c>
      <c r="T140" s="169">
        <f>'Program Budget'!T246</f>
        <v>0</v>
      </c>
      <c r="U140" s="170">
        <v>0</v>
      </c>
      <c r="V140" s="823">
        <f t="shared" si="378"/>
        <v>0</v>
      </c>
      <c r="W140" s="838">
        <f t="shared" si="379"/>
        <v>1824</v>
      </c>
    </row>
    <row r="141" spans="1:23" outlineLevel="1">
      <c r="A141" s="166" t="str">
        <f>'Program Budget'!D247</f>
        <v>Ongoing Technical Assistance for Access to Local Trade Finance</v>
      </c>
      <c r="B141" s="167" t="str">
        <f>'Program Budget'!F247</f>
        <v>Training</v>
      </c>
      <c r="C141" s="284">
        <f>'Program Budget'!H247</f>
        <v>757</v>
      </c>
      <c r="D141" s="169">
        <f>'Program Budget'!G247</f>
        <v>0</v>
      </c>
      <c r="E141" s="170">
        <v>1</v>
      </c>
      <c r="F141" s="823">
        <f t="shared" si="370"/>
        <v>0</v>
      </c>
      <c r="G141" s="284">
        <f t="shared" si="371"/>
        <v>757</v>
      </c>
      <c r="H141" s="169">
        <f>'Program Budget'!K247</f>
        <v>11</v>
      </c>
      <c r="I141" s="170">
        <v>1</v>
      </c>
      <c r="J141" s="823">
        <f t="shared" si="372"/>
        <v>8327</v>
      </c>
      <c r="K141" s="284">
        <f t="shared" si="373"/>
        <v>757</v>
      </c>
      <c r="L141" s="169">
        <f>'Program Budget'!N247</f>
        <v>12</v>
      </c>
      <c r="M141" s="170">
        <v>1</v>
      </c>
      <c r="N141" s="823">
        <f t="shared" si="374"/>
        <v>9084</v>
      </c>
      <c r="O141" s="284">
        <f t="shared" si="375"/>
        <v>757</v>
      </c>
      <c r="P141" s="169">
        <f>'Program Budget'!Q247</f>
        <v>0</v>
      </c>
      <c r="Q141" s="170">
        <v>1</v>
      </c>
      <c r="R141" s="823">
        <f t="shared" si="376"/>
        <v>0</v>
      </c>
      <c r="S141" s="284">
        <f t="shared" si="377"/>
        <v>757</v>
      </c>
      <c r="T141" s="169">
        <f>'Program Budget'!T247</f>
        <v>0</v>
      </c>
      <c r="U141" s="170">
        <v>0</v>
      </c>
      <c r="V141" s="823">
        <f t="shared" si="378"/>
        <v>0</v>
      </c>
      <c r="W141" s="838">
        <f t="shared" si="379"/>
        <v>17411</v>
      </c>
    </row>
    <row r="142" spans="1:23" ht="15.6" outlineLevel="1">
      <c r="A142" s="374" t="s">
        <v>102</v>
      </c>
      <c r="B142" s="167"/>
      <c r="C142" s="284"/>
      <c r="D142" s="169"/>
      <c r="E142" s="170"/>
      <c r="F142" s="823"/>
      <c r="G142" s="284"/>
      <c r="H142" s="169"/>
      <c r="I142" s="170"/>
      <c r="J142" s="823"/>
      <c r="K142" s="284"/>
      <c r="L142" s="169"/>
      <c r="M142" s="170"/>
      <c r="N142" s="823"/>
      <c r="O142" s="284"/>
      <c r="P142" s="169"/>
      <c r="Q142" s="170"/>
      <c r="R142" s="823"/>
      <c r="S142" s="284"/>
      <c r="T142" s="169"/>
      <c r="U142" s="170"/>
      <c r="V142" s="823"/>
      <c r="W142" s="838"/>
    </row>
    <row r="143" spans="1:23" outlineLevel="1">
      <c r="A143" s="166" t="str">
        <f>'Program Budget'!D176</f>
        <v>Subrecipient:  U.S. Soybean Export Council (USSEC)</v>
      </c>
      <c r="B143" s="167" t="str">
        <f>'Program Budget'!F241</f>
        <v>Subaward</v>
      </c>
      <c r="C143" s="284">
        <f>'Program Budget'!I176</f>
        <v>296003.09999999998</v>
      </c>
      <c r="D143" s="169">
        <f>'Program Budget'!G176</f>
        <v>1</v>
      </c>
      <c r="E143" s="170">
        <v>1</v>
      </c>
      <c r="F143" s="823">
        <f t="shared" ref="F143" si="380">C143*D143*E143</f>
        <v>296003.09999999998</v>
      </c>
      <c r="G143" s="284">
        <f>'Program Budget'!L176</f>
        <v>694790.9</v>
      </c>
      <c r="H143" s="169">
        <f>'Program Budget'!K176</f>
        <v>1</v>
      </c>
      <c r="I143" s="170">
        <v>1</v>
      </c>
      <c r="J143" s="823">
        <f t="shared" ref="J143" si="381">G143*H143*I143</f>
        <v>694790.9</v>
      </c>
      <c r="K143" s="284">
        <f>'Program Budget'!O176</f>
        <v>714164.02999999991</v>
      </c>
      <c r="L143" s="169">
        <v>1</v>
      </c>
      <c r="M143" s="170">
        <v>1</v>
      </c>
      <c r="N143" s="823">
        <f t="shared" ref="N143" si="382">K143*L143*M143</f>
        <v>714164.02999999991</v>
      </c>
      <c r="O143" s="284">
        <f>'Program Budget'!R176</f>
        <v>418999.04808333336</v>
      </c>
      <c r="P143" s="169">
        <v>1</v>
      </c>
      <c r="Q143" s="170">
        <v>1</v>
      </c>
      <c r="R143" s="823">
        <f t="shared" ref="R143" si="383">O143*P143*Q143</f>
        <v>418999.04808333336</v>
      </c>
      <c r="S143" s="284">
        <f>'Program Budget'!U176+'Program Budget'!U241</f>
        <v>0</v>
      </c>
      <c r="T143" s="169">
        <f>'Program Budget'!T241</f>
        <v>0</v>
      </c>
      <c r="U143" s="170">
        <v>0</v>
      </c>
      <c r="V143" s="823">
        <f t="shared" ref="V143" si="384">S143*T143*U143</f>
        <v>0</v>
      </c>
      <c r="W143" s="839">
        <f t="shared" ref="W143" si="385">F143+J143+N143+R143+V143</f>
        <v>2123957.0780833331</v>
      </c>
    </row>
    <row r="144" spans="1:23" outlineLevel="1">
      <c r="A144" s="166" t="str">
        <f>'Program Budget'!D312</f>
        <v>Subrecipient: CABI</v>
      </c>
      <c r="B144" s="167" t="str">
        <f>'Program Budget'!F312</f>
        <v>Subaward</v>
      </c>
      <c r="C144" s="284">
        <f>'Program Budget'!I312</f>
        <v>53354</v>
      </c>
      <c r="D144" s="169">
        <f>'Program Budget'!G312</f>
        <v>1</v>
      </c>
      <c r="E144" s="170">
        <v>1</v>
      </c>
      <c r="F144" s="823">
        <f>C144*D144*E144</f>
        <v>53354</v>
      </c>
      <c r="G144" s="284">
        <f>'Program Budget'!L312</f>
        <v>315067.5307692308</v>
      </c>
      <c r="H144" s="169">
        <f>'Program Budget'!K312</f>
        <v>1</v>
      </c>
      <c r="I144" s="170">
        <v>1</v>
      </c>
      <c r="J144" s="823">
        <f>G144*H144*I144</f>
        <v>315067.5307692308</v>
      </c>
      <c r="K144" s="284">
        <f>'Program Budget'!O312</f>
        <v>69765.442307692312</v>
      </c>
      <c r="L144" s="169">
        <f>'Program Budget'!N312</f>
        <v>1</v>
      </c>
      <c r="M144" s="170">
        <v>1</v>
      </c>
      <c r="N144" s="823">
        <f>K144*L144*M144</f>
        <v>69765.442307692312</v>
      </c>
      <c r="O144" s="284">
        <f>'Program Budget'!R312</f>
        <v>0</v>
      </c>
      <c r="P144" s="169">
        <f>'Program Budget'!Q312</f>
        <v>0</v>
      </c>
      <c r="Q144" s="170">
        <v>1</v>
      </c>
      <c r="R144" s="823">
        <f>O144*P144*Q144</f>
        <v>0</v>
      </c>
      <c r="S144" s="284">
        <f>'Program Budget'!U312</f>
        <v>0</v>
      </c>
      <c r="T144" s="169">
        <f>'Program Budget'!T312</f>
        <v>0</v>
      </c>
      <c r="U144" s="170">
        <v>0</v>
      </c>
      <c r="V144" s="823">
        <f>S144*T144*U144</f>
        <v>0</v>
      </c>
      <c r="W144" s="838">
        <f>F144+J144+N144+R144+V144</f>
        <v>438186.97307692311</v>
      </c>
    </row>
    <row r="145" spans="1:23" ht="15.6" outlineLevel="1">
      <c r="A145" s="374" t="s">
        <v>103</v>
      </c>
      <c r="B145" s="167"/>
      <c r="C145" s="284"/>
      <c r="D145" s="169"/>
      <c r="E145" s="170"/>
      <c r="F145" s="823"/>
      <c r="G145" s="284"/>
      <c r="H145" s="169"/>
      <c r="I145" s="170"/>
      <c r="J145" s="823"/>
      <c r="K145" s="284"/>
      <c r="L145" s="169"/>
      <c r="M145" s="170"/>
      <c r="N145" s="823"/>
      <c r="O145" s="284"/>
      <c r="P145" s="169"/>
      <c r="Q145" s="170"/>
      <c r="R145" s="823"/>
      <c r="S145" s="284"/>
      <c r="T145" s="169"/>
      <c r="U145" s="170"/>
      <c r="V145" s="823"/>
      <c r="W145" s="839"/>
    </row>
    <row r="146" spans="1:23" outlineLevel="1">
      <c r="A146" s="166" t="str">
        <f>'Program Budget'!D249</f>
        <v>Co-Investment Agribusiness Grants</v>
      </c>
      <c r="B146" s="167" t="str">
        <f>'Program Budget'!F249</f>
        <v>Lumpsum</v>
      </c>
      <c r="C146" s="284">
        <f>'Program Budget'!H249</f>
        <v>1300000</v>
      </c>
      <c r="D146" s="169">
        <f>'Program Budget'!G249</f>
        <v>0</v>
      </c>
      <c r="E146" s="170">
        <v>1</v>
      </c>
      <c r="F146" s="823">
        <f>C146*D146*E146</f>
        <v>0</v>
      </c>
      <c r="G146" s="284">
        <f>C146</f>
        <v>1300000</v>
      </c>
      <c r="H146" s="169">
        <f>'Program Budget'!K249</f>
        <v>0.25</v>
      </c>
      <c r="I146" s="170">
        <v>1</v>
      </c>
      <c r="J146" s="823">
        <f>G146*H146*I146</f>
        <v>325000</v>
      </c>
      <c r="K146" s="284">
        <f>G146</f>
        <v>1300000</v>
      </c>
      <c r="L146" s="169">
        <f>'Program Budget'!N249</f>
        <v>0.5</v>
      </c>
      <c r="M146" s="170">
        <v>1</v>
      </c>
      <c r="N146" s="823">
        <f>K146*L146*M146</f>
        <v>650000</v>
      </c>
      <c r="O146" s="284">
        <f>K146</f>
        <v>1300000</v>
      </c>
      <c r="P146" s="169">
        <f>'Program Budget'!Q249</f>
        <v>0.25</v>
      </c>
      <c r="Q146" s="170">
        <v>1</v>
      </c>
      <c r="R146" s="823">
        <f>O146*P146*Q146</f>
        <v>325000</v>
      </c>
      <c r="S146" s="284">
        <f>O146</f>
        <v>1300000</v>
      </c>
      <c r="T146" s="169">
        <f>'Program Budget'!T249</f>
        <v>0</v>
      </c>
      <c r="U146" s="170">
        <v>0</v>
      </c>
      <c r="V146" s="823">
        <f>S146*T146*U146</f>
        <v>0</v>
      </c>
      <c r="W146" s="839">
        <f>F146+J146+N146+R146+V146</f>
        <v>1300000</v>
      </c>
    </row>
    <row r="147" spans="1:23" outlineLevel="1">
      <c r="A147" s="166" t="str">
        <f>'Program Budget'!D250</f>
        <v>Small Grants to Producers &amp; Processors</v>
      </c>
      <c r="B147" s="167" t="str">
        <f>'Program Budget'!F250</f>
        <v>Grants</v>
      </c>
      <c r="C147" s="284">
        <f>'Program Budget'!H250</f>
        <v>13000</v>
      </c>
      <c r="D147" s="169">
        <f>'Program Budget'!G250</f>
        <v>0</v>
      </c>
      <c r="E147" s="170">
        <v>1</v>
      </c>
      <c r="F147" s="823">
        <f>C147*D147*E147</f>
        <v>0</v>
      </c>
      <c r="G147" s="284">
        <f>C147</f>
        <v>13000</v>
      </c>
      <c r="H147" s="169">
        <f>'Program Budget'!K250</f>
        <v>17</v>
      </c>
      <c r="I147" s="170">
        <v>1</v>
      </c>
      <c r="J147" s="823">
        <f>G147*H147*I147</f>
        <v>221000</v>
      </c>
      <c r="K147" s="284">
        <f>G147</f>
        <v>13000</v>
      </c>
      <c r="L147" s="169">
        <f>'Program Budget'!N250</f>
        <v>17</v>
      </c>
      <c r="M147" s="170">
        <v>1</v>
      </c>
      <c r="N147" s="823">
        <f>K147*L147*M147</f>
        <v>221000</v>
      </c>
      <c r="O147" s="284">
        <f>K147</f>
        <v>13000</v>
      </c>
      <c r="P147" s="169">
        <f>'Program Budget'!Q250</f>
        <v>0</v>
      </c>
      <c r="Q147" s="170">
        <v>1</v>
      </c>
      <c r="R147" s="823">
        <f>O147*P147*Q147</f>
        <v>0</v>
      </c>
      <c r="S147" s="284">
        <f>O147</f>
        <v>13000</v>
      </c>
      <c r="T147" s="169">
        <f>'Program Budget'!T250</f>
        <v>0</v>
      </c>
      <c r="U147" s="170">
        <v>0</v>
      </c>
      <c r="V147" s="823">
        <f>S147*T147*U147</f>
        <v>0</v>
      </c>
      <c r="W147" s="839">
        <f>F147+J147+N147+R147+V147</f>
        <v>442000</v>
      </c>
    </row>
    <row r="148" spans="1:23" ht="15.6" outlineLevel="1">
      <c r="A148" s="374" t="s">
        <v>104</v>
      </c>
      <c r="B148" s="167"/>
      <c r="C148" s="284"/>
      <c r="D148" s="169"/>
      <c r="E148" s="170"/>
      <c r="F148" s="823"/>
      <c r="G148" s="284"/>
      <c r="H148" s="169"/>
      <c r="I148" s="170"/>
      <c r="J148" s="823"/>
      <c r="K148" s="284"/>
      <c r="L148" s="169"/>
      <c r="M148" s="170"/>
      <c r="N148" s="823"/>
      <c r="O148" s="284"/>
      <c r="P148" s="169"/>
      <c r="Q148" s="170"/>
      <c r="R148" s="823"/>
      <c r="S148" s="284"/>
      <c r="T148" s="169"/>
      <c r="U148" s="170"/>
      <c r="V148" s="823"/>
      <c r="W148" s="839"/>
    </row>
    <row r="149" spans="1:23" outlineLevel="1">
      <c r="A149" s="166" t="str">
        <f>'Program Budget'!D252</f>
        <v>Communications Cost to Release RFP on Co-Investment Agribusiness Grants</v>
      </c>
      <c r="B149" s="167" t="str">
        <f>'Program Budget'!F252</f>
        <v>Year</v>
      </c>
      <c r="C149" s="284">
        <f>'Program Budget'!H252</f>
        <v>1000</v>
      </c>
      <c r="D149" s="169">
        <f>'Program Budget'!G252</f>
        <v>0</v>
      </c>
      <c r="E149" s="170">
        <v>1</v>
      </c>
      <c r="F149" s="823">
        <f>C149*D149*E149</f>
        <v>0</v>
      </c>
      <c r="G149" s="284">
        <f>C149</f>
        <v>1000</v>
      </c>
      <c r="H149" s="169">
        <f>'Program Budget'!K252</f>
        <v>1</v>
      </c>
      <c r="I149" s="170">
        <v>1</v>
      </c>
      <c r="J149" s="823">
        <f>G149*H149*I149</f>
        <v>1000</v>
      </c>
      <c r="K149" s="284">
        <f>G149</f>
        <v>1000</v>
      </c>
      <c r="L149" s="169">
        <f>'Program Budget'!N252</f>
        <v>1</v>
      </c>
      <c r="M149" s="170">
        <v>1</v>
      </c>
      <c r="N149" s="823">
        <f>K149*L149*M149</f>
        <v>1000</v>
      </c>
      <c r="O149" s="284">
        <f>K149</f>
        <v>1000</v>
      </c>
      <c r="P149" s="169">
        <f>'Program Budget'!Q252</f>
        <v>1</v>
      </c>
      <c r="Q149" s="170">
        <v>1</v>
      </c>
      <c r="R149" s="823">
        <f>O149*P149*Q149</f>
        <v>1000</v>
      </c>
      <c r="S149" s="284">
        <f>O149</f>
        <v>1000</v>
      </c>
      <c r="T149" s="169">
        <f>'Program Budget'!T252</f>
        <v>0</v>
      </c>
      <c r="U149" s="170">
        <v>0</v>
      </c>
      <c r="V149" s="823">
        <f>S149*T149*U149</f>
        <v>0</v>
      </c>
      <c r="W149" s="838">
        <f>F149+J149+N149+R149+V149</f>
        <v>3000</v>
      </c>
    </row>
    <row r="150" spans="1:23" ht="15.6" outlineLevel="1">
      <c r="A150" s="374" t="s">
        <v>105</v>
      </c>
      <c r="B150" s="167"/>
      <c r="C150" s="284"/>
      <c r="D150" s="169"/>
      <c r="E150" s="170"/>
      <c r="F150" s="823"/>
      <c r="G150" s="284"/>
      <c r="H150" s="169"/>
      <c r="I150" s="170"/>
      <c r="J150" s="823"/>
      <c r="K150" s="284"/>
      <c r="L150" s="169"/>
      <c r="M150" s="170"/>
      <c r="N150" s="823"/>
      <c r="O150" s="284"/>
      <c r="P150" s="169"/>
      <c r="Q150" s="170"/>
      <c r="R150" s="823"/>
      <c r="S150" s="284"/>
      <c r="T150" s="169"/>
      <c r="U150" s="170"/>
      <c r="V150" s="823"/>
      <c r="W150" s="838"/>
    </row>
    <row r="151" spans="1:23" outlineLevel="1">
      <c r="A151" s="166" t="str">
        <f>'Program Budget'!D119</f>
        <v>Equipment and Office Repairs and Maintenance</v>
      </c>
      <c r="B151" s="167" t="str">
        <f>'Program Budget'!F119</f>
        <v>Year</v>
      </c>
      <c r="C151" s="284">
        <f>'Program Budget'!H119</f>
        <v>1000</v>
      </c>
      <c r="D151" s="169">
        <f>'Program Budget'!G119</f>
        <v>1</v>
      </c>
      <c r="E151" s="170">
        <v>1</v>
      </c>
      <c r="F151" s="823">
        <f t="shared" ref="F151" si="386">C151*D151*E151</f>
        <v>1000</v>
      </c>
      <c r="G151" s="284">
        <f>C151*1.05</f>
        <v>1050</v>
      </c>
      <c r="H151" s="169">
        <f>'Program Budget'!K119</f>
        <v>1</v>
      </c>
      <c r="I151" s="170">
        <v>1</v>
      </c>
      <c r="J151" s="823">
        <f t="shared" ref="J151" si="387">G151*H151*I151</f>
        <v>1050</v>
      </c>
      <c r="K151" s="284">
        <f>G151*1.05</f>
        <v>1102.5</v>
      </c>
      <c r="L151" s="169">
        <f>'Program Budget'!N119</f>
        <v>1</v>
      </c>
      <c r="M151" s="170">
        <v>1</v>
      </c>
      <c r="N151" s="823">
        <f t="shared" ref="N151" si="388">K151*L151*M151</f>
        <v>1102.5</v>
      </c>
      <c r="O151" s="284">
        <f>K151*1.05</f>
        <v>1157.625</v>
      </c>
      <c r="P151" s="169">
        <f>'Program Budget'!Q119</f>
        <v>1</v>
      </c>
      <c r="Q151" s="170">
        <v>1</v>
      </c>
      <c r="R151" s="823">
        <f t="shared" ref="R151" si="389">O151*P151*Q151</f>
        <v>1157.625</v>
      </c>
      <c r="S151" s="284">
        <f>O151*1.05</f>
        <v>1215.5062500000001</v>
      </c>
      <c r="T151" s="169">
        <f>'Program Budget'!T119</f>
        <v>0</v>
      </c>
      <c r="U151" s="170">
        <v>0</v>
      </c>
      <c r="V151" s="823">
        <f t="shared" ref="V151" si="390">S151*T151*U151</f>
        <v>0</v>
      </c>
      <c r="W151" s="839">
        <f t="shared" ref="W151" si="391">F151+J151+N151+R151+V151</f>
        <v>4310.125</v>
      </c>
    </row>
    <row r="152" spans="1:23" outlineLevel="1">
      <c r="A152" s="166" t="str">
        <f>'Program Budget'!D120</f>
        <v>Vehicle Maintenance/Repairs/Spare Parts</v>
      </c>
      <c r="B152" s="167" t="str">
        <f>'Program Budget'!F120</f>
        <v>Year</v>
      </c>
      <c r="C152" s="284">
        <f>'Program Budget'!H120</f>
        <v>650</v>
      </c>
      <c r="D152" s="169">
        <f>'Program Budget'!G120</f>
        <v>1</v>
      </c>
      <c r="E152" s="170">
        <v>1</v>
      </c>
      <c r="F152" s="823">
        <f>C152*D152*E152</f>
        <v>650</v>
      </c>
      <c r="G152" s="284">
        <f>C152*1.05</f>
        <v>682.5</v>
      </c>
      <c r="H152" s="169">
        <f>'Program Budget'!K120</f>
        <v>1</v>
      </c>
      <c r="I152" s="170">
        <v>1</v>
      </c>
      <c r="J152" s="823">
        <f>G152*H152*I152</f>
        <v>682.5</v>
      </c>
      <c r="K152" s="284">
        <f>G152*1.05</f>
        <v>716.625</v>
      </c>
      <c r="L152" s="169">
        <f>'Program Budget'!N120</f>
        <v>1</v>
      </c>
      <c r="M152" s="170">
        <v>1</v>
      </c>
      <c r="N152" s="823">
        <f>K152*L152*M152</f>
        <v>716.625</v>
      </c>
      <c r="O152" s="284">
        <f>K152*1.05</f>
        <v>752.45625000000007</v>
      </c>
      <c r="P152" s="169">
        <f>'Program Budget'!Q120</f>
        <v>1</v>
      </c>
      <c r="Q152" s="170">
        <v>1</v>
      </c>
      <c r="R152" s="823">
        <f>O152*P152*Q152</f>
        <v>752.45625000000007</v>
      </c>
      <c r="S152" s="284">
        <f>O152*1.05</f>
        <v>790.07906250000008</v>
      </c>
      <c r="T152" s="169">
        <f>'Program Budget'!T120</f>
        <v>0</v>
      </c>
      <c r="U152" s="170">
        <v>0</v>
      </c>
      <c r="V152" s="823">
        <f>S152*T152*U152</f>
        <v>0</v>
      </c>
      <c r="W152" s="838">
        <f>F152+J152+N152+R152+V152</f>
        <v>2801.5812500000002</v>
      </c>
    </row>
    <row r="153" spans="1:23" ht="15.6" outlineLevel="1">
      <c r="A153" s="374" t="s">
        <v>106</v>
      </c>
      <c r="B153" s="167"/>
      <c r="C153" s="284"/>
      <c r="D153" s="169"/>
      <c r="E153" s="170"/>
      <c r="F153" s="823"/>
      <c r="G153" s="284"/>
      <c r="H153" s="169"/>
      <c r="I153" s="170"/>
      <c r="J153" s="823"/>
      <c r="K153" s="284"/>
      <c r="L153" s="169"/>
      <c r="M153" s="170"/>
      <c r="N153" s="823"/>
      <c r="O153" s="284"/>
      <c r="P153" s="169"/>
      <c r="Q153" s="170"/>
      <c r="R153" s="823"/>
      <c r="S153" s="284"/>
      <c r="T153" s="169"/>
      <c r="U153" s="170"/>
      <c r="V153" s="823"/>
      <c r="W153" s="839"/>
    </row>
    <row r="154" spans="1:23" outlineLevel="1">
      <c r="A154" s="166" t="str">
        <f>'Program Budget'!D122</f>
        <v>Property, Business, &amp; Liability Insurance</v>
      </c>
      <c r="B154" s="167" t="str">
        <f>'Program Budget'!F122</f>
        <v>Year</v>
      </c>
      <c r="C154" s="284">
        <f>'Program Budget'!H122</f>
        <v>10000</v>
      </c>
      <c r="D154" s="169">
        <f>'Program Budget'!G122</f>
        <v>1</v>
      </c>
      <c r="E154" s="170">
        <v>1</v>
      </c>
      <c r="F154" s="823">
        <f>C154*D154*E154</f>
        <v>10000</v>
      </c>
      <c r="G154" s="284">
        <f>C154*1.05</f>
        <v>10500</v>
      </c>
      <c r="H154" s="169">
        <f>'Program Budget'!K122</f>
        <v>1</v>
      </c>
      <c r="I154" s="170">
        <v>1</v>
      </c>
      <c r="J154" s="823">
        <f>G154*H154*I154</f>
        <v>10500</v>
      </c>
      <c r="K154" s="284">
        <f>G154*1.05</f>
        <v>11025</v>
      </c>
      <c r="L154" s="169">
        <f>'Program Budget'!N122</f>
        <v>1</v>
      </c>
      <c r="M154" s="170">
        <v>1</v>
      </c>
      <c r="N154" s="823">
        <f>K154*L154*M154</f>
        <v>11025</v>
      </c>
      <c r="O154" s="284">
        <f>K154*1.05</f>
        <v>11576.25</v>
      </c>
      <c r="P154" s="169">
        <f>'Program Budget'!Q122</f>
        <v>1</v>
      </c>
      <c r="Q154" s="170">
        <v>1</v>
      </c>
      <c r="R154" s="823">
        <f>O154*P154*Q154</f>
        <v>11576.25</v>
      </c>
      <c r="S154" s="284">
        <f>O154*1.05</f>
        <v>12155.0625</v>
      </c>
      <c r="T154" s="169">
        <f>'Program Budget'!T122</f>
        <v>0</v>
      </c>
      <c r="U154" s="170">
        <v>0</v>
      </c>
      <c r="V154" s="823">
        <f>S154*T154*U154</f>
        <v>0</v>
      </c>
      <c r="W154" s="838">
        <f>F154+J154+N154+R154+V154</f>
        <v>43101.25</v>
      </c>
    </row>
    <row r="155" spans="1:23" outlineLevel="1">
      <c r="A155" s="166" t="str">
        <f>'Program Budget'!D123</f>
        <v>Annual Vehicle Registration</v>
      </c>
      <c r="B155" s="167" t="str">
        <f>'Program Budget'!F123</f>
        <v>Vehicle</v>
      </c>
      <c r="C155" s="284">
        <f>'Program Budget'!H123</f>
        <v>25</v>
      </c>
      <c r="D155" s="169">
        <f>'Program Budget'!G123</f>
        <v>1</v>
      </c>
      <c r="E155" s="170">
        <v>1</v>
      </c>
      <c r="F155" s="823">
        <f>C155*D155*E155</f>
        <v>25</v>
      </c>
      <c r="G155" s="284">
        <f>C155*1.05</f>
        <v>26.25</v>
      </c>
      <c r="H155" s="169">
        <f>'Program Budget'!K123</f>
        <v>1</v>
      </c>
      <c r="I155" s="170">
        <v>1</v>
      </c>
      <c r="J155" s="823">
        <f>G155*H155*I155</f>
        <v>26.25</v>
      </c>
      <c r="K155" s="284">
        <f>G155*1.05</f>
        <v>27.5625</v>
      </c>
      <c r="L155" s="169">
        <f>'Program Budget'!N123</f>
        <v>1</v>
      </c>
      <c r="M155" s="170">
        <v>1</v>
      </c>
      <c r="N155" s="823">
        <f>K155*L155*M155</f>
        <v>27.5625</v>
      </c>
      <c r="O155" s="284">
        <f>K155*1.05</f>
        <v>28.940625000000001</v>
      </c>
      <c r="P155" s="169">
        <f>'Program Budget'!Q123</f>
        <v>1</v>
      </c>
      <c r="Q155" s="170">
        <v>1</v>
      </c>
      <c r="R155" s="823">
        <f>O155*P155*Q155</f>
        <v>28.940625000000001</v>
      </c>
      <c r="S155" s="284">
        <f>O155*1.05</f>
        <v>30.387656250000003</v>
      </c>
      <c r="T155" s="169">
        <f>'Program Budget'!T123</f>
        <v>0</v>
      </c>
      <c r="U155" s="170">
        <v>0</v>
      </c>
      <c r="V155" s="823">
        <f>S155*T155*U155</f>
        <v>0</v>
      </c>
      <c r="W155" s="838">
        <f>F155+J155+N155+R155+V155</f>
        <v>107.753125</v>
      </c>
    </row>
    <row r="156" spans="1:23" outlineLevel="1">
      <c r="A156" s="166" t="str">
        <f>'Program Budget'!D124</f>
        <v>Vehicle Insurance</v>
      </c>
      <c r="B156" s="167" t="str">
        <f>'Program Budget'!F124</f>
        <v>Vehicle</v>
      </c>
      <c r="C156" s="284">
        <f>'Program Budget'!H124</f>
        <v>800</v>
      </c>
      <c r="D156" s="169">
        <f>'Program Budget'!G124</f>
        <v>1</v>
      </c>
      <c r="E156" s="170">
        <v>1</v>
      </c>
      <c r="F156" s="823">
        <f>C156*D156*E156</f>
        <v>800</v>
      </c>
      <c r="G156" s="284">
        <f>C156*1.05</f>
        <v>840</v>
      </c>
      <c r="H156" s="169">
        <f>'Program Budget'!K124</f>
        <v>1</v>
      </c>
      <c r="I156" s="170">
        <v>1</v>
      </c>
      <c r="J156" s="823">
        <f>G156*H156*I156</f>
        <v>840</v>
      </c>
      <c r="K156" s="284">
        <f>G156*1.05</f>
        <v>882</v>
      </c>
      <c r="L156" s="169">
        <f>'Program Budget'!N124</f>
        <v>1</v>
      </c>
      <c r="M156" s="170">
        <v>1</v>
      </c>
      <c r="N156" s="823">
        <f>K156*L156*M156</f>
        <v>882</v>
      </c>
      <c r="O156" s="284">
        <f>K156*1.05</f>
        <v>926.1</v>
      </c>
      <c r="P156" s="169">
        <f>'Program Budget'!Q124</f>
        <v>1</v>
      </c>
      <c r="Q156" s="170">
        <v>1</v>
      </c>
      <c r="R156" s="823">
        <f>O156*P156*Q156</f>
        <v>926.1</v>
      </c>
      <c r="S156" s="284">
        <f>O156*1.05</f>
        <v>972.40500000000009</v>
      </c>
      <c r="T156" s="169">
        <f>'Program Budget'!T124</f>
        <v>0</v>
      </c>
      <c r="U156" s="170">
        <v>0</v>
      </c>
      <c r="V156" s="823">
        <f>S156*T156*U156</f>
        <v>0</v>
      </c>
      <c r="W156" s="838">
        <f>F156+J156+N156+R156+V156</f>
        <v>3448.1</v>
      </c>
    </row>
    <row r="157" spans="1:23" ht="15.6" outlineLevel="1">
      <c r="A157" s="384"/>
      <c r="B157" s="199"/>
      <c r="C157" s="291"/>
      <c r="D157" s="230"/>
      <c r="E157" s="202"/>
      <c r="F157" s="827"/>
      <c r="G157" s="284"/>
      <c r="H157" s="230"/>
      <c r="I157" s="202"/>
      <c r="J157" s="827"/>
      <c r="K157" s="291"/>
      <c r="L157" s="230"/>
      <c r="M157" s="202"/>
      <c r="N157" s="827"/>
      <c r="O157" s="291"/>
      <c r="P157" s="230"/>
      <c r="Q157" s="202"/>
      <c r="R157" s="827"/>
      <c r="S157" s="291"/>
      <c r="T157" s="230"/>
      <c r="U157" s="202"/>
      <c r="V157" s="827"/>
      <c r="W157" s="838"/>
    </row>
    <row r="158" spans="1:23" ht="18.3" outlineLevel="1">
      <c r="A158" s="385" t="s">
        <v>107</v>
      </c>
      <c r="B158" s="188"/>
      <c r="C158" s="288"/>
      <c r="D158" s="209"/>
      <c r="E158" s="233"/>
      <c r="F158" s="829">
        <f>SUM(F134:F156)</f>
        <v>371594.1</v>
      </c>
      <c r="G158" s="288"/>
      <c r="H158" s="209"/>
      <c r="I158" s="211"/>
      <c r="J158" s="829">
        <f>SUM(J134:J156)</f>
        <v>1659503.1807692307</v>
      </c>
      <c r="K158" s="288"/>
      <c r="L158" s="209"/>
      <c r="M158" s="233"/>
      <c r="N158" s="829">
        <f>SUM(N134:N156)</f>
        <v>1759986.1598076923</v>
      </c>
      <c r="O158" s="288"/>
      <c r="P158" s="209"/>
      <c r="Q158" s="211"/>
      <c r="R158" s="829">
        <f>SUM(R134:R156)</f>
        <v>763940.41995833337</v>
      </c>
      <c r="S158" s="288"/>
      <c r="T158" s="209"/>
      <c r="U158" s="211"/>
      <c r="V158" s="829">
        <f>SUM(V134:V156)</f>
        <v>0</v>
      </c>
      <c r="W158" s="829">
        <f>SUM(W134:W156)</f>
        <v>4555023.8605352556</v>
      </c>
    </row>
    <row r="159" spans="1:23" ht="15.6" outlineLevel="1">
      <c r="A159" s="386"/>
      <c r="B159" s="197"/>
      <c r="C159" s="290"/>
      <c r="D159" s="228"/>
      <c r="F159" s="823"/>
      <c r="G159" s="171"/>
      <c r="H159" s="171"/>
      <c r="I159" s="171"/>
      <c r="J159" s="823"/>
      <c r="K159" s="171"/>
      <c r="L159" s="171"/>
      <c r="N159" s="838"/>
      <c r="O159" s="290"/>
      <c r="P159" s="228"/>
      <c r="R159" s="838"/>
      <c r="S159" s="290"/>
      <c r="T159" s="228"/>
      <c r="V159" s="838"/>
      <c r="W159" s="838"/>
    </row>
    <row r="160" spans="1:23" ht="18.3" outlineLevel="1">
      <c r="A160" s="387" t="s">
        <v>108</v>
      </c>
      <c r="B160" s="236"/>
      <c r="C160" s="292"/>
      <c r="D160" s="238"/>
      <c r="E160" s="239"/>
      <c r="F160" s="830">
        <f>F32+F42+F79+F124+F133+F106+F158+F110</f>
        <v>1817712.7000000002</v>
      </c>
      <c r="G160" s="292"/>
      <c r="H160" s="238"/>
      <c r="I160" s="240"/>
      <c r="J160" s="830">
        <f>J32+J42+J79+J124+J133+J106+J158+J110</f>
        <v>3147603.0992692309</v>
      </c>
      <c r="K160" s="292"/>
      <c r="L160" s="238"/>
      <c r="M160" s="239"/>
      <c r="N160" s="830">
        <f>N32+N42+N79+N124+N133+N106+N158+N110</f>
        <v>3486773.1492326921</v>
      </c>
      <c r="O160" s="292"/>
      <c r="P160" s="238"/>
      <c r="Q160" s="240"/>
      <c r="R160" s="830">
        <f>R32+R42+R79+R124+R133+R106+R158+R110</f>
        <v>2481659.3324795831</v>
      </c>
      <c r="S160" s="292"/>
      <c r="T160" s="238"/>
      <c r="U160" s="240"/>
      <c r="V160" s="830">
        <f>V32+V42+V79+V124+V133+V106+V158+V110</f>
        <v>0</v>
      </c>
      <c r="W160" s="830">
        <f>W32+W42+W79+W124+W133+W106+W158+W110</f>
        <v>10933748.280981507</v>
      </c>
    </row>
    <row r="161" spans="1:26" ht="15.6">
      <c r="A161" s="388"/>
      <c r="B161" s="197"/>
      <c r="C161" s="290"/>
      <c r="D161" s="228"/>
      <c r="F161" s="823"/>
      <c r="G161" s="290"/>
      <c r="H161" s="228"/>
      <c r="J161" s="838"/>
      <c r="K161" s="290"/>
      <c r="L161" s="228"/>
      <c r="N161" s="838"/>
      <c r="O161" s="290"/>
      <c r="P161" s="228"/>
      <c r="R161" s="838"/>
      <c r="S161" s="290"/>
      <c r="T161" s="228"/>
      <c r="V161" s="838"/>
      <c r="W161" s="838"/>
    </row>
    <row r="162" spans="1:26" ht="20.399999999999999">
      <c r="A162" s="389" t="s">
        <v>53</v>
      </c>
      <c r="B162" s="242"/>
      <c r="C162" s="293"/>
      <c r="D162" s="243"/>
      <c r="E162" s="243"/>
      <c r="F162" s="831"/>
      <c r="G162" s="293"/>
      <c r="H162" s="243"/>
      <c r="I162" s="243"/>
      <c r="J162" s="831"/>
      <c r="K162" s="293"/>
      <c r="L162" s="243"/>
      <c r="M162" s="243"/>
      <c r="N162" s="831"/>
      <c r="O162" s="293"/>
      <c r="P162" s="243"/>
      <c r="Q162" s="243"/>
      <c r="R162" s="831"/>
      <c r="S162" s="293"/>
      <c r="T162" s="243"/>
      <c r="U162" s="243"/>
      <c r="V162" s="831"/>
      <c r="W162" s="849"/>
    </row>
    <row r="163" spans="1:26" ht="15" customHeight="1">
      <c r="A163" s="244" t="s">
        <v>54</v>
      </c>
      <c r="B163" s="280" t="s">
        <v>109</v>
      </c>
      <c r="C163" s="168">
        <f>'Indirect Calculations'!D44</f>
        <v>897537.12799999991</v>
      </c>
      <c r="D163" s="169">
        <v>1</v>
      </c>
      <c r="E163" s="170">
        <v>0.15</v>
      </c>
      <c r="F163" s="823">
        <f>C163*D163*E163</f>
        <v>134630.56919999997</v>
      </c>
      <c r="G163" s="168">
        <f>'Indirect Calculations'!E44</f>
        <v>331277.80940000003</v>
      </c>
      <c r="H163" s="169">
        <v>1</v>
      </c>
      <c r="I163" s="170">
        <f>E163</f>
        <v>0.15</v>
      </c>
      <c r="J163" s="823">
        <f>G163*H163*I163</f>
        <v>49691.671410000003</v>
      </c>
      <c r="K163" s="168">
        <f>'Indirect Calculations'!F44</f>
        <v>440943.77487000002</v>
      </c>
      <c r="L163" s="169">
        <v>1</v>
      </c>
      <c r="M163" s="170">
        <f>I163</f>
        <v>0.15</v>
      </c>
      <c r="N163" s="823">
        <f>K163*L163*M163</f>
        <v>66141.566230500001</v>
      </c>
      <c r="O163" s="168">
        <f>'Indirect Calculations'!G44</f>
        <v>446994.98236349999</v>
      </c>
      <c r="P163" s="169">
        <v>1</v>
      </c>
      <c r="Q163" s="170">
        <f>M163</f>
        <v>0.15</v>
      </c>
      <c r="R163" s="823">
        <f>O163*P163*Q163</f>
        <v>67049.247354524996</v>
      </c>
      <c r="S163" s="168">
        <f>'Indirect Calculations'!H44</f>
        <v>0</v>
      </c>
      <c r="T163" s="169">
        <v>1</v>
      </c>
      <c r="U163" s="170">
        <v>0</v>
      </c>
      <c r="V163" s="823">
        <f>S163*T163*U163</f>
        <v>0</v>
      </c>
      <c r="W163" s="838">
        <f>F163+J163+N163+R163+V163</f>
        <v>317513.054195025</v>
      </c>
      <c r="Y163" s="852"/>
      <c r="Z163" s="852"/>
    </row>
    <row r="164" spans="1:26" ht="15" customHeight="1">
      <c r="A164" s="244" t="s">
        <v>110</v>
      </c>
      <c r="B164" s="280" t="s">
        <v>109</v>
      </c>
      <c r="C164" s="438">
        <f>F160-C163-F143-F144</f>
        <v>570818.4720000003</v>
      </c>
      <c r="D164" s="169">
        <v>1</v>
      </c>
      <c r="E164" s="170">
        <v>0.15</v>
      </c>
      <c r="F164" s="823">
        <f>C164*D164*E164</f>
        <v>85622.770800000042</v>
      </c>
      <c r="G164" s="438">
        <f>J160-G163-J143-J144</f>
        <v>1806466.8591</v>
      </c>
      <c r="H164" s="169">
        <v>1</v>
      </c>
      <c r="I164" s="170">
        <f>E164</f>
        <v>0.15</v>
      </c>
      <c r="J164" s="823">
        <f>G164*H164*I164</f>
        <v>270970.028865</v>
      </c>
      <c r="K164" s="438">
        <f>N160-K163-N143-N144</f>
        <v>2261899.902055</v>
      </c>
      <c r="L164" s="169">
        <v>1</v>
      </c>
      <c r="M164" s="170">
        <f>I164</f>
        <v>0.15</v>
      </c>
      <c r="N164" s="823">
        <f>K164*L164*M164</f>
        <v>339284.98530825</v>
      </c>
      <c r="O164" s="438">
        <f>R160-O163-R143-R144</f>
        <v>1615665.3020327499</v>
      </c>
      <c r="P164" s="169">
        <v>1</v>
      </c>
      <c r="Q164" s="170">
        <f>M164</f>
        <v>0.15</v>
      </c>
      <c r="R164" s="823">
        <f>O164*P164*Q164</f>
        <v>242349.79530491246</v>
      </c>
      <c r="S164" s="438">
        <f>V160-S163-V143-V144</f>
        <v>0</v>
      </c>
      <c r="T164" s="169">
        <v>1</v>
      </c>
      <c r="U164" s="170">
        <v>0</v>
      </c>
      <c r="V164" s="823">
        <f>S164*T164*U164</f>
        <v>0</v>
      </c>
      <c r="W164" s="838">
        <f>F164+J164+N164+R164+V164</f>
        <v>938227.5802781625</v>
      </c>
      <c r="Y164" s="852"/>
      <c r="Z164" s="852"/>
    </row>
    <row r="165" spans="1:26" ht="18.75" customHeight="1">
      <c r="A165" s="244" t="s">
        <v>111</v>
      </c>
      <c r="B165" s="280" t="s">
        <v>109</v>
      </c>
      <c r="C165" s="438">
        <f>F143+F144</f>
        <v>349357.1</v>
      </c>
      <c r="D165" s="169">
        <v>1</v>
      </c>
      <c r="E165" s="170">
        <v>7.0000000000000007E-2</v>
      </c>
      <c r="F165" s="823">
        <f>C165*D165*E165</f>
        <v>24454.996999999999</v>
      </c>
      <c r="G165" s="438">
        <f>J143+J144</f>
        <v>1009858.4307692308</v>
      </c>
      <c r="H165" s="169">
        <v>1</v>
      </c>
      <c r="I165" s="170">
        <f>E165</f>
        <v>7.0000000000000007E-2</v>
      </c>
      <c r="J165" s="823">
        <f>G165*H165*I165</f>
        <v>70690.090153846162</v>
      </c>
      <c r="K165" s="438">
        <f>N143+N144</f>
        <v>783929.47230769228</v>
      </c>
      <c r="L165" s="169">
        <v>1</v>
      </c>
      <c r="M165" s="170">
        <f>I165</f>
        <v>7.0000000000000007E-2</v>
      </c>
      <c r="N165" s="823">
        <f>K165*L165*M165</f>
        <v>54875.063061538465</v>
      </c>
      <c r="O165" s="438">
        <f>R143+R144</f>
        <v>418999.04808333336</v>
      </c>
      <c r="P165" s="169">
        <v>1</v>
      </c>
      <c r="Q165" s="170">
        <f>M165</f>
        <v>7.0000000000000007E-2</v>
      </c>
      <c r="R165" s="823">
        <f>O165*P165*Q165</f>
        <v>29329.933365833338</v>
      </c>
      <c r="S165" s="438">
        <f>V143+V144</f>
        <v>0</v>
      </c>
      <c r="T165" s="169">
        <v>1</v>
      </c>
      <c r="U165" s="170">
        <v>0</v>
      </c>
      <c r="V165" s="823">
        <f>S165*T165*U165</f>
        <v>0</v>
      </c>
      <c r="W165" s="838">
        <f>F165+J165+N165+R165+V165</f>
        <v>179350.08358121797</v>
      </c>
      <c r="Y165" s="852"/>
      <c r="Z165" s="852"/>
    </row>
    <row r="166" spans="1:26" ht="18.3">
      <c r="A166" s="387" t="s">
        <v>112</v>
      </c>
      <c r="B166" s="236"/>
      <c r="C166" s="292"/>
      <c r="D166" s="238"/>
      <c r="E166" s="239"/>
      <c r="F166" s="830">
        <f>SUM(F163:F165)</f>
        <v>244708.33700000003</v>
      </c>
      <c r="G166" s="292"/>
      <c r="H166" s="238"/>
      <c r="I166" s="240"/>
      <c r="J166" s="830">
        <f>SUM(J163:J165)</f>
        <v>391351.79042884614</v>
      </c>
      <c r="K166" s="292"/>
      <c r="L166" s="238"/>
      <c r="M166" s="239"/>
      <c r="N166" s="830">
        <f>SUM(N163:N165)</f>
        <v>460301.61460028845</v>
      </c>
      <c r="O166" s="292"/>
      <c r="P166" s="238"/>
      <c r="Q166" s="240"/>
      <c r="R166" s="830">
        <f>SUM(R163:R165)</f>
        <v>338728.97602527082</v>
      </c>
      <c r="S166" s="292"/>
      <c r="T166" s="238"/>
      <c r="U166" s="240"/>
      <c r="V166" s="830">
        <f>SUM(V163:V165)</f>
        <v>0</v>
      </c>
      <c r="W166" s="830">
        <f>SUM(W163:W165)</f>
        <v>1435090.7180544054</v>
      </c>
    </row>
    <row r="167" spans="1:26" ht="15.6">
      <c r="A167" s="390"/>
      <c r="B167" s="197"/>
      <c r="C167" s="289"/>
      <c r="D167" s="246"/>
      <c r="E167" s="247"/>
      <c r="F167" s="823"/>
      <c r="G167" s="289"/>
      <c r="H167" s="246"/>
      <c r="I167" s="172"/>
      <c r="J167" s="823"/>
      <c r="K167" s="289"/>
      <c r="L167" s="246"/>
      <c r="M167" s="247"/>
      <c r="N167" s="823"/>
      <c r="O167" s="289"/>
      <c r="P167" s="246"/>
      <c r="Q167" s="172"/>
      <c r="R167" s="823"/>
      <c r="S167" s="289"/>
      <c r="T167" s="246"/>
      <c r="U167" s="172"/>
      <c r="V167" s="823"/>
      <c r="W167" s="838"/>
    </row>
    <row r="168" spans="1:26" ht="18.3">
      <c r="A168" s="391" t="s">
        <v>113</v>
      </c>
      <c r="B168" s="253"/>
      <c r="C168" s="294"/>
      <c r="D168" s="255"/>
      <c r="E168" s="256"/>
      <c r="F168" s="832">
        <f>F160+F166</f>
        <v>2062421.0370000002</v>
      </c>
      <c r="G168" s="294"/>
      <c r="H168" s="255"/>
      <c r="I168" s="257"/>
      <c r="J168" s="832">
        <f>J160+J166</f>
        <v>3538954.889698077</v>
      </c>
      <c r="K168" s="294"/>
      <c r="L168" s="255"/>
      <c r="M168" s="256"/>
      <c r="N168" s="832">
        <f>N160+N166</f>
        <v>3947074.7638329808</v>
      </c>
      <c r="O168" s="294"/>
      <c r="P168" s="255"/>
      <c r="Q168" s="257"/>
      <c r="R168" s="832">
        <f>R160+R166</f>
        <v>2820388.3085048539</v>
      </c>
      <c r="S168" s="294"/>
      <c r="T168" s="255"/>
      <c r="U168" s="257"/>
      <c r="V168" s="832">
        <f>V160+V166</f>
        <v>0</v>
      </c>
      <c r="W168" s="850">
        <f>F168+J168+N168+R168+V168</f>
        <v>12368838.999035912</v>
      </c>
    </row>
    <row r="169" spans="1:26" ht="15.6">
      <c r="A169" s="258" t="str">
        <f>'Program Budget'!D180</f>
        <v>Public &amp; Private Sector Support for Nation-wide Poultry Consumption Campaign</v>
      </c>
      <c r="B169" s="259" t="str">
        <f>'Program Budget'!F180</f>
        <v>Year</v>
      </c>
      <c r="C169" s="200">
        <f>'Program Budget'!H180</f>
        <v>16000</v>
      </c>
      <c r="D169" s="260">
        <f>'Program Budget'!G180</f>
        <v>0</v>
      </c>
      <c r="E169" s="202">
        <v>1</v>
      </c>
      <c r="F169" s="827">
        <f t="shared" ref="F169" si="392">C169*D169*E169</f>
        <v>0</v>
      </c>
      <c r="G169" s="200">
        <f t="shared" ref="G169" si="393">C169</f>
        <v>16000</v>
      </c>
      <c r="H169" s="260">
        <f>'Program Budget'!K180</f>
        <v>0.5</v>
      </c>
      <c r="I169" s="202">
        <v>1</v>
      </c>
      <c r="J169" s="827">
        <f t="shared" ref="J169" si="394">G169*H169*I169</f>
        <v>8000</v>
      </c>
      <c r="K169" s="200">
        <f>G169</f>
        <v>16000</v>
      </c>
      <c r="L169" s="260">
        <f>'Program Budget'!N180</f>
        <v>1</v>
      </c>
      <c r="M169" s="202">
        <v>1</v>
      </c>
      <c r="N169" s="827">
        <f t="shared" ref="N169" si="395">K169*L169*M169</f>
        <v>16000</v>
      </c>
      <c r="O169" s="200">
        <f t="shared" ref="O169" si="396">K169</f>
        <v>16000</v>
      </c>
      <c r="P169" s="260">
        <f>'Program Budget'!Q180</f>
        <v>1</v>
      </c>
      <c r="Q169" s="202">
        <v>1</v>
      </c>
      <c r="R169" s="827">
        <f t="shared" ref="R169" si="397">O169*P169*Q169</f>
        <v>16000</v>
      </c>
      <c r="S169" s="200">
        <f t="shared" ref="S169" si="398">O169</f>
        <v>16000</v>
      </c>
      <c r="T169" s="260">
        <f>'Program Budget'!T180</f>
        <v>0</v>
      </c>
      <c r="U169" s="202">
        <v>0</v>
      </c>
      <c r="V169" s="827">
        <f t="shared" ref="V169" si="399">S169*T169*U169</f>
        <v>0</v>
      </c>
      <c r="W169" s="845">
        <f t="shared" ref="W169" si="400">F169+J169+N169+R169+V169</f>
        <v>40000</v>
      </c>
      <c r="Z169" s="142"/>
    </row>
    <row r="170" spans="1:26" ht="15.6">
      <c r="A170" s="258" t="str">
        <f>'Program Budget'!D256</f>
        <v>Co-Investment Agribusiness Grants (Matching)</v>
      </c>
      <c r="B170" s="259" t="str">
        <f>'Program Budget'!F256</f>
        <v>Lumpsum</v>
      </c>
      <c r="C170" s="200">
        <f>'Program Budget'!H256</f>
        <v>260000</v>
      </c>
      <c r="D170" s="260">
        <f>'Program Budget'!G256</f>
        <v>0</v>
      </c>
      <c r="E170" s="202">
        <v>1</v>
      </c>
      <c r="F170" s="827">
        <f t="shared" ref="F170" si="401">C170*D170*E170</f>
        <v>0</v>
      </c>
      <c r="G170" s="200">
        <f t="shared" ref="G170" si="402">C170</f>
        <v>260000</v>
      </c>
      <c r="H170" s="260">
        <f>'Program Budget'!K256</f>
        <v>0.25</v>
      </c>
      <c r="I170" s="202">
        <v>1</v>
      </c>
      <c r="J170" s="827">
        <f t="shared" ref="J170" si="403">G170*H170*I170</f>
        <v>65000</v>
      </c>
      <c r="K170" s="200">
        <f t="shared" ref="K170" si="404">G170</f>
        <v>260000</v>
      </c>
      <c r="L170" s="260">
        <f>'Program Budget'!N256</f>
        <v>0.5</v>
      </c>
      <c r="M170" s="202">
        <v>1</v>
      </c>
      <c r="N170" s="827">
        <f t="shared" ref="N170" si="405">K170*L170*M170</f>
        <v>130000</v>
      </c>
      <c r="O170" s="200">
        <f t="shared" ref="O170" si="406">K170</f>
        <v>260000</v>
      </c>
      <c r="P170" s="260">
        <f>'Program Budget'!Q256</f>
        <v>0.25</v>
      </c>
      <c r="Q170" s="202">
        <v>1</v>
      </c>
      <c r="R170" s="827">
        <f t="shared" ref="R170" si="407">O170*P170*Q170</f>
        <v>65000</v>
      </c>
      <c r="S170" s="200">
        <f t="shared" ref="S170" si="408">O170</f>
        <v>260000</v>
      </c>
      <c r="T170" s="260">
        <f>'Program Budget'!T256</f>
        <v>0</v>
      </c>
      <c r="U170" s="202">
        <v>0</v>
      </c>
      <c r="V170" s="827">
        <f t="shared" ref="V170" si="409">S170*T170*U170</f>
        <v>0</v>
      </c>
      <c r="W170" s="845">
        <f t="shared" ref="W170" si="410">F170+J170+N170+R170+V170</f>
        <v>260000</v>
      </c>
      <c r="Z170" s="142"/>
    </row>
    <row r="171" spans="1:26" ht="15.6">
      <c r="A171" s="258" t="str">
        <f>'Program Budget'!D257</f>
        <v>Airfare - Roundtrip - USA to Nigeria - Buyer Conferences for American Farmers, Ranchers and Agricultural Professionals - 50% of Cost</v>
      </c>
      <c r="B171" s="259" t="str">
        <f>'Program Budget'!F257</f>
        <v>Trip</v>
      </c>
      <c r="C171" s="200">
        <f>'Program Budget'!H257</f>
        <v>900</v>
      </c>
      <c r="D171" s="260">
        <f>'Program Budget'!G257</f>
        <v>0</v>
      </c>
      <c r="E171" s="202">
        <v>1</v>
      </c>
      <c r="F171" s="827">
        <f t="shared" ref="F171:F174" si="411">C171*D171*E171</f>
        <v>0</v>
      </c>
      <c r="G171" s="200">
        <f>C171*1.05</f>
        <v>945</v>
      </c>
      <c r="H171" s="260">
        <f>'Program Budget'!K257</f>
        <v>10</v>
      </c>
      <c r="I171" s="202">
        <v>1</v>
      </c>
      <c r="J171" s="827">
        <f t="shared" ref="J171:J174" si="412">G171*H171*I171</f>
        <v>9450</v>
      </c>
      <c r="K171" s="200">
        <f>G171*1.05</f>
        <v>992.25</v>
      </c>
      <c r="L171" s="260">
        <f>'Program Budget'!N257</f>
        <v>10</v>
      </c>
      <c r="M171" s="202">
        <v>1</v>
      </c>
      <c r="N171" s="827">
        <f t="shared" ref="N171:N174" si="413">K171*L171*M171</f>
        <v>9922.5</v>
      </c>
      <c r="O171" s="200">
        <f>K171*1.05</f>
        <v>1041.8625</v>
      </c>
      <c r="P171" s="260">
        <f>'Program Budget'!Q257</f>
        <v>0</v>
      </c>
      <c r="Q171" s="202">
        <v>1</v>
      </c>
      <c r="R171" s="827">
        <f t="shared" ref="R171:R174" si="414">O171*P171*Q171</f>
        <v>0</v>
      </c>
      <c r="S171" s="200">
        <f>O171*1.05</f>
        <v>1093.9556250000001</v>
      </c>
      <c r="T171" s="260">
        <f>'Program Budget'!T257</f>
        <v>0</v>
      </c>
      <c r="U171" s="202">
        <v>0</v>
      </c>
      <c r="V171" s="827">
        <f t="shared" ref="V171:V174" si="415">S171*T171*U171</f>
        <v>0</v>
      </c>
      <c r="W171" s="845">
        <f t="shared" ref="W171:W174" si="416">F171+J171+N171+R171+V171</f>
        <v>19372.5</v>
      </c>
      <c r="Z171" s="142"/>
    </row>
    <row r="172" spans="1:26" ht="15.6">
      <c r="A172" s="258" t="str">
        <f>'Program Budget'!D258</f>
        <v>Lodging and M&amp;IE - Buyer Conferences for American Farmers, Ranchers and Agricultural Professionals - 50% of Cost</v>
      </c>
      <c r="B172" s="259" t="str">
        <f>'Program Budget'!F258</f>
        <v>Day</v>
      </c>
      <c r="C172" s="200">
        <f>'Program Budget'!H258</f>
        <v>155.25</v>
      </c>
      <c r="D172" s="260">
        <f>'Program Budget'!G258</f>
        <v>0</v>
      </c>
      <c r="E172" s="202">
        <v>1</v>
      </c>
      <c r="F172" s="827">
        <f t="shared" si="411"/>
        <v>0</v>
      </c>
      <c r="G172" s="200">
        <f t="shared" ref="G172:G174" si="417">C172*1.05</f>
        <v>163.01250000000002</v>
      </c>
      <c r="H172" s="260">
        <f>'Program Budget'!K258</f>
        <v>70</v>
      </c>
      <c r="I172" s="202">
        <v>1</v>
      </c>
      <c r="J172" s="827">
        <f t="shared" si="412"/>
        <v>11410.875000000002</v>
      </c>
      <c r="K172" s="200">
        <f t="shared" ref="K172:K174" si="418">G172*1.05</f>
        <v>171.16312500000004</v>
      </c>
      <c r="L172" s="260">
        <f>'Program Budget'!N258</f>
        <v>70</v>
      </c>
      <c r="M172" s="202">
        <v>1</v>
      </c>
      <c r="N172" s="827">
        <f t="shared" si="413"/>
        <v>11981.418750000003</v>
      </c>
      <c r="O172" s="200">
        <f t="shared" ref="O172:O174" si="419">K172*1.05</f>
        <v>179.72128125000003</v>
      </c>
      <c r="P172" s="260">
        <f>'Program Budget'!Q258</f>
        <v>0</v>
      </c>
      <c r="Q172" s="202">
        <v>1</v>
      </c>
      <c r="R172" s="827">
        <f t="shared" si="414"/>
        <v>0</v>
      </c>
      <c r="S172" s="200">
        <f t="shared" ref="S172:S174" si="420">O172*1.05</f>
        <v>188.70734531250005</v>
      </c>
      <c r="T172" s="260">
        <f>'Program Budget'!T258</f>
        <v>0</v>
      </c>
      <c r="U172" s="202">
        <v>0</v>
      </c>
      <c r="V172" s="827">
        <f t="shared" si="415"/>
        <v>0</v>
      </c>
      <c r="W172" s="845">
        <f t="shared" si="416"/>
        <v>23392.293750000004</v>
      </c>
      <c r="Z172" s="142"/>
    </row>
    <row r="173" spans="1:26" ht="15.6">
      <c r="A173" s="258" t="str">
        <f>'Program Budget'!D259</f>
        <v>Ground Transportation –  Buyer Conferences for Nigerian Producers and Agricultural Professionals</v>
      </c>
      <c r="B173" s="259" t="str">
        <f>'Program Budget'!F259</f>
        <v>Day</v>
      </c>
      <c r="C173" s="200">
        <f>'Program Budget'!H259</f>
        <v>75</v>
      </c>
      <c r="D173" s="260">
        <f>'Program Budget'!G259</f>
        <v>0</v>
      </c>
      <c r="E173" s="202">
        <v>1</v>
      </c>
      <c r="F173" s="827">
        <f t="shared" si="411"/>
        <v>0</v>
      </c>
      <c r="G173" s="200">
        <f t="shared" si="417"/>
        <v>78.75</v>
      </c>
      <c r="H173" s="260">
        <f>'Program Budget'!K259</f>
        <v>10</v>
      </c>
      <c r="I173" s="202">
        <v>1</v>
      </c>
      <c r="J173" s="827">
        <f t="shared" si="412"/>
        <v>787.5</v>
      </c>
      <c r="K173" s="200">
        <f t="shared" si="418"/>
        <v>82.6875</v>
      </c>
      <c r="L173" s="260">
        <f>'Program Budget'!N259</f>
        <v>10</v>
      </c>
      <c r="M173" s="202">
        <v>1</v>
      </c>
      <c r="N173" s="827">
        <f t="shared" si="413"/>
        <v>826.875</v>
      </c>
      <c r="O173" s="200">
        <f t="shared" si="419"/>
        <v>86.821875000000006</v>
      </c>
      <c r="P173" s="260">
        <f>'Program Budget'!Q259</f>
        <v>0</v>
      </c>
      <c r="Q173" s="202">
        <v>1</v>
      </c>
      <c r="R173" s="827">
        <f t="shared" si="414"/>
        <v>0</v>
      </c>
      <c r="S173" s="200">
        <f t="shared" si="420"/>
        <v>91.162968750000005</v>
      </c>
      <c r="T173" s="260">
        <f>'Program Budget'!T259</f>
        <v>0</v>
      </c>
      <c r="U173" s="202">
        <v>0</v>
      </c>
      <c r="V173" s="827">
        <f t="shared" si="415"/>
        <v>0</v>
      </c>
      <c r="W173" s="845">
        <f t="shared" si="416"/>
        <v>1614.375</v>
      </c>
      <c r="Z173" s="142"/>
    </row>
    <row r="174" spans="1:26" ht="15.6">
      <c r="A174" s="258" t="str">
        <f>'Program Budget'!D260</f>
        <v>Visa Cost for Buyer Conferences for Nigerian Producers and Agricultural Professionals</v>
      </c>
      <c r="B174" s="259" t="str">
        <f>'Program Budget'!F260</f>
        <v>Trip</v>
      </c>
      <c r="C174" s="200">
        <f>'Program Budget'!H260</f>
        <v>155</v>
      </c>
      <c r="D174" s="260">
        <f>'Program Budget'!G260</f>
        <v>0</v>
      </c>
      <c r="E174" s="202">
        <v>1</v>
      </c>
      <c r="F174" s="827">
        <f t="shared" si="411"/>
        <v>0</v>
      </c>
      <c r="G174" s="200">
        <f t="shared" si="417"/>
        <v>162.75</v>
      </c>
      <c r="H174" s="260">
        <f>'Program Budget'!K260</f>
        <v>10</v>
      </c>
      <c r="I174" s="202">
        <v>1</v>
      </c>
      <c r="J174" s="827">
        <f t="shared" si="412"/>
        <v>1627.5</v>
      </c>
      <c r="K174" s="200">
        <f t="shared" si="418"/>
        <v>170.88750000000002</v>
      </c>
      <c r="L174" s="260">
        <f>'Program Budget'!N260</f>
        <v>10</v>
      </c>
      <c r="M174" s="202">
        <v>1</v>
      </c>
      <c r="N174" s="827">
        <f t="shared" si="413"/>
        <v>1708.8750000000002</v>
      </c>
      <c r="O174" s="200">
        <f t="shared" si="419"/>
        <v>179.43187500000002</v>
      </c>
      <c r="P174" s="260">
        <f>'Program Budget'!Q260</f>
        <v>0</v>
      </c>
      <c r="Q174" s="202">
        <v>1</v>
      </c>
      <c r="R174" s="827">
        <f t="shared" si="414"/>
        <v>0</v>
      </c>
      <c r="S174" s="200">
        <f t="shared" si="420"/>
        <v>188.40346875000003</v>
      </c>
      <c r="T174" s="260">
        <f>'Program Budget'!T260</f>
        <v>0</v>
      </c>
      <c r="U174" s="202">
        <v>0</v>
      </c>
      <c r="V174" s="827">
        <f t="shared" si="415"/>
        <v>0</v>
      </c>
      <c r="W174" s="845">
        <f t="shared" si="416"/>
        <v>3336.375</v>
      </c>
      <c r="Z174" s="142"/>
    </row>
    <row r="175" spans="1:26" ht="18.3">
      <c r="A175" s="391" t="s">
        <v>114</v>
      </c>
      <c r="B175" s="253"/>
      <c r="C175" s="294"/>
      <c r="D175" s="255"/>
      <c r="E175" s="256"/>
      <c r="F175" s="832">
        <f>SUM(F168:F174)</f>
        <v>2062421.0370000002</v>
      </c>
      <c r="G175" s="294"/>
      <c r="H175" s="255"/>
      <c r="I175" s="257"/>
      <c r="J175" s="832">
        <f>SUM(J168:J174)</f>
        <v>3635230.764698077</v>
      </c>
      <c r="K175" s="294"/>
      <c r="L175" s="255"/>
      <c r="M175" s="256"/>
      <c r="N175" s="832">
        <f>SUM(N168:N174)</f>
        <v>4117514.432582981</v>
      </c>
      <c r="O175" s="294"/>
      <c r="P175" s="255"/>
      <c r="Q175" s="257"/>
      <c r="R175" s="832">
        <f>SUM(R168:R174)</f>
        <v>2901388.3085048539</v>
      </c>
      <c r="S175" s="294"/>
      <c r="T175" s="255"/>
      <c r="U175" s="257"/>
      <c r="V175" s="832">
        <f>SUM(V168:V174)</f>
        <v>0</v>
      </c>
      <c r="W175" s="832">
        <f>SUM(W168:W174)</f>
        <v>12716554.542785911</v>
      </c>
    </row>
    <row r="176" spans="1:26">
      <c r="A176" s="392"/>
      <c r="B176" s="167"/>
      <c r="W176" s="838"/>
    </row>
    <row r="177" spans="1:23" ht="15.6">
      <c r="A177" s="393" t="s">
        <v>115</v>
      </c>
      <c r="B177" s="263"/>
      <c r="C177" s="295"/>
      <c r="D177" s="265"/>
      <c r="E177" s="266"/>
      <c r="F177" s="834"/>
      <c r="G177" s="295"/>
      <c r="H177" s="265"/>
      <c r="I177" s="267"/>
      <c r="J177" s="841"/>
      <c r="K177" s="295"/>
      <c r="L177" s="265"/>
      <c r="M177" s="266"/>
      <c r="N177" s="841"/>
      <c r="O177" s="295"/>
      <c r="P177" s="265"/>
      <c r="Q177" s="267"/>
      <c r="R177" s="841"/>
      <c r="S177" s="295"/>
      <c r="T177" s="265"/>
      <c r="U177" s="267"/>
      <c r="V177" s="841"/>
      <c r="W177" s="841">
        <f>'USDA Budget Summary'!F58</f>
        <v>578839</v>
      </c>
    </row>
  </sheetData>
  <mergeCells count="8">
    <mergeCell ref="S2:V2"/>
    <mergeCell ref="W2:W3"/>
    <mergeCell ref="A2:A3"/>
    <mergeCell ref="B2:B3"/>
    <mergeCell ref="C2:F2"/>
    <mergeCell ref="G2:J2"/>
    <mergeCell ref="K2:N2"/>
    <mergeCell ref="O2:R2"/>
  </mergeCells>
  <printOptions horizontalCentered="1"/>
  <pageMargins left="0.25" right="0.25" top="0.75" bottom="0.75" header="0.3" footer="0.3"/>
  <pageSetup scale="17" orientation="landscape" r:id="rId1"/>
  <headerFooter alignWithMargins="0"/>
  <rowBreaks count="1" manualBreakCount="1">
    <brk id="167" max="17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7D678-7AFE-41C7-895A-A79E31A9668A}">
  <sheetPr>
    <tabColor theme="8"/>
    <pageSetUpPr fitToPage="1"/>
  </sheetPr>
  <dimension ref="A1:AA140"/>
  <sheetViews>
    <sheetView showOutlineSymbols="0" showWhiteSpace="0" zoomScale="80" zoomScaleNormal="80" workbookViewId="0">
      <pane xSplit="1" ySplit="3" topLeftCell="B49" activePane="bottomRight" state="frozen"/>
      <selection pane="topRight" activeCell="B1" sqref="B1"/>
      <selection pane="bottomLeft" activeCell="A4" sqref="A4"/>
      <selection pane="bottomRight" activeCell="W125" sqref="W125"/>
    </sheetView>
  </sheetViews>
  <sheetFormatPr defaultRowHeight="14.4" outlineLevelRow="1" outlineLevelCol="1"/>
  <cols>
    <col min="1" max="1" width="66.5546875" style="137" customWidth="1"/>
    <col min="2" max="2" width="16.44140625" style="137" bestFit="1" customWidth="1"/>
    <col min="3" max="3" width="17.109375" style="138" bestFit="1" customWidth="1" outlineLevel="1"/>
    <col min="4" max="4" width="11.5546875" style="139" bestFit="1" customWidth="1" outlineLevel="1"/>
    <col min="5" max="5" width="12.5546875" style="140" bestFit="1" customWidth="1" outlineLevel="1"/>
    <col min="6" max="6" width="19.109375" style="833" bestFit="1" customWidth="1"/>
    <col min="7" max="7" width="14.5546875" style="138" bestFit="1" customWidth="1" outlineLevel="1"/>
    <col min="8" max="8" width="11.5546875" style="139" bestFit="1" customWidth="1" outlineLevel="1"/>
    <col min="9" max="9" width="22.5546875" style="141" bestFit="1" customWidth="1" outlineLevel="1"/>
    <col min="10" max="10" width="17.109375" style="840" bestFit="1" customWidth="1"/>
    <col min="11" max="11" width="14.5546875" style="138" bestFit="1" customWidth="1" outlineLevel="1"/>
    <col min="12" max="12" width="11.5546875" style="139" bestFit="1" customWidth="1" outlineLevel="1"/>
    <col min="13" max="13" width="22.5546875" style="140" bestFit="1" customWidth="1" outlineLevel="1"/>
    <col min="14" max="14" width="17.5546875" style="840" bestFit="1" customWidth="1"/>
    <col min="15" max="15" width="14.5546875" style="138" bestFit="1" customWidth="1" outlineLevel="1"/>
    <col min="16" max="16" width="11.5546875" style="139" bestFit="1" customWidth="1" outlineLevel="1"/>
    <col min="17" max="17" width="22.5546875" style="141" bestFit="1" customWidth="1" outlineLevel="1"/>
    <col min="18" max="18" width="17.5546875" style="840" bestFit="1" customWidth="1"/>
    <col min="19" max="19" width="14.5546875" style="138" bestFit="1" customWidth="1" outlineLevel="1"/>
    <col min="20" max="20" width="11.5546875" style="139" bestFit="1" customWidth="1" outlineLevel="1"/>
    <col min="21" max="21" width="22.5546875" style="141" bestFit="1" customWidth="1" outlineLevel="1"/>
    <col min="22" max="22" width="8.5546875" style="840" bestFit="1" customWidth="1"/>
    <col min="23" max="23" width="19.88671875" style="840" bestFit="1" customWidth="1"/>
    <col min="24" max="24" width="9" style="137" customWidth="1"/>
    <col min="25" max="25" width="8.5546875" style="137" customWidth="1"/>
    <col min="26" max="26" width="10.5546875" style="137" customWidth="1"/>
    <col min="27" max="27" width="8.5546875" style="137" customWidth="1"/>
    <col min="28" max="252" width="8.5546875" style="137"/>
    <col min="253" max="253" width="38.109375" style="137" customWidth="1"/>
    <col min="254" max="254" width="23.44140625" style="137" bestFit="1" customWidth="1"/>
    <col min="255" max="256" width="9.109375" style="137" customWidth="1"/>
    <col min="257" max="257" width="11.109375" style="137" bestFit="1" customWidth="1"/>
    <col min="258" max="258" width="14.44140625" style="137" bestFit="1" customWidth="1"/>
    <col min="259" max="259" width="8.109375" style="137" customWidth="1"/>
    <col min="260" max="260" width="10.5546875" style="137" bestFit="1" customWidth="1"/>
    <col min="261" max="261" width="12.109375" style="137" bestFit="1" customWidth="1"/>
    <col min="262" max="262" width="9.109375" style="137" customWidth="1"/>
    <col min="263" max="263" width="10.5546875" style="137" bestFit="1" customWidth="1"/>
    <col min="264" max="264" width="12.109375" style="137" bestFit="1" customWidth="1"/>
    <col min="265" max="265" width="8" style="137" customWidth="1"/>
    <col min="266" max="266" width="10.5546875" style="137" bestFit="1" customWidth="1"/>
    <col min="267" max="267" width="12.109375" style="137" bestFit="1" customWidth="1"/>
    <col min="268" max="268" width="8.109375" style="137" bestFit="1" customWidth="1"/>
    <col min="269" max="269" width="10.5546875" style="137" bestFit="1" customWidth="1"/>
    <col min="270" max="270" width="12.109375" style="137" bestFit="1" customWidth="1"/>
    <col min="271" max="271" width="18.109375" style="137" bestFit="1" customWidth="1"/>
    <col min="272" max="272" width="10.5546875" style="137" bestFit="1" customWidth="1"/>
    <col min="273" max="508" width="8.5546875" style="137"/>
    <col min="509" max="509" width="38.109375" style="137" customWidth="1"/>
    <col min="510" max="510" width="23.44140625" style="137" bestFit="1" customWidth="1"/>
    <col min="511" max="512" width="9.109375" style="137" customWidth="1"/>
    <col min="513" max="513" width="11.109375" style="137" bestFit="1" customWidth="1"/>
    <col min="514" max="514" width="14.44140625" style="137" bestFit="1" customWidth="1"/>
    <col min="515" max="515" width="8.109375" style="137" customWidth="1"/>
    <col min="516" max="516" width="10.5546875" style="137" bestFit="1" customWidth="1"/>
    <col min="517" max="517" width="12.109375" style="137" bestFit="1" customWidth="1"/>
    <col min="518" max="518" width="9.109375" style="137" customWidth="1"/>
    <col min="519" max="519" width="10.5546875" style="137" bestFit="1" customWidth="1"/>
    <col min="520" max="520" width="12.109375" style="137" bestFit="1" customWidth="1"/>
    <col min="521" max="521" width="8" style="137" customWidth="1"/>
    <col min="522" max="522" width="10.5546875" style="137" bestFit="1" customWidth="1"/>
    <col min="523" max="523" width="12.109375" style="137" bestFit="1" customWidth="1"/>
    <col min="524" max="524" width="8.109375" style="137" bestFit="1" customWidth="1"/>
    <col min="525" max="525" width="10.5546875" style="137" bestFit="1" customWidth="1"/>
    <col min="526" max="526" width="12.109375" style="137" bestFit="1" customWidth="1"/>
    <col min="527" max="527" width="18.109375" style="137" bestFit="1" customWidth="1"/>
    <col min="528" max="528" width="10.5546875" style="137" bestFit="1" customWidth="1"/>
    <col min="529" max="764" width="8.5546875" style="137"/>
    <col min="765" max="765" width="38.109375" style="137" customWidth="1"/>
    <col min="766" max="766" width="23.44140625" style="137" bestFit="1" customWidth="1"/>
    <col min="767" max="768" width="9.109375" style="137" customWidth="1"/>
    <col min="769" max="769" width="11.109375" style="137" bestFit="1" customWidth="1"/>
    <col min="770" max="770" width="14.44140625" style="137" bestFit="1" customWidth="1"/>
    <col min="771" max="771" width="8.109375" style="137" customWidth="1"/>
    <col min="772" max="772" width="10.5546875" style="137" bestFit="1" customWidth="1"/>
    <col min="773" max="773" width="12.109375" style="137" bestFit="1" customWidth="1"/>
    <col min="774" max="774" width="9.109375" style="137" customWidth="1"/>
    <col min="775" max="775" width="10.5546875" style="137" bestFit="1" customWidth="1"/>
    <col min="776" max="776" width="12.109375" style="137" bestFit="1" customWidth="1"/>
    <col min="777" max="777" width="8" style="137" customWidth="1"/>
    <col min="778" max="778" width="10.5546875" style="137" bestFit="1" customWidth="1"/>
    <col min="779" max="779" width="12.109375" style="137" bestFit="1" customWidth="1"/>
    <col min="780" max="780" width="8.109375" style="137" bestFit="1" customWidth="1"/>
    <col min="781" max="781" width="10.5546875" style="137" bestFit="1" customWidth="1"/>
    <col min="782" max="782" width="12.109375" style="137" bestFit="1" customWidth="1"/>
    <col min="783" max="783" width="18.109375" style="137" bestFit="1" customWidth="1"/>
    <col min="784" max="784" width="10.5546875" style="137" bestFit="1" customWidth="1"/>
    <col min="785" max="1020" width="8.5546875" style="137"/>
    <col min="1021" max="1021" width="38.109375" style="137" customWidth="1"/>
    <col min="1022" max="1022" width="23.44140625" style="137" bestFit="1" customWidth="1"/>
    <col min="1023" max="1024" width="9.109375" style="137" customWidth="1"/>
    <col min="1025" max="1025" width="11.109375" style="137" bestFit="1" customWidth="1"/>
    <col min="1026" max="1026" width="14.44140625" style="137" bestFit="1" customWidth="1"/>
    <col min="1027" max="1027" width="8.109375" style="137" customWidth="1"/>
    <col min="1028" max="1028" width="10.5546875" style="137" bestFit="1" customWidth="1"/>
    <col min="1029" max="1029" width="12.109375" style="137" bestFit="1" customWidth="1"/>
    <col min="1030" max="1030" width="9.109375" style="137" customWidth="1"/>
    <col min="1031" max="1031" width="10.5546875" style="137" bestFit="1" customWidth="1"/>
    <col min="1032" max="1032" width="12.109375" style="137" bestFit="1" customWidth="1"/>
    <col min="1033" max="1033" width="8" style="137" customWidth="1"/>
    <col min="1034" max="1034" width="10.5546875" style="137" bestFit="1" customWidth="1"/>
    <col min="1035" max="1035" width="12.109375" style="137" bestFit="1" customWidth="1"/>
    <col min="1036" max="1036" width="8.109375" style="137" bestFit="1" customWidth="1"/>
    <col min="1037" max="1037" width="10.5546875" style="137" bestFit="1" customWidth="1"/>
    <col min="1038" max="1038" width="12.109375" style="137" bestFit="1" customWidth="1"/>
    <col min="1039" max="1039" width="18.109375" style="137" bestFit="1" customWidth="1"/>
    <col min="1040" max="1040" width="10.5546875" style="137" bestFit="1" customWidth="1"/>
    <col min="1041" max="1276" width="8.5546875" style="137"/>
    <col min="1277" max="1277" width="38.109375" style="137" customWidth="1"/>
    <col min="1278" max="1278" width="23.44140625" style="137" bestFit="1" customWidth="1"/>
    <col min="1279" max="1280" width="9.109375" style="137" customWidth="1"/>
    <col min="1281" max="1281" width="11.109375" style="137" bestFit="1" customWidth="1"/>
    <col min="1282" max="1282" width="14.44140625" style="137" bestFit="1" customWidth="1"/>
    <col min="1283" max="1283" width="8.109375" style="137" customWidth="1"/>
    <col min="1284" max="1284" width="10.5546875" style="137" bestFit="1" customWidth="1"/>
    <col min="1285" max="1285" width="12.109375" style="137" bestFit="1" customWidth="1"/>
    <col min="1286" max="1286" width="9.109375" style="137" customWidth="1"/>
    <col min="1287" max="1287" width="10.5546875" style="137" bestFit="1" customWidth="1"/>
    <col min="1288" max="1288" width="12.109375" style="137" bestFit="1" customWidth="1"/>
    <col min="1289" max="1289" width="8" style="137" customWidth="1"/>
    <col min="1290" max="1290" width="10.5546875" style="137" bestFit="1" customWidth="1"/>
    <col min="1291" max="1291" width="12.109375" style="137" bestFit="1" customWidth="1"/>
    <col min="1292" max="1292" width="8.109375" style="137" bestFit="1" customWidth="1"/>
    <col min="1293" max="1293" width="10.5546875" style="137" bestFit="1" customWidth="1"/>
    <col min="1294" max="1294" width="12.109375" style="137" bestFit="1" customWidth="1"/>
    <col min="1295" max="1295" width="18.109375" style="137" bestFit="1" customWidth="1"/>
    <col min="1296" max="1296" width="10.5546875" style="137" bestFit="1" customWidth="1"/>
    <col min="1297" max="1532" width="8.5546875" style="137"/>
    <col min="1533" max="1533" width="38.109375" style="137" customWidth="1"/>
    <col min="1534" max="1534" width="23.44140625" style="137" bestFit="1" customWidth="1"/>
    <col min="1535" max="1536" width="9.109375" style="137" customWidth="1"/>
    <col min="1537" max="1537" width="11.109375" style="137" bestFit="1" customWidth="1"/>
    <col min="1538" max="1538" width="14.44140625" style="137" bestFit="1" customWidth="1"/>
    <col min="1539" max="1539" width="8.109375" style="137" customWidth="1"/>
    <col min="1540" max="1540" width="10.5546875" style="137" bestFit="1" customWidth="1"/>
    <col min="1541" max="1541" width="12.109375" style="137" bestFit="1" customWidth="1"/>
    <col min="1542" max="1542" width="9.109375" style="137" customWidth="1"/>
    <col min="1543" max="1543" width="10.5546875" style="137" bestFit="1" customWidth="1"/>
    <col min="1544" max="1544" width="12.109375" style="137" bestFit="1" customWidth="1"/>
    <col min="1545" max="1545" width="8" style="137" customWidth="1"/>
    <col min="1546" max="1546" width="10.5546875" style="137" bestFit="1" customWidth="1"/>
    <col min="1547" max="1547" width="12.109375" style="137" bestFit="1" customWidth="1"/>
    <col min="1548" max="1548" width="8.109375" style="137" bestFit="1" customWidth="1"/>
    <col min="1549" max="1549" width="10.5546875" style="137" bestFit="1" customWidth="1"/>
    <col min="1550" max="1550" width="12.109375" style="137" bestFit="1" customWidth="1"/>
    <col min="1551" max="1551" width="18.109375" style="137" bestFit="1" customWidth="1"/>
    <col min="1552" max="1552" width="10.5546875" style="137" bestFit="1" customWidth="1"/>
    <col min="1553" max="1788" width="8.5546875" style="137"/>
    <col min="1789" max="1789" width="38.109375" style="137" customWidth="1"/>
    <col min="1790" max="1790" width="23.44140625" style="137" bestFit="1" customWidth="1"/>
    <col min="1791" max="1792" width="9.109375" style="137" customWidth="1"/>
    <col min="1793" max="1793" width="11.109375" style="137" bestFit="1" customWidth="1"/>
    <col min="1794" max="1794" width="14.44140625" style="137" bestFit="1" customWidth="1"/>
    <col min="1795" max="1795" width="8.109375" style="137" customWidth="1"/>
    <col min="1796" max="1796" width="10.5546875" style="137" bestFit="1" customWidth="1"/>
    <col min="1797" max="1797" width="12.109375" style="137" bestFit="1" customWidth="1"/>
    <col min="1798" max="1798" width="9.109375" style="137" customWidth="1"/>
    <col min="1799" max="1799" width="10.5546875" style="137" bestFit="1" customWidth="1"/>
    <col min="1800" max="1800" width="12.109375" style="137" bestFit="1" customWidth="1"/>
    <col min="1801" max="1801" width="8" style="137" customWidth="1"/>
    <col min="1802" max="1802" width="10.5546875" style="137" bestFit="1" customWidth="1"/>
    <col min="1803" max="1803" width="12.109375" style="137" bestFit="1" customWidth="1"/>
    <col min="1804" max="1804" width="8.109375" style="137" bestFit="1" customWidth="1"/>
    <col min="1805" max="1805" width="10.5546875" style="137" bestFit="1" customWidth="1"/>
    <col min="1806" max="1806" width="12.109375" style="137" bestFit="1" customWidth="1"/>
    <col min="1807" max="1807" width="18.109375" style="137" bestFit="1" customWidth="1"/>
    <col min="1808" max="1808" width="10.5546875" style="137" bestFit="1" customWidth="1"/>
    <col min="1809" max="2044" width="8.5546875" style="137"/>
    <col min="2045" max="2045" width="38.109375" style="137" customWidth="1"/>
    <col min="2046" max="2046" width="23.44140625" style="137" bestFit="1" customWidth="1"/>
    <col min="2047" max="2048" width="9.109375" style="137" customWidth="1"/>
    <col min="2049" max="2049" width="11.109375" style="137" bestFit="1" customWidth="1"/>
    <col min="2050" max="2050" width="14.44140625" style="137" bestFit="1" customWidth="1"/>
    <col min="2051" max="2051" width="8.109375" style="137" customWidth="1"/>
    <col min="2052" max="2052" width="10.5546875" style="137" bestFit="1" customWidth="1"/>
    <col min="2053" max="2053" width="12.109375" style="137" bestFit="1" customWidth="1"/>
    <col min="2054" max="2054" width="9.109375" style="137" customWidth="1"/>
    <col min="2055" max="2055" width="10.5546875" style="137" bestFit="1" customWidth="1"/>
    <col min="2056" max="2056" width="12.109375" style="137" bestFit="1" customWidth="1"/>
    <col min="2057" max="2057" width="8" style="137" customWidth="1"/>
    <col min="2058" max="2058" width="10.5546875" style="137" bestFit="1" customWidth="1"/>
    <col min="2059" max="2059" width="12.109375" style="137" bestFit="1" customWidth="1"/>
    <col min="2060" max="2060" width="8.109375" style="137" bestFit="1" customWidth="1"/>
    <col min="2061" max="2061" width="10.5546875" style="137" bestFit="1" customWidth="1"/>
    <col min="2062" max="2062" width="12.109375" style="137" bestFit="1" customWidth="1"/>
    <col min="2063" max="2063" width="18.109375" style="137" bestFit="1" customWidth="1"/>
    <col min="2064" max="2064" width="10.5546875" style="137" bestFit="1" customWidth="1"/>
    <col min="2065" max="2300" width="8.5546875" style="137"/>
    <col min="2301" max="2301" width="38.109375" style="137" customWidth="1"/>
    <col min="2302" max="2302" width="23.44140625" style="137" bestFit="1" customWidth="1"/>
    <col min="2303" max="2304" width="9.109375" style="137" customWidth="1"/>
    <col min="2305" max="2305" width="11.109375" style="137" bestFit="1" customWidth="1"/>
    <col min="2306" max="2306" width="14.44140625" style="137" bestFit="1" customWidth="1"/>
    <col min="2307" max="2307" width="8.109375" style="137" customWidth="1"/>
    <col min="2308" max="2308" width="10.5546875" style="137" bestFit="1" customWidth="1"/>
    <col min="2309" max="2309" width="12.109375" style="137" bestFit="1" customWidth="1"/>
    <col min="2310" max="2310" width="9.109375" style="137" customWidth="1"/>
    <col min="2311" max="2311" width="10.5546875" style="137" bestFit="1" customWidth="1"/>
    <col min="2312" max="2312" width="12.109375" style="137" bestFit="1" customWidth="1"/>
    <col min="2313" max="2313" width="8" style="137" customWidth="1"/>
    <col min="2314" max="2314" width="10.5546875" style="137" bestFit="1" customWidth="1"/>
    <col min="2315" max="2315" width="12.109375" style="137" bestFit="1" customWidth="1"/>
    <col min="2316" max="2316" width="8.109375" style="137" bestFit="1" customWidth="1"/>
    <col min="2317" max="2317" width="10.5546875" style="137" bestFit="1" customWidth="1"/>
    <col min="2318" max="2318" width="12.109375" style="137" bestFit="1" customWidth="1"/>
    <col min="2319" max="2319" width="18.109375" style="137" bestFit="1" customWidth="1"/>
    <col min="2320" max="2320" width="10.5546875" style="137" bestFit="1" customWidth="1"/>
    <col min="2321" max="2556" width="8.5546875" style="137"/>
    <col min="2557" max="2557" width="38.109375" style="137" customWidth="1"/>
    <col min="2558" max="2558" width="23.44140625" style="137" bestFit="1" customWidth="1"/>
    <col min="2559" max="2560" width="9.109375" style="137" customWidth="1"/>
    <col min="2561" max="2561" width="11.109375" style="137" bestFit="1" customWidth="1"/>
    <col min="2562" max="2562" width="14.44140625" style="137" bestFit="1" customWidth="1"/>
    <col min="2563" max="2563" width="8.109375" style="137" customWidth="1"/>
    <col min="2564" max="2564" width="10.5546875" style="137" bestFit="1" customWidth="1"/>
    <col min="2565" max="2565" width="12.109375" style="137" bestFit="1" customWidth="1"/>
    <col min="2566" max="2566" width="9.109375" style="137" customWidth="1"/>
    <col min="2567" max="2567" width="10.5546875" style="137" bestFit="1" customWidth="1"/>
    <col min="2568" max="2568" width="12.109375" style="137" bestFit="1" customWidth="1"/>
    <col min="2569" max="2569" width="8" style="137" customWidth="1"/>
    <col min="2570" max="2570" width="10.5546875" style="137" bestFit="1" customWidth="1"/>
    <col min="2571" max="2571" width="12.109375" style="137" bestFit="1" customWidth="1"/>
    <col min="2572" max="2572" width="8.109375" style="137" bestFit="1" customWidth="1"/>
    <col min="2573" max="2573" width="10.5546875" style="137" bestFit="1" customWidth="1"/>
    <col min="2574" max="2574" width="12.109375" style="137" bestFit="1" customWidth="1"/>
    <col min="2575" max="2575" width="18.109375" style="137" bestFit="1" customWidth="1"/>
    <col min="2576" max="2576" width="10.5546875" style="137" bestFit="1" customWidth="1"/>
    <col min="2577" max="2812" width="8.5546875" style="137"/>
    <col min="2813" max="2813" width="38.109375" style="137" customWidth="1"/>
    <col min="2814" max="2814" width="23.44140625" style="137" bestFit="1" customWidth="1"/>
    <col min="2815" max="2816" width="9.109375" style="137" customWidth="1"/>
    <col min="2817" max="2817" width="11.109375" style="137" bestFit="1" customWidth="1"/>
    <col min="2818" max="2818" width="14.44140625" style="137" bestFit="1" customWidth="1"/>
    <col min="2819" max="2819" width="8.109375" style="137" customWidth="1"/>
    <col min="2820" max="2820" width="10.5546875" style="137" bestFit="1" customWidth="1"/>
    <col min="2821" max="2821" width="12.109375" style="137" bestFit="1" customWidth="1"/>
    <col min="2822" max="2822" width="9.109375" style="137" customWidth="1"/>
    <col min="2823" max="2823" width="10.5546875" style="137" bestFit="1" customWidth="1"/>
    <col min="2824" max="2824" width="12.109375" style="137" bestFit="1" customWidth="1"/>
    <col min="2825" max="2825" width="8" style="137" customWidth="1"/>
    <col min="2826" max="2826" width="10.5546875" style="137" bestFit="1" customWidth="1"/>
    <col min="2827" max="2827" width="12.109375" style="137" bestFit="1" customWidth="1"/>
    <col min="2828" max="2828" width="8.109375" style="137" bestFit="1" customWidth="1"/>
    <col min="2829" max="2829" width="10.5546875" style="137" bestFit="1" customWidth="1"/>
    <col min="2830" max="2830" width="12.109375" style="137" bestFit="1" customWidth="1"/>
    <col min="2831" max="2831" width="18.109375" style="137" bestFit="1" customWidth="1"/>
    <col min="2832" max="2832" width="10.5546875" style="137" bestFit="1" customWidth="1"/>
    <col min="2833" max="3068" width="8.5546875" style="137"/>
    <col min="3069" max="3069" width="38.109375" style="137" customWidth="1"/>
    <col min="3070" max="3070" width="23.44140625" style="137" bestFit="1" customWidth="1"/>
    <col min="3071" max="3072" width="9.109375" style="137" customWidth="1"/>
    <col min="3073" max="3073" width="11.109375" style="137" bestFit="1" customWidth="1"/>
    <col min="3074" max="3074" width="14.44140625" style="137" bestFit="1" customWidth="1"/>
    <col min="3075" max="3075" width="8.109375" style="137" customWidth="1"/>
    <col min="3076" max="3076" width="10.5546875" style="137" bestFit="1" customWidth="1"/>
    <col min="3077" max="3077" width="12.109375" style="137" bestFit="1" customWidth="1"/>
    <col min="3078" max="3078" width="9.109375" style="137" customWidth="1"/>
    <col min="3079" max="3079" width="10.5546875" style="137" bestFit="1" customWidth="1"/>
    <col min="3080" max="3080" width="12.109375" style="137" bestFit="1" customWidth="1"/>
    <col min="3081" max="3081" width="8" style="137" customWidth="1"/>
    <col min="3082" max="3082" width="10.5546875" style="137" bestFit="1" customWidth="1"/>
    <col min="3083" max="3083" width="12.109375" style="137" bestFit="1" customWidth="1"/>
    <col min="3084" max="3084" width="8.109375" style="137" bestFit="1" customWidth="1"/>
    <col min="3085" max="3085" width="10.5546875" style="137" bestFit="1" customWidth="1"/>
    <col min="3086" max="3086" width="12.109375" style="137" bestFit="1" customWidth="1"/>
    <col min="3087" max="3087" width="18.109375" style="137" bestFit="1" customWidth="1"/>
    <col min="3088" max="3088" width="10.5546875" style="137" bestFit="1" customWidth="1"/>
    <col min="3089" max="3324" width="8.5546875" style="137"/>
    <col min="3325" max="3325" width="38.109375" style="137" customWidth="1"/>
    <col min="3326" max="3326" width="23.44140625" style="137" bestFit="1" customWidth="1"/>
    <col min="3327" max="3328" width="9.109375" style="137" customWidth="1"/>
    <col min="3329" max="3329" width="11.109375" style="137" bestFit="1" customWidth="1"/>
    <col min="3330" max="3330" width="14.44140625" style="137" bestFit="1" customWidth="1"/>
    <col min="3331" max="3331" width="8.109375" style="137" customWidth="1"/>
    <col min="3332" max="3332" width="10.5546875" style="137" bestFit="1" customWidth="1"/>
    <col min="3333" max="3333" width="12.109375" style="137" bestFit="1" customWidth="1"/>
    <col min="3334" max="3334" width="9.109375" style="137" customWidth="1"/>
    <col min="3335" max="3335" width="10.5546875" style="137" bestFit="1" customWidth="1"/>
    <col min="3336" max="3336" width="12.109375" style="137" bestFit="1" customWidth="1"/>
    <col min="3337" max="3337" width="8" style="137" customWidth="1"/>
    <col min="3338" max="3338" width="10.5546875" style="137" bestFit="1" customWidth="1"/>
    <col min="3339" max="3339" width="12.109375" style="137" bestFit="1" customWidth="1"/>
    <col min="3340" max="3340" width="8.109375" style="137" bestFit="1" customWidth="1"/>
    <col min="3341" max="3341" width="10.5546875" style="137" bestFit="1" customWidth="1"/>
    <col min="3342" max="3342" width="12.109375" style="137" bestFit="1" customWidth="1"/>
    <col min="3343" max="3343" width="18.109375" style="137" bestFit="1" customWidth="1"/>
    <col min="3344" max="3344" width="10.5546875" style="137" bestFit="1" customWidth="1"/>
    <col min="3345" max="3580" width="8.5546875" style="137"/>
    <col min="3581" max="3581" width="38.109375" style="137" customWidth="1"/>
    <col min="3582" max="3582" width="23.44140625" style="137" bestFit="1" customWidth="1"/>
    <col min="3583" max="3584" width="9.109375" style="137" customWidth="1"/>
    <col min="3585" max="3585" width="11.109375" style="137" bestFit="1" customWidth="1"/>
    <col min="3586" max="3586" width="14.44140625" style="137" bestFit="1" customWidth="1"/>
    <col min="3587" max="3587" width="8.109375" style="137" customWidth="1"/>
    <col min="3588" max="3588" width="10.5546875" style="137" bestFit="1" customWidth="1"/>
    <col min="3589" max="3589" width="12.109375" style="137" bestFit="1" customWidth="1"/>
    <col min="3590" max="3590" width="9.109375" style="137" customWidth="1"/>
    <col min="3591" max="3591" width="10.5546875" style="137" bestFit="1" customWidth="1"/>
    <col min="3592" max="3592" width="12.109375" style="137" bestFit="1" customWidth="1"/>
    <col min="3593" max="3593" width="8" style="137" customWidth="1"/>
    <col min="3594" max="3594" width="10.5546875" style="137" bestFit="1" customWidth="1"/>
    <col min="3595" max="3595" width="12.109375" style="137" bestFit="1" customWidth="1"/>
    <col min="3596" max="3596" width="8.109375" style="137" bestFit="1" customWidth="1"/>
    <col min="3597" max="3597" width="10.5546875" style="137" bestFit="1" customWidth="1"/>
    <col min="3598" max="3598" width="12.109375" style="137" bestFit="1" customWidth="1"/>
    <col min="3599" max="3599" width="18.109375" style="137" bestFit="1" customWidth="1"/>
    <col min="3600" max="3600" width="10.5546875" style="137" bestFit="1" customWidth="1"/>
    <col min="3601" max="3836" width="8.5546875" style="137"/>
    <col min="3837" max="3837" width="38.109375" style="137" customWidth="1"/>
    <col min="3838" max="3838" width="23.44140625" style="137" bestFit="1" customWidth="1"/>
    <col min="3839" max="3840" width="9.109375" style="137" customWidth="1"/>
    <col min="3841" max="3841" width="11.109375" style="137" bestFit="1" customWidth="1"/>
    <col min="3842" max="3842" width="14.44140625" style="137" bestFit="1" customWidth="1"/>
    <col min="3843" max="3843" width="8.109375" style="137" customWidth="1"/>
    <col min="3844" max="3844" width="10.5546875" style="137" bestFit="1" customWidth="1"/>
    <col min="3845" max="3845" width="12.109375" style="137" bestFit="1" customWidth="1"/>
    <col min="3846" max="3846" width="9.109375" style="137" customWidth="1"/>
    <col min="3847" max="3847" width="10.5546875" style="137" bestFit="1" customWidth="1"/>
    <col min="3848" max="3848" width="12.109375" style="137" bestFit="1" customWidth="1"/>
    <col min="3849" max="3849" width="8" style="137" customWidth="1"/>
    <col min="3850" max="3850" width="10.5546875" style="137" bestFit="1" customWidth="1"/>
    <col min="3851" max="3851" width="12.109375" style="137" bestFit="1" customWidth="1"/>
    <col min="3852" max="3852" width="8.109375" style="137" bestFit="1" customWidth="1"/>
    <col min="3853" max="3853" width="10.5546875" style="137" bestFit="1" customWidth="1"/>
    <col min="3854" max="3854" width="12.109375" style="137" bestFit="1" customWidth="1"/>
    <col min="3855" max="3855" width="18.109375" style="137" bestFit="1" customWidth="1"/>
    <col min="3856" max="3856" width="10.5546875" style="137" bestFit="1" customWidth="1"/>
    <col min="3857" max="4092" width="8.5546875" style="137"/>
    <col min="4093" max="4093" width="38.109375" style="137" customWidth="1"/>
    <col min="4094" max="4094" width="23.44140625" style="137" bestFit="1" customWidth="1"/>
    <col min="4095" max="4096" width="9.109375" style="137" customWidth="1"/>
    <col min="4097" max="4097" width="11.109375" style="137" bestFit="1" customWidth="1"/>
    <col min="4098" max="4098" width="14.44140625" style="137" bestFit="1" customWidth="1"/>
    <col min="4099" max="4099" width="8.109375" style="137" customWidth="1"/>
    <col min="4100" max="4100" width="10.5546875" style="137" bestFit="1" customWidth="1"/>
    <col min="4101" max="4101" width="12.109375" style="137" bestFit="1" customWidth="1"/>
    <col min="4102" max="4102" width="9.109375" style="137" customWidth="1"/>
    <col min="4103" max="4103" width="10.5546875" style="137" bestFit="1" customWidth="1"/>
    <col min="4104" max="4104" width="12.109375" style="137" bestFit="1" customWidth="1"/>
    <col min="4105" max="4105" width="8" style="137" customWidth="1"/>
    <col min="4106" max="4106" width="10.5546875" style="137" bestFit="1" customWidth="1"/>
    <col min="4107" max="4107" width="12.109375" style="137" bestFit="1" customWidth="1"/>
    <col min="4108" max="4108" width="8.109375" style="137" bestFit="1" customWidth="1"/>
    <col min="4109" max="4109" width="10.5546875" style="137" bestFit="1" customWidth="1"/>
    <col min="4110" max="4110" width="12.109375" style="137" bestFit="1" customWidth="1"/>
    <col min="4111" max="4111" width="18.109375" style="137" bestFit="1" customWidth="1"/>
    <col min="4112" max="4112" width="10.5546875" style="137" bestFit="1" customWidth="1"/>
    <col min="4113" max="4348" width="8.5546875" style="137"/>
    <col min="4349" max="4349" width="38.109375" style="137" customWidth="1"/>
    <col min="4350" max="4350" width="23.44140625" style="137" bestFit="1" customWidth="1"/>
    <col min="4351" max="4352" width="9.109375" style="137" customWidth="1"/>
    <col min="4353" max="4353" width="11.109375" style="137" bestFit="1" customWidth="1"/>
    <col min="4354" max="4354" width="14.44140625" style="137" bestFit="1" customWidth="1"/>
    <col min="4355" max="4355" width="8.109375" style="137" customWidth="1"/>
    <col min="4356" max="4356" width="10.5546875" style="137" bestFit="1" customWidth="1"/>
    <col min="4357" max="4357" width="12.109375" style="137" bestFit="1" customWidth="1"/>
    <col min="4358" max="4358" width="9.109375" style="137" customWidth="1"/>
    <col min="4359" max="4359" width="10.5546875" style="137" bestFit="1" customWidth="1"/>
    <col min="4360" max="4360" width="12.109375" style="137" bestFit="1" customWidth="1"/>
    <col min="4361" max="4361" width="8" style="137" customWidth="1"/>
    <col min="4362" max="4362" width="10.5546875" style="137" bestFit="1" customWidth="1"/>
    <col min="4363" max="4363" width="12.109375" style="137" bestFit="1" customWidth="1"/>
    <col min="4364" max="4364" width="8.109375" style="137" bestFit="1" customWidth="1"/>
    <col min="4365" max="4365" width="10.5546875" style="137" bestFit="1" customWidth="1"/>
    <col min="4366" max="4366" width="12.109375" style="137" bestFit="1" customWidth="1"/>
    <col min="4367" max="4367" width="18.109375" style="137" bestFit="1" customWidth="1"/>
    <col min="4368" max="4368" width="10.5546875" style="137" bestFit="1" customWidth="1"/>
    <col min="4369" max="4604" width="8.5546875" style="137"/>
    <col min="4605" max="4605" width="38.109375" style="137" customWidth="1"/>
    <col min="4606" max="4606" width="23.44140625" style="137" bestFit="1" customWidth="1"/>
    <col min="4607" max="4608" width="9.109375" style="137" customWidth="1"/>
    <col min="4609" max="4609" width="11.109375" style="137" bestFit="1" customWidth="1"/>
    <col min="4610" max="4610" width="14.44140625" style="137" bestFit="1" customWidth="1"/>
    <col min="4611" max="4611" width="8.109375" style="137" customWidth="1"/>
    <col min="4612" max="4612" width="10.5546875" style="137" bestFit="1" customWidth="1"/>
    <col min="4613" max="4613" width="12.109375" style="137" bestFit="1" customWidth="1"/>
    <col min="4614" max="4614" width="9.109375" style="137" customWidth="1"/>
    <col min="4615" max="4615" width="10.5546875" style="137" bestFit="1" customWidth="1"/>
    <col min="4616" max="4616" width="12.109375" style="137" bestFit="1" customWidth="1"/>
    <col min="4617" max="4617" width="8" style="137" customWidth="1"/>
    <col min="4618" max="4618" width="10.5546875" style="137" bestFit="1" customWidth="1"/>
    <col min="4619" max="4619" width="12.109375" style="137" bestFit="1" customWidth="1"/>
    <col min="4620" max="4620" width="8.109375" style="137" bestFit="1" customWidth="1"/>
    <col min="4621" max="4621" width="10.5546875" style="137" bestFit="1" customWidth="1"/>
    <col min="4622" max="4622" width="12.109375" style="137" bestFit="1" customWidth="1"/>
    <col min="4623" max="4623" width="18.109375" style="137" bestFit="1" customWidth="1"/>
    <col min="4624" max="4624" width="10.5546875" style="137" bestFit="1" customWidth="1"/>
    <col min="4625" max="4860" width="8.5546875" style="137"/>
    <col min="4861" max="4861" width="38.109375" style="137" customWidth="1"/>
    <col min="4862" max="4862" width="23.44140625" style="137" bestFit="1" customWidth="1"/>
    <col min="4863" max="4864" width="9.109375" style="137" customWidth="1"/>
    <col min="4865" max="4865" width="11.109375" style="137" bestFit="1" customWidth="1"/>
    <col min="4866" max="4866" width="14.44140625" style="137" bestFit="1" customWidth="1"/>
    <col min="4867" max="4867" width="8.109375" style="137" customWidth="1"/>
    <col min="4868" max="4868" width="10.5546875" style="137" bestFit="1" customWidth="1"/>
    <col min="4869" max="4869" width="12.109375" style="137" bestFit="1" customWidth="1"/>
    <col min="4870" max="4870" width="9.109375" style="137" customWidth="1"/>
    <col min="4871" max="4871" width="10.5546875" style="137" bestFit="1" customWidth="1"/>
    <col min="4872" max="4872" width="12.109375" style="137" bestFit="1" customWidth="1"/>
    <col min="4873" max="4873" width="8" style="137" customWidth="1"/>
    <col min="4874" max="4874" width="10.5546875" style="137" bestFit="1" customWidth="1"/>
    <col min="4875" max="4875" width="12.109375" style="137" bestFit="1" customWidth="1"/>
    <col min="4876" max="4876" width="8.109375" style="137" bestFit="1" customWidth="1"/>
    <col min="4877" max="4877" width="10.5546875" style="137" bestFit="1" customWidth="1"/>
    <col min="4878" max="4878" width="12.109375" style="137" bestFit="1" customWidth="1"/>
    <col min="4879" max="4879" width="18.109375" style="137" bestFit="1" customWidth="1"/>
    <col min="4880" max="4880" width="10.5546875" style="137" bestFit="1" customWidth="1"/>
    <col min="4881" max="5116" width="8.5546875" style="137"/>
    <col min="5117" max="5117" width="38.109375" style="137" customWidth="1"/>
    <col min="5118" max="5118" width="23.44140625" style="137" bestFit="1" customWidth="1"/>
    <col min="5119" max="5120" width="9.109375" style="137" customWidth="1"/>
    <col min="5121" max="5121" width="11.109375" style="137" bestFit="1" customWidth="1"/>
    <col min="5122" max="5122" width="14.44140625" style="137" bestFit="1" customWidth="1"/>
    <col min="5123" max="5123" width="8.109375" style="137" customWidth="1"/>
    <col min="5124" max="5124" width="10.5546875" style="137" bestFit="1" customWidth="1"/>
    <col min="5125" max="5125" width="12.109375" style="137" bestFit="1" customWidth="1"/>
    <col min="5126" max="5126" width="9.109375" style="137" customWidth="1"/>
    <col min="5127" max="5127" width="10.5546875" style="137" bestFit="1" customWidth="1"/>
    <col min="5128" max="5128" width="12.109375" style="137" bestFit="1" customWidth="1"/>
    <col min="5129" max="5129" width="8" style="137" customWidth="1"/>
    <col min="5130" max="5130" width="10.5546875" style="137" bestFit="1" customWidth="1"/>
    <col min="5131" max="5131" width="12.109375" style="137" bestFit="1" customWidth="1"/>
    <col min="5132" max="5132" width="8.109375" style="137" bestFit="1" customWidth="1"/>
    <col min="5133" max="5133" width="10.5546875" style="137" bestFit="1" customWidth="1"/>
    <col min="5134" max="5134" width="12.109375" style="137" bestFit="1" customWidth="1"/>
    <col min="5135" max="5135" width="18.109375" style="137" bestFit="1" customWidth="1"/>
    <col min="5136" max="5136" width="10.5546875" style="137" bestFit="1" customWidth="1"/>
    <col min="5137" max="5372" width="8.5546875" style="137"/>
    <col min="5373" max="5373" width="38.109375" style="137" customWidth="1"/>
    <col min="5374" max="5374" width="23.44140625" style="137" bestFit="1" customWidth="1"/>
    <col min="5375" max="5376" width="9.109375" style="137" customWidth="1"/>
    <col min="5377" max="5377" width="11.109375" style="137" bestFit="1" customWidth="1"/>
    <col min="5378" max="5378" width="14.44140625" style="137" bestFit="1" customWidth="1"/>
    <col min="5379" max="5379" width="8.109375" style="137" customWidth="1"/>
    <col min="5380" max="5380" width="10.5546875" style="137" bestFit="1" customWidth="1"/>
    <col min="5381" max="5381" width="12.109375" style="137" bestFit="1" customWidth="1"/>
    <col min="5382" max="5382" width="9.109375" style="137" customWidth="1"/>
    <col min="5383" max="5383" width="10.5546875" style="137" bestFit="1" customWidth="1"/>
    <col min="5384" max="5384" width="12.109375" style="137" bestFit="1" customWidth="1"/>
    <col min="5385" max="5385" width="8" style="137" customWidth="1"/>
    <col min="5386" max="5386" width="10.5546875" style="137" bestFit="1" customWidth="1"/>
    <col min="5387" max="5387" width="12.109375" style="137" bestFit="1" customWidth="1"/>
    <col min="5388" max="5388" width="8.109375" style="137" bestFit="1" customWidth="1"/>
    <col min="5389" max="5389" width="10.5546875" style="137" bestFit="1" customWidth="1"/>
    <col min="5390" max="5390" width="12.109375" style="137" bestFit="1" customWidth="1"/>
    <col min="5391" max="5391" width="18.109375" style="137" bestFit="1" customWidth="1"/>
    <col min="5392" max="5392" width="10.5546875" style="137" bestFit="1" customWidth="1"/>
    <col min="5393" max="5628" width="8.5546875" style="137"/>
    <col min="5629" max="5629" width="38.109375" style="137" customWidth="1"/>
    <col min="5630" max="5630" width="23.44140625" style="137" bestFit="1" customWidth="1"/>
    <col min="5631" max="5632" width="9.109375" style="137" customWidth="1"/>
    <col min="5633" max="5633" width="11.109375" style="137" bestFit="1" customWidth="1"/>
    <col min="5634" max="5634" width="14.44140625" style="137" bestFit="1" customWidth="1"/>
    <col min="5635" max="5635" width="8.109375" style="137" customWidth="1"/>
    <col min="5636" max="5636" width="10.5546875" style="137" bestFit="1" customWidth="1"/>
    <col min="5637" max="5637" width="12.109375" style="137" bestFit="1" customWidth="1"/>
    <col min="5638" max="5638" width="9.109375" style="137" customWidth="1"/>
    <col min="5639" max="5639" width="10.5546875" style="137" bestFit="1" customWidth="1"/>
    <col min="5640" max="5640" width="12.109375" style="137" bestFit="1" customWidth="1"/>
    <col min="5641" max="5641" width="8" style="137" customWidth="1"/>
    <col min="5642" max="5642" width="10.5546875" style="137" bestFit="1" customWidth="1"/>
    <col min="5643" max="5643" width="12.109375" style="137" bestFit="1" customWidth="1"/>
    <col min="5644" max="5644" width="8.109375" style="137" bestFit="1" customWidth="1"/>
    <col min="5645" max="5645" width="10.5546875" style="137" bestFit="1" customWidth="1"/>
    <col min="5646" max="5646" width="12.109375" style="137" bestFit="1" customWidth="1"/>
    <col min="5647" max="5647" width="18.109375" style="137" bestFit="1" customWidth="1"/>
    <col min="5648" max="5648" width="10.5546875" style="137" bestFit="1" customWidth="1"/>
    <col min="5649" max="5884" width="8.5546875" style="137"/>
    <col min="5885" max="5885" width="38.109375" style="137" customWidth="1"/>
    <col min="5886" max="5886" width="23.44140625" style="137" bestFit="1" customWidth="1"/>
    <col min="5887" max="5888" width="9.109375" style="137" customWidth="1"/>
    <col min="5889" max="5889" width="11.109375" style="137" bestFit="1" customWidth="1"/>
    <col min="5890" max="5890" width="14.44140625" style="137" bestFit="1" customWidth="1"/>
    <col min="5891" max="5891" width="8.109375" style="137" customWidth="1"/>
    <col min="5892" max="5892" width="10.5546875" style="137" bestFit="1" customWidth="1"/>
    <col min="5893" max="5893" width="12.109375" style="137" bestFit="1" customWidth="1"/>
    <col min="5894" max="5894" width="9.109375" style="137" customWidth="1"/>
    <col min="5895" max="5895" width="10.5546875" style="137" bestFit="1" customWidth="1"/>
    <col min="5896" max="5896" width="12.109375" style="137" bestFit="1" customWidth="1"/>
    <col min="5897" max="5897" width="8" style="137" customWidth="1"/>
    <col min="5898" max="5898" width="10.5546875" style="137" bestFit="1" customWidth="1"/>
    <col min="5899" max="5899" width="12.109375" style="137" bestFit="1" customWidth="1"/>
    <col min="5900" max="5900" width="8.109375" style="137" bestFit="1" customWidth="1"/>
    <col min="5901" max="5901" width="10.5546875" style="137" bestFit="1" customWidth="1"/>
    <col min="5902" max="5902" width="12.109375" style="137" bestFit="1" customWidth="1"/>
    <col min="5903" max="5903" width="18.109375" style="137" bestFit="1" customWidth="1"/>
    <col min="5904" max="5904" width="10.5546875" style="137" bestFit="1" customWidth="1"/>
    <col min="5905" max="6140" width="8.5546875" style="137"/>
    <col min="6141" max="6141" width="38.109375" style="137" customWidth="1"/>
    <col min="6142" max="6142" width="23.44140625" style="137" bestFit="1" customWidth="1"/>
    <col min="6143" max="6144" width="9.109375" style="137" customWidth="1"/>
    <col min="6145" max="6145" width="11.109375" style="137" bestFit="1" customWidth="1"/>
    <col min="6146" max="6146" width="14.44140625" style="137" bestFit="1" customWidth="1"/>
    <col min="6147" max="6147" width="8.109375" style="137" customWidth="1"/>
    <col min="6148" max="6148" width="10.5546875" style="137" bestFit="1" customWidth="1"/>
    <col min="6149" max="6149" width="12.109375" style="137" bestFit="1" customWidth="1"/>
    <col min="6150" max="6150" width="9.109375" style="137" customWidth="1"/>
    <col min="6151" max="6151" width="10.5546875" style="137" bestFit="1" customWidth="1"/>
    <col min="6152" max="6152" width="12.109375" style="137" bestFit="1" customWidth="1"/>
    <col min="6153" max="6153" width="8" style="137" customWidth="1"/>
    <col min="6154" max="6154" width="10.5546875" style="137" bestFit="1" customWidth="1"/>
    <col min="6155" max="6155" width="12.109375" style="137" bestFit="1" customWidth="1"/>
    <col min="6156" max="6156" width="8.109375" style="137" bestFit="1" customWidth="1"/>
    <col min="6157" max="6157" width="10.5546875" style="137" bestFit="1" customWidth="1"/>
    <col min="6158" max="6158" width="12.109375" style="137" bestFit="1" customWidth="1"/>
    <col min="6159" max="6159" width="18.109375" style="137" bestFit="1" customWidth="1"/>
    <col min="6160" max="6160" width="10.5546875" style="137" bestFit="1" customWidth="1"/>
    <col min="6161" max="6396" width="8.5546875" style="137"/>
    <col min="6397" max="6397" width="38.109375" style="137" customWidth="1"/>
    <col min="6398" max="6398" width="23.44140625" style="137" bestFit="1" customWidth="1"/>
    <col min="6399" max="6400" width="9.109375" style="137" customWidth="1"/>
    <col min="6401" max="6401" width="11.109375" style="137" bestFit="1" customWidth="1"/>
    <col min="6402" max="6402" width="14.44140625" style="137" bestFit="1" customWidth="1"/>
    <col min="6403" max="6403" width="8.109375" style="137" customWidth="1"/>
    <col min="6404" max="6404" width="10.5546875" style="137" bestFit="1" customWidth="1"/>
    <col min="6405" max="6405" width="12.109375" style="137" bestFit="1" customWidth="1"/>
    <col min="6406" max="6406" width="9.109375" style="137" customWidth="1"/>
    <col min="6407" max="6407" width="10.5546875" style="137" bestFit="1" customWidth="1"/>
    <col min="6408" max="6408" width="12.109375" style="137" bestFit="1" customWidth="1"/>
    <col min="6409" max="6409" width="8" style="137" customWidth="1"/>
    <col min="6410" max="6410" width="10.5546875" style="137" bestFit="1" customWidth="1"/>
    <col min="6411" max="6411" width="12.109375" style="137" bestFit="1" customWidth="1"/>
    <col min="6412" max="6412" width="8.109375" style="137" bestFit="1" customWidth="1"/>
    <col min="6413" max="6413" width="10.5546875" style="137" bestFit="1" customWidth="1"/>
    <col min="6414" max="6414" width="12.109375" style="137" bestFit="1" customWidth="1"/>
    <col min="6415" max="6415" width="18.109375" style="137" bestFit="1" customWidth="1"/>
    <col min="6416" max="6416" width="10.5546875" style="137" bestFit="1" customWidth="1"/>
    <col min="6417" max="6652" width="8.5546875" style="137"/>
    <col min="6653" max="6653" width="38.109375" style="137" customWidth="1"/>
    <col min="6654" max="6654" width="23.44140625" style="137" bestFit="1" customWidth="1"/>
    <col min="6655" max="6656" width="9.109375" style="137" customWidth="1"/>
    <col min="6657" max="6657" width="11.109375" style="137" bestFit="1" customWidth="1"/>
    <col min="6658" max="6658" width="14.44140625" style="137" bestFit="1" customWidth="1"/>
    <col min="6659" max="6659" width="8.109375" style="137" customWidth="1"/>
    <col min="6660" max="6660" width="10.5546875" style="137" bestFit="1" customWidth="1"/>
    <col min="6661" max="6661" width="12.109375" style="137" bestFit="1" customWidth="1"/>
    <col min="6662" max="6662" width="9.109375" style="137" customWidth="1"/>
    <col min="6663" max="6663" width="10.5546875" style="137" bestFit="1" customWidth="1"/>
    <col min="6664" max="6664" width="12.109375" style="137" bestFit="1" customWidth="1"/>
    <col min="6665" max="6665" width="8" style="137" customWidth="1"/>
    <col min="6666" max="6666" width="10.5546875" style="137" bestFit="1" customWidth="1"/>
    <col min="6667" max="6667" width="12.109375" style="137" bestFit="1" customWidth="1"/>
    <col min="6668" max="6668" width="8.109375" style="137" bestFit="1" customWidth="1"/>
    <col min="6669" max="6669" width="10.5546875" style="137" bestFit="1" customWidth="1"/>
    <col min="6670" max="6670" width="12.109375" style="137" bestFit="1" customWidth="1"/>
    <col min="6671" max="6671" width="18.109375" style="137" bestFit="1" customWidth="1"/>
    <col min="6672" max="6672" width="10.5546875" style="137" bestFit="1" customWidth="1"/>
    <col min="6673" max="6908" width="8.5546875" style="137"/>
    <col min="6909" max="6909" width="38.109375" style="137" customWidth="1"/>
    <col min="6910" max="6910" width="23.44140625" style="137" bestFit="1" customWidth="1"/>
    <col min="6911" max="6912" width="9.109375" style="137" customWidth="1"/>
    <col min="6913" max="6913" width="11.109375" style="137" bestFit="1" customWidth="1"/>
    <col min="6914" max="6914" width="14.44140625" style="137" bestFit="1" customWidth="1"/>
    <col min="6915" max="6915" width="8.109375" style="137" customWidth="1"/>
    <col min="6916" max="6916" width="10.5546875" style="137" bestFit="1" customWidth="1"/>
    <col min="6917" max="6917" width="12.109375" style="137" bestFit="1" customWidth="1"/>
    <col min="6918" max="6918" width="9.109375" style="137" customWidth="1"/>
    <col min="6919" max="6919" width="10.5546875" style="137" bestFit="1" customWidth="1"/>
    <col min="6920" max="6920" width="12.109375" style="137" bestFit="1" customWidth="1"/>
    <col min="6921" max="6921" width="8" style="137" customWidth="1"/>
    <col min="6922" max="6922" width="10.5546875" style="137" bestFit="1" customWidth="1"/>
    <col min="6923" max="6923" width="12.109375" style="137" bestFit="1" customWidth="1"/>
    <col min="6924" max="6924" width="8.109375" style="137" bestFit="1" customWidth="1"/>
    <col min="6925" max="6925" width="10.5546875" style="137" bestFit="1" customWidth="1"/>
    <col min="6926" max="6926" width="12.109375" style="137" bestFit="1" customWidth="1"/>
    <col min="6927" max="6927" width="18.109375" style="137" bestFit="1" customWidth="1"/>
    <col min="6928" max="6928" width="10.5546875" style="137" bestFit="1" customWidth="1"/>
    <col min="6929" max="7164" width="8.5546875" style="137"/>
    <col min="7165" max="7165" width="38.109375" style="137" customWidth="1"/>
    <col min="7166" max="7166" width="23.44140625" style="137" bestFit="1" customWidth="1"/>
    <col min="7167" max="7168" width="9.109375" style="137" customWidth="1"/>
    <col min="7169" max="7169" width="11.109375" style="137" bestFit="1" customWidth="1"/>
    <col min="7170" max="7170" width="14.44140625" style="137" bestFit="1" customWidth="1"/>
    <col min="7171" max="7171" width="8.109375" style="137" customWidth="1"/>
    <col min="7172" max="7172" width="10.5546875" style="137" bestFit="1" customWidth="1"/>
    <col min="7173" max="7173" width="12.109375" style="137" bestFit="1" customWidth="1"/>
    <col min="7174" max="7174" width="9.109375" style="137" customWidth="1"/>
    <col min="7175" max="7175" width="10.5546875" style="137" bestFit="1" customWidth="1"/>
    <col min="7176" max="7176" width="12.109375" style="137" bestFit="1" customWidth="1"/>
    <col min="7177" max="7177" width="8" style="137" customWidth="1"/>
    <col min="7178" max="7178" width="10.5546875" style="137" bestFit="1" customWidth="1"/>
    <col min="7179" max="7179" width="12.109375" style="137" bestFit="1" customWidth="1"/>
    <col min="7180" max="7180" width="8.109375" style="137" bestFit="1" customWidth="1"/>
    <col min="7181" max="7181" width="10.5546875" style="137" bestFit="1" customWidth="1"/>
    <col min="7182" max="7182" width="12.109375" style="137" bestFit="1" customWidth="1"/>
    <col min="7183" max="7183" width="18.109375" style="137" bestFit="1" customWidth="1"/>
    <col min="7184" max="7184" width="10.5546875" style="137" bestFit="1" customWidth="1"/>
    <col min="7185" max="7420" width="8.5546875" style="137"/>
    <col min="7421" max="7421" width="38.109375" style="137" customWidth="1"/>
    <col min="7422" max="7422" width="23.44140625" style="137" bestFit="1" customWidth="1"/>
    <col min="7423" max="7424" width="9.109375" style="137" customWidth="1"/>
    <col min="7425" max="7425" width="11.109375" style="137" bestFit="1" customWidth="1"/>
    <col min="7426" max="7426" width="14.44140625" style="137" bestFit="1" customWidth="1"/>
    <col min="7427" max="7427" width="8.109375" style="137" customWidth="1"/>
    <col min="7428" max="7428" width="10.5546875" style="137" bestFit="1" customWidth="1"/>
    <col min="7429" max="7429" width="12.109375" style="137" bestFit="1" customWidth="1"/>
    <col min="7430" max="7430" width="9.109375" style="137" customWidth="1"/>
    <col min="7431" max="7431" width="10.5546875" style="137" bestFit="1" customWidth="1"/>
    <col min="7432" max="7432" width="12.109375" style="137" bestFit="1" customWidth="1"/>
    <col min="7433" max="7433" width="8" style="137" customWidth="1"/>
    <col min="7434" max="7434" width="10.5546875" style="137" bestFit="1" customWidth="1"/>
    <col min="7435" max="7435" width="12.109375" style="137" bestFit="1" customWidth="1"/>
    <col min="7436" max="7436" width="8.109375" style="137" bestFit="1" customWidth="1"/>
    <col min="7437" max="7437" width="10.5546875" style="137" bestFit="1" customWidth="1"/>
    <col min="7438" max="7438" width="12.109375" style="137" bestFit="1" customWidth="1"/>
    <col min="7439" max="7439" width="18.109375" style="137" bestFit="1" customWidth="1"/>
    <col min="7440" max="7440" width="10.5546875" style="137" bestFit="1" customWidth="1"/>
    <col min="7441" max="7676" width="8.5546875" style="137"/>
    <col min="7677" max="7677" width="38.109375" style="137" customWidth="1"/>
    <col min="7678" max="7678" width="23.44140625" style="137" bestFit="1" customWidth="1"/>
    <col min="7679" max="7680" width="9.109375" style="137" customWidth="1"/>
    <col min="7681" max="7681" width="11.109375" style="137" bestFit="1" customWidth="1"/>
    <col min="7682" max="7682" width="14.44140625" style="137" bestFit="1" customWidth="1"/>
    <col min="7683" max="7683" width="8.109375" style="137" customWidth="1"/>
    <col min="7684" max="7684" width="10.5546875" style="137" bestFit="1" customWidth="1"/>
    <col min="7685" max="7685" width="12.109375" style="137" bestFit="1" customWidth="1"/>
    <col min="7686" max="7686" width="9.109375" style="137" customWidth="1"/>
    <col min="7687" max="7687" width="10.5546875" style="137" bestFit="1" customWidth="1"/>
    <col min="7688" max="7688" width="12.109375" style="137" bestFit="1" customWidth="1"/>
    <col min="7689" max="7689" width="8" style="137" customWidth="1"/>
    <col min="7690" max="7690" width="10.5546875" style="137" bestFit="1" customWidth="1"/>
    <col min="7691" max="7691" width="12.109375" style="137" bestFit="1" customWidth="1"/>
    <col min="7692" max="7692" width="8.109375" style="137" bestFit="1" customWidth="1"/>
    <col min="7693" max="7693" width="10.5546875" style="137" bestFit="1" customWidth="1"/>
    <col min="7694" max="7694" width="12.109375" style="137" bestFit="1" customWidth="1"/>
    <col min="7695" max="7695" width="18.109375" style="137" bestFit="1" customWidth="1"/>
    <col min="7696" max="7696" width="10.5546875" style="137" bestFit="1" customWidth="1"/>
    <col min="7697" max="7932" width="8.5546875" style="137"/>
    <col min="7933" max="7933" width="38.109375" style="137" customWidth="1"/>
    <col min="7934" max="7934" width="23.44140625" style="137" bestFit="1" customWidth="1"/>
    <col min="7935" max="7936" width="9.109375" style="137" customWidth="1"/>
    <col min="7937" max="7937" width="11.109375" style="137" bestFit="1" customWidth="1"/>
    <col min="7938" max="7938" width="14.44140625" style="137" bestFit="1" customWidth="1"/>
    <col min="7939" max="7939" width="8.109375" style="137" customWidth="1"/>
    <col min="7940" max="7940" width="10.5546875" style="137" bestFit="1" customWidth="1"/>
    <col min="7941" max="7941" width="12.109375" style="137" bestFit="1" customWidth="1"/>
    <col min="7942" max="7942" width="9.109375" style="137" customWidth="1"/>
    <col min="7943" max="7943" width="10.5546875" style="137" bestFit="1" customWidth="1"/>
    <col min="7944" max="7944" width="12.109375" style="137" bestFit="1" customWidth="1"/>
    <col min="7945" max="7945" width="8" style="137" customWidth="1"/>
    <col min="7946" max="7946" width="10.5546875" style="137" bestFit="1" customWidth="1"/>
    <col min="7947" max="7947" width="12.109375" style="137" bestFit="1" customWidth="1"/>
    <col min="7948" max="7948" width="8.109375" style="137" bestFit="1" customWidth="1"/>
    <col min="7949" max="7949" width="10.5546875" style="137" bestFit="1" customWidth="1"/>
    <col min="7950" max="7950" width="12.109375" style="137" bestFit="1" customWidth="1"/>
    <col min="7951" max="7951" width="18.109375" style="137" bestFit="1" customWidth="1"/>
    <col min="7952" max="7952" width="10.5546875" style="137" bestFit="1" customWidth="1"/>
    <col min="7953" max="8188" width="8.5546875" style="137"/>
    <col min="8189" max="8189" width="38.109375" style="137" customWidth="1"/>
    <col min="8190" max="8190" width="23.44140625" style="137" bestFit="1" customWidth="1"/>
    <col min="8191" max="8192" width="9.109375" style="137" customWidth="1"/>
    <col min="8193" max="8193" width="11.109375" style="137" bestFit="1" customWidth="1"/>
    <col min="8194" max="8194" width="14.44140625" style="137" bestFit="1" customWidth="1"/>
    <col min="8195" max="8195" width="8.109375" style="137" customWidth="1"/>
    <col min="8196" max="8196" width="10.5546875" style="137" bestFit="1" customWidth="1"/>
    <col min="8197" max="8197" width="12.109375" style="137" bestFit="1" customWidth="1"/>
    <col min="8198" max="8198" width="9.109375" style="137" customWidth="1"/>
    <col min="8199" max="8199" width="10.5546875" style="137" bestFit="1" customWidth="1"/>
    <col min="8200" max="8200" width="12.109375" style="137" bestFit="1" customWidth="1"/>
    <col min="8201" max="8201" width="8" style="137" customWidth="1"/>
    <col min="8202" max="8202" width="10.5546875" style="137" bestFit="1" customWidth="1"/>
    <col min="8203" max="8203" width="12.109375" style="137" bestFit="1" customWidth="1"/>
    <col min="8204" max="8204" width="8.109375" style="137" bestFit="1" customWidth="1"/>
    <col min="8205" max="8205" width="10.5546875" style="137" bestFit="1" customWidth="1"/>
    <col min="8206" max="8206" width="12.109375" style="137" bestFit="1" customWidth="1"/>
    <col min="8207" max="8207" width="18.109375" style="137" bestFit="1" customWidth="1"/>
    <col min="8208" max="8208" width="10.5546875" style="137" bestFit="1" customWidth="1"/>
    <col min="8209" max="8444" width="8.5546875" style="137"/>
    <col min="8445" max="8445" width="38.109375" style="137" customWidth="1"/>
    <col min="8446" max="8446" width="23.44140625" style="137" bestFit="1" customWidth="1"/>
    <col min="8447" max="8448" width="9.109375" style="137" customWidth="1"/>
    <col min="8449" max="8449" width="11.109375" style="137" bestFit="1" customWidth="1"/>
    <col min="8450" max="8450" width="14.44140625" style="137" bestFit="1" customWidth="1"/>
    <col min="8451" max="8451" width="8.109375" style="137" customWidth="1"/>
    <col min="8452" max="8452" width="10.5546875" style="137" bestFit="1" customWidth="1"/>
    <col min="8453" max="8453" width="12.109375" style="137" bestFit="1" customWidth="1"/>
    <col min="8454" max="8454" width="9.109375" style="137" customWidth="1"/>
    <col min="8455" max="8455" width="10.5546875" style="137" bestFit="1" customWidth="1"/>
    <col min="8456" max="8456" width="12.109375" style="137" bestFit="1" customWidth="1"/>
    <col min="8457" max="8457" width="8" style="137" customWidth="1"/>
    <col min="8458" max="8458" width="10.5546875" style="137" bestFit="1" customWidth="1"/>
    <col min="8459" max="8459" width="12.109375" style="137" bestFit="1" customWidth="1"/>
    <col min="8460" max="8460" width="8.109375" style="137" bestFit="1" customWidth="1"/>
    <col min="8461" max="8461" width="10.5546875" style="137" bestFit="1" customWidth="1"/>
    <col min="8462" max="8462" width="12.109375" style="137" bestFit="1" customWidth="1"/>
    <col min="8463" max="8463" width="18.109375" style="137" bestFit="1" customWidth="1"/>
    <col min="8464" max="8464" width="10.5546875" style="137" bestFit="1" customWidth="1"/>
    <col min="8465" max="8700" width="8.5546875" style="137"/>
    <col min="8701" max="8701" width="38.109375" style="137" customWidth="1"/>
    <col min="8702" max="8702" width="23.44140625" style="137" bestFit="1" customWidth="1"/>
    <col min="8703" max="8704" width="9.109375" style="137" customWidth="1"/>
    <col min="8705" max="8705" width="11.109375" style="137" bestFit="1" customWidth="1"/>
    <col min="8706" max="8706" width="14.44140625" style="137" bestFit="1" customWidth="1"/>
    <col min="8707" max="8707" width="8.109375" style="137" customWidth="1"/>
    <col min="8708" max="8708" width="10.5546875" style="137" bestFit="1" customWidth="1"/>
    <col min="8709" max="8709" width="12.109375" style="137" bestFit="1" customWidth="1"/>
    <col min="8710" max="8710" width="9.109375" style="137" customWidth="1"/>
    <col min="8711" max="8711" width="10.5546875" style="137" bestFit="1" customWidth="1"/>
    <col min="8712" max="8712" width="12.109375" style="137" bestFit="1" customWidth="1"/>
    <col min="8713" max="8713" width="8" style="137" customWidth="1"/>
    <col min="8714" max="8714" width="10.5546875" style="137" bestFit="1" customWidth="1"/>
    <col min="8715" max="8715" width="12.109375" style="137" bestFit="1" customWidth="1"/>
    <col min="8716" max="8716" width="8.109375" style="137" bestFit="1" customWidth="1"/>
    <col min="8717" max="8717" width="10.5546875" style="137" bestFit="1" customWidth="1"/>
    <col min="8718" max="8718" width="12.109375" style="137" bestFit="1" customWidth="1"/>
    <col min="8719" max="8719" width="18.109375" style="137" bestFit="1" customWidth="1"/>
    <col min="8720" max="8720" width="10.5546875" style="137" bestFit="1" customWidth="1"/>
    <col min="8721" max="8956" width="8.5546875" style="137"/>
    <col min="8957" max="8957" width="38.109375" style="137" customWidth="1"/>
    <col min="8958" max="8958" width="23.44140625" style="137" bestFit="1" customWidth="1"/>
    <col min="8959" max="8960" width="9.109375" style="137" customWidth="1"/>
    <col min="8961" max="8961" width="11.109375" style="137" bestFit="1" customWidth="1"/>
    <col min="8962" max="8962" width="14.44140625" style="137" bestFit="1" customWidth="1"/>
    <col min="8963" max="8963" width="8.109375" style="137" customWidth="1"/>
    <col min="8964" max="8964" width="10.5546875" style="137" bestFit="1" customWidth="1"/>
    <col min="8965" max="8965" width="12.109375" style="137" bestFit="1" customWidth="1"/>
    <col min="8966" max="8966" width="9.109375" style="137" customWidth="1"/>
    <col min="8967" max="8967" width="10.5546875" style="137" bestFit="1" customWidth="1"/>
    <col min="8968" max="8968" width="12.109375" style="137" bestFit="1" customWidth="1"/>
    <col min="8969" max="8969" width="8" style="137" customWidth="1"/>
    <col min="8970" max="8970" width="10.5546875" style="137" bestFit="1" customWidth="1"/>
    <col min="8971" max="8971" width="12.109375" style="137" bestFit="1" customWidth="1"/>
    <col min="8972" max="8972" width="8.109375" style="137" bestFit="1" customWidth="1"/>
    <col min="8973" max="8973" width="10.5546875" style="137" bestFit="1" customWidth="1"/>
    <col min="8974" max="8974" width="12.109375" style="137" bestFit="1" customWidth="1"/>
    <col min="8975" max="8975" width="18.109375" style="137" bestFit="1" customWidth="1"/>
    <col min="8976" max="8976" width="10.5546875" style="137" bestFit="1" customWidth="1"/>
    <col min="8977" max="9212" width="8.5546875" style="137"/>
    <col min="9213" max="9213" width="38.109375" style="137" customWidth="1"/>
    <col min="9214" max="9214" width="23.44140625" style="137" bestFit="1" customWidth="1"/>
    <col min="9215" max="9216" width="9.109375" style="137" customWidth="1"/>
    <col min="9217" max="9217" width="11.109375" style="137" bestFit="1" customWidth="1"/>
    <col min="9218" max="9218" width="14.44140625" style="137" bestFit="1" customWidth="1"/>
    <col min="9219" max="9219" width="8.109375" style="137" customWidth="1"/>
    <col min="9220" max="9220" width="10.5546875" style="137" bestFit="1" customWidth="1"/>
    <col min="9221" max="9221" width="12.109375" style="137" bestFit="1" customWidth="1"/>
    <col min="9222" max="9222" width="9.109375" style="137" customWidth="1"/>
    <col min="9223" max="9223" width="10.5546875" style="137" bestFit="1" customWidth="1"/>
    <col min="9224" max="9224" width="12.109375" style="137" bestFit="1" customWidth="1"/>
    <col min="9225" max="9225" width="8" style="137" customWidth="1"/>
    <col min="9226" max="9226" width="10.5546875" style="137" bestFit="1" customWidth="1"/>
    <col min="9227" max="9227" width="12.109375" style="137" bestFit="1" customWidth="1"/>
    <col min="9228" max="9228" width="8.109375" style="137" bestFit="1" customWidth="1"/>
    <col min="9229" max="9229" width="10.5546875" style="137" bestFit="1" customWidth="1"/>
    <col min="9230" max="9230" width="12.109375" style="137" bestFit="1" customWidth="1"/>
    <col min="9231" max="9231" width="18.109375" style="137" bestFit="1" customWidth="1"/>
    <col min="9232" max="9232" width="10.5546875" style="137" bestFit="1" customWidth="1"/>
    <col min="9233" max="9468" width="8.5546875" style="137"/>
    <col min="9469" max="9469" width="38.109375" style="137" customWidth="1"/>
    <col min="9470" max="9470" width="23.44140625" style="137" bestFit="1" customWidth="1"/>
    <col min="9471" max="9472" width="9.109375" style="137" customWidth="1"/>
    <col min="9473" max="9473" width="11.109375" style="137" bestFit="1" customWidth="1"/>
    <col min="9474" max="9474" width="14.44140625" style="137" bestFit="1" customWidth="1"/>
    <col min="9475" max="9475" width="8.109375" style="137" customWidth="1"/>
    <col min="9476" max="9476" width="10.5546875" style="137" bestFit="1" customWidth="1"/>
    <col min="9477" max="9477" width="12.109375" style="137" bestFit="1" customWidth="1"/>
    <col min="9478" max="9478" width="9.109375" style="137" customWidth="1"/>
    <col min="9479" max="9479" width="10.5546875" style="137" bestFit="1" customWidth="1"/>
    <col min="9480" max="9480" width="12.109375" style="137" bestFit="1" customWidth="1"/>
    <col min="9481" max="9481" width="8" style="137" customWidth="1"/>
    <col min="9482" max="9482" width="10.5546875" style="137" bestFit="1" customWidth="1"/>
    <col min="9483" max="9483" width="12.109375" style="137" bestFit="1" customWidth="1"/>
    <col min="9484" max="9484" width="8.109375" style="137" bestFit="1" customWidth="1"/>
    <col min="9485" max="9485" width="10.5546875" style="137" bestFit="1" customWidth="1"/>
    <col min="9486" max="9486" width="12.109375" style="137" bestFit="1" customWidth="1"/>
    <col min="9487" max="9487" width="18.109375" style="137" bestFit="1" customWidth="1"/>
    <col min="9488" max="9488" width="10.5546875" style="137" bestFit="1" customWidth="1"/>
    <col min="9489" max="9724" width="8.5546875" style="137"/>
    <col min="9725" max="9725" width="38.109375" style="137" customWidth="1"/>
    <col min="9726" max="9726" width="23.44140625" style="137" bestFit="1" customWidth="1"/>
    <col min="9727" max="9728" width="9.109375" style="137" customWidth="1"/>
    <col min="9729" max="9729" width="11.109375" style="137" bestFit="1" customWidth="1"/>
    <col min="9730" max="9730" width="14.44140625" style="137" bestFit="1" customWidth="1"/>
    <col min="9731" max="9731" width="8.109375" style="137" customWidth="1"/>
    <col min="9732" max="9732" width="10.5546875" style="137" bestFit="1" customWidth="1"/>
    <col min="9733" max="9733" width="12.109375" style="137" bestFit="1" customWidth="1"/>
    <col min="9734" max="9734" width="9.109375" style="137" customWidth="1"/>
    <col min="9735" max="9735" width="10.5546875" style="137" bestFit="1" customWidth="1"/>
    <col min="9736" max="9736" width="12.109375" style="137" bestFit="1" customWidth="1"/>
    <col min="9737" max="9737" width="8" style="137" customWidth="1"/>
    <col min="9738" max="9738" width="10.5546875" style="137" bestFit="1" customWidth="1"/>
    <col min="9739" max="9739" width="12.109375" style="137" bestFit="1" customWidth="1"/>
    <col min="9740" max="9740" width="8.109375" style="137" bestFit="1" customWidth="1"/>
    <col min="9741" max="9741" width="10.5546875" style="137" bestFit="1" customWidth="1"/>
    <col min="9742" max="9742" width="12.109375" style="137" bestFit="1" customWidth="1"/>
    <col min="9743" max="9743" width="18.109375" style="137" bestFit="1" customWidth="1"/>
    <col min="9744" max="9744" width="10.5546875" style="137" bestFit="1" customWidth="1"/>
    <col min="9745" max="9980" width="8.5546875" style="137"/>
    <col min="9981" max="9981" width="38.109375" style="137" customWidth="1"/>
    <col min="9982" max="9982" width="23.44140625" style="137" bestFit="1" customWidth="1"/>
    <col min="9983" max="9984" width="9.109375" style="137" customWidth="1"/>
    <col min="9985" max="9985" width="11.109375" style="137" bestFit="1" customWidth="1"/>
    <col min="9986" max="9986" width="14.44140625" style="137" bestFit="1" customWidth="1"/>
    <col min="9987" max="9987" width="8.109375" style="137" customWidth="1"/>
    <col min="9988" max="9988" width="10.5546875" style="137" bestFit="1" customWidth="1"/>
    <col min="9989" max="9989" width="12.109375" style="137" bestFit="1" customWidth="1"/>
    <col min="9990" max="9990" width="9.109375" style="137" customWidth="1"/>
    <col min="9991" max="9991" width="10.5546875" style="137" bestFit="1" customWidth="1"/>
    <col min="9992" max="9992" width="12.109375" style="137" bestFit="1" customWidth="1"/>
    <col min="9993" max="9993" width="8" style="137" customWidth="1"/>
    <col min="9994" max="9994" width="10.5546875" style="137" bestFit="1" customWidth="1"/>
    <col min="9995" max="9995" width="12.109375" style="137" bestFit="1" customWidth="1"/>
    <col min="9996" max="9996" width="8.109375" style="137" bestFit="1" customWidth="1"/>
    <col min="9997" max="9997" width="10.5546875" style="137" bestFit="1" customWidth="1"/>
    <col min="9998" max="9998" width="12.109375" style="137" bestFit="1" customWidth="1"/>
    <col min="9999" max="9999" width="18.109375" style="137" bestFit="1" customWidth="1"/>
    <col min="10000" max="10000" width="10.5546875" style="137" bestFit="1" customWidth="1"/>
    <col min="10001" max="10236" width="8.5546875" style="137"/>
    <col min="10237" max="10237" width="38.109375" style="137" customWidth="1"/>
    <col min="10238" max="10238" width="23.44140625" style="137" bestFit="1" customWidth="1"/>
    <col min="10239" max="10240" width="9.109375" style="137" customWidth="1"/>
    <col min="10241" max="10241" width="11.109375" style="137" bestFit="1" customWidth="1"/>
    <col min="10242" max="10242" width="14.44140625" style="137" bestFit="1" customWidth="1"/>
    <col min="10243" max="10243" width="8.109375" style="137" customWidth="1"/>
    <col min="10244" max="10244" width="10.5546875" style="137" bestFit="1" customWidth="1"/>
    <col min="10245" max="10245" width="12.109375" style="137" bestFit="1" customWidth="1"/>
    <col min="10246" max="10246" width="9.109375" style="137" customWidth="1"/>
    <col min="10247" max="10247" width="10.5546875" style="137" bestFit="1" customWidth="1"/>
    <col min="10248" max="10248" width="12.109375" style="137" bestFit="1" customWidth="1"/>
    <col min="10249" max="10249" width="8" style="137" customWidth="1"/>
    <col min="10250" max="10250" width="10.5546875" style="137" bestFit="1" customWidth="1"/>
    <col min="10251" max="10251" width="12.109375" style="137" bestFit="1" customWidth="1"/>
    <col min="10252" max="10252" width="8.109375" style="137" bestFit="1" customWidth="1"/>
    <col min="10253" max="10253" width="10.5546875" style="137" bestFit="1" customWidth="1"/>
    <col min="10254" max="10254" width="12.109375" style="137" bestFit="1" customWidth="1"/>
    <col min="10255" max="10255" width="18.109375" style="137" bestFit="1" customWidth="1"/>
    <col min="10256" max="10256" width="10.5546875" style="137" bestFit="1" customWidth="1"/>
    <col min="10257" max="10492" width="8.5546875" style="137"/>
    <col min="10493" max="10493" width="38.109375" style="137" customWidth="1"/>
    <col min="10494" max="10494" width="23.44140625" style="137" bestFit="1" customWidth="1"/>
    <col min="10495" max="10496" width="9.109375" style="137" customWidth="1"/>
    <col min="10497" max="10497" width="11.109375" style="137" bestFit="1" customWidth="1"/>
    <col min="10498" max="10498" width="14.44140625" style="137" bestFit="1" customWidth="1"/>
    <col min="10499" max="10499" width="8.109375" style="137" customWidth="1"/>
    <col min="10500" max="10500" width="10.5546875" style="137" bestFit="1" customWidth="1"/>
    <col min="10501" max="10501" width="12.109375" style="137" bestFit="1" customWidth="1"/>
    <col min="10502" max="10502" width="9.109375" style="137" customWidth="1"/>
    <col min="10503" max="10503" width="10.5546875" style="137" bestFit="1" customWidth="1"/>
    <col min="10504" max="10504" width="12.109375" style="137" bestFit="1" customWidth="1"/>
    <col min="10505" max="10505" width="8" style="137" customWidth="1"/>
    <col min="10506" max="10506" width="10.5546875" style="137" bestFit="1" customWidth="1"/>
    <col min="10507" max="10507" width="12.109375" style="137" bestFit="1" customWidth="1"/>
    <col min="10508" max="10508" width="8.109375" style="137" bestFit="1" customWidth="1"/>
    <col min="10509" max="10509" width="10.5546875" style="137" bestFit="1" customWidth="1"/>
    <col min="10510" max="10510" width="12.109375" style="137" bestFit="1" customWidth="1"/>
    <col min="10511" max="10511" width="18.109375" style="137" bestFit="1" customWidth="1"/>
    <col min="10512" max="10512" width="10.5546875" style="137" bestFit="1" customWidth="1"/>
    <col min="10513" max="10748" width="8.5546875" style="137"/>
    <col min="10749" max="10749" width="38.109375" style="137" customWidth="1"/>
    <col min="10750" max="10750" width="23.44140625" style="137" bestFit="1" customWidth="1"/>
    <col min="10751" max="10752" width="9.109375" style="137" customWidth="1"/>
    <col min="10753" max="10753" width="11.109375" style="137" bestFit="1" customWidth="1"/>
    <col min="10754" max="10754" width="14.44140625" style="137" bestFit="1" customWidth="1"/>
    <col min="10755" max="10755" width="8.109375" style="137" customWidth="1"/>
    <col min="10756" max="10756" width="10.5546875" style="137" bestFit="1" customWidth="1"/>
    <col min="10757" max="10757" width="12.109375" style="137" bestFit="1" customWidth="1"/>
    <col min="10758" max="10758" width="9.109375" style="137" customWidth="1"/>
    <col min="10759" max="10759" width="10.5546875" style="137" bestFit="1" customWidth="1"/>
    <col min="10760" max="10760" width="12.109375" style="137" bestFit="1" customWidth="1"/>
    <col min="10761" max="10761" width="8" style="137" customWidth="1"/>
    <col min="10762" max="10762" width="10.5546875" style="137" bestFit="1" customWidth="1"/>
    <col min="10763" max="10763" width="12.109375" style="137" bestFit="1" customWidth="1"/>
    <col min="10764" max="10764" width="8.109375" style="137" bestFit="1" customWidth="1"/>
    <col min="10765" max="10765" width="10.5546875" style="137" bestFit="1" customWidth="1"/>
    <col min="10766" max="10766" width="12.109375" style="137" bestFit="1" customWidth="1"/>
    <col min="10767" max="10767" width="18.109375" style="137" bestFit="1" customWidth="1"/>
    <col min="10768" max="10768" width="10.5546875" style="137" bestFit="1" customWidth="1"/>
    <col min="10769" max="11004" width="8.5546875" style="137"/>
    <col min="11005" max="11005" width="38.109375" style="137" customWidth="1"/>
    <col min="11006" max="11006" width="23.44140625" style="137" bestFit="1" customWidth="1"/>
    <col min="11007" max="11008" width="9.109375" style="137" customWidth="1"/>
    <col min="11009" max="11009" width="11.109375" style="137" bestFit="1" customWidth="1"/>
    <col min="11010" max="11010" width="14.44140625" style="137" bestFit="1" customWidth="1"/>
    <col min="11011" max="11011" width="8.109375" style="137" customWidth="1"/>
    <col min="11012" max="11012" width="10.5546875" style="137" bestFit="1" customWidth="1"/>
    <col min="11013" max="11013" width="12.109375" style="137" bestFit="1" customWidth="1"/>
    <col min="11014" max="11014" width="9.109375" style="137" customWidth="1"/>
    <col min="11015" max="11015" width="10.5546875" style="137" bestFit="1" customWidth="1"/>
    <col min="11016" max="11016" width="12.109375" style="137" bestFit="1" customWidth="1"/>
    <col min="11017" max="11017" width="8" style="137" customWidth="1"/>
    <col min="11018" max="11018" width="10.5546875" style="137" bestFit="1" customWidth="1"/>
    <col min="11019" max="11019" width="12.109375" style="137" bestFit="1" customWidth="1"/>
    <col min="11020" max="11020" width="8.109375" style="137" bestFit="1" customWidth="1"/>
    <col min="11021" max="11021" width="10.5546875" style="137" bestFit="1" customWidth="1"/>
    <col min="11022" max="11022" width="12.109375" style="137" bestFit="1" customWidth="1"/>
    <col min="11023" max="11023" width="18.109375" style="137" bestFit="1" customWidth="1"/>
    <col min="11024" max="11024" width="10.5546875" style="137" bestFit="1" customWidth="1"/>
    <col min="11025" max="11260" width="8.5546875" style="137"/>
    <col min="11261" max="11261" width="38.109375" style="137" customWidth="1"/>
    <col min="11262" max="11262" width="23.44140625" style="137" bestFit="1" customWidth="1"/>
    <col min="11263" max="11264" width="9.109375" style="137" customWidth="1"/>
    <col min="11265" max="11265" width="11.109375" style="137" bestFit="1" customWidth="1"/>
    <col min="11266" max="11266" width="14.44140625" style="137" bestFit="1" customWidth="1"/>
    <col min="11267" max="11267" width="8.109375" style="137" customWidth="1"/>
    <col min="11268" max="11268" width="10.5546875" style="137" bestFit="1" customWidth="1"/>
    <col min="11269" max="11269" width="12.109375" style="137" bestFit="1" customWidth="1"/>
    <col min="11270" max="11270" width="9.109375" style="137" customWidth="1"/>
    <col min="11271" max="11271" width="10.5546875" style="137" bestFit="1" customWidth="1"/>
    <col min="11272" max="11272" width="12.109375" style="137" bestFit="1" customWidth="1"/>
    <col min="11273" max="11273" width="8" style="137" customWidth="1"/>
    <col min="11274" max="11274" width="10.5546875" style="137" bestFit="1" customWidth="1"/>
    <col min="11275" max="11275" width="12.109375" style="137" bestFit="1" customWidth="1"/>
    <col min="11276" max="11276" width="8.109375" style="137" bestFit="1" customWidth="1"/>
    <col min="11277" max="11277" width="10.5546875" style="137" bestFit="1" customWidth="1"/>
    <col min="11278" max="11278" width="12.109375" style="137" bestFit="1" customWidth="1"/>
    <col min="11279" max="11279" width="18.109375" style="137" bestFit="1" customWidth="1"/>
    <col min="11280" max="11280" width="10.5546875" style="137" bestFit="1" customWidth="1"/>
    <col min="11281" max="11516" width="8.5546875" style="137"/>
    <col min="11517" max="11517" width="38.109375" style="137" customWidth="1"/>
    <col min="11518" max="11518" width="23.44140625" style="137" bestFit="1" customWidth="1"/>
    <col min="11519" max="11520" width="9.109375" style="137" customWidth="1"/>
    <col min="11521" max="11521" width="11.109375" style="137" bestFit="1" customWidth="1"/>
    <col min="11522" max="11522" width="14.44140625" style="137" bestFit="1" customWidth="1"/>
    <col min="11523" max="11523" width="8.109375" style="137" customWidth="1"/>
    <col min="11524" max="11524" width="10.5546875" style="137" bestFit="1" customWidth="1"/>
    <col min="11525" max="11525" width="12.109375" style="137" bestFit="1" customWidth="1"/>
    <col min="11526" max="11526" width="9.109375" style="137" customWidth="1"/>
    <col min="11527" max="11527" width="10.5546875" style="137" bestFit="1" customWidth="1"/>
    <col min="11528" max="11528" width="12.109375" style="137" bestFit="1" customWidth="1"/>
    <col min="11529" max="11529" width="8" style="137" customWidth="1"/>
    <col min="11530" max="11530" width="10.5546875" style="137" bestFit="1" customWidth="1"/>
    <col min="11531" max="11531" width="12.109375" style="137" bestFit="1" customWidth="1"/>
    <col min="11532" max="11532" width="8.109375" style="137" bestFit="1" customWidth="1"/>
    <col min="11533" max="11533" width="10.5546875" style="137" bestFit="1" customWidth="1"/>
    <col min="11534" max="11534" width="12.109375" style="137" bestFit="1" customWidth="1"/>
    <col min="11535" max="11535" width="18.109375" style="137" bestFit="1" customWidth="1"/>
    <col min="11536" max="11536" width="10.5546875" style="137" bestFit="1" customWidth="1"/>
    <col min="11537" max="11772" width="8.5546875" style="137"/>
    <col min="11773" max="11773" width="38.109375" style="137" customWidth="1"/>
    <col min="11774" max="11774" width="23.44140625" style="137" bestFit="1" customWidth="1"/>
    <col min="11775" max="11776" width="9.109375" style="137" customWidth="1"/>
    <col min="11777" max="11777" width="11.109375" style="137" bestFit="1" customWidth="1"/>
    <col min="11778" max="11778" width="14.44140625" style="137" bestFit="1" customWidth="1"/>
    <col min="11779" max="11779" width="8.109375" style="137" customWidth="1"/>
    <col min="11780" max="11780" width="10.5546875" style="137" bestFit="1" customWidth="1"/>
    <col min="11781" max="11781" width="12.109375" style="137" bestFit="1" customWidth="1"/>
    <col min="11782" max="11782" width="9.109375" style="137" customWidth="1"/>
    <col min="11783" max="11783" width="10.5546875" style="137" bestFit="1" customWidth="1"/>
    <col min="11784" max="11784" width="12.109375" style="137" bestFit="1" customWidth="1"/>
    <col min="11785" max="11785" width="8" style="137" customWidth="1"/>
    <col min="11786" max="11786" width="10.5546875" style="137" bestFit="1" customWidth="1"/>
    <col min="11787" max="11787" width="12.109375" style="137" bestFit="1" customWidth="1"/>
    <col min="11788" max="11788" width="8.109375" style="137" bestFit="1" customWidth="1"/>
    <col min="11789" max="11789" width="10.5546875" style="137" bestFit="1" customWidth="1"/>
    <col min="11790" max="11790" width="12.109375" style="137" bestFit="1" customWidth="1"/>
    <col min="11791" max="11791" width="18.109375" style="137" bestFit="1" customWidth="1"/>
    <col min="11792" max="11792" width="10.5546875" style="137" bestFit="1" customWidth="1"/>
    <col min="11793" max="12028" width="8.5546875" style="137"/>
    <col min="12029" max="12029" width="38.109375" style="137" customWidth="1"/>
    <col min="12030" max="12030" width="23.44140625" style="137" bestFit="1" customWidth="1"/>
    <col min="12031" max="12032" width="9.109375" style="137" customWidth="1"/>
    <col min="12033" max="12033" width="11.109375" style="137" bestFit="1" customWidth="1"/>
    <col min="12034" max="12034" width="14.44140625" style="137" bestFit="1" customWidth="1"/>
    <col min="12035" max="12035" width="8.109375" style="137" customWidth="1"/>
    <col min="12036" max="12036" width="10.5546875" style="137" bestFit="1" customWidth="1"/>
    <col min="12037" max="12037" width="12.109375" style="137" bestFit="1" customWidth="1"/>
    <col min="12038" max="12038" width="9.109375" style="137" customWidth="1"/>
    <col min="12039" max="12039" width="10.5546875" style="137" bestFit="1" customWidth="1"/>
    <col min="12040" max="12040" width="12.109375" style="137" bestFit="1" customWidth="1"/>
    <col min="12041" max="12041" width="8" style="137" customWidth="1"/>
    <col min="12042" max="12042" width="10.5546875" style="137" bestFit="1" customWidth="1"/>
    <col min="12043" max="12043" width="12.109375" style="137" bestFit="1" customWidth="1"/>
    <col min="12044" max="12044" width="8.109375" style="137" bestFit="1" customWidth="1"/>
    <col min="12045" max="12045" width="10.5546875" style="137" bestFit="1" customWidth="1"/>
    <col min="12046" max="12046" width="12.109375" style="137" bestFit="1" customWidth="1"/>
    <col min="12047" max="12047" width="18.109375" style="137" bestFit="1" customWidth="1"/>
    <col min="12048" max="12048" width="10.5546875" style="137" bestFit="1" customWidth="1"/>
    <col min="12049" max="12284" width="8.5546875" style="137"/>
    <col min="12285" max="12285" width="38.109375" style="137" customWidth="1"/>
    <col min="12286" max="12286" width="23.44140625" style="137" bestFit="1" customWidth="1"/>
    <col min="12287" max="12288" width="9.109375" style="137" customWidth="1"/>
    <col min="12289" max="12289" width="11.109375" style="137" bestFit="1" customWidth="1"/>
    <col min="12290" max="12290" width="14.44140625" style="137" bestFit="1" customWidth="1"/>
    <col min="12291" max="12291" width="8.109375" style="137" customWidth="1"/>
    <col min="12292" max="12292" width="10.5546875" style="137" bestFit="1" customWidth="1"/>
    <col min="12293" max="12293" width="12.109375" style="137" bestFit="1" customWidth="1"/>
    <col min="12294" max="12294" width="9.109375" style="137" customWidth="1"/>
    <col min="12295" max="12295" width="10.5546875" style="137" bestFit="1" customWidth="1"/>
    <col min="12296" max="12296" width="12.109375" style="137" bestFit="1" customWidth="1"/>
    <col min="12297" max="12297" width="8" style="137" customWidth="1"/>
    <col min="12298" max="12298" width="10.5546875" style="137" bestFit="1" customWidth="1"/>
    <col min="12299" max="12299" width="12.109375" style="137" bestFit="1" customWidth="1"/>
    <col min="12300" max="12300" width="8.109375" style="137" bestFit="1" customWidth="1"/>
    <col min="12301" max="12301" width="10.5546875" style="137" bestFit="1" customWidth="1"/>
    <col min="12302" max="12302" width="12.109375" style="137" bestFit="1" customWidth="1"/>
    <col min="12303" max="12303" width="18.109375" style="137" bestFit="1" customWidth="1"/>
    <col min="12304" max="12304" width="10.5546875" style="137" bestFit="1" customWidth="1"/>
    <col min="12305" max="12540" width="8.5546875" style="137"/>
    <col min="12541" max="12541" width="38.109375" style="137" customWidth="1"/>
    <col min="12542" max="12542" width="23.44140625" style="137" bestFit="1" customWidth="1"/>
    <col min="12543" max="12544" width="9.109375" style="137" customWidth="1"/>
    <col min="12545" max="12545" width="11.109375" style="137" bestFit="1" customWidth="1"/>
    <col min="12546" max="12546" width="14.44140625" style="137" bestFit="1" customWidth="1"/>
    <col min="12547" max="12547" width="8.109375" style="137" customWidth="1"/>
    <col min="12548" max="12548" width="10.5546875" style="137" bestFit="1" customWidth="1"/>
    <col min="12549" max="12549" width="12.109375" style="137" bestFit="1" customWidth="1"/>
    <col min="12550" max="12550" width="9.109375" style="137" customWidth="1"/>
    <col min="12551" max="12551" width="10.5546875" style="137" bestFit="1" customWidth="1"/>
    <col min="12552" max="12552" width="12.109375" style="137" bestFit="1" customWidth="1"/>
    <col min="12553" max="12553" width="8" style="137" customWidth="1"/>
    <col min="12554" max="12554" width="10.5546875" style="137" bestFit="1" customWidth="1"/>
    <col min="12555" max="12555" width="12.109375" style="137" bestFit="1" customWidth="1"/>
    <col min="12556" max="12556" width="8.109375" style="137" bestFit="1" customWidth="1"/>
    <col min="12557" max="12557" width="10.5546875" style="137" bestFit="1" customWidth="1"/>
    <col min="12558" max="12558" width="12.109375" style="137" bestFit="1" customWidth="1"/>
    <col min="12559" max="12559" width="18.109375" style="137" bestFit="1" customWidth="1"/>
    <col min="12560" max="12560" width="10.5546875" style="137" bestFit="1" customWidth="1"/>
    <col min="12561" max="12796" width="8.5546875" style="137"/>
    <col min="12797" max="12797" width="38.109375" style="137" customWidth="1"/>
    <col min="12798" max="12798" width="23.44140625" style="137" bestFit="1" customWidth="1"/>
    <col min="12799" max="12800" width="9.109375" style="137" customWidth="1"/>
    <col min="12801" max="12801" width="11.109375" style="137" bestFit="1" customWidth="1"/>
    <col min="12802" max="12802" width="14.44140625" style="137" bestFit="1" customWidth="1"/>
    <col min="12803" max="12803" width="8.109375" style="137" customWidth="1"/>
    <col min="12804" max="12804" width="10.5546875" style="137" bestFit="1" customWidth="1"/>
    <col min="12805" max="12805" width="12.109375" style="137" bestFit="1" customWidth="1"/>
    <col min="12806" max="12806" width="9.109375" style="137" customWidth="1"/>
    <col min="12807" max="12807" width="10.5546875" style="137" bestFit="1" customWidth="1"/>
    <col min="12808" max="12808" width="12.109375" style="137" bestFit="1" customWidth="1"/>
    <col min="12809" max="12809" width="8" style="137" customWidth="1"/>
    <col min="12810" max="12810" width="10.5546875" style="137" bestFit="1" customWidth="1"/>
    <col min="12811" max="12811" width="12.109375" style="137" bestFit="1" customWidth="1"/>
    <col min="12812" max="12812" width="8.109375" style="137" bestFit="1" customWidth="1"/>
    <col min="12813" max="12813" width="10.5546875" style="137" bestFit="1" customWidth="1"/>
    <col min="12814" max="12814" width="12.109375" style="137" bestFit="1" customWidth="1"/>
    <col min="12815" max="12815" width="18.109375" style="137" bestFit="1" customWidth="1"/>
    <col min="12816" max="12816" width="10.5546875" style="137" bestFit="1" customWidth="1"/>
    <col min="12817" max="13052" width="8.5546875" style="137"/>
    <col min="13053" max="13053" width="38.109375" style="137" customWidth="1"/>
    <col min="13054" max="13054" width="23.44140625" style="137" bestFit="1" customWidth="1"/>
    <col min="13055" max="13056" width="9.109375" style="137" customWidth="1"/>
    <col min="13057" max="13057" width="11.109375" style="137" bestFit="1" customWidth="1"/>
    <col min="13058" max="13058" width="14.44140625" style="137" bestFit="1" customWidth="1"/>
    <col min="13059" max="13059" width="8.109375" style="137" customWidth="1"/>
    <col min="13060" max="13060" width="10.5546875" style="137" bestFit="1" customWidth="1"/>
    <col min="13061" max="13061" width="12.109375" style="137" bestFit="1" customWidth="1"/>
    <col min="13062" max="13062" width="9.109375" style="137" customWidth="1"/>
    <col min="13063" max="13063" width="10.5546875" style="137" bestFit="1" customWidth="1"/>
    <col min="13064" max="13064" width="12.109375" style="137" bestFit="1" customWidth="1"/>
    <col min="13065" max="13065" width="8" style="137" customWidth="1"/>
    <col min="13066" max="13066" width="10.5546875" style="137" bestFit="1" customWidth="1"/>
    <col min="13067" max="13067" width="12.109375" style="137" bestFit="1" customWidth="1"/>
    <col min="13068" max="13068" width="8.109375" style="137" bestFit="1" customWidth="1"/>
    <col min="13069" max="13069" width="10.5546875" style="137" bestFit="1" customWidth="1"/>
    <col min="13070" max="13070" width="12.109375" style="137" bestFit="1" customWidth="1"/>
    <col min="13071" max="13071" width="18.109375" style="137" bestFit="1" customWidth="1"/>
    <col min="13072" max="13072" width="10.5546875" style="137" bestFit="1" customWidth="1"/>
    <col min="13073" max="13308" width="8.5546875" style="137"/>
    <col min="13309" max="13309" width="38.109375" style="137" customWidth="1"/>
    <col min="13310" max="13310" width="23.44140625" style="137" bestFit="1" customWidth="1"/>
    <col min="13311" max="13312" width="9.109375" style="137" customWidth="1"/>
    <col min="13313" max="13313" width="11.109375" style="137" bestFit="1" customWidth="1"/>
    <col min="13314" max="13314" width="14.44140625" style="137" bestFit="1" customWidth="1"/>
    <col min="13315" max="13315" width="8.109375" style="137" customWidth="1"/>
    <col min="13316" max="13316" width="10.5546875" style="137" bestFit="1" customWidth="1"/>
    <col min="13317" max="13317" width="12.109375" style="137" bestFit="1" customWidth="1"/>
    <col min="13318" max="13318" width="9.109375" style="137" customWidth="1"/>
    <col min="13319" max="13319" width="10.5546875" style="137" bestFit="1" customWidth="1"/>
    <col min="13320" max="13320" width="12.109375" style="137" bestFit="1" customWidth="1"/>
    <col min="13321" max="13321" width="8" style="137" customWidth="1"/>
    <col min="13322" max="13322" width="10.5546875" style="137" bestFit="1" customWidth="1"/>
    <col min="13323" max="13323" width="12.109375" style="137" bestFit="1" customWidth="1"/>
    <col min="13324" max="13324" width="8.109375" style="137" bestFit="1" customWidth="1"/>
    <col min="13325" max="13325" width="10.5546875" style="137" bestFit="1" customWidth="1"/>
    <col min="13326" max="13326" width="12.109375" style="137" bestFit="1" customWidth="1"/>
    <col min="13327" max="13327" width="18.109375" style="137" bestFit="1" customWidth="1"/>
    <col min="13328" max="13328" width="10.5546875" style="137" bestFit="1" customWidth="1"/>
    <col min="13329" max="13564" width="8.5546875" style="137"/>
    <col min="13565" max="13565" width="38.109375" style="137" customWidth="1"/>
    <col min="13566" max="13566" width="23.44140625" style="137" bestFit="1" customWidth="1"/>
    <col min="13567" max="13568" width="9.109375" style="137" customWidth="1"/>
    <col min="13569" max="13569" width="11.109375" style="137" bestFit="1" customWidth="1"/>
    <col min="13570" max="13570" width="14.44140625" style="137" bestFit="1" customWidth="1"/>
    <col min="13571" max="13571" width="8.109375" style="137" customWidth="1"/>
    <col min="13572" max="13572" width="10.5546875" style="137" bestFit="1" customWidth="1"/>
    <col min="13573" max="13573" width="12.109375" style="137" bestFit="1" customWidth="1"/>
    <col min="13574" max="13574" width="9.109375" style="137" customWidth="1"/>
    <col min="13575" max="13575" width="10.5546875" style="137" bestFit="1" customWidth="1"/>
    <col min="13576" max="13576" width="12.109375" style="137" bestFit="1" customWidth="1"/>
    <col min="13577" max="13577" width="8" style="137" customWidth="1"/>
    <col min="13578" max="13578" width="10.5546875" style="137" bestFit="1" customWidth="1"/>
    <col min="13579" max="13579" width="12.109375" style="137" bestFit="1" customWidth="1"/>
    <col min="13580" max="13580" width="8.109375" style="137" bestFit="1" customWidth="1"/>
    <col min="13581" max="13581" width="10.5546875" style="137" bestFit="1" customWidth="1"/>
    <col min="13582" max="13582" width="12.109375" style="137" bestFit="1" customWidth="1"/>
    <col min="13583" max="13583" width="18.109375" style="137" bestFit="1" customWidth="1"/>
    <col min="13584" max="13584" width="10.5546875" style="137" bestFit="1" customWidth="1"/>
    <col min="13585" max="13820" width="8.5546875" style="137"/>
    <col min="13821" max="13821" width="38.109375" style="137" customWidth="1"/>
    <col min="13822" max="13822" width="23.44140625" style="137" bestFit="1" customWidth="1"/>
    <col min="13823" max="13824" width="9.109375" style="137" customWidth="1"/>
    <col min="13825" max="13825" width="11.109375" style="137" bestFit="1" customWidth="1"/>
    <col min="13826" max="13826" width="14.44140625" style="137" bestFit="1" customWidth="1"/>
    <col min="13827" max="13827" width="8.109375" style="137" customWidth="1"/>
    <col min="13828" max="13828" width="10.5546875" style="137" bestFit="1" customWidth="1"/>
    <col min="13829" max="13829" width="12.109375" style="137" bestFit="1" customWidth="1"/>
    <col min="13830" max="13830" width="9.109375" style="137" customWidth="1"/>
    <col min="13831" max="13831" width="10.5546875" style="137" bestFit="1" customWidth="1"/>
    <col min="13832" max="13832" width="12.109375" style="137" bestFit="1" customWidth="1"/>
    <col min="13833" max="13833" width="8" style="137" customWidth="1"/>
    <col min="13834" max="13834" width="10.5546875" style="137" bestFit="1" customWidth="1"/>
    <col min="13835" max="13835" width="12.109375" style="137" bestFit="1" customWidth="1"/>
    <col min="13836" max="13836" width="8.109375" style="137" bestFit="1" customWidth="1"/>
    <col min="13837" max="13837" width="10.5546875" style="137" bestFit="1" customWidth="1"/>
    <col min="13838" max="13838" width="12.109375" style="137" bestFit="1" customWidth="1"/>
    <col min="13839" max="13839" width="18.109375" style="137" bestFit="1" customWidth="1"/>
    <col min="13840" max="13840" width="10.5546875" style="137" bestFit="1" customWidth="1"/>
    <col min="13841" max="14076" width="8.5546875" style="137"/>
    <col min="14077" max="14077" width="38.109375" style="137" customWidth="1"/>
    <col min="14078" max="14078" width="23.44140625" style="137" bestFit="1" customWidth="1"/>
    <col min="14079" max="14080" width="9.109375" style="137" customWidth="1"/>
    <col min="14081" max="14081" width="11.109375" style="137" bestFit="1" customWidth="1"/>
    <col min="14082" max="14082" width="14.44140625" style="137" bestFit="1" customWidth="1"/>
    <col min="14083" max="14083" width="8.109375" style="137" customWidth="1"/>
    <col min="14084" max="14084" width="10.5546875" style="137" bestFit="1" customWidth="1"/>
    <col min="14085" max="14085" width="12.109375" style="137" bestFit="1" customWidth="1"/>
    <col min="14086" max="14086" width="9.109375" style="137" customWidth="1"/>
    <col min="14087" max="14087" width="10.5546875" style="137" bestFit="1" customWidth="1"/>
    <col min="14088" max="14088" width="12.109375" style="137" bestFit="1" customWidth="1"/>
    <col min="14089" max="14089" width="8" style="137" customWidth="1"/>
    <col min="14090" max="14090" width="10.5546875" style="137" bestFit="1" customWidth="1"/>
    <col min="14091" max="14091" width="12.109375" style="137" bestFit="1" customWidth="1"/>
    <col min="14092" max="14092" width="8.109375" style="137" bestFit="1" customWidth="1"/>
    <col min="14093" max="14093" width="10.5546875" style="137" bestFit="1" customWidth="1"/>
    <col min="14094" max="14094" width="12.109375" style="137" bestFit="1" customWidth="1"/>
    <col min="14095" max="14095" width="18.109375" style="137" bestFit="1" customWidth="1"/>
    <col min="14096" max="14096" width="10.5546875" style="137" bestFit="1" customWidth="1"/>
    <col min="14097" max="14332" width="8.5546875" style="137"/>
    <col min="14333" max="14333" width="38.109375" style="137" customWidth="1"/>
    <col min="14334" max="14334" width="23.44140625" style="137" bestFit="1" customWidth="1"/>
    <col min="14335" max="14336" width="9.109375" style="137" customWidth="1"/>
    <col min="14337" max="14337" width="11.109375" style="137" bestFit="1" customWidth="1"/>
    <col min="14338" max="14338" width="14.44140625" style="137" bestFit="1" customWidth="1"/>
    <col min="14339" max="14339" width="8.109375" style="137" customWidth="1"/>
    <col min="14340" max="14340" width="10.5546875" style="137" bestFit="1" customWidth="1"/>
    <col min="14341" max="14341" width="12.109375" style="137" bestFit="1" customWidth="1"/>
    <col min="14342" max="14342" width="9.109375" style="137" customWidth="1"/>
    <col min="14343" max="14343" width="10.5546875" style="137" bestFit="1" customWidth="1"/>
    <col min="14344" max="14344" width="12.109375" style="137" bestFit="1" customWidth="1"/>
    <col min="14345" max="14345" width="8" style="137" customWidth="1"/>
    <col min="14346" max="14346" width="10.5546875" style="137" bestFit="1" customWidth="1"/>
    <col min="14347" max="14347" width="12.109375" style="137" bestFit="1" customWidth="1"/>
    <col min="14348" max="14348" width="8.109375" style="137" bestFit="1" customWidth="1"/>
    <col min="14349" max="14349" width="10.5546875" style="137" bestFit="1" customWidth="1"/>
    <col min="14350" max="14350" width="12.109375" style="137" bestFit="1" customWidth="1"/>
    <col min="14351" max="14351" width="18.109375" style="137" bestFit="1" customWidth="1"/>
    <col min="14352" max="14352" width="10.5546875" style="137" bestFit="1" customWidth="1"/>
    <col min="14353" max="14588" width="8.5546875" style="137"/>
    <col min="14589" max="14589" width="38.109375" style="137" customWidth="1"/>
    <col min="14590" max="14590" width="23.44140625" style="137" bestFit="1" customWidth="1"/>
    <col min="14591" max="14592" width="9.109375" style="137" customWidth="1"/>
    <col min="14593" max="14593" width="11.109375" style="137" bestFit="1" customWidth="1"/>
    <col min="14594" max="14594" width="14.44140625" style="137" bestFit="1" customWidth="1"/>
    <col min="14595" max="14595" width="8.109375" style="137" customWidth="1"/>
    <col min="14596" max="14596" width="10.5546875" style="137" bestFit="1" customWidth="1"/>
    <col min="14597" max="14597" width="12.109375" style="137" bestFit="1" customWidth="1"/>
    <col min="14598" max="14598" width="9.109375" style="137" customWidth="1"/>
    <col min="14599" max="14599" width="10.5546875" style="137" bestFit="1" customWidth="1"/>
    <col min="14600" max="14600" width="12.109375" style="137" bestFit="1" customWidth="1"/>
    <col min="14601" max="14601" width="8" style="137" customWidth="1"/>
    <col min="14602" max="14602" width="10.5546875" style="137" bestFit="1" customWidth="1"/>
    <col min="14603" max="14603" width="12.109375" style="137" bestFit="1" customWidth="1"/>
    <col min="14604" max="14604" width="8.109375" style="137" bestFit="1" customWidth="1"/>
    <col min="14605" max="14605" width="10.5546875" style="137" bestFit="1" customWidth="1"/>
    <col min="14606" max="14606" width="12.109375" style="137" bestFit="1" customWidth="1"/>
    <col min="14607" max="14607" width="18.109375" style="137" bestFit="1" customWidth="1"/>
    <col min="14608" max="14608" width="10.5546875" style="137" bestFit="1" customWidth="1"/>
    <col min="14609" max="14844" width="8.5546875" style="137"/>
    <col min="14845" max="14845" width="38.109375" style="137" customWidth="1"/>
    <col min="14846" max="14846" width="23.44140625" style="137" bestFit="1" customWidth="1"/>
    <col min="14847" max="14848" width="9.109375" style="137" customWidth="1"/>
    <col min="14849" max="14849" width="11.109375" style="137" bestFit="1" customWidth="1"/>
    <col min="14850" max="14850" width="14.44140625" style="137" bestFit="1" customWidth="1"/>
    <col min="14851" max="14851" width="8.109375" style="137" customWidth="1"/>
    <col min="14852" max="14852" width="10.5546875" style="137" bestFit="1" customWidth="1"/>
    <col min="14853" max="14853" width="12.109375" style="137" bestFit="1" customWidth="1"/>
    <col min="14854" max="14854" width="9.109375" style="137" customWidth="1"/>
    <col min="14855" max="14855" width="10.5546875" style="137" bestFit="1" customWidth="1"/>
    <col min="14856" max="14856" width="12.109375" style="137" bestFit="1" customWidth="1"/>
    <col min="14857" max="14857" width="8" style="137" customWidth="1"/>
    <col min="14858" max="14858" width="10.5546875" style="137" bestFit="1" customWidth="1"/>
    <col min="14859" max="14859" width="12.109375" style="137" bestFit="1" customWidth="1"/>
    <col min="14860" max="14860" width="8.109375" style="137" bestFit="1" customWidth="1"/>
    <col min="14861" max="14861" width="10.5546875" style="137" bestFit="1" customWidth="1"/>
    <col min="14862" max="14862" width="12.109375" style="137" bestFit="1" customWidth="1"/>
    <col min="14863" max="14863" width="18.109375" style="137" bestFit="1" customWidth="1"/>
    <col min="14864" max="14864" width="10.5546875" style="137" bestFit="1" customWidth="1"/>
    <col min="14865" max="15100" width="8.5546875" style="137"/>
    <col min="15101" max="15101" width="38.109375" style="137" customWidth="1"/>
    <col min="15102" max="15102" width="23.44140625" style="137" bestFit="1" customWidth="1"/>
    <col min="15103" max="15104" width="9.109375" style="137" customWidth="1"/>
    <col min="15105" max="15105" width="11.109375" style="137" bestFit="1" customWidth="1"/>
    <col min="15106" max="15106" width="14.44140625" style="137" bestFit="1" customWidth="1"/>
    <col min="15107" max="15107" width="8.109375" style="137" customWidth="1"/>
    <col min="15108" max="15108" width="10.5546875" style="137" bestFit="1" customWidth="1"/>
    <col min="15109" max="15109" width="12.109375" style="137" bestFit="1" customWidth="1"/>
    <col min="15110" max="15110" width="9.109375" style="137" customWidth="1"/>
    <col min="15111" max="15111" width="10.5546875" style="137" bestFit="1" customWidth="1"/>
    <col min="15112" max="15112" width="12.109375" style="137" bestFit="1" customWidth="1"/>
    <col min="15113" max="15113" width="8" style="137" customWidth="1"/>
    <col min="15114" max="15114" width="10.5546875" style="137" bestFit="1" customWidth="1"/>
    <col min="15115" max="15115" width="12.109375" style="137" bestFit="1" customWidth="1"/>
    <col min="15116" max="15116" width="8.109375" style="137" bestFit="1" customWidth="1"/>
    <col min="15117" max="15117" width="10.5546875" style="137" bestFit="1" customWidth="1"/>
    <col min="15118" max="15118" width="12.109375" style="137" bestFit="1" customWidth="1"/>
    <col min="15119" max="15119" width="18.109375" style="137" bestFit="1" customWidth="1"/>
    <col min="15120" max="15120" width="10.5546875" style="137" bestFit="1" customWidth="1"/>
    <col min="15121" max="15356" width="8.5546875" style="137"/>
    <col min="15357" max="15357" width="38.109375" style="137" customWidth="1"/>
    <col min="15358" max="15358" width="23.44140625" style="137" bestFit="1" customWidth="1"/>
    <col min="15359" max="15360" width="9.109375" style="137" customWidth="1"/>
    <col min="15361" max="15361" width="11.109375" style="137" bestFit="1" customWidth="1"/>
    <col min="15362" max="15362" width="14.44140625" style="137" bestFit="1" customWidth="1"/>
    <col min="15363" max="15363" width="8.109375" style="137" customWidth="1"/>
    <col min="15364" max="15364" width="10.5546875" style="137" bestFit="1" customWidth="1"/>
    <col min="15365" max="15365" width="12.109375" style="137" bestFit="1" customWidth="1"/>
    <col min="15366" max="15366" width="9.109375" style="137" customWidth="1"/>
    <col min="15367" max="15367" width="10.5546875" style="137" bestFit="1" customWidth="1"/>
    <col min="15368" max="15368" width="12.109375" style="137" bestFit="1" customWidth="1"/>
    <col min="15369" max="15369" width="8" style="137" customWidth="1"/>
    <col min="15370" max="15370" width="10.5546875" style="137" bestFit="1" customWidth="1"/>
    <col min="15371" max="15371" width="12.109375" style="137" bestFit="1" customWidth="1"/>
    <col min="15372" max="15372" width="8.109375" style="137" bestFit="1" customWidth="1"/>
    <col min="15373" max="15373" width="10.5546875" style="137" bestFit="1" customWidth="1"/>
    <col min="15374" max="15374" width="12.109375" style="137" bestFit="1" customWidth="1"/>
    <col min="15375" max="15375" width="18.109375" style="137" bestFit="1" customWidth="1"/>
    <col min="15376" max="15376" width="10.5546875" style="137" bestFit="1" customWidth="1"/>
    <col min="15377" max="15612" width="8.5546875" style="137"/>
    <col min="15613" max="15613" width="38.109375" style="137" customWidth="1"/>
    <col min="15614" max="15614" width="23.44140625" style="137" bestFit="1" customWidth="1"/>
    <col min="15615" max="15616" width="9.109375" style="137" customWidth="1"/>
    <col min="15617" max="15617" width="11.109375" style="137" bestFit="1" customWidth="1"/>
    <col min="15618" max="15618" width="14.44140625" style="137" bestFit="1" customWidth="1"/>
    <col min="15619" max="15619" width="8.109375" style="137" customWidth="1"/>
    <col min="15620" max="15620" width="10.5546875" style="137" bestFit="1" customWidth="1"/>
    <col min="15621" max="15621" width="12.109375" style="137" bestFit="1" customWidth="1"/>
    <col min="15622" max="15622" width="9.109375" style="137" customWidth="1"/>
    <col min="15623" max="15623" width="10.5546875" style="137" bestFit="1" customWidth="1"/>
    <col min="15624" max="15624" width="12.109375" style="137" bestFit="1" customWidth="1"/>
    <col min="15625" max="15625" width="8" style="137" customWidth="1"/>
    <col min="15626" max="15626" width="10.5546875" style="137" bestFit="1" customWidth="1"/>
    <col min="15627" max="15627" width="12.109375" style="137" bestFit="1" customWidth="1"/>
    <col min="15628" max="15628" width="8.109375" style="137" bestFit="1" customWidth="1"/>
    <col min="15629" max="15629" width="10.5546875" style="137" bestFit="1" customWidth="1"/>
    <col min="15630" max="15630" width="12.109375" style="137" bestFit="1" customWidth="1"/>
    <col min="15631" max="15631" width="18.109375" style="137" bestFit="1" customWidth="1"/>
    <col min="15632" max="15632" width="10.5546875" style="137" bestFit="1" customWidth="1"/>
    <col min="15633" max="15868" width="8.5546875" style="137"/>
    <col min="15869" max="15869" width="38.109375" style="137" customWidth="1"/>
    <col min="15870" max="15870" width="23.44140625" style="137" bestFit="1" customWidth="1"/>
    <col min="15871" max="15872" width="9.109375" style="137" customWidth="1"/>
    <col min="15873" max="15873" width="11.109375" style="137" bestFit="1" customWidth="1"/>
    <col min="15874" max="15874" width="14.44140625" style="137" bestFit="1" customWidth="1"/>
    <col min="15875" max="15875" width="8.109375" style="137" customWidth="1"/>
    <col min="15876" max="15876" width="10.5546875" style="137" bestFit="1" customWidth="1"/>
    <col min="15877" max="15877" width="12.109375" style="137" bestFit="1" customWidth="1"/>
    <col min="15878" max="15878" width="9.109375" style="137" customWidth="1"/>
    <col min="15879" max="15879" width="10.5546875" style="137" bestFit="1" customWidth="1"/>
    <col min="15880" max="15880" width="12.109375" style="137" bestFit="1" customWidth="1"/>
    <col min="15881" max="15881" width="8" style="137" customWidth="1"/>
    <col min="15882" max="15882" width="10.5546875" style="137" bestFit="1" customWidth="1"/>
    <col min="15883" max="15883" width="12.109375" style="137" bestFit="1" customWidth="1"/>
    <col min="15884" max="15884" width="8.109375" style="137" bestFit="1" customWidth="1"/>
    <col min="15885" max="15885" width="10.5546875" style="137" bestFit="1" customWidth="1"/>
    <col min="15886" max="15886" width="12.109375" style="137" bestFit="1" customWidth="1"/>
    <col min="15887" max="15887" width="18.109375" style="137" bestFit="1" customWidth="1"/>
    <col min="15888" max="15888" width="10.5546875" style="137" bestFit="1" customWidth="1"/>
    <col min="15889" max="16124" width="8.5546875" style="137"/>
    <col min="16125" max="16125" width="38.109375" style="137" customWidth="1"/>
    <col min="16126" max="16126" width="23.44140625" style="137" bestFit="1" customWidth="1"/>
    <col min="16127" max="16128" width="9.109375" style="137" customWidth="1"/>
    <col min="16129" max="16129" width="11.109375" style="137" bestFit="1" customWidth="1"/>
    <col min="16130" max="16130" width="14.44140625" style="137" bestFit="1" customWidth="1"/>
    <col min="16131" max="16131" width="8.109375" style="137" customWidth="1"/>
    <col min="16132" max="16132" width="10.5546875" style="137" bestFit="1" customWidth="1"/>
    <col min="16133" max="16133" width="12.109375" style="137" bestFit="1" customWidth="1"/>
    <col min="16134" max="16134" width="9.109375" style="137" customWidth="1"/>
    <col min="16135" max="16135" width="10.5546875" style="137" bestFit="1" customWidth="1"/>
    <col min="16136" max="16136" width="12.109375" style="137" bestFit="1" customWidth="1"/>
    <col min="16137" max="16137" width="8" style="137" customWidth="1"/>
    <col min="16138" max="16138" width="10.5546875" style="137" bestFit="1" customWidth="1"/>
    <col min="16139" max="16139" width="12.109375" style="137" bestFit="1" customWidth="1"/>
    <col min="16140" max="16140" width="8.109375" style="137" bestFit="1" customWidth="1"/>
    <col min="16141" max="16141" width="10.5546875" style="137" bestFit="1" customWidth="1"/>
    <col min="16142" max="16142" width="12.109375" style="137" bestFit="1" customWidth="1"/>
    <col min="16143" max="16143" width="18.109375" style="137" bestFit="1" customWidth="1"/>
    <col min="16144" max="16144" width="10.5546875" style="137" bestFit="1" customWidth="1"/>
    <col min="16145" max="16372" width="8.5546875" style="137"/>
    <col min="16373" max="16384" width="8.5546875" style="137" customWidth="1"/>
  </cols>
  <sheetData>
    <row r="1" spans="1:27" ht="14.7" thickBot="1"/>
    <row r="2" spans="1:27" ht="24" customHeight="1">
      <c r="A2" s="889" t="s">
        <v>62</v>
      </c>
      <c r="B2" s="885"/>
      <c r="C2" s="882" t="s">
        <v>64</v>
      </c>
      <c r="D2" s="886"/>
      <c r="E2" s="886"/>
      <c r="F2" s="887"/>
      <c r="G2" s="882" t="s">
        <v>65</v>
      </c>
      <c r="H2" s="886"/>
      <c r="I2" s="886"/>
      <c r="J2" s="887"/>
      <c r="K2" s="882" t="s">
        <v>66</v>
      </c>
      <c r="L2" s="886"/>
      <c r="M2" s="886"/>
      <c r="N2" s="887"/>
      <c r="O2" s="882" t="s">
        <v>67</v>
      </c>
      <c r="P2" s="886"/>
      <c r="Q2" s="886"/>
      <c r="R2" s="887"/>
      <c r="S2" s="882" t="s">
        <v>68</v>
      </c>
      <c r="T2" s="886"/>
      <c r="U2" s="886"/>
      <c r="V2" s="887"/>
      <c r="W2" s="883" t="s">
        <v>69</v>
      </c>
    </row>
    <row r="3" spans="1:27" ht="40.799999999999997">
      <c r="A3" s="890"/>
      <c r="B3" s="891"/>
      <c r="C3" s="144" t="s">
        <v>70</v>
      </c>
      <c r="D3" s="145" t="s">
        <v>71</v>
      </c>
      <c r="E3" s="146" t="s">
        <v>72</v>
      </c>
      <c r="F3" s="820" t="s">
        <v>69</v>
      </c>
      <c r="G3" s="144" t="s">
        <v>70</v>
      </c>
      <c r="H3" s="145" t="s">
        <v>71</v>
      </c>
      <c r="I3" s="147" t="s">
        <v>72</v>
      </c>
      <c r="J3" s="835" t="s">
        <v>69</v>
      </c>
      <c r="K3" s="144" t="s">
        <v>70</v>
      </c>
      <c r="L3" s="145" t="s">
        <v>71</v>
      </c>
      <c r="M3" s="146" t="s">
        <v>72</v>
      </c>
      <c r="N3" s="835" t="s">
        <v>69</v>
      </c>
      <c r="O3" s="144" t="s">
        <v>70</v>
      </c>
      <c r="P3" s="145" t="s">
        <v>71</v>
      </c>
      <c r="Q3" s="147" t="s">
        <v>72</v>
      </c>
      <c r="R3" s="835" t="s">
        <v>69</v>
      </c>
      <c r="S3" s="144" t="s">
        <v>70</v>
      </c>
      <c r="T3" s="145" t="s">
        <v>71</v>
      </c>
      <c r="U3" s="147" t="s">
        <v>72</v>
      </c>
      <c r="V3" s="835" t="s">
        <v>69</v>
      </c>
      <c r="W3" s="888"/>
    </row>
    <row r="4" spans="1:27" ht="20.399999999999999">
      <c r="A4" s="268" t="s">
        <v>73</v>
      </c>
      <c r="B4" s="148"/>
      <c r="C4" s="149"/>
      <c r="D4" s="150"/>
      <c r="E4" s="151"/>
      <c r="F4" s="821"/>
      <c r="G4" s="149"/>
      <c r="H4" s="150"/>
      <c r="I4" s="152"/>
      <c r="J4" s="836"/>
      <c r="K4" s="149"/>
      <c r="L4" s="150"/>
      <c r="M4" s="151"/>
      <c r="N4" s="836"/>
      <c r="O4" s="153"/>
      <c r="P4" s="150"/>
      <c r="Q4" s="152"/>
      <c r="R4" s="836"/>
      <c r="S4" s="153"/>
      <c r="T4" s="150"/>
      <c r="U4" s="152"/>
      <c r="V4" s="842"/>
      <c r="W4" s="836"/>
    </row>
    <row r="5" spans="1:27" s="162" customFormat="1" ht="16.5" customHeight="1" outlineLevel="1">
      <c r="A5" s="154" t="s">
        <v>47</v>
      </c>
      <c r="B5" s="155"/>
      <c r="C5" s="156"/>
      <c r="D5" s="157"/>
      <c r="E5" s="158"/>
      <c r="F5" s="822"/>
      <c r="G5" s="156"/>
      <c r="H5" s="157"/>
      <c r="I5" s="160"/>
      <c r="J5" s="837"/>
      <c r="K5" s="156"/>
      <c r="L5" s="157"/>
      <c r="M5" s="158"/>
      <c r="N5" s="837"/>
      <c r="O5" s="156"/>
      <c r="P5" s="157"/>
      <c r="Q5" s="160"/>
      <c r="R5" s="837"/>
      <c r="S5" s="156"/>
      <c r="T5" s="157"/>
      <c r="U5" s="160"/>
      <c r="V5" s="837"/>
      <c r="W5" s="843"/>
      <c r="X5" s="161"/>
      <c r="Y5" s="137"/>
      <c r="Z5" s="137"/>
      <c r="AA5" s="137"/>
    </row>
    <row r="6" spans="1:27" s="162" customFormat="1" ht="15.6" outlineLevel="1">
      <c r="A6" s="163" t="s">
        <v>74</v>
      </c>
      <c r="B6" s="164"/>
      <c r="C6" s="156"/>
      <c r="D6" s="157"/>
      <c r="E6" s="158"/>
      <c r="F6" s="822"/>
      <c r="G6" s="156"/>
      <c r="H6" s="157"/>
      <c r="I6" s="160"/>
      <c r="J6" s="837"/>
      <c r="K6" s="156"/>
      <c r="L6" s="157"/>
      <c r="M6" s="158"/>
      <c r="N6" s="837"/>
      <c r="O6" s="156"/>
      <c r="P6" s="157"/>
      <c r="Q6" s="160"/>
      <c r="R6" s="837"/>
      <c r="S6" s="156"/>
      <c r="T6" s="157"/>
      <c r="U6" s="160"/>
      <c r="V6" s="837"/>
      <c r="W6" s="843"/>
      <c r="X6" s="165"/>
      <c r="Y6" s="137"/>
      <c r="Z6" s="137"/>
      <c r="AA6" s="137"/>
    </row>
    <row r="7" spans="1:27" outlineLevel="1">
      <c r="A7" s="166" t="s">
        <v>75</v>
      </c>
      <c r="B7" s="181"/>
      <c r="D7" s="218"/>
      <c r="F7" s="823">
        <f>C7*D7*E7</f>
        <v>0</v>
      </c>
      <c r="H7" s="218"/>
      <c r="I7" s="140"/>
      <c r="J7" s="823">
        <f>G7*H7*I7</f>
        <v>0</v>
      </c>
      <c r="L7" s="218"/>
      <c r="N7" s="823">
        <f>K7*L7*M7</f>
        <v>0</v>
      </c>
      <c r="P7" s="218"/>
      <c r="Q7" s="140"/>
      <c r="R7" s="823">
        <f>O7*P7*Q7</f>
        <v>0</v>
      </c>
      <c r="T7" s="218"/>
      <c r="U7" s="140"/>
      <c r="V7" s="823">
        <f>S7*T7*U7</f>
        <v>0</v>
      </c>
      <c r="W7" s="838">
        <f t="shared" ref="W7" si="0">F7+J7+N7+R7+V7</f>
        <v>0</v>
      </c>
    </row>
    <row r="8" spans="1:27" ht="15" customHeight="1" outlineLevel="1">
      <c r="A8" s="175" t="s">
        <v>76</v>
      </c>
      <c r="B8" s="176"/>
      <c r="C8" s="177"/>
      <c r="D8" s="178"/>
      <c r="E8" s="179"/>
      <c r="F8" s="824">
        <f>SUM(F7:F7)</f>
        <v>0</v>
      </c>
      <c r="G8" s="177"/>
      <c r="H8" s="178"/>
      <c r="I8" s="180"/>
      <c r="J8" s="824">
        <f>SUM(J7:J7)</f>
        <v>0</v>
      </c>
      <c r="K8" s="177"/>
      <c r="L8" s="178"/>
      <c r="M8" s="179"/>
      <c r="N8" s="824">
        <f>SUM(N7:N7)</f>
        <v>0</v>
      </c>
      <c r="O8" s="177"/>
      <c r="P8" s="178"/>
      <c r="Q8" s="180"/>
      <c r="R8" s="824">
        <f>SUM(R7:R7)</f>
        <v>0</v>
      </c>
      <c r="S8" s="177"/>
      <c r="T8" s="178"/>
      <c r="U8" s="180"/>
      <c r="V8" s="824">
        <f>SUM(V7:V7)</f>
        <v>0</v>
      </c>
      <c r="W8" s="844">
        <f>+F8+J8+N8+R8+V8</f>
        <v>0</v>
      </c>
    </row>
    <row r="9" spans="1:27" s="162" customFormat="1" ht="15" customHeight="1" outlineLevel="1">
      <c r="A9" s="163" t="s">
        <v>77</v>
      </c>
      <c r="B9" s="181"/>
      <c r="C9" s="182"/>
      <c r="D9" s="183"/>
      <c r="E9" s="184"/>
      <c r="F9" s="823"/>
      <c r="G9" s="182"/>
      <c r="H9" s="183"/>
      <c r="I9" s="185"/>
      <c r="J9" s="838"/>
      <c r="K9" s="182"/>
      <c r="L9" s="183"/>
      <c r="M9" s="184"/>
      <c r="N9" s="838"/>
      <c r="O9" s="182"/>
      <c r="P9" s="183"/>
      <c r="Q9" s="185"/>
      <c r="R9" s="838"/>
      <c r="S9" s="182"/>
      <c r="T9" s="183"/>
      <c r="U9" s="185"/>
      <c r="V9" s="838"/>
      <c r="W9" s="838"/>
      <c r="X9" s="137"/>
      <c r="Y9" s="137"/>
      <c r="Z9" s="137"/>
      <c r="AA9" s="137"/>
    </row>
    <row r="10" spans="1:27" ht="15" customHeight="1" outlineLevel="1">
      <c r="A10" s="166" t="str">
        <f>'Program Budget'!D12</f>
        <v>Key Personnel: Chief of Party</v>
      </c>
      <c r="B10" s="167" t="str">
        <f>'Program Budget'!F12</f>
        <v>Month</v>
      </c>
      <c r="C10" s="168">
        <f>'Program Budget'!H12</f>
        <v>9583.3333333333339</v>
      </c>
      <c r="D10" s="169">
        <f>'Program Budget'!G12</f>
        <v>11</v>
      </c>
      <c r="E10" s="170">
        <f>'Program Budget'!E12</f>
        <v>0.5</v>
      </c>
      <c r="F10" s="823">
        <f t="shared" ref="F10" si="1">C10*D10*E10</f>
        <v>52708.333333333336</v>
      </c>
      <c r="G10" s="168">
        <f t="shared" ref="G10" si="2">C10*1.05</f>
        <v>10062.500000000002</v>
      </c>
      <c r="H10" s="169">
        <f>'Program Budget'!K12</f>
        <v>12</v>
      </c>
      <c r="I10" s="172">
        <f>'Program Budget'!J12</f>
        <v>0.05</v>
      </c>
      <c r="J10" s="823">
        <f t="shared" ref="J10" si="3">G10*H10*I10</f>
        <v>6037.5000000000018</v>
      </c>
      <c r="K10" s="168">
        <f t="shared" ref="K10" si="4">G10*1.05</f>
        <v>10565.625000000002</v>
      </c>
      <c r="L10" s="169">
        <f>'Program Budget'!N12</f>
        <v>12</v>
      </c>
      <c r="M10" s="172">
        <f>'Program Budget'!M12</f>
        <v>0.05</v>
      </c>
      <c r="N10" s="823">
        <f t="shared" ref="N10" si="5">K10*L10*M10</f>
        <v>6339.3750000000018</v>
      </c>
      <c r="O10" s="168">
        <f t="shared" ref="O10" si="6">K10*1.05</f>
        <v>11093.906250000002</v>
      </c>
      <c r="P10" s="169">
        <f>'Program Budget'!Q12</f>
        <v>12</v>
      </c>
      <c r="Q10" s="172">
        <f>'Program Budget'!P12</f>
        <v>0.05</v>
      </c>
      <c r="R10" s="823">
        <f t="shared" ref="R10" si="7">O10*P10*Q10</f>
        <v>6656.3437500000018</v>
      </c>
      <c r="S10" s="168">
        <f t="shared" ref="S10" si="8">O10*1.05</f>
        <v>11648.601562500002</v>
      </c>
      <c r="T10" s="169">
        <f>'Program Budget'!T12</f>
        <v>0</v>
      </c>
      <c r="U10" s="172">
        <f>'Program Budget'!S12</f>
        <v>0</v>
      </c>
      <c r="V10" s="823">
        <f t="shared" ref="V10" si="9">S10*T10*U10</f>
        <v>0</v>
      </c>
      <c r="W10" s="838">
        <f t="shared" ref="W10" si="10">F10+J10+N10+R10+V10</f>
        <v>71741.552083333343</v>
      </c>
      <c r="X10" s="173"/>
      <c r="Y10" s="161"/>
      <c r="Z10" s="174"/>
      <c r="AA10" s="174"/>
    </row>
    <row r="11" spans="1:27" ht="15" customHeight="1" outlineLevel="1">
      <c r="A11" s="166" t="str">
        <f>'Program Budget'!D13</f>
        <v>Technical Director</v>
      </c>
      <c r="B11" s="167" t="str">
        <f>'Program Budget'!F13</f>
        <v>Month</v>
      </c>
      <c r="C11" s="168">
        <f>'Program Budget'!H13</f>
        <v>3500</v>
      </c>
      <c r="D11" s="169">
        <f>'Program Budget'!G13</f>
        <v>9</v>
      </c>
      <c r="E11" s="170">
        <f>'Program Budget'!E13</f>
        <v>0.28000000000000003</v>
      </c>
      <c r="F11" s="823">
        <f t="shared" ref="F11:F12" si="11">C11*D11*E11</f>
        <v>8820</v>
      </c>
      <c r="G11" s="168">
        <f t="shared" ref="G11:G12" si="12">C11*1.05</f>
        <v>3675</v>
      </c>
      <c r="H11" s="169">
        <f>'Program Budget'!K13</f>
        <v>12</v>
      </c>
      <c r="I11" s="172">
        <f>'Program Budget'!J13</f>
        <v>0</v>
      </c>
      <c r="J11" s="823">
        <f t="shared" ref="J11:J12" si="13">G11*H11*I11</f>
        <v>0</v>
      </c>
      <c r="K11" s="168">
        <f t="shared" ref="K11:K12" si="14">G11*1.05</f>
        <v>3858.75</v>
      </c>
      <c r="L11" s="169">
        <f>'Program Budget'!N13</f>
        <v>12</v>
      </c>
      <c r="M11" s="172">
        <f>'Program Budget'!M13</f>
        <v>0</v>
      </c>
      <c r="N11" s="823">
        <f t="shared" ref="N11:N12" si="15">K11*L11*M11</f>
        <v>0</v>
      </c>
      <c r="O11" s="168">
        <f t="shared" ref="O11:O12" si="16">K11*1.05</f>
        <v>4051.6875</v>
      </c>
      <c r="P11" s="169">
        <f>'Program Budget'!Q13</f>
        <v>12</v>
      </c>
      <c r="Q11" s="172">
        <f>'Program Budget'!P13</f>
        <v>0</v>
      </c>
      <c r="R11" s="823">
        <f t="shared" ref="R11:R12" si="17">O11*P11*Q11</f>
        <v>0</v>
      </c>
      <c r="S11" s="168">
        <f t="shared" ref="S11:S12" si="18">O11*1.05</f>
        <v>4254.2718750000004</v>
      </c>
      <c r="T11" s="169">
        <f>'Program Budget'!T13</f>
        <v>0</v>
      </c>
      <c r="U11" s="172">
        <f>'Program Budget'!S13</f>
        <v>0</v>
      </c>
      <c r="V11" s="823">
        <f t="shared" ref="V11:V12" si="19">S11*T11*U11</f>
        <v>0</v>
      </c>
      <c r="W11" s="838">
        <f t="shared" ref="W11:W12" si="20">F11+J11+N11+R11+V11</f>
        <v>8820</v>
      </c>
      <c r="X11" s="173"/>
      <c r="Y11" s="161"/>
      <c r="Z11" s="174"/>
      <c r="AA11" s="174"/>
    </row>
    <row r="12" spans="1:27" ht="15" customHeight="1" outlineLevel="1">
      <c r="A12" s="166" t="str">
        <f>'Program Budget'!D14</f>
        <v>Technical Lead - Activity 2 US Exports</v>
      </c>
      <c r="B12" s="167" t="str">
        <f>'Program Budget'!F14</f>
        <v>Month</v>
      </c>
      <c r="C12" s="168">
        <f>'Program Budget'!H14</f>
        <v>2833.3333333333335</v>
      </c>
      <c r="D12" s="169">
        <f>'Program Budget'!G14</f>
        <v>8</v>
      </c>
      <c r="E12" s="170">
        <f>'Program Budget'!E14</f>
        <v>0.2</v>
      </c>
      <c r="F12" s="823">
        <f t="shared" si="11"/>
        <v>4533.3333333333339</v>
      </c>
      <c r="G12" s="168">
        <f t="shared" si="12"/>
        <v>2975.0000000000005</v>
      </c>
      <c r="H12" s="169">
        <f>'Program Budget'!K14</f>
        <v>12</v>
      </c>
      <c r="I12" s="172">
        <f>'Program Budget'!J14</f>
        <v>0</v>
      </c>
      <c r="J12" s="823">
        <f t="shared" si="13"/>
        <v>0</v>
      </c>
      <c r="K12" s="168">
        <f t="shared" si="14"/>
        <v>3123.7500000000005</v>
      </c>
      <c r="L12" s="169">
        <f>'Program Budget'!N14</f>
        <v>12</v>
      </c>
      <c r="M12" s="172">
        <f>'Program Budget'!M14</f>
        <v>0</v>
      </c>
      <c r="N12" s="823">
        <f t="shared" si="15"/>
        <v>0</v>
      </c>
      <c r="O12" s="168">
        <f t="shared" si="16"/>
        <v>3279.9375000000005</v>
      </c>
      <c r="P12" s="169">
        <f>'Program Budget'!Q14</f>
        <v>12</v>
      </c>
      <c r="Q12" s="172">
        <f>'Program Budget'!P14</f>
        <v>0</v>
      </c>
      <c r="R12" s="823">
        <f t="shared" si="17"/>
        <v>0</v>
      </c>
      <c r="S12" s="168">
        <f t="shared" si="18"/>
        <v>3443.9343750000007</v>
      </c>
      <c r="T12" s="169">
        <f>'Program Budget'!T14</f>
        <v>0</v>
      </c>
      <c r="U12" s="172">
        <f>'Program Budget'!S14</f>
        <v>0</v>
      </c>
      <c r="V12" s="823">
        <f t="shared" si="19"/>
        <v>0</v>
      </c>
      <c r="W12" s="838">
        <f t="shared" si="20"/>
        <v>4533.3333333333339</v>
      </c>
      <c r="X12" s="173"/>
      <c r="Y12" s="161"/>
      <c r="Z12" s="174"/>
      <c r="AA12" s="174"/>
    </row>
    <row r="13" spans="1:27" ht="15" customHeight="1" outlineLevel="1">
      <c r="A13" s="166" t="str">
        <f>'Program Budget'!D15</f>
        <v>Technical Lead - Activity 2 Access to Finance Specialist</v>
      </c>
      <c r="B13" s="167" t="str">
        <f>'Program Budget'!F15</f>
        <v>Month</v>
      </c>
      <c r="C13" s="168">
        <f>'Program Budget'!H15</f>
        <v>2833.3333333333335</v>
      </c>
      <c r="D13" s="169">
        <f>'Program Budget'!G15</f>
        <v>8</v>
      </c>
      <c r="E13" s="170">
        <f>'Program Budget'!E15</f>
        <v>0.2</v>
      </c>
      <c r="F13" s="823">
        <f t="shared" ref="F13:F22" si="21">C13*D13*E13</f>
        <v>4533.3333333333339</v>
      </c>
      <c r="G13" s="168">
        <f t="shared" ref="G13:G22" si="22">C13*1.05</f>
        <v>2975.0000000000005</v>
      </c>
      <c r="H13" s="169">
        <f>'Program Budget'!K15</f>
        <v>12</v>
      </c>
      <c r="I13" s="172">
        <f>'Program Budget'!J15</f>
        <v>0</v>
      </c>
      <c r="J13" s="823">
        <f t="shared" ref="J13:J22" si="23">G13*H13*I13</f>
        <v>0</v>
      </c>
      <c r="K13" s="168">
        <f t="shared" ref="K13:K22" si="24">G13*1.05</f>
        <v>3123.7500000000005</v>
      </c>
      <c r="L13" s="169">
        <f>'Program Budget'!N15</f>
        <v>12</v>
      </c>
      <c r="M13" s="172">
        <f>'Program Budget'!M15</f>
        <v>0</v>
      </c>
      <c r="N13" s="823">
        <f t="shared" ref="N13:N22" si="25">K13*L13*M13</f>
        <v>0</v>
      </c>
      <c r="O13" s="168">
        <f t="shared" ref="O13:O22" si="26">K13*1.05</f>
        <v>3279.9375000000005</v>
      </c>
      <c r="P13" s="169">
        <f>'Program Budget'!Q15</f>
        <v>12</v>
      </c>
      <c r="Q13" s="172">
        <f>'Program Budget'!P15</f>
        <v>0</v>
      </c>
      <c r="R13" s="823">
        <f t="shared" ref="R13:R22" si="27">O13*P13*Q13</f>
        <v>0</v>
      </c>
      <c r="S13" s="168">
        <f t="shared" ref="S13:S22" si="28">O13*1.05</f>
        <v>3443.9343750000007</v>
      </c>
      <c r="T13" s="169">
        <f>'Program Budget'!T15</f>
        <v>0</v>
      </c>
      <c r="U13" s="172">
        <f>'Program Budget'!S15</f>
        <v>0</v>
      </c>
      <c r="V13" s="823">
        <f t="shared" ref="V13:V22" si="29">S13*T13*U13</f>
        <v>0</v>
      </c>
      <c r="W13" s="838">
        <f t="shared" ref="W13:W22" si="30">F13+J13+N13+R13+V13</f>
        <v>4533.3333333333339</v>
      </c>
      <c r="X13" s="173"/>
      <c r="Y13" s="161"/>
      <c r="Z13" s="174"/>
      <c r="AA13" s="174"/>
    </row>
    <row r="14" spans="1:27" ht="15" customHeight="1" outlineLevel="1">
      <c r="A14" s="166" t="str">
        <f>'Program Budget'!D16</f>
        <v>Communications/Strategic Partnerships Manager</v>
      </c>
      <c r="B14" s="167" t="str">
        <f>'Program Budget'!F16</f>
        <v>Month</v>
      </c>
      <c r="C14" s="168">
        <f>'Program Budget'!H16</f>
        <v>2666.6666666666665</v>
      </c>
      <c r="D14" s="169">
        <f>'Program Budget'!G16</f>
        <v>8</v>
      </c>
      <c r="E14" s="170">
        <f>'Program Budget'!E16</f>
        <v>0.2</v>
      </c>
      <c r="F14" s="823">
        <f t="shared" si="21"/>
        <v>4266.666666666667</v>
      </c>
      <c r="G14" s="168">
        <f t="shared" si="22"/>
        <v>2800</v>
      </c>
      <c r="H14" s="169">
        <f>'Program Budget'!K16</f>
        <v>12</v>
      </c>
      <c r="I14" s="172">
        <f>'Program Budget'!J16</f>
        <v>0</v>
      </c>
      <c r="J14" s="823">
        <f t="shared" si="23"/>
        <v>0</v>
      </c>
      <c r="K14" s="168">
        <f t="shared" si="24"/>
        <v>2940</v>
      </c>
      <c r="L14" s="169">
        <f>'Program Budget'!N16</f>
        <v>12</v>
      </c>
      <c r="M14" s="172">
        <f>'Program Budget'!M16</f>
        <v>0</v>
      </c>
      <c r="N14" s="823">
        <f t="shared" si="25"/>
        <v>0</v>
      </c>
      <c r="O14" s="168">
        <f t="shared" si="26"/>
        <v>3087</v>
      </c>
      <c r="P14" s="169">
        <f>'Program Budget'!Q16</f>
        <v>12</v>
      </c>
      <c r="Q14" s="172">
        <f>'Program Budget'!P16</f>
        <v>0</v>
      </c>
      <c r="R14" s="823">
        <f t="shared" si="27"/>
        <v>0</v>
      </c>
      <c r="S14" s="168">
        <f t="shared" si="28"/>
        <v>3241.3500000000004</v>
      </c>
      <c r="T14" s="169">
        <f>'Program Budget'!T16</f>
        <v>0</v>
      </c>
      <c r="U14" s="172">
        <f>'Program Budget'!S16</f>
        <v>0</v>
      </c>
      <c r="V14" s="823">
        <f t="shared" si="29"/>
        <v>0</v>
      </c>
      <c r="W14" s="838">
        <f t="shared" si="30"/>
        <v>4266.666666666667</v>
      </c>
      <c r="X14" s="173"/>
      <c r="Y14" s="161"/>
      <c r="Z14" s="174"/>
      <c r="AA14" s="174"/>
    </row>
    <row r="15" spans="1:27" ht="15" customHeight="1" outlineLevel="1">
      <c r="A15" s="166" t="str">
        <f>'Program Budget'!D17</f>
        <v xml:space="preserve">M&amp;E Director </v>
      </c>
      <c r="B15" s="167" t="str">
        <f>'Program Budget'!F17</f>
        <v>Month</v>
      </c>
      <c r="C15" s="168">
        <f>'Program Budget'!H17</f>
        <v>3500</v>
      </c>
      <c r="D15" s="169">
        <f>'Program Budget'!G17</f>
        <v>10</v>
      </c>
      <c r="E15" s="170">
        <f>'Program Budget'!E17</f>
        <v>0.35</v>
      </c>
      <c r="F15" s="823">
        <f t="shared" si="21"/>
        <v>12250</v>
      </c>
      <c r="G15" s="168">
        <f t="shared" si="22"/>
        <v>3675</v>
      </c>
      <c r="H15" s="169">
        <f>'Program Budget'!K17</f>
        <v>12</v>
      </c>
      <c r="I15" s="172">
        <f>'Program Budget'!J17</f>
        <v>0.05</v>
      </c>
      <c r="J15" s="823">
        <f t="shared" si="23"/>
        <v>2205</v>
      </c>
      <c r="K15" s="168">
        <f t="shared" si="24"/>
        <v>3858.75</v>
      </c>
      <c r="L15" s="169">
        <f>'Program Budget'!N17</f>
        <v>12</v>
      </c>
      <c r="M15" s="172">
        <f>'Program Budget'!M17</f>
        <v>0.05</v>
      </c>
      <c r="N15" s="823">
        <f t="shared" si="25"/>
        <v>2315.25</v>
      </c>
      <c r="O15" s="168">
        <f t="shared" si="26"/>
        <v>4051.6875</v>
      </c>
      <c r="P15" s="169">
        <f>'Program Budget'!Q17</f>
        <v>12</v>
      </c>
      <c r="Q15" s="172">
        <f>'Program Budget'!P17</f>
        <v>0.05</v>
      </c>
      <c r="R15" s="823">
        <f t="shared" si="27"/>
        <v>2431.0125000000003</v>
      </c>
      <c r="S15" s="168">
        <f t="shared" si="28"/>
        <v>4254.2718750000004</v>
      </c>
      <c r="T15" s="169">
        <f>'Program Budget'!T17</f>
        <v>0</v>
      </c>
      <c r="U15" s="172">
        <f>'Program Budget'!S17</f>
        <v>0</v>
      </c>
      <c r="V15" s="823">
        <f t="shared" si="29"/>
        <v>0</v>
      </c>
      <c r="W15" s="838">
        <f t="shared" si="30"/>
        <v>19201.262500000001</v>
      </c>
      <c r="X15" s="173"/>
      <c r="Y15" s="161"/>
      <c r="Z15" s="174"/>
      <c r="AA15" s="174"/>
    </row>
    <row r="16" spans="1:27" ht="15" customHeight="1" outlineLevel="1">
      <c r="A16" s="166" t="str">
        <f>'Program Budget'!D18</f>
        <v>M&amp;E Specialist</v>
      </c>
      <c r="B16" s="167" t="str">
        <f>'Program Budget'!F18</f>
        <v>Month</v>
      </c>
      <c r="C16" s="168">
        <f>'Program Budget'!H18</f>
        <v>2000</v>
      </c>
      <c r="D16" s="169">
        <f>'Program Budget'!G18</f>
        <v>8</v>
      </c>
      <c r="E16" s="170">
        <f>'Program Budget'!E18</f>
        <v>0.2</v>
      </c>
      <c r="F16" s="823">
        <f t="shared" si="21"/>
        <v>3200</v>
      </c>
      <c r="G16" s="168">
        <f t="shared" si="22"/>
        <v>2100</v>
      </c>
      <c r="H16" s="169">
        <f>'Program Budget'!K18</f>
        <v>12</v>
      </c>
      <c r="I16" s="172">
        <f>'Program Budget'!J18</f>
        <v>0.05</v>
      </c>
      <c r="J16" s="823">
        <f t="shared" si="23"/>
        <v>1260</v>
      </c>
      <c r="K16" s="168">
        <f t="shared" si="24"/>
        <v>2205</v>
      </c>
      <c r="L16" s="169">
        <f>'Program Budget'!N18</f>
        <v>12</v>
      </c>
      <c r="M16" s="172">
        <f>'Program Budget'!M18</f>
        <v>0.05</v>
      </c>
      <c r="N16" s="823">
        <f t="shared" si="25"/>
        <v>1323</v>
      </c>
      <c r="O16" s="168">
        <f t="shared" si="26"/>
        <v>2315.25</v>
      </c>
      <c r="P16" s="169">
        <f>'Program Budget'!Q18</f>
        <v>12</v>
      </c>
      <c r="Q16" s="172">
        <f>'Program Budget'!P18</f>
        <v>0.05</v>
      </c>
      <c r="R16" s="823">
        <f t="shared" si="27"/>
        <v>1389.15</v>
      </c>
      <c r="S16" s="168">
        <f t="shared" si="28"/>
        <v>2431.0125000000003</v>
      </c>
      <c r="T16" s="169">
        <f>'Program Budget'!T18</f>
        <v>0</v>
      </c>
      <c r="U16" s="172">
        <f>'Program Budget'!S18</f>
        <v>0</v>
      </c>
      <c r="V16" s="823">
        <f t="shared" si="29"/>
        <v>0</v>
      </c>
      <c r="W16" s="838">
        <f t="shared" si="30"/>
        <v>7172.15</v>
      </c>
      <c r="X16" s="173"/>
      <c r="Y16" s="161"/>
      <c r="Z16" s="174"/>
      <c r="AA16" s="174"/>
    </row>
    <row r="17" spans="1:27" ht="15" customHeight="1" outlineLevel="1">
      <c r="A17" s="166" t="str">
        <f>'Program Budget'!D19</f>
        <v xml:space="preserve">Key Personnel: Finance &amp; Administration (F&amp;A) Director </v>
      </c>
      <c r="B17" s="167" t="str">
        <f>'Program Budget'!F19</f>
        <v>Month</v>
      </c>
      <c r="C17" s="168">
        <f>'Program Budget'!H19</f>
        <v>3500</v>
      </c>
      <c r="D17" s="169">
        <f>'Program Budget'!G19</f>
        <v>10</v>
      </c>
      <c r="E17" s="170">
        <f>'Program Budget'!E19</f>
        <v>0.35</v>
      </c>
      <c r="F17" s="823">
        <f t="shared" si="21"/>
        <v>12250</v>
      </c>
      <c r="G17" s="168">
        <f t="shared" si="22"/>
        <v>3675</v>
      </c>
      <c r="H17" s="169">
        <f>'Program Budget'!K19</f>
        <v>12</v>
      </c>
      <c r="I17" s="172">
        <f>'Program Budget'!J19</f>
        <v>0.05</v>
      </c>
      <c r="J17" s="823">
        <f t="shared" si="23"/>
        <v>2205</v>
      </c>
      <c r="K17" s="168">
        <f t="shared" si="24"/>
        <v>3858.75</v>
      </c>
      <c r="L17" s="169">
        <f>'Program Budget'!N19</f>
        <v>12</v>
      </c>
      <c r="M17" s="172">
        <f>'Program Budget'!M19</f>
        <v>0.05</v>
      </c>
      <c r="N17" s="823">
        <f t="shared" si="25"/>
        <v>2315.25</v>
      </c>
      <c r="O17" s="168">
        <f t="shared" si="26"/>
        <v>4051.6875</v>
      </c>
      <c r="P17" s="169">
        <f>'Program Budget'!Q19</f>
        <v>12</v>
      </c>
      <c r="Q17" s="172">
        <f>'Program Budget'!P19</f>
        <v>0.05</v>
      </c>
      <c r="R17" s="823">
        <f t="shared" si="27"/>
        <v>2431.0125000000003</v>
      </c>
      <c r="S17" s="168">
        <f t="shared" si="28"/>
        <v>4254.2718750000004</v>
      </c>
      <c r="T17" s="169">
        <f>'Program Budget'!T19</f>
        <v>0</v>
      </c>
      <c r="U17" s="172">
        <f>'Program Budget'!S19</f>
        <v>0</v>
      </c>
      <c r="V17" s="823">
        <f t="shared" si="29"/>
        <v>0</v>
      </c>
      <c r="W17" s="838">
        <f t="shared" si="30"/>
        <v>19201.262500000001</v>
      </c>
      <c r="X17" s="173"/>
      <c r="Y17" s="161"/>
      <c r="Z17" s="174"/>
      <c r="AA17" s="174"/>
    </row>
    <row r="18" spans="1:27" ht="15" customHeight="1" outlineLevel="1">
      <c r="A18" s="166" t="str">
        <f>'Program Budget'!D20</f>
        <v xml:space="preserve">Accountant </v>
      </c>
      <c r="B18" s="167" t="str">
        <f>'Program Budget'!F20</f>
        <v>Month</v>
      </c>
      <c r="C18" s="168">
        <f>'Program Budget'!H20</f>
        <v>2000</v>
      </c>
      <c r="D18" s="169">
        <f>'Program Budget'!G20</f>
        <v>8</v>
      </c>
      <c r="E18" s="170">
        <f>'Program Budget'!E20</f>
        <v>0.2</v>
      </c>
      <c r="F18" s="823">
        <f t="shared" si="21"/>
        <v>3200</v>
      </c>
      <c r="G18" s="168">
        <f t="shared" si="22"/>
        <v>2100</v>
      </c>
      <c r="H18" s="169">
        <f>'Program Budget'!K20</f>
        <v>12</v>
      </c>
      <c r="I18" s="172">
        <f>'Program Budget'!J20</f>
        <v>0</v>
      </c>
      <c r="J18" s="823">
        <f t="shared" si="23"/>
        <v>0</v>
      </c>
      <c r="K18" s="168">
        <f t="shared" si="24"/>
        <v>2205</v>
      </c>
      <c r="L18" s="169">
        <f>'Program Budget'!N20</f>
        <v>12</v>
      </c>
      <c r="M18" s="172">
        <f>'Program Budget'!M20</f>
        <v>0</v>
      </c>
      <c r="N18" s="823">
        <f t="shared" si="25"/>
        <v>0</v>
      </c>
      <c r="O18" s="168">
        <f t="shared" si="26"/>
        <v>2315.25</v>
      </c>
      <c r="P18" s="169">
        <f>'Program Budget'!Q20</f>
        <v>12</v>
      </c>
      <c r="Q18" s="172">
        <f>'Program Budget'!P20</f>
        <v>0</v>
      </c>
      <c r="R18" s="823">
        <f t="shared" si="27"/>
        <v>0</v>
      </c>
      <c r="S18" s="168">
        <f t="shared" si="28"/>
        <v>2431.0125000000003</v>
      </c>
      <c r="T18" s="169">
        <f>'Program Budget'!T20</f>
        <v>0</v>
      </c>
      <c r="U18" s="172">
        <f>'Program Budget'!S20</f>
        <v>0</v>
      </c>
      <c r="V18" s="823">
        <f t="shared" si="29"/>
        <v>0</v>
      </c>
      <c r="W18" s="838">
        <f t="shared" si="30"/>
        <v>3200</v>
      </c>
      <c r="X18" s="173"/>
      <c r="Y18" s="161"/>
      <c r="Z18" s="174"/>
      <c r="AA18" s="174"/>
    </row>
    <row r="19" spans="1:27" ht="15" customHeight="1" outlineLevel="1">
      <c r="A19" s="166" t="str">
        <f>'Program Budget'!D21</f>
        <v>Administration/ HR Manager</v>
      </c>
      <c r="B19" s="167" t="str">
        <f>'Program Budget'!F21</f>
        <v>Month</v>
      </c>
      <c r="C19" s="168">
        <f>'Program Budget'!H21</f>
        <v>2666.6666666666665</v>
      </c>
      <c r="D19" s="169">
        <f>'Program Budget'!G21</f>
        <v>10</v>
      </c>
      <c r="E19" s="170">
        <f>'Program Budget'!E21</f>
        <v>0.35</v>
      </c>
      <c r="F19" s="823">
        <f t="shared" si="21"/>
        <v>9333.3333333333321</v>
      </c>
      <c r="G19" s="168">
        <f t="shared" si="22"/>
        <v>2800</v>
      </c>
      <c r="H19" s="169">
        <f>'Program Budget'!K21</f>
        <v>12</v>
      </c>
      <c r="I19" s="172">
        <f>'Program Budget'!J21</f>
        <v>0.05</v>
      </c>
      <c r="J19" s="823">
        <f t="shared" si="23"/>
        <v>1680</v>
      </c>
      <c r="K19" s="168">
        <f t="shared" si="24"/>
        <v>2940</v>
      </c>
      <c r="L19" s="169">
        <f>'Program Budget'!N21</f>
        <v>12</v>
      </c>
      <c r="M19" s="172">
        <f>'Program Budget'!M21</f>
        <v>0.05</v>
      </c>
      <c r="N19" s="823">
        <f t="shared" si="25"/>
        <v>1764</v>
      </c>
      <c r="O19" s="168">
        <f t="shared" si="26"/>
        <v>3087</v>
      </c>
      <c r="P19" s="169">
        <f>'Program Budget'!Q21</f>
        <v>12</v>
      </c>
      <c r="Q19" s="172">
        <f>'Program Budget'!P21</f>
        <v>0.05</v>
      </c>
      <c r="R19" s="823">
        <f t="shared" si="27"/>
        <v>1852.2</v>
      </c>
      <c r="S19" s="168">
        <f t="shared" si="28"/>
        <v>3241.3500000000004</v>
      </c>
      <c r="T19" s="169">
        <f>'Program Budget'!T21</f>
        <v>0</v>
      </c>
      <c r="U19" s="172">
        <f>'Program Budget'!S21</f>
        <v>0</v>
      </c>
      <c r="V19" s="823">
        <f t="shared" si="29"/>
        <v>0</v>
      </c>
      <c r="W19" s="838">
        <f t="shared" si="30"/>
        <v>14629.533333333333</v>
      </c>
      <c r="X19" s="173"/>
      <c r="Y19" s="161"/>
      <c r="Z19" s="174"/>
      <c r="AA19" s="174"/>
    </row>
    <row r="20" spans="1:27" ht="15" customHeight="1" outlineLevel="1">
      <c r="A20" s="166" t="str">
        <f>'Program Budget'!D22</f>
        <v>Grants &amp; Contracts Manager</v>
      </c>
      <c r="B20" s="167" t="str">
        <f>'Program Budget'!F22</f>
        <v>Month</v>
      </c>
      <c r="C20" s="168">
        <f>'Program Budget'!H22</f>
        <v>2666.6666666666665</v>
      </c>
      <c r="D20" s="169">
        <f>'Program Budget'!G22</f>
        <v>9</v>
      </c>
      <c r="E20" s="170">
        <f>'Program Budget'!E22</f>
        <v>0.28000000000000003</v>
      </c>
      <c r="F20" s="823">
        <f t="shared" si="21"/>
        <v>6720.0000000000009</v>
      </c>
      <c r="G20" s="168">
        <f t="shared" si="22"/>
        <v>2800</v>
      </c>
      <c r="H20" s="169">
        <f>'Program Budget'!K22</f>
        <v>12</v>
      </c>
      <c r="I20" s="172">
        <f>'Program Budget'!J22</f>
        <v>0</v>
      </c>
      <c r="J20" s="823">
        <f t="shared" si="23"/>
        <v>0</v>
      </c>
      <c r="K20" s="168">
        <f t="shared" si="24"/>
        <v>2940</v>
      </c>
      <c r="L20" s="169">
        <f>'Program Budget'!N22</f>
        <v>12</v>
      </c>
      <c r="M20" s="172">
        <f>'Program Budget'!M22</f>
        <v>0</v>
      </c>
      <c r="N20" s="823">
        <f t="shared" si="25"/>
        <v>0</v>
      </c>
      <c r="O20" s="168">
        <f t="shared" si="26"/>
        <v>3087</v>
      </c>
      <c r="P20" s="169">
        <f>'Program Budget'!Q22</f>
        <v>12</v>
      </c>
      <c r="Q20" s="172">
        <f>'Program Budget'!P22</f>
        <v>0</v>
      </c>
      <c r="R20" s="823">
        <f t="shared" si="27"/>
        <v>0</v>
      </c>
      <c r="S20" s="168">
        <f t="shared" si="28"/>
        <v>3241.3500000000004</v>
      </c>
      <c r="T20" s="169">
        <f>'Program Budget'!T22</f>
        <v>0</v>
      </c>
      <c r="U20" s="172">
        <f>'Program Budget'!S22</f>
        <v>0</v>
      </c>
      <c r="V20" s="823">
        <f t="shared" si="29"/>
        <v>0</v>
      </c>
      <c r="W20" s="838">
        <f t="shared" si="30"/>
        <v>6720.0000000000009</v>
      </c>
      <c r="X20" s="173"/>
      <c r="Y20" s="161"/>
      <c r="Z20" s="174"/>
      <c r="AA20" s="174"/>
    </row>
    <row r="21" spans="1:27" ht="15" customHeight="1" outlineLevel="1">
      <c r="A21" s="166" t="str">
        <f>'Program Budget'!D23</f>
        <v>Compliance &amp; Procurement Specialist</v>
      </c>
      <c r="B21" s="167" t="str">
        <f>'Program Budget'!F23</f>
        <v>Month</v>
      </c>
      <c r="C21" s="168">
        <f>'Program Budget'!H23</f>
        <v>2000</v>
      </c>
      <c r="D21" s="169">
        <f>'Program Budget'!G23</f>
        <v>9</v>
      </c>
      <c r="E21" s="170">
        <f>'Program Budget'!E23</f>
        <v>0.28000000000000003</v>
      </c>
      <c r="F21" s="823">
        <f t="shared" si="21"/>
        <v>5040.0000000000009</v>
      </c>
      <c r="G21" s="168">
        <f t="shared" si="22"/>
        <v>2100</v>
      </c>
      <c r="H21" s="169">
        <f>'Program Budget'!K23</f>
        <v>12</v>
      </c>
      <c r="I21" s="172">
        <f>'Program Budget'!J23</f>
        <v>0</v>
      </c>
      <c r="J21" s="823">
        <f t="shared" si="23"/>
        <v>0</v>
      </c>
      <c r="K21" s="168">
        <f t="shared" si="24"/>
        <v>2205</v>
      </c>
      <c r="L21" s="169">
        <f>'Program Budget'!N23</f>
        <v>12</v>
      </c>
      <c r="M21" s="172">
        <f>'Program Budget'!M23</f>
        <v>0</v>
      </c>
      <c r="N21" s="823">
        <f t="shared" si="25"/>
        <v>0</v>
      </c>
      <c r="O21" s="168">
        <f t="shared" si="26"/>
        <v>2315.25</v>
      </c>
      <c r="P21" s="169">
        <f>'Program Budget'!Q23</f>
        <v>12</v>
      </c>
      <c r="Q21" s="172">
        <f>'Program Budget'!P23</f>
        <v>0</v>
      </c>
      <c r="R21" s="823">
        <f t="shared" si="27"/>
        <v>0</v>
      </c>
      <c r="S21" s="168">
        <f t="shared" si="28"/>
        <v>2431.0125000000003</v>
      </c>
      <c r="T21" s="169">
        <f>'Program Budget'!T23</f>
        <v>0</v>
      </c>
      <c r="U21" s="172">
        <f>'Program Budget'!S23</f>
        <v>0</v>
      </c>
      <c r="V21" s="823">
        <f t="shared" si="29"/>
        <v>0</v>
      </c>
      <c r="W21" s="838">
        <f t="shared" si="30"/>
        <v>5040.0000000000009</v>
      </c>
      <c r="X21" s="173"/>
      <c r="Y21" s="161"/>
      <c r="Z21" s="174"/>
      <c r="AA21" s="174"/>
    </row>
    <row r="22" spans="1:27" ht="15" customHeight="1" outlineLevel="1">
      <c r="A22" s="166" t="str">
        <f>'Program Budget'!D24</f>
        <v>Driver</v>
      </c>
      <c r="B22" s="167" t="str">
        <f>'Program Budget'!F24</f>
        <v>Month</v>
      </c>
      <c r="C22" s="168">
        <f>'Program Budget'!H24</f>
        <v>500</v>
      </c>
      <c r="D22" s="169">
        <f>'Program Budget'!G24</f>
        <v>7</v>
      </c>
      <c r="E22" s="170">
        <f>'Program Budget'!E24</f>
        <v>0</v>
      </c>
      <c r="F22" s="823">
        <f t="shared" si="21"/>
        <v>0</v>
      </c>
      <c r="G22" s="168">
        <f t="shared" si="22"/>
        <v>525</v>
      </c>
      <c r="H22" s="169">
        <f>'Program Budget'!K24</f>
        <v>12</v>
      </c>
      <c r="I22" s="172">
        <f>'Program Budget'!J24</f>
        <v>0</v>
      </c>
      <c r="J22" s="823">
        <f t="shared" si="23"/>
        <v>0</v>
      </c>
      <c r="K22" s="168">
        <f t="shared" si="24"/>
        <v>551.25</v>
      </c>
      <c r="L22" s="169">
        <f>'Program Budget'!N24</f>
        <v>12</v>
      </c>
      <c r="M22" s="172">
        <f>'Program Budget'!M24</f>
        <v>0</v>
      </c>
      <c r="N22" s="823">
        <f t="shared" si="25"/>
        <v>0</v>
      </c>
      <c r="O22" s="168">
        <f t="shared" si="26"/>
        <v>578.8125</v>
      </c>
      <c r="P22" s="169">
        <f>'Program Budget'!Q24</f>
        <v>12</v>
      </c>
      <c r="Q22" s="172">
        <f>'Program Budget'!P24</f>
        <v>0</v>
      </c>
      <c r="R22" s="823">
        <f t="shared" si="27"/>
        <v>0</v>
      </c>
      <c r="S22" s="168">
        <f t="shared" si="28"/>
        <v>607.75312500000007</v>
      </c>
      <c r="T22" s="169">
        <f>'Program Budget'!T24</f>
        <v>0</v>
      </c>
      <c r="U22" s="172">
        <f>'Program Budget'!S24</f>
        <v>0</v>
      </c>
      <c r="V22" s="823">
        <f t="shared" si="29"/>
        <v>0</v>
      </c>
      <c r="W22" s="838">
        <f t="shared" si="30"/>
        <v>0</v>
      </c>
      <c r="X22" s="173"/>
      <c r="Y22" s="161"/>
      <c r="Z22" s="174"/>
      <c r="AA22" s="174"/>
    </row>
    <row r="23" spans="1:27" ht="15" customHeight="1" outlineLevel="1">
      <c r="A23" s="175" t="s">
        <v>78</v>
      </c>
      <c r="B23" s="176"/>
      <c r="C23" s="177"/>
      <c r="D23" s="178"/>
      <c r="E23" s="179"/>
      <c r="F23" s="825">
        <f>SUM(F9:F22)</f>
        <v>126855</v>
      </c>
      <c r="G23" s="177"/>
      <c r="H23" s="178"/>
      <c r="I23" s="180"/>
      <c r="J23" s="825">
        <f>SUM(J9:J22)</f>
        <v>13387.500000000002</v>
      </c>
      <c r="K23" s="177"/>
      <c r="L23" s="178"/>
      <c r="M23" s="179"/>
      <c r="N23" s="825">
        <f>SUM(N9:N22)</f>
        <v>14056.875000000002</v>
      </c>
      <c r="O23" s="177"/>
      <c r="P23" s="178"/>
      <c r="Q23" s="180"/>
      <c r="R23" s="825">
        <f>SUM(R9:R22)</f>
        <v>14759.718750000004</v>
      </c>
      <c r="S23" s="177"/>
      <c r="T23" s="178"/>
      <c r="U23" s="180"/>
      <c r="V23" s="825">
        <f>SUM(V9:V22)</f>
        <v>0</v>
      </c>
      <c r="W23" s="825">
        <f>SUM(W9:W22)</f>
        <v>169059.09375</v>
      </c>
    </row>
    <row r="24" spans="1:27" s="162" customFormat="1" ht="15.6" outlineLevel="1">
      <c r="A24" s="163" t="s">
        <v>79</v>
      </c>
      <c r="B24" s="164"/>
      <c r="C24" s="156"/>
      <c r="D24" s="157"/>
      <c r="E24" s="158"/>
      <c r="F24" s="822"/>
      <c r="G24" s="156"/>
      <c r="H24" s="157"/>
      <c r="I24" s="160"/>
      <c r="J24" s="837"/>
      <c r="K24" s="156"/>
      <c r="L24" s="157"/>
      <c r="M24" s="158"/>
      <c r="N24" s="837"/>
      <c r="O24" s="156"/>
      <c r="P24" s="157"/>
      <c r="Q24" s="160"/>
      <c r="R24" s="837"/>
      <c r="S24" s="156"/>
      <c r="T24" s="157"/>
      <c r="U24" s="160"/>
      <c r="V24" s="837"/>
      <c r="W24" s="843"/>
      <c r="X24" s="165"/>
      <c r="Y24" s="137"/>
      <c r="Z24" s="137"/>
      <c r="AA24" s="137"/>
    </row>
    <row r="25" spans="1:27" outlineLevel="1">
      <c r="A25" s="166" t="str">
        <f>'Program Budget'!D26</f>
        <v>Senior Vice President of Programs</v>
      </c>
      <c r="B25" s="167" t="str">
        <f>'Program Budget'!F26</f>
        <v>Month</v>
      </c>
      <c r="C25" s="168">
        <f>'Program Budget'!H26</f>
        <v>13500</v>
      </c>
      <c r="D25" s="169">
        <f>'Program Budget'!G26</f>
        <v>12</v>
      </c>
      <c r="E25" s="170">
        <f>'Program Budget'!E26</f>
        <v>0.02</v>
      </c>
      <c r="F25" s="823">
        <f>C25*D25*E25</f>
        <v>3240</v>
      </c>
      <c r="G25" s="168">
        <f>C25*1.05</f>
        <v>14175</v>
      </c>
      <c r="H25" s="169">
        <f>'Program Budget'!K26</f>
        <v>12</v>
      </c>
      <c r="I25" s="172">
        <f>'Program Budget'!J26</f>
        <v>0.02</v>
      </c>
      <c r="J25" s="823">
        <f>G25*H25*I25</f>
        <v>3402</v>
      </c>
      <c r="K25" s="168">
        <f>G25*1.05</f>
        <v>14883.75</v>
      </c>
      <c r="L25" s="169">
        <f>'Program Budget'!N26</f>
        <v>12</v>
      </c>
      <c r="M25" s="172">
        <f>'Program Budget'!M26</f>
        <v>0.02</v>
      </c>
      <c r="N25" s="823">
        <f>K25*L25*M25</f>
        <v>3572.1</v>
      </c>
      <c r="O25" s="168">
        <f>K25*1.05</f>
        <v>15627.9375</v>
      </c>
      <c r="P25" s="169">
        <f>'Program Budget'!Q26</f>
        <v>12</v>
      </c>
      <c r="Q25" s="172">
        <f>'Program Budget'!P26</f>
        <v>0.02</v>
      </c>
      <c r="R25" s="823">
        <f>O25*P25*Q25</f>
        <v>3750.7049999999999</v>
      </c>
      <c r="S25" s="168">
        <f>O25*1.05</f>
        <v>16409.334375000002</v>
      </c>
      <c r="T25" s="169">
        <f>'Program Budget'!T26</f>
        <v>0</v>
      </c>
      <c r="U25" s="172">
        <f>'Program Budget'!S26</f>
        <v>0</v>
      </c>
      <c r="V25" s="823">
        <f>S25*T25*U25</f>
        <v>0</v>
      </c>
      <c r="W25" s="838">
        <f>F25+J25+N25+R25+V25</f>
        <v>13964.805</v>
      </c>
      <c r="X25" s="173"/>
      <c r="Y25" s="161"/>
      <c r="Z25" s="174"/>
      <c r="AA25" s="174"/>
    </row>
    <row r="26" spans="1:27" ht="15" customHeight="1" outlineLevel="1">
      <c r="A26" s="166" t="str">
        <f>'Program Budget'!D27</f>
        <v xml:space="preserve">Senior Program Director </v>
      </c>
      <c r="B26" s="167" t="str">
        <f>'Program Budget'!F27</f>
        <v>Month</v>
      </c>
      <c r="C26" s="168">
        <f>'Program Budget'!H27</f>
        <v>12500</v>
      </c>
      <c r="D26" s="169">
        <f>'Program Budget'!G27</f>
        <v>12</v>
      </c>
      <c r="E26" s="170">
        <f>'Program Budget'!E27</f>
        <v>0.12</v>
      </c>
      <c r="F26" s="823">
        <f>C26*D26*E26</f>
        <v>18000</v>
      </c>
      <c r="G26" s="168">
        <f t="shared" ref="G26" si="31">C26*1.05</f>
        <v>13125</v>
      </c>
      <c r="H26" s="169">
        <f>'Program Budget'!K27</f>
        <v>12</v>
      </c>
      <c r="I26" s="172">
        <f>'Program Budget'!J27</f>
        <v>0.05</v>
      </c>
      <c r="J26" s="823">
        <f>G26*H26*I26</f>
        <v>7875</v>
      </c>
      <c r="K26" s="168">
        <f t="shared" ref="K26" si="32">G26*1.05</f>
        <v>13781.25</v>
      </c>
      <c r="L26" s="169">
        <f>'Program Budget'!N27</f>
        <v>12</v>
      </c>
      <c r="M26" s="172">
        <f>'Program Budget'!M27</f>
        <v>0.05</v>
      </c>
      <c r="N26" s="823">
        <f>K26*L26*M26</f>
        <v>8268.75</v>
      </c>
      <c r="O26" s="168">
        <f t="shared" ref="O26" si="33">K26*1.05</f>
        <v>14470.3125</v>
      </c>
      <c r="P26" s="169">
        <f>'Program Budget'!Q27</f>
        <v>12</v>
      </c>
      <c r="Q26" s="172">
        <f>'Program Budget'!P27</f>
        <v>0.05</v>
      </c>
      <c r="R26" s="823">
        <f>O26*P26*Q26</f>
        <v>8682.1875</v>
      </c>
      <c r="S26" s="168">
        <f t="shared" ref="S26" si="34">O26*1.05</f>
        <v>15193.828125</v>
      </c>
      <c r="T26" s="169">
        <f>'Program Budget'!T27</f>
        <v>0</v>
      </c>
      <c r="U26" s="172">
        <f>'Program Budget'!S27</f>
        <v>0</v>
      </c>
      <c r="V26" s="823">
        <f>S26*T26*U26</f>
        <v>0</v>
      </c>
      <c r="W26" s="838">
        <f>F26+J26+N26+R26+V26</f>
        <v>42825.9375</v>
      </c>
      <c r="X26" s="173"/>
      <c r="Y26" s="161"/>
      <c r="Z26" s="174"/>
      <c r="AA26" s="174"/>
    </row>
    <row r="27" spans="1:27" ht="15" customHeight="1" outlineLevel="1">
      <c r="A27" s="166" t="str">
        <f>'Program Budget'!D28</f>
        <v>Associate Director</v>
      </c>
      <c r="B27" s="167" t="str">
        <f>'Program Budget'!F28</f>
        <v>Month</v>
      </c>
      <c r="C27" s="168">
        <f>'Program Budget'!H28</f>
        <v>7500</v>
      </c>
      <c r="D27" s="169">
        <f>'Program Budget'!G28</f>
        <v>12</v>
      </c>
      <c r="E27" s="170">
        <f>'Program Budget'!E28</f>
        <v>0.5</v>
      </c>
      <c r="F27" s="823">
        <f>C27*D27*E27</f>
        <v>45000</v>
      </c>
      <c r="G27" s="168">
        <f t="shared" ref="G27" si="35">C27*1.05</f>
        <v>7875</v>
      </c>
      <c r="H27" s="169">
        <f>'Program Budget'!K28</f>
        <v>12</v>
      </c>
      <c r="I27" s="172">
        <f>'Program Budget'!J28</f>
        <v>0.05</v>
      </c>
      <c r="J27" s="823">
        <f>G27*H27*I27</f>
        <v>4725</v>
      </c>
      <c r="K27" s="168">
        <f t="shared" ref="K27" si="36">G27*1.05</f>
        <v>8268.75</v>
      </c>
      <c r="L27" s="169">
        <f>'Program Budget'!N28</f>
        <v>12</v>
      </c>
      <c r="M27" s="172">
        <f>'Program Budget'!M28</f>
        <v>0.05</v>
      </c>
      <c r="N27" s="823">
        <f>K27*L27*M27</f>
        <v>4961.25</v>
      </c>
      <c r="O27" s="168">
        <f t="shared" ref="O27" si="37">K27*1.05</f>
        <v>8682.1875</v>
      </c>
      <c r="P27" s="169">
        <f>'Program Budget'!Q28</f>
        <v>12</v>
      </c>
      <c r="Q27" s="172">
        <f>'Program Budget'!P28</f>
        <v>0.05</v>
      </c>
      <c r="R27" s="823">
        <f>O27*P27*Q27</f>
        <v>5209.3125</v>
      </c>
      <c r="S27" s="168">
        <f t="shared" ref="S27" si="38">O27*1.05</f>
        <v>9116.296875</v>
      </c>
      <c r="T27" s="169">
        <f>'Program Budget'!T28</f>
        <v>0</v>
      </c>
      <c r="U27" s="172">
        <f>'Program Budget'!S28</f>
        <v>0</v>
      </c>
      <c r="V27" s="823">
        <f>S27*T27*U27</f>
        <v>0</v>
      </c>
      <c r="W27" s="838">
        <f>F27+J27+N27+R27+V27</f>
        <v>59895.5625</v>
      </c>
      <c r="X27" s="173"/>
      <c r="Y27" s="161"/>
      <c r="Z27" s="174"/>
      <c r="AA27" s="174"/>
    </row>
    <row r="28" spans="1:27" ht="15" customHeight="1" outlineLevel="1">
      <c r="A28" s="166" t="str">
        <f>'Program Budget'!D29</f>
        <v>Compliance &amp; Contracts Director</v>
      </c>
      <c r="B28" s="167" t="str">
        <f>'Program Budget'!F29</f>
        <v>Month</v>
      </c>
      <c r="C28" s="168">
        <f>'Program Budget'!H29</f>
        <v>9166.6666666666661</v>
      </c>
      <c r="D28" s="169">
        <f>'Program Budget'!G29</f>
        <v>12</v>
      </c>
      <c r="E28" s="170">
        <f>'Program Budget'!E29</f>
        <v>0.12</v>
      </c>
      <c r="F28" s="823">
        <f>C28*D28*E28</f>
        <v>13200</v>
      </c>
      <c r="G28" s="168">
        <f t="shared" ref="G28" si="39">C28*1.05</f>
        <v>9625</v>
      </c>
      <c r="H28" s="169">
        <f>'Program Budget'!K29</f>
        <v>12</v>
      </c>
      <c r="I28" s="172">
        <f>'Program Budget'!J29</f>
        <v>0.05</v>
      </c>
      <c r="J28" s="823">
        <f>G28*H28*I28</f>
        <v>5775</v>
      </c>
      <c r="K28" s="168">
        <f t="shared" ref="K28" si="40">G28*1.05</f>
        <v>10106.25</v>
      </c>
      <c r="L28" s="169">
        <f>'Program Budget'!N29</f>
        <v>12</v>
      </c>
      <c r="M28" s="172">
        <f>'Program Budget'!M29</f>
        <v>0.05</v>
      </c>
      <c r="N28" s="823">
        <f>K28*L28*M28</f>
        <v>6063.75</v>
      </c>
      <c r="O28" s="168">
        <f t="shared" ref="O28" si="41">K28*1.05</f>
        <v>10611.5625</v>
      </c>
      <c r="P28" s="169">
        <f>'Program Budget'!Q29</f>
        <v>12</v>
      </c>
      <c r="Q28" s="172">
        <f>'Program Budget'!P29</f>
        <v>0.05</v>
      </c>
      <c r="R28" s="823">
        <f>O28*P28*Q28</f>
        <v>6366.9375</v>
      </c>
      <c r="S28" s="168">
        <f t="shared" ref="S28" si="42">O28*1.05</f>
        <v>11142.140625</v>
      </c>
      <c r="T28" s="169">
        <f>'Program Budget'!T29</f>
        <v>0</v>
      </c>
      <c r="U28" s="172">
        <f>'Program Budget'!S29</f>
        <v>0</v>
      </c>
      <c r="V28" s="823">
        <f>S28*T28*U28</f>
        <v>0</v>
      </c>
      <c r="W28" s="838">
        <f>F28+J28+N28+R28+V28</f>
        <v>31405.6875</v>
      </c>
      <c r="X28" s="173"/>
      <c r="Y28" s="161"/>
      <c r="Z28" s="174"/>
      <c r="AA28" s="174"/>
    </row>
    <row r="29" spans="1:27" ht="15" customHeight="1" outlineLevel="1">
      <c r="A29" s="166" t="str">
        <f>'Program Budget'!D30</f>
        <v>Finance, HR, &amp; Administration Home Office Support</v>
      </c>
      <c r="B29" s="167" t="str">
        <f>'Program Budget'!F30</f>
        <v>Month</v>
      </c>
      <c r="C29" s="168">
        <f>'Program Budget'!H30</f>
        <v>7500</v>
      </c>
      <c r="D29" s="169">
        <f>'Program Budget'!G30</f>
        <v>12</v>
      </c>
      <c r="E29" s="170">
        <f>'Program Budget'!E30</f>
        <v>0.35</v>
      </c>
      <c r="F29" s="823">
        <f>C29*D29*E29</f>
        <v>31499.999999999996</v>
      </c>
      <c r="G29" s="168">
        <f t="shared" ref="G29" si="43">C29*1.05</f>
        <v>7875</v>
      </c>
      <c r="H29" s="169">
        <f>'Program Budget'!K30</f>
        <v>12</v>
      </c>
      <c r="I29" s="172">
        <f>'Program Budget'!J30</f>
        <v>0.05</v>
      </c>
      <c r="J29" s="823">
        <f>G29*H29*I29</f>
        <v>4725</v>
      </c>
      <c r="K29" s="168">
        <f t="shared" ref="K29" si="44">G29*1.05</f>
        <v>8268.75</v>
      </c>
      <c r="L29" s="169">
        <f>'Program Budget'!N30</f>
        <v>12</v>
      </c>
      <c r="M29" s="172">
        <f>'Program Budget'!M30</f>
        <v>0.05</v>
      </c>
      <c r="N29" s="823">
        <f>K29*L29*M29</f>
        <v>4961.25</v>
      </c>
      <c r="O29" s="168">
        <f t="shared" ref="O29" si="45">K29*1.05</f>
        <v>8682.1875</v>
      </c>
      <c r="P29" s="169">
        <f>'Program Budget'!Q30</f>
        <v>12</v>
      </c>
      <c r="Q29" s="172">
        <f>'Program Budget'!P30</f>
        <v>0.05</v>
      </c>
      <c r="R29" s="823">
        <f>O29*P29*Q29</f>
        <v>5209.3125</v>
      </c>
      <c r="S29" s="168">
        <f t="shared" ref="S29" si="46">O29*1.05</f>
        <v>9116.296875</v>
      </c>
      <c r="T29" s="169">
        <f>'Program Budget'!T30</f>
        <v>0</v>
      </c>
      <c r="U29" s="172">
        <f>'Program Budget'!S30</f>
        <v>0</v>
      </c>
      <c r="V29" s="823">
        <f>S29*T29*U29</f>
        <v>0</v>
      </c>
      <c r="W29" s="845">
        <f>F29+J29+N29+R29+V29</f>
        <v>46395.5625</v>
      </c>
      <c r="X29" s="173"/>
      <c r="Y29" s="161"/>
      <c r="Z29" s="174"/>
      <c r="AA29" s="174"/>
    </row>
    <row r="30" spans="1:27" ht="15" customHeight="1" outlineLevel="1">
      <c r="A30" s="175" t="s">
        <v>80</v>
      </c>
      <c r="B30" s="176"/>
      <c r="C30" s="177"/>
      <c r="D30" s="178"/>
      <c r="E30" s="179"/>
      <c r="F30" s="824">
        <f>SUM(F24:F29)</f>
        <v>110940</v>
      </c>
      <c r="G30" s="177"/>
      <c r="H30" s="178"/>
      <c r="I30" s="180"/>
      <c r="J30" s="824">
        <f>SUM(J24:J29)</f>
        <v>26502</v>
      </c>
      <c r="K30" s="177"/>
      <c r="L30" s="178"/>
      <c r="M30" s="179"/>
      <c r="N30" s="824">
        <f>SUM(N24:N29)</f>
        <v>27827.1</v>
      </c>
      <c r="O30" s="177"/>
      <c r="P30" s="178"/>
      <c r="Q30" s="180"/>
      <c r="R30" s="824">
        <f>SUM(R24:R29)</f>
        <v>29218.455000000002</v>
      </c>
      <c r="S30" s="177"/>
      <c r="T30" s="178"/>
      <c r="U30" s="180"/>
      <c r="V30" s="824">
        <f>SUM(V24:V29)</f>
        <v>0</v>
      </c>
      <c r="W30" s="824">
        <f>SUM(W24:W29)</f>
        <v>194487.55499999999</v>
      </c>
    </row>
    <row r="31" spans="1:27" s="162" customFormat="1" ht="15" customHeight="1" outlineLevel="1">
      <c r="A31" s="186"/>
      <c r="B31" s="181"/>
      <c r="C31" s="182"/>
      <c r="D31" s="183"/>
      <c r="E31" s="140"/>
      <c r="F31" s="823"/>
      <c r="G31" s="182"/>
      <c r="H31" s="183"/>
      <c r="I31" s="140"/>
      <c r="J31" s="823"/>
      <c r="K31" s="182"/>
      <c r="L31" s="183"/>
      <c r="M31" s="140"/>
      <c r="N31" s="823"/>
      <c r="O31" s="182"/>
      <c r="P31" s="183"/>
      <c r="Q31" s="140"/>
      <c r="R31" s="823"/>
      <c r="S31" s="182"/>
      <c r="T31" s="183"/>
      <c r="U31" s="140"/>
      <c r="V31" s="823"/>
      <c r="W31" s="845"/>
      <c r="X31" s="137"/>
      <c r="Y31" s="137"/>
      <c r="Z31" s="137"/>
      <c r="AA31" s="137"/>
    </row>
    <row r="32" spans="1:27" s="195" customFormat="1" ht="15" customHeight="1">
      <c r="A32" s="187" t="s">
        <v>81</v>
      </c>
      <c r="B32" s="188"/>
      <c r="C32" s="189"/>
      <c r="D32" s="190"/>
      <c r="E32" s="191"/>
      <c r="F32" s="826">
        <f>F30+F23+F8</f>
        <v>237795</v>
      </c>
      <c r="G32" s="189"/>
      <c r="H32" s="190"/>
      <c r="I32" s="192"/>
      <c r="J32" s="826">
        <f>J30+J23+J8</f>
        <v>39889.5</v>
      </c>
      <c r="K32" s="189"/>
      <c r="L32" s="190"/>
      <c r="M32" s="191"/>
      <c r="N32" s="826">
        <f>N30+N23+N8</f>
        <v>41883.974999999999</v>
      </c>
      <c r="O32" s="189"/>
      <c r="P32" s="190"/>
      <c r="Q32" s="192"/>
      <c r="R32" s="826">
        <f>R30+R23+R8</f>
        <v>43978.173750000002</v>
      </c>
      <c r="S32" s="189"/>
      <c r="T32" s="190"/>
      <c r="U32" s="192"/>
      <c r="V32" s="826">
        <f>V30+V23+V8</f>
        <v>0</v>
      </c>
      <c r="W32" s="846">
        <f>+F32+J32+N32+R32+V32</f>
        <v>363546.64874999999</v>
      </c>
      <c r="X32" s="193"/>
      <c r="Y32" s="369"/>
      <c r="Z32" s="193"/>
      <c r="AA32" s="193"/>
    </row>
    <row r="33" spans="1:27" s="162" customFormat="1" ht="15" customHeight="1" outlineLevel="1">
      <c r="A33" s="163" t="s">
        <v>82</v>
      </c>
      <c r="B33" s="164"/>
      <c r="C33" s="156"/>
      <c r="D33" s="157"/>
      <c r="E33" s="158"/>
      <c r="F33" s="822"/>
      <c r="G33" s="156"/>
      <c r="H33" s="157"/>
      <c r="I33" s="160"/>
      <c r="J33" s="837"/>
      <c r="K33" s="156"/>
      <c r="L33" s="157"/>
      <c r="M33" s="158"/>
      <c r="N33" s="837"/>
      <c r="O33" s="156"/>
      <c r="P33" s="157"/>
      <c r="Q33" s="160"/>
      <c r="R33" s="837"/>
      <c r="S33" s="156"/>
      <c r="T33" s="157"/>
      <c r="U33" s="160"/>
      <c r="V33" s="837"/>
      <c r="W33" s="843"/>
      <c r="X33" s="137"/>
      <c r="Y33" s="137"/>
      <c r="Z33" s="137"/>
      <c r="AA33" s="137"/>
    </row>
    <row r="34" spans="1:27" s="162" customFormat="1" ht="15" customHeight="1" outlineLevel="1">
      <c r="A34" s="196" t="s">
        <v>74</v>
      </c>
      <c r="B34" s="181" t="str">
        <f>'Program Budget'!F35</f>
        <v>%</v>
      </c>
      <c r="C34" s="275">
        <f>F8</f>
        <v>0</v>
      </c>
      <c r="D34" s="183">
        <v>1</v>
      </c>
      <c r="E34" s="140">
        <v>0</v>
      </c>
      <c r="F34" s="823">
        <f>C34*D34*E34</f>
        <v>0</v>
      </c>
      <c r="G34" s="275">
        <f>J8</f>
        <v>0</v>
      </c>
      <c r="H34" s="183">
        <v>1</v>
      </c>
      <c r="I34" s="140">
        <f>E34</f>
        <v>0</v>
      </c>
      <c r="J34" s="823">
        <f t="shared" ref="J34" si="47">G34*H34*I34</f>
        <v>0</v>
      </c>
      <c r="K34" s="275">
        <f>N8</f>
        <v>0</v>
      </c>
      <c r="L34" s="183">
        <v>1</v>
      </c>
      <c r="M34" s="140">
        <f>E34</f>
        <v>0</v>
      </c>
      <c r="N34" s="823">
        <f t="shared" ref="N34" si="48">K34*L34*M34</f>
        <v>0</v>
      </c>
      <c r="O34" s="275">
        <f>R8</f>
        <v>0</v>
      </c>
      <c r="P34" s="183">
        <v>1</v>
      </c>
      <c r="Q34" s="140">
        <f>E34</f>
        <v>0</v>
      </c>
      <c r="R34" s="823">
        <f t="shared" ref="R34" si="49">O34*P34*Q34</f>
        <v>0</v>
      </c>
      <c r="S34" s="275">
        <f>V8</f>
        <v>0</v>
      </c>
      <c r="T34" s="183">
        <v>1</v>
      </c>
      <c r="U34" s="140">
        <f>E34</f>
        <v>0</v>
      </c>
      <c r="V34" s="823">
        <f t="shared" ref="V34" si="50">S34*T34*U34</f>
        <v>0</v>
      </c>
      <c r="W34" s="838">
        <f>F34+J34+N34+R34+V34</f>
        <v>0</v>
      </c>
      <c r="X34" s="137"/>
      <c r="Y34" s="137"/>
      <c r="Z34" s="137"/>
      <c r="AA34" s="137"/>
    </row>
    <row r="35" spans="1:27" s="162" customFormat="1" ht="15" customHeight="1" outlineLevel="1">
      <c r="A35" s="196" t="str">
        <f>'Program Budget'!D35</f>
        <v>Fringe Benefits CCN - Nigeria</v>
      </c>
      <c r="B35" s="181" t="str">
        <f>'Program Budget'!F36</f>
        <v>%</v>
      </c>
      <c r="C35" s="275">
        <f>F23</f>
        <v>126855</v>
      </c>
      <c r="D35" s="183">
        <v>1</v>
      </c>
      <c r="E35" s="140">
        <f>'Program Budget'!H35</f>
        <v>0.29599999999999999</v>
      </c>
      <c r="F35" s="823">
        <f>C35*D35*E35</f>
        <v>37549.08</v>
      </c>
      <c r="G35" s="275">
        <f>J23</f>
        <v>13387.500000000002</v>
      </c>
      <c r="H35" s="183">
        <v>1</v>
      </c>
      <c r="I35" s="140">
        <f t="shared" ref="I35:I36" si="51">E35</f>
        <v>0.29599999999999999</v>
      </c>
      <c r="J35" s="823">
        <f t="shared" ref="J35" si="52">G35*H35*I35</f>
        <v>3962.7000000000003</v>
      </c>
      <c r="K35" s="275">
        <f>N23</f>
        <v>14056.875000000002</v>
      </c>
      <c r="L35" s="183">
        <v>1</v>
      </c>
      <c r="M35" s="140">
        <f t="shared" ref="M35:M36" si="53">E35</f>
        <v>0.29599999999999999</v>
      </c>
      <c r="N35" s="823">
        <f t="shared" ref="N35" si="54">K35*L35*M35</f>
        <v>4160.835</v>
      </c>
      <c r="O35" s="275">
        <f>R23</f>
        <v>14759.718750000004</v>
      </c>
      <c r="P35" s="183">
        <v>1</v>
      </c>
      <c r="Q35" s="140">
        <f t="shared" ref="Q35:Q36" si="55">E35</f>
        <v>0.29599999999999999</v>
      </c>
      <c r="R35" s="823">
        <f t="shared" ref="R35" si="56">O35*P35*Q35</f>
        <v>4368.8767500000013</v>
      </c>
      <c r="S35" s="275">
        <f>V23</f>
        <v>0</v>
      </c>
      <c r="T35" s="183">
        <v>1</v>
      </c>
      <c r="U35" s="140">
        <v>0</v>
      </c>
      <c r="V35" s="823">
        <f t="shared" ref="V35" si="57">S35*T35*U35</f>
        <v>0</v>
      </c>
      <c r="W35" s="838">
        <f t="shared" ref="W35" si="58">F35+J35+N35+R35+V35</f>
        <v>50041.491750000001</v>
      </c>
      <c r="X35" s="137"/>
      <c r="Y35" s="137"/>
      <c r="Z35" s="137"/>
      <c r="AA35" s="137"/>
    </row>
    <row r="36" spans="1:27" s="162" customFormat="1" ht="15" customHeight="1" outlineLevel="1">
      <c r="A36" s="198" t="s">
        <v>83</v>
      </c>
      <c r="B36" s="181" t="str">
        <f>'Program Budget'!F36</f>
        <v>%</v>
      </c>
      <c r="C36" s="276">
        <f>F30</f>
        <v>110940</v>
      </c>
      <c r="D36" s="201">
        <v>1</v>
      </c>
      <c r="E36" s="140">
        <f>'Program Budget'!H36</f>
        <v>0.23469999999999999</v>
      </c>
      <c r="F36" s="827">
        <f>C36*D36*E36</f>
        <v>26037.617999999999</v>
      </c>
      <c r="G36" s="276">
        <f>J30</f>
        <v>26502</v>
      </c>
      <c r="H36" s="201">
        <v>1</v>
      </c>
      <c r="I36" s="140">
        <f t="shared" si="51"/>
        <v>0.23469999999999999</v>
      </c>
      <c r="J36" s="827">
        <f>G36*H36*I36</f>
        <v>6220.0194000000001</v>
      </c>
      <c r="K36" s="276">
        <f>N30</f>
        <v>27827.1</v>
      </c>
      <c r="L36" s="201">
        <v>1</v>
      </c>
      <c r="M36" s="140">
        <f t="shared" si="53"/>
        <v>0.23469999999999999</v>
      </c>
      <c r="N36" s="827">
        <f t="shared" ref="N36" si="59">K36*L36*M36</f>
        <v>6531.0203699999993</v>
      </c>
      <c r="O36" s="276">
        <f>R30</f>
        <v>29218.455000000002</v>
      </c>
      <c r="P36" s="201">
        <v>1</v>
      </c>
      <c r="Q36" s="140">
        <f t="shared" si="55"/>
        <v>0.23469999999999999</v>
      </c>
      <c r="R36" s="827">
        <f t="shared" ref="R36" si="60">O36*P36*Q36</f>
        <v>6857.5713885000005</v>
      </c>
      <c r="S36" s="276">
        <f>V30</f>
        <v>0</v>
      </c>
      <c r="T36" s="201">
        <v>1</v>
      </c>
      <c r="U36" s="140">
        <v>0</v>
      </c>
      <c r="V36" s="827">
        <f t="shared" ref="V36" si="61">S36*T36*U36</f>
        <v>0</v>
      </c>
      <c r="W36" s="847">
        <f t="shared" ref="W36" si="62">F36+J36+N36+R36+V36</f>
        <v>45646.229158499998</v>
      </c>
      <c r="X36" s="137"/>
      <c r="Y36" s="137"/>
      <c r="Z36" s="137"/>
      <c r="AA36" s="137"/>
    </row>
    <row r="37" spans="1:27" ht="15" customHeight="1" outlineLevel="1">
      <c r="A37" s="175" t="s">
        <v>84</v>
      </c>
      <c r="B37" s="176"/>
      <c r="C37" s="177"/>
      <c r="D37" s="178"/>
      <c r="E37" s="179"/>
      <c r="F37" s="824">
        <f>+SUM(F34:F36)</f>
        <v>63586.698000000004</v>
      </c>
      <c r="G37" s="177"/>
      <c r="H37" s="178"/>
      <c r="I37" s="180"/>
      <c r="J37" s="824">
        <f>+SUM(J34:J36)</f>
        <v>10182.7194</v>
      </c>
      <c r="K37" s="177"/>
      <c r="L37" s="178"/>
      <c r="M37" s="179"/>
      <c r="N37" s="824">
        <f>+SUM(N34:N36)</f>
        <v>10691.855369999999</v>
      </c>
      <c r="O37" s="177"/>
      <c r="P37" s="178"/>
      <c r="Q37" s="180"/>
      <c r="R37" s="824">
        <f>+SUM(R34:R36)</f>
        <v>11226.448138500002</v>
      </c>
      <c r="S37" s="177"/>
      <c r="T37" s="178"/>
      <c r="U37" s="180"/>
      <c r="V37" s="824">
        <f>+SUM(V34:V36)</f>
        <v>0</v>
      </c>
      <c r="W37" s="844">
        <f>+F37+J37+N37+R37+V37</f>
        <v>95687.720908500007</v>
      </c>
    </row>
    <row r="38" spans="1:27" s="162" customFormat="1" ht="15" customHeight="1" outlineLevel="1">
      <c r="A38" s="163" t="s">
        <v>85</v>
      </c>
      <c r="B38" s="204"/>
      <c r="C38" s="182"/>
      <c r="D38" s="183"/>
      <c r="E38" s="140"/>
      <c r="F38" s="828"/>
      <c r="G38" s="182"/>
      <c r="H38" s="183"/>
      <c r="I38" s="141"/>
      <c r="J38" s="839"/>
      <c r="K38" s="182"/>
      <c r="L38" s="183"/>
      <c r="M38" s="140"/>
      <c r="N38" s="839"/>
      <c r="O38" s="182"/>
      <c r="P38" s="183"/>
      <c r="Q38" s="141"/>
      <c r="R38" s="839"/>
      <c r="S38" s="182"/>
      <c r="T38" s="183"/>
      <c r="U38" s="141"/>
      <c r="V38" s="839"/>
      <c r="W38" s="838"/>
      <c r="X38" s="137"/>
      <c r="Y38" s="137"/>
      <c r="Z38" s="137"/>
      <c r="AA38" s="137"/>
    </row>
    <row r="39" spans="1:27" outlineLevel="1">
      <c r="A39" s="166" t="s">
        <v>75</v>
      </c>
      <c r="B39" s="181"/>
      <c r="D39" s="218"/>
      <c r="F39" s="823">
        <f>C39*D39*E39</f>
        <v>0</v>
      </c>
      <c r="H39" s="218"/>
      <c r="I39" s="140"/>
      <c r="J39" s="823">
        <f>G39*H39*I39</f>
        <v>0</v>
      </c>
      <c r="L39" s="218"/>
      <c r="N39" s="823">
        <f>K39*L39*M39</f>
        <v>0</v>
      </c>
      <c r="P39" s="218"/>
      <c r="Q39" s="140"/>
      <c r="R39" s="823">
        <f>O39*P39*Q39</f>
        <v>0</v>
      </c>
      <c r="T39" s="218"/>
      <c r="U39" s="140"/>
      <c r="V39" s="823">
        <f>S39*T39*U39</f>
        <v>0</v>
      </c>
      <c r="W39" s="838">
        <f t="shared" ref="W39" si="63">F39+J39+N39+R39+V39</f>
        <v>0</v>
      </c>
    </row>
    <row r="40" spans="1:27" ht="15" customHeight="1" outlineLevel="1">
      <c r="A40" s="175" t="s">
        <v>86</v>
      </c>
      <c r="B40" s="176"/>
      <c r="C40" s="177"/>
      <c r="D40" s="178"/>
      <c r="E40" s="179"/>
      <c r="F40" s="824">
        <f>SUM(F39:F39)</f>
        <v>0</v>
      </c>
      <c r="G40" s="177"/>
      <c r="H40" s="178"/>
      <c r="I40" s="180"/>
      <c r="J40" s="824">
        <f>SUM(J39:J39)</f>
        <v>0</v>
      </c>
      <c r="K40" s="177"/>
      <c r="L40" s="178"/>
      <c r="M40" s="179"/>
      <c r="N40" s="824">
        <f>SUM(N39:N39)</f>
        <v>0</v>
      </c>
      <c r="O40" s="177"/>
      <c r="P40" s="178"/>
      <c r="Q40" s="180"/>
      <c r="R40" s="824">
        <f>SUM(R39:R39)</f>
        <v>0</v>
      </c>
      <c r="S40" s="177"/>
      <c r="T40" s="178"/>
      <c r="U40" s="180"/>
      <c r="V40" s="824">
        <f>SUM(V39:V39)</f>
        <v>0</v>
      </c>
      <c r="W40" s="824">
        <f>SUM(W39:W39)</f>
        <v>0</v>
      </c>
    </row>
    <row r="41" spans="1:27" ht="15" customHeight="1" outlineLevel="1">
      <c r="A41" s="277"/>
      <c r="B41" s="199"/>
      <c r="C41" s="278"/>
      <c r="D41" s="279"/>
      <c r="E41" s="202"/>
      <c r="F41" s="851"/>
      <c r="G41" s="278"/>
      <c r="H41" s="279"/>
      <c r="I41" s="261"/>
      <c r="J41" s="851"/>
      <c r="K41" s="278"/>
      <c r="L41" s="279"/>
      <c r="M41" s="202"/>
      <c r="N41" s="851"/>
      <c r="O41" s="278"/>
      <c r="P41" s="279"/>
      <c r="Q41" s="261"/>
      <c r="R41" s="851"/>
      <c r="S41" s="278"/>
      <c r="T41" s="279"/>
      <c r="U41" s="261"/>
      <c r="V41" s="851"/>
      <c r="W41" s="844"/>
    </row>
    <row r="42" spans="1:27" s="212" customFormat="1" ht="18.3" outlineLevel="1">
      <c r="A42" s="206" t="s">
        <v>87</v>
      </c>
      <c r="B42" s="207"/>
      <c r="C42" s="208"/>
      <c r="D42" s="209"/>
      <c r="E42" s="210"/>
      <c r="F42" s="829">
        <f>F40+F37</f>
        <v>63586.698000000004</v>
      </c>
      <c r="G42" s="208"/>
      <c r="H42" s="209"/>
      <c r="I42" s="211"/>
      <c r="J42" s="829">
        <f>J40+J37</f>
        <v>10182.7194</v>
      </c>
      <c r="K42" s="208"/>
      <c r="L42" s="209"/>
      <c r="M42" s="210"/>
      <c r="N42" s="829">
        <f>N40+N37</f>
        <v>10691.855369999999</v>
      </c>
      <c r="O42" s="208"/>
      <c r="P42" s="209"/>
      <c r="Q42" s="211"/>
      <c r="R42" s="829">
        <f>R40+R37</f>
        <v>11226.448138500002</v>
      </c>
      <c r="S42" s="208"/>
      <c r="T42" s="209"/>
      <c r="U42" s="211"/>
      <c r="V42" s="829">
        <f>V40+V37</f>
        <v>0</v>
      </c>
      <c r="W42" s="846">
        <f>+F42+J42+N42+R42+V42</f>
        <v>95687.720908500007</v>
      </c>
      <c r="X42" s="194"/>
      <c r="Y42" s="194"/>
      <c r="Z42" s="194"/>
      <c r="AA42" s="194"/>
    </row>
    <row r="43" spans="1:27" s="213" customFormat="1" ht="15.6" outlineLevel="1">
      <c r="A43" s="163" t="s">
        <v>88</v>
      </c>
      <c r="B43" s="164"/>
      <c r="C43" s="138"/>
      <c r="D43" s="139"/>
      <c r="E43" s="158"/>
      <c r="F43" s="823"/>
      <c r="G43" s="138"/>
      <c r="H43" s="139"/>
      <c r="I43" s="160"/>
      <c r="J43" s="823"/>
      <c r="K43" s="138"/>
      <c r="L43" s="139"/>
      <c r="M43" s="158"/>
      <c r="N43" s="823"/>
      <c r="O43" s="138"/>
      <c r="P43" s="139"/>
      <c r="Q43" s="160"/>
      <c r="R43" s="823"/>
      <c r="S43" s="138"/>
      <c r="T43" s="139"/>
      <c r="U43" s="160"/>
      <c r="V43" s="823"/>
      <c r="W43" s="838"/>
      <c r="X43" s="137"/>
      <c r="Y43" s="137"/>
      <c r="Z43" s="137"/>
      <c r="AA43" s="137"/>
    </row>
    <row r="44" spans="1:27" ht="15" customHeight="1" outlineLevel="1">
      <c r="A44" s="815" t="str">
        <f>'Program Budget'!D42</f>
        <v>Airfare - DC-Nigeria - HO Project Management Trip</v>
      </c>
      <c r="B44" s="167" t="str">
        <f>'Program Budget'!F42</f>
        <v>Trip</v>
      </c>
      <c r="C44" s="168">
        <f>'Program Budget'!H42</f>
        <v>1800</v>
      </c>
      <c r="D44" s="169">
        <f>'Program Budget'!G42</f>
        <v>3</v>
      </c>
      <c r="E44" s="170">
        <v>1</v>
      </c>
      <c r="F44" s="823">
        <f>C44*D44*E44</f>
        <v>5400</v>
      </c>
      <c r="G44" s="168">
        <f>C44*1.05</f>
        <v>1890</v>
      </c>
      <c r="H44" s="169">
        <f>'Program Budget'!K42</f>
        <v>2</v>
      </c>
      <c r="I44" s="170">
        <v>1</v>
      </c>
      <c r="J44" s="823">
        <f>G44*H44*I44</f>
        <v>3780</v>
      </c>
      <c r="K44" s="168">
        <f>G44*1.05</f>
        <v>1984.5</v>
      </c>
      <c r="L44" s="169">
        <f>'Program Budget'!N42</f>
        <v>2</v>
      </c>
      <c r="M44" s="170">
        <v>1</v>
      </c>
      <c r="N44" s="823">
        <f>K44*L44*M44</f>
        <v>3969</v>
      </c>
      <c r="O44" s="168">
        <f>K44*1.05</f>
        <v>2083.7249999999999</v>
      </c>
      <c r="P44" s="169">
        <f>'Program Budget'!Q42</f>
        <v>2</v>
      </c>
      <c r="Q44" s="170">
        <v>1</v>
      </c>
      <c r="R44" s="823">
        <f>O44*P44*Q44</f>
        <v>4167.45</v>
      </c>
      <c r="S44" s="168">
        <f>O44*1.05</f>
        <v>2187.9112500000001</v>
      </c>
      <c r="T44" s="169">
        <f>'Program Budget'!T42</f>
        <v>0</v>
      </c>
      <c r="U44" s="170">
        <v>0</v>
      </c>
      <c r="V44" s="823">
        <f>S44*T44*U44</f>
        <v>0</v>
      </c>
      <c r="W44" s="838">
        <f>F44+J44+N44+R44+V44</f>
        <v>17316.45</v>
      </c>
      <c r="X44" s="173"/>
      <c r="Y44" s="161"/>
      <c r="Z44" s="174"/>
      <c r="AA44" s="174"/>
    </row>
    <row r="45" spans="1:27" ht="15" customHeight="1" outlineLevel="1">
      <c r="A45" s="815" t="str">
        <f>'Program Budget'!D48</f>
        <v>Airfare - Roundtrip - Nigeria to USA</v>
      </c>
      <c r="B45" s="167" t="str">
        <f>'Program Budget'!F48</f>
        <v>Trip</v>
      </c>
      <c r="C45" s="168">
        <f>'Program Budget'!H48</f>
        <v>1800</v>
      </c>
      <c r="D45" s="169">
        <f>'Program Budget'!G48</f>
        <v>3</v>
      </c>
      <c r="E45" s="170">
        <v>1</v>
      </c>
      <c r="F45" s="823">
        <f>C45*D45*E45</f>
        <v>5400</v>
      </c>
      <c r="G45" s="168">
        <f>C45*1.05</f>
        <v>1890</v>
      </c>
      <c r="H45" s="169">
        <f>'Program Budget'!K48</f>
        <v>3</v>
      </c>
      <c r="I45" s="170">
        <v>1</v>
      </c>
      <c r="J45" s="823">
        <f>G45*H45*I45</f>
        <v>5670</v>
      </c>
      <c r="K45" s="168">
        <f>G45*1.05</f>
        <v>1984.5</v>
      </c>
      <c r="L45" s="169">
        <f>'Program Budget'!N48</f>
        <v>3</v>
      </c>
      <c r="M45" s="170">
        <v>1</v>
      </c>
      <c r="N45" s="823">
        <f>K45*L45*M45</f>
        <v>5953.5</v>
      </c>
      <c r="O45" s="168">
        <f>K45*1.05</f>
        <v>2083.7249999999999</v>
      </c>
      <c r="P45" s="169">
        <f>'Program Budget'!Q48</f>
        <v>3</v>
      </c>
      <c r="Q45" s="170">
        <v>1</v>
      </c>
      <c r="R45" s="823">
        <f>O45*P45*Q45</f>
        <v>6251.1749999999993</v>
      </c>
      <c r="S45" s="168">
        <f>O45*1.05</f>
        <v>2187.9112500000001</v>
      </c>
      <c r="T45" s="169">
        <f>'Program Budget'!T48</f>
        <v>0</v>
      </c>
      <c r="U45" s="170">
        <v>0</v>
      </c>
      <c r="V45" s="823">
        <f>S45*T45*U45</f>
        <v>0</v>
      </c>
      <c r="W45" s="838">
        <f>F45+J45+N45+R45+V45</f>
        <v>23274.674999999999</v>
      </c>
      <c r="X45" s="173"/>
      <c r="Y45" s="161"/>
      <c r="Z45" s="174"/>
      <c r="AA45" s="174"/>
    </row>
    <row r="46" spans="1:27" s="213" customFormat="1" ht="15.6" outlineLevel="1">
      <c r="A46" s="163" t="s">
        <v>89</v>
      </c>
      <c r="B46" s="164"/>
      <c r="C46" s="138"/>
      <c r="D46" s="139"/>
      <c r="E46" s="158"/>
      <c r="F46" s="823"/>
      <c r="G46" s="168"/>
      <c r="H46" s="139"/>
      <c r="I46" s="160"/>
      <c r="J46" s="823"/>
      <c r="K46" s="168"/>
      <c r="L46" s="139"/>
      <c r="M46" s="158"/>
      <c r="N46" s="823"/>
      <c r="O46" s="168"/>
      <c r="P46" s="139"/>
      <c r="Q46" s="160"/>
      <c r="R46" s="823"/>
      <c r="S46" s="168"/>
      <c r="T46" s="139"/>
      <c r="U46" s="160"/>
      <c r="V46" s="823"/>
      <c r="W46" s="838"/>
      <c r="X46" s="137"/>
      <c r="Y46" s="137"/>
      <c r="Z46" s="137"/>
      <c r="AA46" s="137"/>
    </row>
    <row r="47" spans="1:27" ht="15" customHeight="1" outlineLevel="1">
      <c r="A47" s="815" t="str">
        <f>'Program Budget'!D44</f>
        <v>Ground Transportation – HO Project Management Trip</v>
      </c>
      <c r="B47" s="167" t="str">
        <f>'Program Budget'!F44</f>
        <v>Trip</v>
      </c>
      <c r="C47" s="168">
        <f>'Program Budget'!H44</f>
        <v>150</v>
      </c>
      <c r="D47" s="169">
        <f>'Program Budget'!G44</f>
        <v>3</v>
      </c>
      <c r="E47" s="170">
        <v>1</v>
      </c>
      <c r="F47" s="823">
        <f>C47*D47*E47</f>
        <v>450</v>
      </c>
      <c r="G47" s="168">
        <f>C47*1.05</f>
        <v>157.5</v>
      </c>
      <c r="H47" s="169">
        <f>'Program Budget'!K44</f>
        <v>2</v>
      </c>
      <c r="I47" s="170">
        <v>1</v>
      </c>
      <c r="J47" s="823">
        <f>G47*H47*I47</f>
        <v>315</v>
      </c>
      <c r="K47" s="168">
        <f>G47*1.05</f>
        <v>165.375</v>
      </c>
      <c r="L47" s="169">
        <f>'Program Budget'!N44</f>
        <v>2</v>
      </c>
      <c r="M47" s="170">
        <v>1</v>
      </c>
      <c r="N47" s="823">
        <f>K47*L47*M47</f>
        <v>330.75</v>
      </c>
      <c r="O47" s="168">
        <f>K47*1.05</f>
        <v>173.64375000000001</v>
      </c>
      <c r="P47" s="169">
        <f>'Program Budget'!Q44</f>
        <v>2</v>
      </c>
      <c r="Q47" s="170">
        <v>1</v>
      </c>
      <c r="R47" s="823">
        <f>O47*P47*Q47</f>
        <v>347.28750000000002</v>
      </c>
      <c r="S47" s="168">
        <f>O47*1.05</f>
        <v>182.32593750000001</v>
      </c>
      <c r="T47" s="169">
        <f>'Program Budget'!T44</f>
        <v>0</v>
      </c>
      <c r="U47" s="170">
        <v>0</v>
      </c>
      <c r="V47" s="823">
        <f>S47*T47*U47</f>
        <v>0</v>
      </c>
      <c r="W47" s="838">
        <f>F47+J47+N47+R47+V47</f>
        <v>1443.0374999999999</v>
      </c>
      <c r="X47" s="173"/>
      <c r="Y47" s="161"/>
      <c r="Z47" s="174"/>
      <c r="AA47" s="174"/>
    </row>
    <row r="48" spans="1:27" ht="15" customHeight="1" outlineLevel="1">
      <c r="A48" s="815" t="str">
        <f>'Program Budget'!D50</f>
        <v>Ground Transportation for Nigeria Staff Travel</v>
      </c>
      <c r="B48" s="167" t="str">
        <f>'Program Budget'!F50</f>
        <v>Trip</v>
      </c>
      <c r="C48" s="168">
        <f>'Program Budget'!H50</f>
        <v>250</v>
      </c>
      <c r="D48" s="169">
        <f>'Program Budget'!G50</f>
        <v>3</v>
      </c>
      <c r="E48" s="170">
        <v>1</v>
      </c>
      <c r="F48" s="823">
        <f>C48*D48*E48</f>
        <v>750</v>
      </c>
      <c r="G48" s="168">
        <f>C48*1.05</f>
        <v>262.5</v>
      </c>
      <c r="H48" s="169">
        <f>'Program Budget'!K50</f>
        <v>3</v>
      </c>
      <c r="I48" s="170">
        <v>1</v>
      </c>
      <c r="J48" s="823">
        <f>G48*H48*I48</f>
        <v>787.5</v>
      </c>
      <c r="K48" s="168">
        <f>G48*1.05</f>
        <v>275.625</v>
      </c>
      <c r="L48" s="169">
        <f>'Program Budget'!N50</f>
        <v>3</v>
      </c>
      <c r="M48" s="170">
        <v>1</v>
      </c>
      <c r="N48" s="823">
        <f>K48*L48*M48</f>
        <v>826.875</v>
      </c>
      <c r="O48" s="168">
        <f>K48*1.05</f>
        <v>289.40625</v>
      </c>
      <c r="P48" s="169">
        <f>'Program Budget'!Q50</f>
        <v>3</v>
      </c>
      <c r="Q48" s="170">
        <v>1</v>
      </c>
      <c r="R48" s="823">
        <f>O48*P48*Q48</f>
        <v>868.21875</v>
      </c>
      <c r="S48" s="168">
        <f>O48*1.05</f>
        <v>303.87656250000003</v>
      </c>
      <c r="T48" s="169">
        <f>'Program Budget'!T50</f>
        <v>0</v>
      </c>
      <c r="U48" s="170">
        <v>0</v>
      </c>
      <c r="V48" s="823">
        <f>S48*T48*U48</f>
        <v>0</v>
      </c>
      <c r="W48" s="838">
        <f>F48+J48+N48+R48+V48</f>
        <v>3232.59375</v>
      </c>
      <c r="X48" s="173"/>
      <c r="Y48" s="161"/>
      <c r="Z48" s="174"/>
      <c r="AA48" s="174"/>
    </row>
    <row r="49" spans="1:27" ht="15" customHeight="1" outlineLevel="1">
      <c r="A49" s="815" t="str">
        <f>'Program Budget'!D55</f>
        <v>Roundtrip Domestic Airfare - Lagos to Implementing Regions  – Training, M&amp;E, &amp; Data Collection</v>
      </c>
      <c r="B49" s="167" t="str">
        <f>'Program Budget'!F55</f>
        <v>Trip</v>
      </c>
      <c r="C49" s="168">
        <f>'Program Budget'!H55</f>
        <v>250</v>
      </c>
      <c r="D49" s="169">
        <f>'Program Budget'!G55</f>
        <v>36</v>
      </c>
      <c r="E49" s="170">
        <v>1</v>
      </c>
      <c r="F49" s="823">
        <f>C49*D49*E49</f>
        <v>9000</v>
      </c>
      <c r="G49" s="168">
        <f>C49*1.05</f>
        <v>262.5</v>
      </c>
      <c r="H49" s="169">
        <f>'Program Budget'!K55</f>
        <v>36</v>
      </c>
      <c r="I49" s="170">
        <v>1</v>
      </c>
      <c r="J49" s="823">
        <f>G49*H49*I49</f>
        <v>9450</v>
      </c>
      <c r="K49" s="168">
        <f>G49*1.05</f>
        <v>275.625</v>
      </c>
      <c r="L49" s="169">
        <f>'Program Budget'!N55</f>
        <v>36</v>
      </c>
      <c r="M49" s="170">
        <v>1</v>
      </c>
      <c r="N49" s="823">
        <f>K49*L49*M49</f>
        <v>9922.5</v>
      </c>
      <c r="O49" s="168">
        <f>K49*1.05</f>
        <v>289.40625</v>
      </c>
      <c r="P49" s="169">
        <f>'Program Budget'!Q55</f>
        <v>36</v>
      </c>
      <c r="Q49" s="170">
        <v>1</v>
      </c>
      <c r="R49" s="823">
        <f>O49*P49*Q49</f>
        <v>10418.625</v>
      </c>
      <c r="S49" s="168">
        <f>O49*1.05</f>
        <v>303.87656250000003</v>
      </c>
      <c r="T49" s="169">
        <f>'Program Budget'!T55</f>
        <v>0</v>
      </c>
      <c r="U49" s="170">
        <v>0</v>
      </c>
      <c r="V49" s="823">
        <f>S49*T49*U49</f>
        <v>0</v>
      </c>
      <c r="W49" s="838">
        <f>F49+J49+N49+R49+V49</f>
        <v>38791.125</v>
      </c>
      <c r="X49" s="173"/>
      <c r="Y49" s="161"/>
      <c r="Z49" s="174"/>
      <c r="AA49" s="174"/>
    </row>
    <row r="50" spans="1:27" ht="15" customHeight="1" outlineLevel="1">
      <c r="A50" s="815" t="str">
        <f>'Program Budget'!D56</f>
        <v>Local Transportation (Car Rental, Taxis)  – Training, M&amp;E, &amp; Data Collection</v>
      </c>
      <c r="B50" s="167" t="str">
        <f>'Program Budget'!F56</f>
        <v>Trip</v>
      </c>
      <c r="C50" s="168">
        <f>'Program Budget'!H56</f>
        <v>30</v>
      </c>
      <c r="D50" s="169">
        <f>'Program Budget'!G56</f>
        <v>36</v>
      </c>
      <c r="E50" s="170">
        <v>1</v>
      </c>
      <c r="F50" s="823">
        <f>C50*D50*E50</f>
        <v>1080</v>
      </c>
      <c r="G50" s="168">
        <f>C50*1.05</f>
        <v>31.5</v>
      </c>
      <c r="H50" s="169">
        <f>'Program Budget'!K56</f>
        <v>36</v>
      </c>
      <c r="I50" s="170">
        <v>1</v>
      </c>
      <c r="J50" s="823">
        <f>G50*H50*I50</f>
        <v>1134</v>
      </c>
      <c r="K50" s="168">
        <f>G50*1.05</f>
        <v>33.075000000000003</v>
      </c>
      <c r="L50" s="169">
        <f>'Program Budget'!N56</f>
        <v>36</v>
      </c>
      <c r="M50" s="170">
        <v>1</v>
      </c>
      <c r="N50" s="823">
        <f>K50*L50*M50</f>
        <v>1190.7</v>
      </c>
      <c r="O50" s="168">
        <f>K50*1.05</f>
        <v>34.728750000000005</v>
      </c>
      <c r="P50" s="169">
        <f>'Program Budget'!Q56</f>
        <v>36</v>
      </c>
      <c r="Q50" s="170">
        <v>1</v>
      </c>
      <c r="R50" s="823">
        <f>O50*P50*Q50</f>
        <v>1250.2350000000001</v>
      </c>
      <c r="S50" s="168">
        <f>O50*1.05</f>
        <v>36.465187500000006</v>
      </c>
      <c r="T50" s="169">
        <f>'Program Budget'!T56</f>
        <v>0</v>
      </c>
      <c r="U50" s="170">
        <v>0</v>
      </c>
      <c r="V50" s="823">
        <f>S50*T50*U50</f>
        <v>0</v>
      </c>
      <c r="W50" s="838">
        <f>F50+J50+N50+R50+V50</f>
        <v>4654.9349999999995</v>
      </c>
      <c r="X50" s="173"/>
      <c r="Y50" s="161"/>
      <c r="Z50" s="174"/>
      <c r="AA50" s="174"/>
    </row>
    <row r="51" spans="1:27" s="213" customFormat="1" ht="15.6" outlineLevel="1">
      <c r="A51" s="163" t="s">
        <v>90</v>
      </c>
      <c r="B51" s="181"/>
      <c r="C51" s="138"/>
      <c r="D51" s="139"/>
      <c r="E51" s="140"/>
      <c r="F51" s="823"/>
      <c r="G51" s="168"/>
      <c r="H51" s="139"/>
      <c r="I51" s="141"/>
      <c r="J51" s="823"/>
      <c r="K51" s="168"/>
      <c r="L51" s="139"/>
      <c r="M51" s="140"/>
      <c r="N51" s="823"/>
      <c r="O51" s="168"/>
      <c r="P51" s="139"/>
      <c r="Q51" s="141"/>
      <c r="R51" s="823"/>
      <c r="S51" s="168"/>
      <c r="T51" s="139"/>
      <c r="U51" s="141"/>
      <c r="V51" s="823"/>
      <c r="W51" s="838"/>
      <c r="X51" s="137"/>
      <c r="Y51" s="137"/>
      <c r="Z51" s="137"/>
      <c r="AA51" s="137"/>
    </row>
    <row r="52" spans="1:27" ht="15" customHeight="1" outlineLevel="1">
      <c r="A52" s="815" t="str">
        <f>'Program Budget'!D54</f>
        <v>Vehicle Fuel Expense (for Field Office Vehicles)</v>
      </c>
      <c r="B52" s="167" t="str">
        <f>'Program Budget'!F54</f>
        <v>Month</v>
      </c>
      <c r="C52" s="168">
        <f>'Program Budget'!H54</f>
        <v>50</v>
      </c>
      <c r="D52" s="169">
        <f>'Program Budget'!G54</f>
        <v>3</v>
      </c>
      <c r="E52" s="170">
        <v>1</v>
      </c>
      <c r="F52" s="823">
        <f>C52*D52*E52</f>
        <v>150</v>
      </c>
      <c r="G52" s="168">
        <f>C52*1.05</f>
        <v>52.5</v>
      </c>
      <c r="H52" s="169">
        <f>'Program Budget'!K54</f>
        <v>12</v>
      </c>
      <c r="I52" s="170">
        <v>1</v>
      </c>
      <c r="J52" s="823">
        <f>G52*H52*I52</f>
        <v>630</v>
      </c>
      <c r="K52" s="168">
        <f>G52*1.05</f>
        <v>55.125</v>
      </c>
      <c r="L52" s="169">
        <f>'Program Budget'!N54</f>
        <v>12</v>
      </c>
      <c r="M52" s="170">
        <v>1</v>
      </c>
      <c r="N52" s="823">
        <f>K52*L52*M52</f>
        <v>661.5</v>
      </c>
      <c r="O52" s="168">
        <f>K52*1.05</f>
        <v>57.881250000000001</v>
      </c>
      <c r="P52" s="169">
        <f>'Program Budget'!Q54</f>
        <v>12</v>
      </c>
      <c r="Q52" s="170">
        <v>1</v>
      </c>
      <c r="R52" s="823">
        <f>O52*P52*Q52</f>
        <v>694.57500000000005</v>
      </c>
      <c r="S52" s="168">
        <f>O52*1.05</f>
        <v>60.775312500000005</v>
      </c>
      <c r="T52" s="169">
        <f>'Program Budget'!T54</f>
        <v>0</v>
      </c>
      <c r="U52" s="170">
        <v>0</v>
      </c>
      <c r="V52" s="823">
        <f>S52*T52*U52</f>
        <v>0</v>
      </c>
      <c r="W52" s="838">
        <f>F52+J52+N52+R52+V52</f>
        <v>2136.0749999999998</v>
      </c>
      <c r="X52" s="173"/>
      <c r="Y52" s="161"/>
      <c r="Z52" s="174"/>
      <c r="AA52" s="174"/>
    </row>
    <row r="53" spans="1:27" s="213" customFormat="1" ht="15.6" outlineLevel="1">
      <c r="A53" s="163" t="s">
        <v>91</v>
      </c>
      <c r="B53" s="181"/>
      <c r="C53" s="138"/>
      <c r="D53" s="139"/>
      <c r="E53" s="140"/>
      <c r="F53" s="823"/>
      <c r="G53" s="168"/>
      <c r="H53" s="139"/>
      <c r="I53" s="141"/>
      <c r="J53" s="823"/>
      <c r="K53" s="168"/>
      <c r="L53" s="139"/>
      <c r="M53" s="140"/>
      <c r="N53" s="823"/>
      <c r="O53" s="168"/>
      <c r="P53" s="139"/>
      <c r="Q53" s="141"/>
      <c r="R53" s="823"/>
      <c r="S53" s="168"/>
      <c r="T53" s="139"/>
      <c r="U53" s="141"/>
      <c r="V53" s="823"/>
      <c r="W53" s="838"/>
      <c r="X53" s="137"/>
      <c r="Y53" s="137"/>
      <c r="Z53" s="137"/>
      <c r="AA53" s="137"/>
    </row>
    <row r="54" spans="1:27" ht="15" customHeight="1" outlineLevel="1">
      <c r="A54" s="815" t="str">
        <f>'Program Budget'!D43</f>
        <v>Lodging and M&amp;IE - HO Project Management Trip</v>
      </c>
      <c r="B54" s="167" t="str">
        <f>'Program Budget'!F43</f>
        <v>Day</v>
      </c>
      <c r="C54" s="168">
        <f>'Program Budget'!H43</f>
        <v>310.5</v>
      </c>
      <c r="D54" s="169">
        <f>'Program Budget'!G43</f>
        <v>30</v>
      </c>
      <c r="E54" s="170">
        <v>1</v>
      </c>
      <c r="F54" s="823">
        <f t="shared" ref="F54:F60" si="64">C54*D54*E54</f>
        <v>9315</v>
      </c>
      <c r="G54" s="168">
        <f t="shared" ref="G54:G60" si="65">C54*1.05</f>
        <v>326.02500000000003</v>
      </c>
      <c r="H54" s="169">
        <f>'Program Budget'!K43</f>
        <v>20</v>
      </c>
      <c r="I54" s="170">
        <v>1</v>
      </c>
      <c r="J54" s="823">
        <f t="shared" ref="J54:J60" si="66">G54*H54*I54</f>
        <v>6520.5000000000009</v>
      </c>
      <c r="K54" s="168">
        <f t="shared" ref="K54:K60" si="67">G54*1.05</f>
        <v>342.32625000000007</v>
      </c>
      <c r="L54" s="169">
        <f>'Program Budget'!N43</f>
        <v>20</v>
      </c>
      <c r="M54" s="170">
        <v>1</v>
      </c>
      <c r="N54" s="823">
        <f t="shared" ref="N54:N60" si="68">K54*L54*M54</f>
        <v>6846.5250000000015</v>
      </c>
      <c r="O54" s="168">
        <f t="shared" ref="O54:O60" si="69">K54*1.05</f>
        <v>359.44256250000007</v>
      </c>
      <c r="P54" s="169">
        <f>'Program Budget'!Q43</f>
        <v>20</v>
      </c>
      <c r="Q54" s="170">
        <v>1</v>
      </c>
      <c r="R54" s="823">
        <f t="shared" ref="R54:R60" si="70">O54*P54*Q54</f>
        <v>7188.8512500000015</v>
      </c>
      <c r="S54" s="168">
        <f t="shared" ref="S54:S60" si="71">O54*1.05</f>
        <v>377.41469062500011</v>
      </c>
      <c r="T54" s="169">
        <f>'Program Budget'!T43</f>
        <v>0</v>
      </c>
      <c r="U54" s="170">
        <v>0</v>
      </c>
      <c r="V54" s="823">
        <f t="shared" ref="V54:V60" si="72">S54*T54*U54</f>
        <v>0</v>
      </c>
      <c r="W54" s="838">
        <f t="shared" ref="W54:W60" si="73">F54+J54+N54+R54+V54</f>
        <v>29870.876250000001</v>
      </c>
      <c r="X54" s="173"/>
      <c r="Y54" s="161"/>
      <c r="Z54" s="174"/>
      <c r="AA54" s="174"/>
    </row>
    <row r="55" spans="1:27" ht="15" customHeight="1" outlineLevel="1">
      <c r="A55" s="815" t="str">
        <f>'Program Budget'!D45</f>
        <v>Other Travel Related Expenses – HO Project Management Trip</v>
      </c>
      <c r="B55" s="167" t="str">
        <f>'Program Budget'!F45</f>
        <v>Trip</v>
      </c>
      <c r="C55" s="168">
        <f>'Program Budget'!H45</f>
        <v>150</v>
      </c>
      <c r="D55" s="169">
        <f>'Program Budget'!G45</f>
        <v>3</v>
      </c>
      <c r="E55" s="170">
        <v>1</v>
      </c>
      <c r="F55" s="823">
        <f t="shared" si="64"/>
        <v>450</v>
      </c>
      <c r="G55" s="168">
        <f t="shared" si="65"/>
        <v>157.5</v>
      </c>
      <c r="H55" s="169">
        <f>'Program Budget'!K45</f>
        <v>2</v>
      </c>
      <c r="I55" s="170">
        <v>1</v>
      </c>
      <c r="J55" s="823">
        <f t="shared" si="66"/>
        <v>315</v>
      </c>
      <c r="K55" s="168">
        <f t="shared" si="67"/>
        <v>165.375</v>
      </c>
      <c r="L55" s="169">
        <f>'Program Budget'!N45</f>
        <v>2</v>
      </c>
      <c r="M55" s="170">
        <v>1</v>
      </c>
      <c r="N55" s="823">
        <f t="shared" si="68"/>
        <v>330.75</v>
      </c>
      <c r="O55" s="168">
        <f t="shared" si="69"/>
        <v>173.64375000000001</v>
      </c>
      <c r="P55" s="169">
        <f>'Program Budget'!Q45</f>
        <v>2</v>
      </c>
      <c r="Q55" s="170">
        <v>1</v>
      </c>
      <c r="R55" s="823">
        <f t="shared" si="70"/>
        <v>347.28750000000002</v>
      </c>
      <c r="S55" s="168">
        <f t="shared" si="71"/>
        <v>182.32593750000001</v>
      </c>
      <c r="T55" s="169">
        <f>'Program Budget'!T45</f>
        <v>0</v>
      </c>
      <c r="U55" s="170">
        <v>0</v>
      </c>
      <c r="V55" s="823">
        <f t="shared" si="72"/>
        <v>0</v>
      </c>
      <c r="W55" s="838">
        <f t="shared" si="73"/>
        <v>1443.0374999999999</v>
      </c>
      <c r="X55" s="173"/>
      <c r="Y55" s="161"/>
      <c r="Z55" s="174"/>
      <c r="AA55" s="174"/>
    </row>
    <row r="56" spans="1:27" ht="15" customHeight="1" outlineLevel="1">
      <c r="A56" s="815" t="str">
        <f>'Program Budget'!D46</f>
        <v>Visa Cost for US Staff Travel</v>
      </c>
      <c r="B56" s="167" t="str">
        <f>'Program Budget'!F46</f>
        <v>Trip</v>
      </c>
      <c r="C56" s="168">
        <f>'Program Budget'!H46</f>
        <v>160</v>
      </c>
      <c r="D56" s="169">
        <f>'Program Budget'!G46</f>
        <v>3</v>
      </c>
      <c r="E56" s="170">
        <v>1</v>
      </c>
      <c r="F56" s="823">
        <f t="shared" si="64"/>
        <v>480</v>
      </c>
      <c r="G56" s="168">
        <f t="shared" si="65"/>
        <v>168</v>
      </c>
      <c r="H56" s="169">
        <f>'Program Budget'!K46</f>
        <v>2</v>
      </c>
      <c r="I56" s="170">
        <v>1</v>
      </c>
      <c r="J56" s="823">
        <f t="shared" si="66"/>
        <v>336</v>
      </c>
      <c r="K56" s="168">
        <f t="shared" si="67"/>
        <v>176.4</v>
      </c>
      <c r="L56" s="169">
        <f>'Program Budget'!N46</f>
        <v>2</v>
      </c>
      <c r="M56" s="170">
        <v>1</v>
      </c>
      <c r="N56" s="823">
        <f t="shared" si="68"/>
        <v>352.8</v>
      </c>
      <c r="O56" s="168">
        <f t="shared" si="69"/>
        <v>185.22000000000003</v>
      </c>
      <c r="P56" s="169">
        <f>'Program Budget'!Q46</f>
        <v>2</v>
      </c>
      <c r="Q56" s="170">
        <v>1</v>
      </c>
      <c r="R56" s="823">
        <f t="shared" si="70"/>
        <v>370.44000000000005</v>
      </c>
      <c r="S56" s="168">
        <f t="shared" si="71"/>
        <v>194.48100000000002</v>
      </c>
      <c r="T56" s="169">
        <f>'Program Budget'!T46</f>
        <v>0</v>
      </c>
      <c r="U56" s="170">
        <v>0</v>
      </c>
      <c r="V56" s="823">
        <f t="shared" si="72"/>
        <v>0</v>
      </c>
      <c r="W56" s="838">
        <f t="shared" si="73"/>
        <v>1539.24</v>
      </c>
      <c r="X56" s="173"/>
      <c r="Y56" s="161"/>
      <c r="Z56" s="174"/>
      <c r="AA56" s="174"/>
    </row>
    <row r="57" spans="1:27" ht="15" customHeight="1" outlineLevel="1">
      <c r="A57" s="815" t="str">
        <f>'Program Budget'!D49</f>
        <v>Lodging and M&amp;IE for Nigeria Staff Travel</v>
      </c>
      <c r="B57" s="167" t="str">
        <f>'Program Budget'!F49</f>
        <v>Day</v>
      </c>
      <c r="C57" s="168">
        <f>'Program Budget'!H49</f>
        <v>262.8</v>
      </c>
      <c r="D57" s="169">
        <f>'Program Budget'!G49</f>
        <v>21</v>
      </c>
      <c r="E57" s="170">
        <v>1</v>
      </c>
      <c r="F57" s="823">
        <f t="shared" si="64"/>
        <v>5518.8</v>
      </c>
      <c r="G57" s="168">
        <f t="shared" si="65"/>
        <v>275.94</v>
      </c>
      <c r="H57" s="169">
        <f>'Program Budget'!K49</f>
        <v>21</v>
      </c>
      <c r="I57" s="170">
        <v>1</v>
      </c>
      <c r="J57" s="823">
        <f t="shared" si="66"/>
        <v>5794.74</v>
      </c>
      <c r="K57" s="168">
        <f t="shared" si="67"/>
        <v>289.73700000000002</v>
      </c>
      <c r="L57" s="169">
        <f>'Program Budget'!N49</f>
        <v>21</v>
      </c>
      <c r="M57" s="170">
        <v>1</v>
      </c>
      <c r="N57" s="823">
        <f t="shared" si="68"/>
        <v>6084.4770000000008</v>
      </c>
      <c r="O57" s="168">
        <f t="shared" si="69"/>
        <v>304.22385000000003</v>
      </c>
      <c r="P57" s="169">
        <f>'Program Budget'!Q49</f>
        <v>21</v>
      </c>
      <c r="Q57" s="170">
        <v>1</v>
      </c>
      <c r="R57" s="823">
        <f t="shared" si="70"/>
        <v>6388.7008500000002</v>
      </c>
      <c r="S57" s="168">
        <f t="shared" si="71"/>
        <v>319.43504250000007</v>
      </c>
      <c r="T57" s="169">
        <f>'Program Budget'!T49</f>
        <v>0</v>
      </c>
      <c r="U57" s="170">
        <v>0</v>
      </c>
      <c r="V57" s="823">
        <f t="shared" si="72"/>
        <v>0</v>
      </c>
      <c r="W57" s="838">
        <f t="shared" si="73"/>
        <v>23786.717850000001</v>
      </c>
      <c r="X57" s="173"/>
      <c r="Y57" s="161"/>
      <c r="Z57" s="174"/>
      <c r="AA57" s="174"/>
    </row>
    <row r="58" spans="1:27" ht="15" customHeight="1" outlineLevel="1">
      <c r="A58" s="815" t="str">
        <f>'Program Budget'!D51</f>
        <v>Other Travel Related Expenses for Nigeria Staff Travel</v>
      </c>
      <c r="B58" s="167" t="str">
        <f>'Program Budget'!F51</f>
        <v>Trip</v>
      </c>
      <c r="C58" s="168">
        <f>'Program Budget'!H51</f>
        <v>150</v>
      </c>
      <c r="D58" s="169">
        <f>'Program Budget'!G51</f>
        <v>3</v>
      </c>
      <c r="E58" s="170">
        <v>1</v>
      </c>
      <c r="F58" s="823">
        <f t="shared" si="64"/>
        <v>450</v>
      </c>
      <c r="G58" s="168">
        <f t="shared" si="65"/>
        <v>157.5</v>
      </c>
      <c r="H58" s="169">
        <f>'Program Budget'!K51</f>
        <v>3</v>
      </c>
      <c r="I58" s="170">
        <v>1</v>
      </c>
      <c r="J58" s="823">
        <f t="shared" si="66"/>
        <v>472.5</v>
      </c>
      <c r="K58" s="168">
        <f t="shared" si="67"/>
        <v>165.375</v>
      </c>
      <c r="L58" s="169">
        <f>'Program Budget'!N51</f>
        <v>3</v>
      </c>
      <c r="M58" s="170">
        <v>1</v>
      </c>
      <c r="N58" s="823">
        <f t="shared" si="68"/>
        <v>496.125</v>
      </c>
      <c r="O58" s="168">
        <f t="shared" si="69"/>
        <v>173.64375000000001</v>
      </c>
      <c r="P58" s="169">
        <f>'Program Budget'!Q51</f>
        <v>3</v>
      </c>
      <c r="Q58" s="170">
        <v>1</v>
      </c>
      <c r="R58" s="823">
        <f t="shared" si="70"/>
        <v>520.93125000000009</v>
      </c>
      <c r="S58" s="168">
        <f t="shared" si="71"/>
        <v>182.32593750000001</v>
      </c>
      <c r="T58" s="169">
        <f>'Program Budget'!T51</f>
        <v>0</v>
      </c>
      <c r="U58" s="170">
        <v>0</v>
      </c>
      <c r="V58" s="823">
        <f t="shared" si="72"/>
        <v>0</v>
      </c>
      <c r="W58" s="838">
        <f t="shared" si="73"/>
        <v>1939.5562500000001</v>
      </c>
      <c r="X58" s="173"/>
      <c r="Y58" s="161"/>
      <c r="Z58" s="174"/>
      <c r="AA58" s="174"/>
    </row>
    <row r="59" spans="1:27" ht="15" customHeight="1" outlineLevel="1">
      <c r="A59" s="815" t="str">
        <f>'Program Budget'!D52</f>
        <v>Visa Cost for Nigerian Staff Travel</v>
      </c>
      <c r="B59" s="167" t="str">
        <f>'Program Budget'!F52</f>
        <v>Trip</v>
      </c>
      <c r="C59" s="168">
        <f>'Program Budget'!H52</f>
        <v>185</v>
      </c>
      <c r="D59" s="169">
        <f>'Program Budget'!G52</f>
        <v>4</v>
      </c>
      <c r="E59" s="170">
        <v>1</v>
      </c>
      <c r="F59" s="823">
        <f t="shared" si="64"/>
        <v>740</v>
      </c>
      <c r="G59" s="168">
        <f t="shared" si="65"/>
        <v>194.25</v>
      </c>
      <c r="H59" s="169">
        <f>'Program Budget'!K52</f>
        <v>2</v>
      </c>
      <c r="I59" s="170">
        <v>1</v>
      </c>
      <c r="J59" s="823">
        <f t="shared" si="66"/>
        <v>388.5</v>
      </c>
      <c r="K59" s="168">
        <f t="shared" si="67"/>
        <v>203.96250000000001</v>
      </c>
      <c r="L59" s="169">
        <f>'Program Budget'!N52</f>
        <v>0</v>
      </c>
      <c r="M59" s="170">
        <v>1</v>
      </c>
      <c r="N59" s="823">
        <f t="shared" si="68"/>
        <v>0</v>
      </c>
      <c r="O59" s="168">
        <f t="shared" si="69"/>
        <v>214.16062500000001</v>
      </c>
      <c r="P59" s="169">
        <f>'Program Budget'!Q52</f>
        <v>0</v>
      </c>
      <c r="Q59" s="170">
        <v>1</v>
      </c>
      <c r="R59" s="823">
        <f t="shared" si="70"/>
        <v>0</v>
      </c>
      <c r="S59" s="168">
        <f t="shared" si="71"/>
        <v>224.86865625000002</v>
      </c>
      <c r="T59" s="169">
        <f>'Program Budget'!T52</f>
        <v>0</v>
      </c>
      <c r="U59" s="170">
        <v>0</v>
      </c>
      <c r="V59" s="823">
        <f t="shared" si="72"/>
        <v>0</v>
      </c>
      <c r="W59" s="838">
        <f t="shared" si="73"/>
        <v>1128.5</v>
      </c>
      <c r="X59" s="173"/>
      <c r="Y59" s="161"/>
      <c r="Z59" s="174"/>
      <c r="AA59" s="174"/>
    </row>
    <row r="60" spans="1:27" ht="15" customHeight="1" outlineLevel="1">
      <c r="A60" s="815" t="str">
        <f>'Program Budget'!D57</f>
        <v>Lodging and M&amp;IE - Training, M&amp;E, &amp; Data Collection</v>
      </c>
      <c r="B60" s="167" t="str">
        <f>'Program Budget'!F57</f>
        <v>Day</v>
      </c>
      <c r="C60" s="168">
        <f>'Program Budget'!H57</f>
        <v>145.5</v>
      </c>
      <c r="D60" s="169">
        <f>'Program Budget'!G57</f>
        <v>144</v>
      </c>
      <c r="E60" s="170">
        <v>1</v>
      </c>
      <c r="F60" s="823">
        <f t="shared" si="64"/>
        <v>20952</v>
      </c>
      <c r="G60" s="168">
        <f t="shared" si="65"/>
        <v>152.77500000000001</v>
      </c>
      <c r="H60" s="169">
        <f>'Program Budget'!K57</f>
        <v>144</v>
      </c>
      <c r="I60" s="170">
        <v>1</v>
      </c>
      <c r="J60" s="823">
        <f t="shared" si="66"/>
        <v>21999.600000000002</v>
      </c>
      <c r="K60" s="168">
        <f t="shared" si="67"/>
        <v>160.41375000000002</v>
      </c>
      <c r="L60" s="169">
        <f>'Program Budget'!N57</f>
        <v>144</v>
      </c>
      <c r="M60" s="170">
        <v>1</v>
      </c>
      <c r="N60" s="823">
        <f t="shared" si="68"/>
        <v>23099.58</v>
      </c>
      <c r="O60" s="168">
        <f t="shared" si="69"/>
        <v>168.43443750000003</v>
      </c>
      <c r="P60" s="169">
        <f>'Program Budget'!Q57</f>
        <v>144</v>
      </c>
      <c r="Q60" s="170">
        <v>1</v>
      </c>
      <c r="R60" s="823">
        <f t="shared" si="70"/>
        <v>24254.559000000005</v>
      </c>
      <c r="S60" s="168">
        <f t="shared" si="71"/>
        <v>176.85615937500003</v>
      </c>
      <c r="T60" s="169">
        <f>'Program Budget'!T57</f>
        <v>0</v>
      </c>
      <c r="U60" s="170">
        <v>0</v>
      </c>
      <c r="V60" s="823">
        <f t="shared" si="72"/>
        <v>0</v>
      </c>
      <c r="W60" s="838">
        <f t="shared" si="73"/>
        <v>90305.739000000016</v>
      </c>
      <c r="X60" s="173"/>
      <c r="Y60" s="161"/>
      <c r="Z60" s="174"/>
      <c r="AA60" s="174"/>
    </row>
    <row r="61" spans="1:27" outlineLevel="1">
      <c r="A61" s="269"/>
      <c r="B61" s="181"/>
      <c r="F61" s="823"/>
      <c r="J61" s="823"/>
      <c r="N61" s="823"/>
      <c r="R61" s="823"/>
      <c r="V61" s="823"/>
      <c r="W61" s="838"/>
    </row>
    <row r="62" spans="1:27" ht="18.3">
      <c r="A62" s="214" t="s">
        <v>92</v>
      </c>
      <c r="B62" s="188"/>
      <c r="C62" s="189"/>
      <c r="D62" s="215"/>
      <c r="E62" s="216"/>
      <c r="F62" s="826">
        <f>SUM(F43:F61)</f>
        <v>60135.8</v>
      </c>
      <c r="G62" s="189"/>
      <c r="H62" s="215"/>
      <c r="I62" s="192"/>
      <c r="J62" s="826">
        <f>SUM(J43:J61)</f>
        <v>57593.34</v>
      </c>
      <c r="K62" s="189"/>
      <c r="L62" s="215"/>
      <c r="M62" s="216"/>
      <c r="N62" s="826">
        <f>SUM(N43:N61)</f>
        <v>60065.082000000002</v>
      </c>
      <c r="O62" s="189"/>
      <c r="P62" s="215"/>
      <c r="Q62" s="192"/>
      <c r="R62" s="826">
        <f>SUM(R43:R61)</f>
        <v>63068.3361</v>
      </c>
      <c r="S62" s="189"/>
      <c r="T62" s="215"/>
      <c r="U62" s="192"/>
      <c r="V62" s="826">
        <f>SUM(V43:V61)</f>
        <v>0</v>
      </c>
      <c r="W62" s="846">
        <f>+F62+J62+N62+R62+V62</f>
        <v>240862.55810000002</v>
      </c>
      <c r="X62" s="143"/>
      <c r="Y62" s="143"/>
      <c r="Z62" s="143"/>
      <c r="AA62" s="143"/>
    </row>
    <row r="63" spans="1:27" ht="15.6" outlineLevel="1">
      <c r="A63" s="163" t="s">
        <v>30</v>
      </c>
      <c r="B63" s="217"/>
      <c r="D63" s="218"/>
      <c r="E63" s="219"/>
      <c r="F63" s="828"/>
      <c r="H63" s="218"/>
      <c r="I63" s="220"/>
      <c r="J63" s="839"/>
      <c r="L63" s="218"/>
      <c r="M63" s="219"/>
      <c r="N63" s="839"/>
      <c r="P63" s="218"/>
      <c r="Q63" s="220"/>
      <c r="R63" s="839"/>
      <c r="T63" s="218"/>
      <c r="U63" s="220"/>
      <c r="V63" s="839"/>
      <c r="W63" s="838"/>
    </row>
    <row r="64" spans="1:27" ht="15.6" outlineLevel="1">
      <c r="A64" s="221" t="str">
        <f>'Program Budget'!D61</f>
        <v>Monetization Agent Fee</v>
      </c>
      <c r="B64" s="167" t="str">
        <f>'Program Budget'!F61</f>
        <v>%</v>
      </c>
      <c r="C64" s="168">
        <f>'Program Budget'!G61</f>
        <v>10790000</v>
      </c>
      <c r="D64" s="169">
        <v>1</v>
      </c>
      <c r="E64" s="170">
        <f>'Program Budget'!H61</f>
        <v>1.67E-2</v>
      </c>
      <c r="F64" s="823">
        <f>C64*D64*E64</f>
        <v>180193</v>
      </c>
      <c r="G64" s="168">
        <v>0</v>
      </c>
      <c r="H64" s="169">
        <v>0</v>
      </c>
      <c r="I64" s="170">
        <v>0</v>
      </c>
      <c r="J64" s="823">
        <f>G64*H64*I64</f>
        <v>0</v>
      </c>
      <c r="K64" s="168">
        <f>G64</f>
        <v>0</v>
      </c>
      <c r="L64" s="169">
        <f>'Program Budget'!N61</f>
        <v>0</v>
      </c>
      <c r="M64" s="170">
        <v>0</v>
      </c>
      <c r="N64" s="823">
        <f>K64*L64*M64</f>
        <v>0</v>
      </c>
      <c r="O64" s="168">
        <f>K64</f>
        <v>0</v>
      </c>
      <c r="P64" s="169">
        <f>'Program Budget'!Q61</f>
        <v>0</v>
      </c>
      <c r="Q64" s="170">
        <v>0</v>
      </c>
      <c r="R64" s="823">
        <f>O64*P64*Q64</f>
        <v>0</v>
      </c>
      <c r="S64" s="168">
        <f>O64</f>
        <v>0</v>
      </c>
      <c r="T64" s="169">
        <f>'Program Budget'!T61</f>
        <v>0</v>
      </c>
      <c r="U64" s="170">
        <v>0</v>
      </c>
      <c r="V64" s="823">
        <f>S64*T64*U64</f>
        <v>0</v>
      </c>
      <c r="W64" s="838">
        <f>F64+J64+N64+R64+V64</f>
        <v>180193</v>
      </c>
    </row>
    <row r="65" spans="1:23" ht="15.6" outlineLevel="1">
      <c r="A65" s="221" t="str">
        <f>'Program Budget'!D62</f>
        <v>Monetization Impact Assessment</v>
      </c>
      <c r="B65" s="167" t="str">
        <f>'Program Budget'!F62</f>
        <v>Unit</v>
      </c>
      <c r="C65" s="168">
        <f>'Program Budget'!H62</f>
        <v>60000</v>
      </c>
      <c r="D65" s="169">
        <f>'Program Budget'!G62</f>
        <v>0</v>
      </c>
      <c r="E65" s="170">
        <v>0</v>
      </c>
      <c r="F65" s="823">
        <f t="shared" ref="F65" si="74">C65*D65*E65</f>
        <v>0</v>
      </c>
      <c r="G65" s="168">
        <f t="shared" ref="G65" si="75">C65</f>
        <v>60000</v>
      </c>
      <c r="H65" s="169">
        <f>'Program Budget'!K62</f>
        <v>1</v>
      </c>
      <c r="I65" s="170">
        <v>1</v>
      </c>
      <c r="J65" s="823">
        <f t="shared" ref="J65" si="76">G65*H65*I65</f>
        <v>60000</v>
      </c>
      <c r="K65" s="168">
        <f t="shared" ref="K65" si="77">G65</f>
        <v>60000</v>
      </c>
      <c r="L65" s="169">
        <f>'Program Budget'!N62</f>
        <v>0</v>
      </c>
      <c r="M65" s="170">
        <v>0</v>
      </c>
      <c r="N65" s="823">
        <f t="shared" ref="N65" si="78">K65*L65*M65</f>
        <v>0</v>
      </c>
      <c r="O65" s="168">
        <f t="shared" ref="O65" si="79">K65</f>
        <v>60000</v>
      </c>
      <c r="P65" s="169">
        <f>'Program Budget'!Q62</f>
        <v>0</v>
      </c>
      <c r="Q65" s="170">
        <v>0</v>
      </c>
      <c r="R65" s="823">
        <f t="shared" ref="R65" si="80">O65*P65*Q65</f>
        <v>0</v>
      </c>
      <c r="S65" s="168">
        <f t="shared" ref="S65" si="81">O65</f>
        <v>60000</v>
      </c>
      <c r="T65" s="169">
        <f>'Program Budget'!T62</f>
        <v>0</v>
      </c>
      <c r="U65" s="170">
        <v>0</v>
      </c>
      <c r="V65" s="823">
        <f t="shared" ref="V65" si="82">S65*T65*U65</f>
        <v>0</v>
      </c>
      <c r="W65" s="838">
        <f t="shared" ref="W65" si="83">F65+J65+N65+R65+V65</f>
        <v>60000</v>
      </c>
    </row>
    <row r="66" spans="1:23" ht="15.6" outlineLevel="1">
      <c r="A66" s="221" t="str">
        <f>'Program Budget'!D63</f>
        <v xml:space="preserve">Single Audit </v>
      </c>
      <c r="B66" s="167" t="str">
        <f>'Program Budget'!F63</f>
        <v>Year</v>
      </c>
      <c r="C66" s="168">
        <f>'Program Budget'!H63</f>
        <v>13000</v>
      </c>
      <c r="D66" s="169">
        <f>'Program Budget'!G63</f>
        <v>1</v>
      </c>
      <c r="E66" s="170">
        <v>1</v>
      </c>
      <c r="F66" s="823">
        <f t="shared" ref="F66:F71" si="84">C66*D66*E66</f>
        <v>13000</v>
      </c>
      <c r="G66" s="168">
        <f t="shared" ref="G66:G71" si="85">C66</f>
        <v>13000</v>
      </c>
      <c r="H66" s="169">
        <f>'Program Budget'!K63</f>
        <v>1</v>
      </c>
      <c r="I66" s="170">
        <v>1</v>
      </c>
      <c r="J66" s="823">
        <f t="shared" ref="J66:J71" si="86">G66*H66*I66</f>
        <v>13000</v>
      </c>
      <c r="K66" s="168">
        <f t="shared" ref="K66:K71" si="87">G66</f>
        <v>13000</v>
      </c>
      <c r="L66" s="169">
        <f>'Program Budget'!N63</f>
        <v>1</v>
      </c>
      <c r="M66" s="170">
        <v>1</v>
      </c>
      <c r="N66" s="823">
        <f t="shared" ref="N66:N71" si="88">K66*L66*M66</f>
        <v>13000</v>
      </c>
      <c r="O66" s="168">
        <f t="shared" ref="O66:O71" si="89">K66</f>
        <v>13000</v>
      </c>
      <c r="P66" s="169">
        <f>'Program Budget'!Q63</f>
        <v>1</v>
      </c>
      <c r="Q66" s="170">
        <v>1</v>
      </c>
      <c r="R66" s="823">
        <f t="shared" ref="R66:R71" si="90">O66*P66*Q66</f>
        <v>13000</v>
      </c>
      <c r="S66" s="168">
        <f t="shared" ref="S66:S71" si="91">O66</f>
        <v>13000</v>
      </c>
      <c r="T66" s="169">
        <f>'Program Budget'!T63</f>
        <v>0</v>
      </c>
      <c r="U66" s="170">
        <v>0</v>
      </c>
      <c r="V66" s="823">
        <f t="shared" ref="V66:V71" si="92">S66*T66*U66</f>
        <v>0</v>
      </c>
      <c r="W66" s="838">
        <f t="shared" ref="W66:W71" si="93">F66+J66+N66+R66+V66</f>
        <v>52000</v>
      </c>
    </row>
    <row r="67" spans="1:23" ht="15.6" outlineLevel="1">
      <c r="A67" s="221" t="str">
        <f>'Program Budget'!D64</f>
        <v>Payroll Processing and Local Accounting Books Preparation</v>
      </c>
      <c r="B67" s="167" t="str">
        <f>'Program Budget'!F64</f>
        <v>Month</v>
      </c>
      <c r="C67" s="168">
        <f>'Program Budget'!H64</f>
        <v>2000</v>
      </c>
      <c r="D67" s="169">
        <f>'Program Budget'!G64</f>
        <v>12</v>
      </c>
      <c r="E67" s="170">
        <v>1</v>
      </c>
      <c r="F67" s="823">
        <f t="shared" si="84"/>
        <v>24000</v>
      </c>
      <c r="G67" s="168">
        <f t="shared" si="85"/>
        <v>2000</v>
      </c>
      <c r="H67" s="169">
        <f>'Program Budget'!K64</f>
        <v>12</v>
      </c>
      <c r="I67" s="170">
        <v>1</v>
      </c>
      <c r="J67" s="823">
        <f t="shared" si="86"/>
        <v>24000</v>
      </c>
      <c r="K67" s="168">
        <f t="shared" si="87"/>
        <v>2000</v>
      </c>
      <c r="L67" s="169">
        <f>'Program Budget'!N64</f>
        <v>12</v>
      </c>
      <c r="M67" s="170">
        <v>1</v>
      </c>
      <c r="N67" s="823">
        <f t="shared" si="88"/>
        <v>24000</v>
      </c>
      <c r="O67" s="168">
        <f t="shared" si="89"/>
        <v>2000</v>
      </c>
      <c r="P67" s="169">
        <f>'Program Budget'!Q64</f>
        <v>12</v>
      </c>
      <c r="Q67" s="170">
        <v>1</v>
      </c>
      <c r="R67" s="823">
        <f t="shared" si="90"/>
        <v>24000</v>
      </c>
      <c r="S67" s="168">
        <f t="shared" si="91"/>
        <v>2000</v>
      </c>
      <c r="T67" s="169">
        <f>'Program Budget'!T64</f>
        <v>0</v>
      </c>
      <c r="U67" s="170">
        <v>0</v>
      </c>
      <c r="V67" s="823">
        <f t="shared" si="92"/>
        <v>0</v>
      </c>
      <c r="W67" s="838">
        <f t="shared" si="93"/>
        <v>96000</v>
      </c>
    </row>
    <row r="68" spans="1:23" ht="15.6" outlineLevel="1">
      <c r="A68" s="221" t="str">
        <f>'Program Budget'!D65</f>
        <v>Legal &amp; Registration Fees</v>
      </c>
      <c r="B68" s="167" t="str">
        <f>'Program Budget'!F65</f>
        <v>Year</v>
      </c>
      <c r="C68" s="168">
        <f>'Program Budget'!H65</f>
        <v>3000</v>
      </c>
      <c r="D68" s="169">
        <f>'Program Budget'!G65</f>
        <v>1</v>
      </c>
      <c r="E68" s="170">
        <v>1</v>
      </c>
      <c r="F68" s="823">
        <f t="shared" si="84"/>
        <v>3000</v>
      </c>
      <c r="G68" s="168">
        <f t="shared" si="85"/>
        <v>3000</v>
      </c>
      <c r="H68" s="169">
        <f>'Program Budget'!K65</f>
        <v>1</v>
      </c>
      <c r="I68" s="170">
        <v>1</v>
      </c>
      <c r="J68" s="823">
        <f t="shared" si="86"/>
        <v>3000</v>
      </c>
      <c r="K68" s="168">
        <f t="shared" si="87"/>
        <v>3000</v>
      </c>
      <c r="L68" s="169">
        <f>'Program Budget'!N65</f>
        <v>1</v>
      </c>
      <c r="M68" s="170">
        <v>1</v>
      </c>
      <c r="N68" s="823">
        <f t="shared" si="88"/>
        <v>3000</v>
      </c>
      <c r="O68" s="168">
        <f t="shared" si="89"/>
        <v>3000</v>
      </c>
      <c r="P68" s="169">
        <f>'Program Budget'!Q65</f>
        <v>1</v>
      </c>
      <c r="Q68" s="170">
        <v>1</v>
      </c>
      <c r="R68" s="823">
        <f t="shared" si="90"/>
        <v>3000</v>
      </c>
      <c r="S68" s="168">
        <f t="shared" si="91"/>
        <v>3000</v>
      </c>
      <c r="T68" s="169">
        <f>'Program Budget'!T65</f>
        <v>0</v>
      </c>
      <c r="U68" s="170">
        <v>0</v>
      </c>
      <c r="V68" s="823">
        <f t="shared" si="92"/>
        <v>0</v>
      </c>
      <c r="W68" s="838">
        <f t="shared" si="93"/>
        <v>12000</v>
      </c>
    </row>
    <row r="69" spans="1:23" ht="16.5" customHeight="1" outlineLevel="1">
      <c r="A69" s="221" t="str">
        <f>'Program Budget'!D66</f>
        <v>IT Services &amp; Management</v>
      </c>
      <c r="B69" s="167" t="str">
        <f>'Program Budget'!F66</f>
        <v>Month</v>
      </c>
      <c r="C69" s="168">
        <f>'Program Budget'!H66</f>
        <v>500</v>
      </c>
      <c r="D69" s="169">
        <f>'Program Budget'!G66</f>
        <v>12</v>
      </c>
      <c r="E69" s="170">
        <v>1</v>
      </c>
      <c r="F69" s="823">
        <f t="shared" si="84"/>
        <v>6000</v>
      </c>
      <c r="G69" s="168">
        <f t="shared" si="85"/>
        <v>500</v>
      </c>
      <c r="H69" s="169">
        <f>'Program Budget'!K66</f>
        <v>12</v>
      </c>
      <c r="I69" s="170">
        <v>1</v>
      </c>
      <c r="J69" s="823">
        <f t="shared" si="86"/>
        <v>6000</v>
      </c>
      <c r="K69" s="168">
        <f t="shared" si="87"/>
        <v>500</v>
      </c>
      <c r="L69" s="169">
        <f>'Program Budget'!N66</f>
        <v>12</v>
      </c>
      <c r="M69" s="170">
        <v>1</v>
      </c>
      <c r="N69" s="823">
        <f t="shared" si="88"/>
        <v>6000</v>
      </c>
      <c r="O69" s="168">
        <f t="shared" si="89"/>
        <v>500</v>
      </c>
      <c r="P69" s="169">
        <f>'Program Budget'!Q66</f>
        <v>12</v>
      </c>
      <c r="Q69" s="170">
        <v>1</v>
      </c>
      <c r="R69" s="823">
        <f t="shared" si="90"/>
        <v>6000</v>
      </c>
      <c r="S69" s="168">
        <f t="shared" si="91"/>
        <v>500</v>
      </c>
      <c r="T69" s="169">
        <f>'Program Budget'!T66</f>
        <v>0</v>
      </c>
      <c r="U69" s="170">
        <v>0</v>
      </c>
      <c r="V69" s="823">
        <f t="shared" si="92"/>
        <v>0</v>
      </c>
      <c r="W69" s="838">
        <f t="shared" si="93"/>
        <v>24000</v>
      </c>
    </row>
    <row r="70" spans="1:23" ht="15.6" outlineLevel="1">
      <c r="A70" s="221" t="str">
        <f>'Program Budget'!D67</f>
        <v>Security Services, Risk Assessments, &amp; Security Assessment</v>
      </c>
      <c r="B70" s="167" t="str">
        <f>'Program Budget'!F67</f>
        <v>Year</v>
      </c>
      <c r="C70" s="168">
        <f>'Program Budget'!H67</f>
        <v>1000</v>
      </c>
      <c r="D70" s="169">
        <f>'Program Budget'!G67</f>
        <v>1</v>
      </c>
      <c r="E70" s="170">
        <v>1</v>
      </c>
      <c r="F70" s="823">
        <f t="shared" si="84"/>
        <v>1000</v>
      </c>
      <c r="G70" s="168">
        <f t="shared" si="85"/>
        <v>1000</v>
      </c>
      <c r="H70" s="169">
        <f>'Program Budget'!K67</f>
        <v>1</v>
      </c>
      <c r="I70" s="170">
        <v>1</v>
      </c>
      <c r="J70" s="823">
        <f t="shared" si="86"/>
        <v>1000</v>
      </c>
      <c r="K70" s="168">
        <f t="shared" si="87"/>
        <v>1000</v>
      </c>
      <c r="L70" s="169">
        <f>'Program Budget'!N67</f>
        <v>1</v>
      </c>
      <c r="M70" s="170">
        <v>1</v>
      </c>
      <c r="N70" s="823">
        <f t="shared" si="88"/>
        <v>1000</v>
      </c>
      <c r="O70" s="168">
        <f t="shared" si="89"/>
        <v>1000</v>
      </c>
      <c r="P70" s="169">
        <f>'Program Budget'!Q67</f>
        <v>1</v>
      </c>
      <c r="Q70" s="170">
        <v>1</v>
      </c>
      <c r="R70" s="823">
        <f t="shared" si="90"/>
        <v>1000</v>
      </c>
      <c r="S70" s="168">
        <f t="shared" si="91"/>
        <v>1000</v>
      </c>
      <c r="T70" s="169">
        <f>'Program Budget'!T67</f>
        <v>0</v>
      </c>
      <c r="U70" s="170">
        <v>0</v>
      </c>
      <c r="V70" s="823">
        <f t="shared" si="92"/>
        <v>0</v>
      </c>
      <c r="W70" s="838">
        <f t="shared" si="93"/>
        <v>4000</v>
      </c>
    </row>
    <row r="71" spans="1:23" ht="15.6" outlineLevel="1">
      <c r="A71" s="221" t="str">
        <f>'Program Budget'!D68</f>
        <v>Short-Term Administrative Support Consultants</v>
      </c>
      <c r="B71" s="167" t="str">
        <f>'Program Budget'!F68</f>
        <v>Day</v>
      </c>
      <c r="C71" s="168">
        <f>'Program Budget'!H68</f>
        <v>520</v>
      </c>
      <c r="D71" s="169">
        <f>'Program Budget'!G68</f>
        <v>15</v>
      </c>
      <c r="E71" s="170">
        <v>1</v>
      </c>
      <c r="F71" s="823">
        <f t="shared" si="84"/>
        <v>7800</v>
      </c>
      <c r="G71" s="168">
        <f t="shared" si="85"/>
        <v>520</v>
      </c>
      <c r="H71" s="169">
        <f>'Program Budget'!K68</f>
        <v>15</v>
      </c>
      <c r="I71" s="170">
        <v>1</v>
      </c>
      <c r="J71" s="823">
        <f t="shared" si="86"/>
        <v>7800</v>
      </c>
      <c r="K71" s="168">
        <f t="shared" si="87"/>
        <v>520</v>
      </c>
      <c r="L71" s="169">
        <f>'Program Budget'!N68</f>
        <v>15</v>
      </c>
      <c r="M71" s="170">
        <v>1</v>
      </c>
      <c r="N71" s="823">
        <f t="shared" si="88"/>
        <v>7800</v>
      </c>
      <c r="O71" s="168">
        <f t="shared" si="89"/>
        <v>520</v>
      </c>
      <c r="P71" s="169">
        <f>'Program Budget'!Q68</f>
        <v>15</v>
      </c>
      <c r="Q71" s="170">
        <v>1</v>
      </c>
      <c r="R71" s="823">
        <f t="shared" si="90"/>
        <v>7800</v>
      </c>
      <c r="S71" s="168">
        <f t="shared" si="91"/>
        <v>520</v>
      </c>
      <c r="T71" s="169">
        <f>'Program Budget'!T68</f>
        <v>0</v>
      </c>
      <c r="U71" s="170">
        <v>0</v>
      </c>
      <c r="V71" s="823">
        <f t="shared" si="92"/>
        <v>0</v>
      </c>
      <c r="W71" s="838">
        <f t="shared" si="93"/>
        <v>31200</v>
      </c>
    </row>
    <row r="72" spans="1:23" ht="15.6" outlineLevel="1">
      <c r="A72" s="163" t="str">
        <f>'Program Budget'!D70</f>
        <v>Evaluations</v>
      </c>
      <c r="B72" s="167"/>
      <c r="C72" s="168"/>
      <c r="D72" s="169"/>
      <c r="E72" s="170"/>
      <c r="F72" s="823"/>
      <c r="G72" s="168"/>
      <c r="H72" s="169"/>
      <c r="I72" s="170"/>
      <c r="J72" s="823"/>
      <c r="K72" s="168"/>
      <c r="L72" s="169"/>
      <c r="M72" s="170"/>
      <c r="N72" s="823"/>
      <c r="O72" s="168"/>
      <c r="P72" s="169"/>
      <c r="Q72" s="170"/>
      <c r="R72" s="823"/>
      <c r="S72" s="168"/>
      <c r="T72" s="169"/>
      <c r="U72" s="170"/>
      <c r="V72" s="823"/>
      <c r="W72" s="838"/>
    </row>
    <row r="73" spans="1:23" ht="15.6" outlineLevel="1">
      <c r="A73" s="221" t="str">
        <f>'Program Budget'!D71</f>
        <v>Baseline Evaluation</v>
      </c>
      <c r="B73" s="167" t="str">
        <f>'Program Budget'!F71</f>
        <v>Unit</v>
      </c>
      <c r="C73" s="168">
        <f>'Program Budget'!H71</f>
        <v>150000</v>
      </c>
      <c r="D73" s="169">
        <f>'Program Budget'!G71</f>
        <v>1</v>
      </c>
      <c r="E73" s="170">
        <v>1</v>
      </c>
      <c r="F73" s="823">
        <f t="shared" ref="F73" si="94">C73*D73*E73</f>
        <v>150000</v>
      </c>
      <c r="G73" s="168">
        <f t="shared" ref="G73" si="95">C73</f>
        <v>150000</v>
      </c>
      <c r="H73" s="169">
        <f>'Program Budget'!K71</f>
        <v>0</v>
      </c>
      <c r="I73" s="170">
        <v>0</v>
      </c>
      <c r="J73" s="823">
        <f t="shared" ref="J73" si="96">G73*H73*I73</f>
        <v>0</v>
      </c>
      <c r="K73" s="168">
        <f t="shared" ref="K73" si="97">G73</f>
        <v>150000</v>
      </c>
      <c r="L73" s="169">
        <f>'Program Budget'!N71</f>
        <v>0</v>
      </c>
      <c r="M73" s="170">
        <v>0</v>
      </c>
      <c r="N73" s="823">
        <f t="shared" ref="N73" si="98">K73*L73*M73</f>
        <v>0</v>
      </c>
      <c r="O73" s="168">
        <f t="shared" ref="O73" si="99">K73</f>
        <v>150000</v>
      </c>
      <c r="P73" s="169">
        <f>'Program Budget'!Q71</f>
        <v>0</v>
      </c>
      <c r="Q73" s="170">
        <v>0</v>
      </c>
      <c r="R73" s="823">
        <f t="shared" ref="R73" si="100">O73*P73*Q73</f>
        <v>0</v>
      </c>
      <c r="S73" s="168">
        <f t="shared" ref="S73" si="101">O73</f>
        <v>150000</v>
      </c>
      <c r="T73" s="169">
        <f>'Program Budget'!T71</f>
        <v>0</v>
      </c>
      <c r="U73" s="170">
        <v>0</v>
      </c>
      <c r="V73" s="823">
        <f t="shared" ref="V73" si="102">S73*T73*U73</f>
        <v>0</v>
      </c>
      <c r="W73" s="838">
        <f t="shared" ref="W73" si="103">F73+J73+N73+R73+V73</f>
        <v>150000</v>
      </c>
    </row>
    <row r="74" spans="1:23" ht="15.6" outlineLevel="1">
      <c r="A74" s="221" t="str">
        <f>'Program Budget'!D72</f>
        <v>Midterm Evaluation</v>
      </c>
      <c r="B74" s="167" t="str">
        <f>'Program Budget'!F72</f>
        <v>Unit</v>
      </c>
      <c r="C74" s="168">
        <f>'Program Budget'!H72</f>
        <v>160000</v>
      </c>
      <c r="D74" s="169">
        <f>'Program Budget'!G72</f>
        <v>0</v>
      </c>
      <c r="E74" s="170">
        <v>0</v>
      </c>
      <c r="F74" s="823">
        <f t="shared" ref="F74:F75" si="104">C74*D74*E74</f>
        <v>0</v>
      </c>
      <c r="G74" s="168">
        <f t="shared" ref="G74:G75" si="105">C74</f>
        <v>160000</v>
      </c>
      <c r="H74" s="169">
        <f>'Program Budget'!K72</f>
        <v>0</v>
      </c>
      <c r="I74" s="170">
        <v>0</v>
      </c>
      <c r="J74" s="823">
        <f t="shared" ref="J74:J75" si="106">G74*H74*I74</f>
        <v>0</v>
      </c>
      <c r="K74" s="168">
        <f t="shared" ref="K74:K75" si="107">G74</f>
        <v>160000</v>
      </c>
      <c r="L74" s="169">
        <f>'Program Budget'!N72</f>
        <v>1</v>
      </c>
      <c r="M74" s="170">
        <v>1</v>
      </c>
      <c r="N74" s="823">
        <f t="shared" ref="N74:N75" si="108">K74*L74*M74</f>
        <v>160000</v>
      </c>
      <c r="O74" s="168">
        <f t="shared" ref="O74:O75" si="109">K74</f>
        <v>160000</v>
      </c>
      <c r="P74" s="169">
        <f>'Program Budget'!Q72</f>
        <v>0</v>
      </c>
      <c r="Q74" s="170">
        <v>0</v>
      </c>
      <c r="R74" s="823">
        <f t="shared" ref="R74:R75" si="110">O74*P74*Q74</f>
        <v>0</v>
      </c>
      <c r="S74" s="168">
        <f t="shared" ref="S74:S75" si="111">O74</f>
        <v>160000</v>
      </c>
      <c r="T74" s="169">
        <f>'Program Budget'!T72</f>
        <v>0</v>
      </c>
      <c r="U74" s="170">
        <v>0</v>
      </c>
      <c r="V74" s="823">
        <f t="shared" ref="V74:V75" si="112">S74*T74*U74</f>
        <v>0</v>
      </c>
      <c r="W74" s="838">
        <f t="shared" ref="W74:W75" si="113">F74+J74+N74+R74+V74</f>
        <v>160000</v>
      </c>
    </row>
    <row r="75" spans="1:23" ht="15.6" outlineLevel="1">
      <c r="A75" s="221" t="str">
        <f>'Program Budget'!D73</f>
        <v>Final Evaluation</v>
      </c>
      <c r="B75" s="167" t="str">
        <f>'Program Budget'!F73</f>
        <v>Unit</v>
      </c>
      <c r="C75" s="168">
        <f>'Program Budget'!H73</f>
        <v>175000</v>
      </c>
      <c r="D75" s="169">
        <f>'Program Budget'!G73</f>
        <v>0</v>
      </c>
      <c r="E75" s="170">
        <v>0</v>
      </c>
      <c r="F75" s="823">
        <f t="shared" si="104"/>
        <v>0</v>
      </c>
      <c r="G75" s="168">
        <f t="shared" si="105"/>
        <v>175000</v>
      </c>
      <c r="H75" s="169">
        <f>'Program Budget'!K73</f>
        <v>0</v>
      </c>
      <c r="I75" s="170">
        <v>0</v>
      </c>
      <c r="J75" s="823">
        <f t="shared" si="106"/>
        <v>0</v>
      </c>
      <c r="K75" s="168">
        <f t="shared" si="107"/>
        <v>175000</v>
      </c>
      <c r="L75" s="169">
        <f>'Program Budget'!N73</f>
        <v>0</v>
      </c>
      <c r="M75" s="170">
        <v>0</v>
      </c>
      <c r="N75" s="823">
        <f t="shared" si="108"/>
        <v>0</v>
      </c>
      <c r="O75" s="168">
        <f t="shared" si="109"/>
        <v>175000</v>
      </c>
      <c r="P75" s="169">
        <f>'Program Budget'!Q73</f>
        <v>1</v>
      </c>
      <c r="Q75" s="170">
        <v>1</v>
      </c>
      <c r="R75" s="823">
        <f t="shared" si="110"/>
        <v>175000</v>
      </c>
      <c r="S75" s="168">
        <f t="shared" si="111"/>
        <v>175000</v>
      </c>
      <c r="T75" s="169">
        <f>'Program Budget'!T73</f>
        <v>0</v>
      </c>
      <c r="U75" s="170">
        <v>0</v>
      </c>
      <c r="V75" s="823">
        <f t="shared" si="112"/>
        <v>0</v>
      </c>
      <c r="W75" s="838">
        <f t="shared" si="113"/>
        <v>175000</v>
      </c>
    </row>
    <row r="76" spans="1:23" ht="15.6" outlineLevel="1">
      <c r="A76" s="163" t="str">
        <f>'Program Budget'!D74</f>
        <v>Monitoring Guidelines Development</v>
      </c>
      <c r="B76" s="167"/>
      <c r="C76" s="168"/>
      <c r="D76" s="169"/>
      <c r="E76" s="170"/>
      <c r="F76" s="823"/>
      <c r="G76" s="168"/>
      <c r="H76" s="169"/>
      <c r="I76" s="170"/>
      <c r="J76" s="823"/>
      <c r="K76" s="168"/>
      <c r="L76" s="169"/>
      <c r="M76" s="170"/>
      <c r="N76" s="823"/>
      <c r="O76" s="168"/>
      <c r="P76" s="169"/>
      <c r="Q76" s="170"/>
      <c r="R76" s="823"/>
      <c r="S76" s="168"/>
      <c r="T76" s="169"/>
      <c r="U76" s="170"/>
      <c r="V76" s="823"/>
      <c r="W76" s="838"/>
    </row>
    <row r="77" spans="1:23" ht="15.6" outlineLevel="1">
      <c r="A77" s="221" t="str">
        <f>'Program Budget'!D75</f>
        <v>Monitoring Guidelines Creation &amp; Printing</v>
      </c>
      <c r="B77" s="167" t="str">
        <f>'Program Budget'!F75</f>
        <v>Document</v>
      </c>
      <c r="C77" s="168">
        <f>'Program Budget'!H75</f>
        <v>2000</v>
      </c>
      <c r="D77" s="169">
        <f>'Program Budget'!G75</f>
        <v>1</v>
      </c>
      <c r="E77" s="170">
        <v>1</v>
      </c>
      <c r="F77" s="823">
        <f t="shared" ref="F77" si="114">C77*D77*E77</f>
        <v>2000</v>
      </c>
      <c r="G77" s="168">
        <f t="shared" ref="G77" si="115">C77</f>
        <v>2000</v>
      </c>
      <c r="H77" s="169">
        <f>'Program Budget'!K75</f>
        <v>0</v>
      </c>
      <c r="I77" s="170">
        <v>0</v>
      </c>
      <c r="J77" s="823">
        <f t="shared" ref="J77" si="116">G77*H77*I77</f>
        <v>0</v>
      </c>
      <c r="K77" s="168">
        <f t="shared" ref="K77" si="117">G77</f>
        <v>2000</v>
      </c>
      <c r="L77" s="169">
        <f>'Program Budget'!N75</f>
        <v>0</v>
      </c>
      <c r="M77" s="170">
        <v>0</v>
      </c>
      <c r="N77" s="823">
        <f t="shared" ref="N77" si="118">K77*L77*M77</f>
        <v>0</v>
      </c>
      <c r="O77" s="168">
        <f t="shared" ref="O77" si="119">K77</f>
        <v>2000</v>
      </c>
      <c r="P77" s="169">
        <f>'Program Budget'!Q75</f>
        <v>0</v>
      </c>
      <c r="Q77" s="170">
        <v>0</v>
      </c>
      <c r="R77" s="823">
        <f t="shared" ref="R77" si="120">O77*P77*Q77</f>
        <v>0</v>
      </c>
      <c r="S77" s="168">
        <f t="shared" ref="S77" si="121">O77</f>
        <v>2000</v>
      </c>
      <c r="T77" s="169">
        <f>'Program Budget'!T75</f>
        <v>0</v>
      </c>
      <c r="U77" s="170">
        <v>0</v>
      </c>
      <c r="V77" s="823">
        <f t="shared" ref="V77" si="122">S77*T77*U77</f>
        <v>0</v>
      </c>
      <c r="W77" s="838">
        <f t="shared" ref="W77" si="123">F77+J77+N77+R77+V77</f>
        <v>2000</v>
      </c>
    </row>
    <row r="78" spans="1:23" ht="15.6" outlineLevel="1">
      <c r="A78" s="221" t="str">
        <f>'Program Budget'!D76</f>
        <v>Monitoring Guidelines Revision &amp; Printing</v>
      </c>
      <c r="B78" s="167" t="str">
        <f>'Program Budget'!F76</f>
        <v>Year</v>
      </c>
      <c r="C78" s="168">
        <f>'Program Budget'!H76</f>
        <v>1000</v>
      </c>
      <c r="D78" s="169">
        <f>'Program Budget'!G76</f>
        <v>0</v>
      </c>
      <c r="E78" s="170">
        <v>0</v>
      </c>
      <c r="F78" s="823">
        <f>C78*D78*E78</f>
        <v>0</v>
      </c>
      <c r="G78" s="168">
        <f>C78</f>
        <v>1000</v>
      </c>
      <c r="H78" s="169">
        <f>'Program Budget'!K76</f>
        <v>1</v>
      </c>
      <c r="I78" s="170">
        <v>1</v>
      </c>
      <c r="J78" s="823">
        <f>G78*H78*I78</f>
        <v>1000</v>
      </c>
      <c r="K78" s="168">
        <f>G78</f>
        <v>1000</v>
      </c>
      <c r="L78" s="169">
        <f>'Program Budget'!N76</f>
        <v>1</v>
      </c>
      <c r="M78" s="170">
        <v>1</v>
      </c>
      <c r="N78" s="823">
        <f>K78*L78*M78</f>
        <v>1000</v>
      </c>
      <c r="O78" s="168">
        <f>K78</f>
        <v>1000</v>
      </c>
      <c r="P78" s="169">
        <f>'Program Budget'!Q76</f>
        <v>1</v>
      </c>
      <c r="Q78" s="170">
        <v>1</v>
      </c>
      <c r="R78" s="823">
        <f>O78*P78*Q78</f>
        <v>1000</v>
      </c>
      <c r="S78" s="168">
        <f>O78</f>
        <v>1000</v>
      </c>
      <c r="T78" s="169">
        <f>'Program Budget'!T76</f>
        <v>0</v>
      </c>
      <c r="U78" s="170">
        <v>0</v>
      </c>
      <c r="V78" s="823">
        <f>S78*T78*U78</f>
        <v>0</v>
      </c>
      <c r="W78" s="838">
        <f>F78+J78+N78+R78+V78</f>
        <v>3000</v>
      </c>
    </row>
    <row r="79" spans="1:23" ht="15.6" outlineLevel="1">
      <c r="A79" s="221" t="str">
        <f>'Program Budget'!D77</f>
        <v>Monitoring Guidelines Staff Training on Indicators and Data Collection/Analysis</v>
      </c>
      <c r="B79" s="167" t="str">
        <f>'Program Budget'!F77</f>
        <v xml:space="preserve">Workshop </v>
      </c>
      <c r="C79" s="168">
        <f>'Program Budget'!H77</f>
        <v>2500</v>
      </c>
      <c r="D79" s="169">
        <f>'Program Budget'!G77</f>
        <v>1</v>
      </c>
      <c r="E79" s="170">
        <v>1</v>
      </c>
      <c r="F79" s="823">
        <f t="shared" ref="F79" si="124">C79*D79*E79</f>
        <v>2500</v>
      </c>
      <c r="G79" s="168">
        <f t="shared" ref="G79" si="125">C79</f>
        <v>2500</v>
      </c>
      <c r="H79" s="169">
        <f>'Program Budget'!K77</f>
        <v>1</v>
      </c>
      <c r="I79" s="170">
        <v>1</v>
      </c>
      <c r="J79" s="823">
        <f t="shared" ref="J79" si="126">G79*H79*I79</f>
        <v>2500</v>
      </c>
      <c r="K79" s="168">
        <f t="shared" ref="K79" si="127">G79</f>
        <v>2500</v>
      </c>
      <c r="L79" s="169">
        <f>'Program Budget'!N77</f>
        <v>1</v>
      </c>
      <c r="M79" s="170">
        <v>1</v>
      </c>
      <c r="N79" s="823">
        <f t="shared" ref="N79" si="128">K79*L79*M79</f>
        <v>2500</v>
      </c>
      <c r="O79" s="168">
        <f t="shared" ref="O79" si="129">K79</f>
        <v>2500</v>
      </c>
      <c r="P79" s="169">
        <f>'Program Budget'!Q77</f>
        <v>1</v>
      </c>
      <c r="Q79" s="170">
        <v>1</v>
      </c>
      <c r="R79" s="823">
        <f t="shared" ref="R79" si="130">O79*P79*Q79</f>
        <v>2500</v>
      </c>
      <c r="S79" s="168">
        <f t="shared" ref="S79" si="131">O79</f>
        <v>2500</v>
      </c>
      <c r="T79" s="169">
        <f>'Program Budget'!T77</f>
        <v>0</v>
      </c>
      <c r="U79" s="170">
        <v>0</v>
      </c>
      <c r="V79" s="823">
        <f t="shared" ref="V79" si="132">S79*T79*U79</f>
        <v>0</v>
      </c>
      <c r="W79" s="838">
        <f t="shared" ref="W79" si="133">F79+J79+N79+R79+V79</f>
        <v>10000</v>
      </c>
    </row>
    <row r="80" spans="1:23" ht="15.6" outlineLevel="1">
      <c r="A80" s="163" t="str">
        <f>'Program Budget'!D78</f>
        <v>M&amp;E Database</v>
      </c>
      <c r="B80" s="167"/>
      <c r="C80" s="168"/>
      <c r="D80" s="169"/>
      <c r="E80" s="170"/>
      <c r="F80" s="823"/>
      <c r="G80" s="168"/>
      <c r="H80" s="169"/>
      <c r="I80" s="170"/>
      <c r="J80" s="823"/>
      <c r="K80" s="168"/>
      <c r="L80" s="169"/>
      <c r="M80" s="170"/>
      <c r="N80" s="823"/>
      <c r="O80" s="168"/>
      <c r="P80" s="169"/>
      <c r="Q80" s="170"/>
      <c r="R80" s="823"/>
      <c r="S80" s="168"/>
      <c r="T80" s="169"/>
      <c r="U80" s="170"/>
      <c r="V80" s="823"/>
      <c r="W80" s="838"/>
    </row>
    <row r="81" spans="1:23" ht="15.6" outlineLevel="1">
      <c r="A81" s="221" t="str">
        <f>'Program Budget'!D79</f>
        <v>M&amp;E Database Trainings</v>
      </c>
      <c r="B81" s="167" t="str">
        <f>'Program Budget'!F79</f>
        <v>Year</v>
      </c>
      <c r="C81" s="168">
        <f>'Program Budget'!H79</f>
        <v>500</v>
      </c>
      <c r="D81" s="169">
        <f>'Program Budget'!G79</f>
        <v>1</v>
      </c>
      <c r="E81" s="170">
        <v>1</v>
      </c>
      <c r="F81" s="823">
        <f t="shared" ref="F81" si="134">C81*D81*E81</f>
        <v>500</v>
      </c>
      <c r="G81" s="168">
        <f t="shared" ref="G81" si="135">C81</f>
        <v>500</v>
      </c>
      <c r="H81" s="169">
        <f>'Program Budget'!K79</f>
        <v>1</v>
      </c>
      <c r="I81" s="170">
        <v>1</v>
      </c>
      <c r="J81" s="823">
        <f t="shared" ref="J81" si="136">G81*H81*I81</f>
        <v>500</v>
      </c>
      <c r="K81" s="168">
        <f t="shared" ref="K81" si="137">G81</f>
        <v>500</v>
      </c>
      <c r="L81" s="169">
        <f>'Program Budget'!N79</f>
        <v>1</v>
      </c>
      <c r="M81" s="170">
        <v>1</v>
      </c>
      <c r="N81" s="823">
        <f t="shared" ref="N81" si="138">K81*L81*M81</f>
        <v>500</v>
      </c>
      <c r="O81" s="168">
        <f t="shared" ref="O81" si="139">K81</f>
        <v>500</v>
      </c>
      <c r="P81" s="169">
        <f>'Program Budget'!Q79</f>
        <v>1</v>
      </c>
      <c r="Q81" s="170">
        <v>1</v>
      </c>
      <c r="R81" s="823">
        <f t="shared" ref="R81" si="140">O81*P81*Q81</f>
        <v>500</v>
      </c>
      <c r="S81" s="168">
        <f t="shared" ref="S81" si="141">O81</f>
        <v>500</v>
      </c>
      <c r="T81" s="169">
        <f>'Program Budget'!T79</f>
        <v>0</v>
      </c>
      <c r="U81" s="170">
        <v>0</v>
      </c>
      <c r="V81" s="823">
        <f t="shared" ref="V81" si="142">S81*T81*U81</f>
        <v>0</v>
      </c>
      <c r="W81" s="838">
        <f t="shared" ref="W81" si="143">F81+J81+N81+R81+V81</f>
        <v>2000</v>
      </c>
    </row>
    <row r="82" spans="1:23" ht="15.6" outlineLevel="1">
      <c r="A82" s="221" t="str">
        <f>'Program Budget'!D80</f>
        <v>M&amp;E Database Platform Startup</v>
      </c>
      <c r="B82" s="167" t="str">
        <f>'Program Budget'!F80</f>
        <v>Year</v>
      </c>
      <c r="C82" s="168">
        <f>'Program Budget'!H80</f>
        <v>5500</v>
      </c>
      <c r="D82" s="169">
        <f>'Program Budget'!G80</f>
        <v>1</v>
      </c>
      <c r="E82" s="170">
        <v>1</v>
      </c>
      <c r="F82" s="823">
        <f t="shared" ref="F82:F83" si="144">C82*D82*E82</f>
        <v>5500</v>
      </c>
      <c r="G82" s="168">
        <f t="shared" ref="G82:G83" si="145">C82</f>
        <v>5500</v>
      </c>
      <c r="H82" s="169">
        <f>'Program Budget'!K80</f>
        <v>0</v>
      </c>
      <c r="I82" s="170">
        <v>1</v>
      </c>
      <c r="J82" s="823">
        <f t="shared" ref="J82:J83" si="146">G82*H82*I82</f>
        <v>0</v>
      </c>
      <c r="K82" s="168">
        <f t="shared" ref="K82:K83" si="147">G82</f>
        <v>5500</v>
      </c>
      <c r="L82" s="169">
        <f>'Program Budget'!N80</f>
        <v>0</v>
      </c>
      <c r="M82" s="170">
        <v>1</v>
      </c>
      <c r="N82" s="823">
        <f t="shared" ref="N82:N83" si="148">K82*L82*M82</f>
        <v>0</v>
      </c>
      <c r="O82" s="168">
        <f t="shared" ref="O82:O83" si="149">K82</f>
        <v>5500</v>
      </c>
      <c r="P82" s="169">
        <f>'Program Budget'!Q80</f>
        <v>0</v>
      </c>
      <c r="Q82" s="170">
        <v>1</v>
      </c>
      <c r="R82" s="823">
        <f t="shared" ref="R82:R83" si="150">O82*P82*Q82</f>
        <v>0</v>
      </c>
      <c r="S82" s="168">
        <f t="shared" ref="S82:S83" si="151">O82</f>
        <v>5500</v>
      </c>
      <c r="T82" s="169">
        <f>'Program Budget'!T80</f>
        <v>0</v>
      </c>
      <c r="U82" s="170">
        <v>0</v>
      </c>
      <c r="V82" s="823">
        <f t="shared" ref="V82:V83" si="152">S82*T82*U82</f>
        <v>0</v>
      </c>
      <c r="W82" s="838">
        <f t="shared" ref="W82:W83" si="153">F82+J82+N82+R82+V82</f>
        <v>5500</v>
      </c>
    </row>
    <row r="83" spans="1:23" ht="15.6" outlineLevel="1">
      <c r="A83" s="221" t="str">
        <f>'Program Budget'!D81</f>
        <v>M&amp;E Database Platform Subscription Fee (Annual)</v>
      </c>
      <c r="B83" s="167" t="str">
        <f>'Program Budget'!F81</f>
        <v>Year</v>
      </c>
      <c r="C83" s="168">
        <f>'Program Budget'!H81</f>
        <v>6500</v>
      </c>
      <c r="D83" s="169">
        <f>'Program Budget'!G81</f>
        <v>1</v>
      </c>
      <c r="E83" s="170">
        <v>1</v>
      </c>
      <c r="F83" s="823">
        <f t="shared" si="144"/>
        <v>6500</v>
      </c>
      <c r="G83" s="168">
        <f t="shared" si="145"/>
        <v>6500</v>
      </c>
      <c r="H83" s="169">
        <f>'Program Budget'!K81</f>
        <v>1</v>
      </c>
      <c r="I83" s="170">
        <v>1</v>
      </c>
      <c r="J83" s="823">
        <f t="shared" si="146"/>
        <v>6500</v>
      </c>
      <c r="K83" s="168">
        <f t="shared" si="147"/>
        <v>6500</v>
      </c>
      <c r="L83" s="169">
        <f>'Program Budget'!N81</f>
        <v>1</v>
      </c>
      <c r="M83" s="170">
        <v>1</v>
      </c>
      <c r="N83" s="823">
        <f t="shared" si="148"/>
        <v>6500</v>
      </c>
      <c r="O83" s="168">
        <f t="shared" si="149"/>
        <v>6500</v>
      </c>
      <c r="P83" s="169">
        <f>'Program Budget'!Q81</f>
        <v>1</v>
      </c>
      <c r="Q83" s="170">
        <v>1</v>
      </c>
      <c r="R83" s="823">
        <f t="shared" si="150"/>
        <v>6500</v>
      </c>
      <c r="S83" s="168">
        <f t="shared" si="151"/>
        <v>6500</v>
      </c>
      <c r="T83" s="169">
        <f>'Program Budget'!T81</f>
        <v>0</v>
      </c>
      <c r="U83" s="170">
        <v>0</v>
      </c>
      <c r="V83" s="823">
        <f t="shared" si="152"/>
        <v>0</v>
      </c>
      <c r="W83" s="838">
        <f t="shared" si="153"/>
        <v>26000</v>
      </c>
    </row>
    <row r="84" spans="1:23" outlineLevel="1">
      <c r="A84" s="270"/>
      <c r="B84" s="181"/>
      <c r="C84" s="222"/>
      <c r="D84" s="223"/>
      <c r="F84" s="823"/>
      <c r="G84" s="222"/>
      <c r="H84" s="223"/>
      <c r="I84" s="140"/>
      <c r="J84" s="823"/>
      <c r="K84" s="222"/>
      <c r="L84" s="223"/>
      <c r="N84" s="823"/>
      <c r="O84" s="222"/>
      <c r="P84" s="223"/>
      <c r="Q84" s="140"/>
      <c r="R84" s="823"/>
      <c r="S84" s="222"/>
      <c r="T84" s="223"/>
      <c r="U84" s="140"/>
      <c r="V84" s="823"/>
      <c r="W84" s="848"/>
    </row>
    <row r="85" spans="1:23" ht="18.3" outlineLevel="1">
      <c r="A85" s="214" t="s">
        <v>93</v>
      </c>
      <c r="B85" s="188"/>
      <c r="C85" s="189"/>
      <c r="D85" s="215"/>
      <c r="E85" s="216"/>
      <c r="F85" s="826">
        <f>SUM(F64:F84)</f>
        <v>401993</v>
      </c>
      <c r="G85" s="189"/>
      <c r="H85" s="215"/>
      <c r="I85" s="192"/>
      <c r="J85" s="826">
        <f>SUM(J64:J84)</f>
        <v>125300</v>
      </c>
      <c r="K85" s="189"/>
      <c r="L85" s="215"/>
      <c r="M85" s="216"/>
      <c r="N85" s="826">
        <f>SUM(N64:N84)</f>
        <v>225300</v>
      </c>
      <c r="O85" s="189"/>
      <c r="P85" s="215"/>
      <c r="Q85" s="192"/>
      <c r="R85" s="826">
        <f>SUM(R64:R84)</f>
        <v>240300</v>
      </c>
      <c r="S85" s="189"/>
      <c r="T85" s="215"/>
      <c r="U85" s="192"/>
      <c r="V85" s="826">
        <f>SUM(V64:V84)</f>
        <v>0</v>
      </c>
      <c r="W85" s="846">
        <f>+F85+J85+N85+R85+V85</f>
        <v>992893</v>
      </c>
    </row>
    <row r="86" spans="1:23" ht="15.6" outlineLevel="1">
      <c r="A86" s="163" t="s">
        <v>94</v>
      </c>
      <c r="B86" s="224"/>
      <c r="D86" s="218"/>
      <c r="F86" s="823"/>
      <c r="H86" s="218"/>
      <c r="J86" s="838"/>
      <c r="L86" s="218"/>
      <c r="N86" s="838"/>
      <c r="P86" s="218"/>
      <c r="R86" s="838"/>
      <c r="T86" s="218"/>
      <c r="V86" s="838"/>
      <c r="W86" s="838"/>
    </row>
    <row r="87" spans="1:23" ht="15.6" outlineLevel="1">
      <c r="A87" s="221" t="str">
        <f>'Program Budget'!D87</f>
        <v>Vehicles for Field Office</v>
      </c>
      <c r="B87" s="167" t="str">
        <f>'Program Budget'!F87</f>
        <v>Unit</v>
      </c>
      <c r="C87" s="168">
        <f>'Program Budget'!H87</f>
        <v>60000</v>
      </c>
      <c r="D87" s="169">
        <f>'Program Budget'!G87</f>
        <v>1</v>
      </c>
      <c r="E87" s="170">
        <v>1</v>
      </c>
      <c r="F87" s="823">
        <f t="shared" ref="F87" si="154">C87*D87*E87</f>
        <v>60000</v>
      </c>
      <c r="G87" s="168">
        <f>C87</f>
        <v>60000</v>
      </c>
      <c r="H87" s="169">
        <f>'Program Budget'!K87</f>
        <v>0</v>
      </c>
      <c r="I87" s="170">
        <v>0</v>
      </c>
      <c r="J87" s="823">
        <f t="shared" ref="J87" si="155">G87*H87*I87</f>
        <v>0</v>
      </c>
      <c r="K87" s="168">
        <f t="shared" ref="K87" si="156">G87</f>
        <v>60000</v>
      </c>
      <c r="L87" s="169">
        <f>'Program Budget'!N87</f>
        <v>0</v>
      </c>
      <c r="M87" s="170">
        <v>0</v>
      </c>
      <c r="N87" s="823">
        <f t="shared" ref="N87" si="157">K87*L87*M87</f>
        <v>0</v>
      </c>
      <c r="O87" s="168">
        <f t="shared" ref="O87" si="158">K87</f>
        <v>60000</v>
      </c>
      <c r="P87" s="169">
        <f>'Program Budget'!Q87</f>
        <v>0</v>
      </c>
      <c r="Q87" s="170">
        <v>0</v>
      </c>
      <c r="R87" s="823">
        <f t="shared" ref="R87" si="159">O87*P87*Q87</f>
        <v>0</v>
      </c>
      <c r="S87" s="168">
        <f>O87</f>
        <v>60000</v>
      </c>
      <c r="T87" s="169">
        <f>'Program Budget'!T87</f>
        <v>0</v>
      </c>
      <c r="U87" s="170">
        <v>0</v>
      </c>
      <c r="V87" s="823">
        <f t="shared" ref="V87" si="160">S87*T87*U87</f>
        <v>0</v>
      </c>
      <c r="W87" s="838">
        <f t="shared" ref="W87" si="161">F87+J87+N87+R87+V87</f>
        <v>60000</v>
      </c>
    </row>
    <row r="88" spans="1:23" outlineLevel="1">
      <c r="A88" s="269"/>
      <c r="B88" s="181"/>
      <c r="D88" s="218"/>
      <c r="F88" s="823"/>
      <c r="H88" s="218"/>
      <c r="I88" s="140"/>
      <c r="J88" s="823"/>
      <c r="L88" s="218"/>
      <c r="N88" s="823"/>
      <c r="P88" s="218"/>
      <c r="Q88" s="140"/>
      <c r="R88" s="823"/>
      <c r="T88" s="218"/>
      <c r="U88" s="140"/>
      <c r="V88" s="823"/>
      <c r="W88" s="838"/>
    </row>
    <row r="89" spans="1:23" ht="18.3" outlineLevel="1">
      <c r="A89" s="214" t="s">
        <v>95</v>
      </c>
      <c r="B89" s="188"/>
      <c r="C89" s="189"/>
      <c r="D89" s="215"/>
      <c r="E89" s="216"/>
      <c r="F89" s="826">
        <f>SUM(F87:F88)</f>
        <v>60000</v>
      </c>
      <c r="G89" s="189"/>
      <c r="H89" s="215"/>
      <c r="I89" s="192"/>
      <c r="J89" s="826">
        <f>SUM(J87:J88)</f>
        <v>0</v>
      </c>
      <c r="K89" s="189"/>
      <c r="L89" s="215"/>
      <c r="M89" s="216"/>
      <c r="N89" s="826">
        <f>SUM(N87:N88)</f>
        <v>0</v>
      </c>
      <c r="O89" s="189"/>
      <c r="P89" s="215"/>
      <c r="Q89" s="192"/>
      <c r="R89" s="826">
        <f>SUM(R87:R88)</f>
        <v>0</v>
      </c>
      <c r="S89" s="189"/>
      <c r="T89" s="215"/>
      <c r="U89" s="192"/>
      <c r="V89" s="826">
        <f>SUM(V87:V88)</f>
        <v>0</v>
      </c>
      <c r="W89" s="846">
        <f>+F89+J89+N89+R89+V89</f>
        <v>60000</v>
      </c>
    </row>
    <row r="90" spans="1:23" ht="15.6" outlineLevel="1">
      <c r="A90" s="163" t="s">
        <v>96</v>
      </c>
      <c r="B90" s="181"/>
      <c r="D90" s="218"/>
      <c r="F90" s="823"/>
      <c r="H90" s="218"/>
      <c r="I90" s="140"/>
      <c r="J90" s="823"/>
      <c r="L90" s="218"/>
      <c r="N90" s="823"/>
      <c r="P90" s="218"/>
      <c r="Q90" s="140"/>
      <c r="R90" s="823"/>
      <c r="T90" s="218"/>
      <c r="U90" s="140"/>
      <c r="V90" s="823"/>
      <c r="W90" s="838"/>
    </row>
    <row r="91" spans="1:23" ht="15.6" outlineLevel="1">
      <c r="A91" s="221" t="str">
        <f>'Program Budget'!D93</f>
        <v>Banking and Cash Handling Fees (HO)</v>
      </c>
      <c r="B91" s="167" t="str">
        <f>'Program Budget'!F93</f>
        <v>Month</v>
      </c>
      <c r="C91" s="168">
        <f>'Program Budget'!H93</f>
        <v>250</v>
      </c>
      <c r="D91" s="169">
        <f>'Program Budget'!G93</f>
        <v>12</v>
      </c>
      <c r="E91" s="170">
        <v>1</v>
      </c>
      <c r="F91" s="823">
        <f>C91*D91*E91</f>
        <v>3000</v>
      </c>
      <c r="G91" s="168">
        <f>C91*1.05</f>
        <v>262.5</v>
      </c>
      <c r="H91" s="169">
        <f>'Program Budget'!K93</f>
        <v>12</v>
      </c>
      <c r="I91" s="170">
        <v>1</v>
      </c>
      <c r="J91" s="823">
        <f>G91*H91*I91</f>
        <v>3150</v>
      </c>
      <c r="K91" s="168">
        <f>G91*1.05</f>
        <v>275.625</v>
      </c>
      <c r="L91" s="169">
        <f>'Program Budget'!N93</f>
        <v>12</v>
      </c>
      <c r="M91" s="170">
        <v>1</v>
      </c>
      <c r="N91" s="823">
        <f>K91*L91*M91</f>
        <v>3307.5</v>
      </c>
      <c r="O91" s="168">
        <f>K91*1.05</f>
        <v>289.40625</v>
      </c>
      <c r="P91" s="169">
        <f>'Program Budget'!Q93</f>
        <v>12</v>
      </c>
      <c r="Q91" s="170">
        <v>1</v>
      </c>
      <c r="R91" s="823">
        <f>O91*P91*Q91</f>
        <v>3472.875</v>
      </c>
      <c r="S91" s="168">
        <f>O91*1.05</f>
        <v>303.87656250000003</v>
      </c>
      <c r="T91" s="169">
        <f>'Program Budget'!T93</f>
        <v>0</v>
      </c>
      <c r="U91" s="170">
        <v>0</v>
      </c>
      <c r="V91" s="823">
        <f>S91*T91*U91</f>
        <v>0</v>
      </c>
      <c r="W91" s="838">
        <f>F91+J91+N91+R91+V91</f>
        <v>12930.375</v>
      </c>
    </row>
    <row r="92" spans="1:23" ht="15.6" outlineLevel="1">
      <c r="A92" s="221" t="str">
        <f>'Program Budget'!D94</f>
        <v>IT &amp; Communications Stipend for HO Staff</v>
      </c>
      <c r="B92" s="167" t="str">
        <f>'Program Budget'!F94</f>
        <v>Month</v>
      </c>
      <c r="C92" s="168">
        <f>'Program Budget'!H94</f>
        <v>112.5</v>
      </c>
      <c r="D92" s="169">
        <f>'Program Budget'!G94</f>
        <v>12</v>
      </c>
      <c r="E92" s="170">
        <v>1</v>
      </c>
      <c r="F92" s="823">
        <f>C92*D92*E92</f>
        <v>1350</v>
      </c>
      <c r="G92" s="168">
        <f t="shared" ref="G92:G101" si="162">C92*1.05</f>
        <v>118.125</v>
      </c>
      <c r="H92" s="169">
        <f>'Program Budget'!K94</f>
        <v>12</v>
      </c>
      <c r="I92" s="170">
        <v>1</v>
      </c>
      <c r="J92" s="823">
        <f>G92*H92*I92</f>
        <v>1417.5</v>
      </c>
      <c r="K92" s="168">
        <f t="shared" ref="K92:K101" si="163">G92*1.05</f>
        <v>124.03125</v>
      </c>
      <c r="L92" s="169">
        <f>'Program Budget'!N94</f>
        <v>12</v>
      </c>
      <c r="M92" s="170">
        <v>1</v>
      </c>
      <c r="N92" s="823">
        <f>K92*L92*M92</f>
        <v>1488.375</v>
      </c>
      <c r="O92" s="168">
        <f t="shared" ref="O92:O101" si="164">K92*1.05</f>
        <v>130.23281249999999</v>
      </c>
      <c r="P92" s="169">
        <f>'Program Budget'!Q94</f>
        <v>12</v>
      </c>
      <c r="Q92" s="170">
        <v>1</v>
      </c>
      <c r="R92" s="823">
        <f>O92*P92*Q92</f>
        <v>1562.7937499999998</v>
      </c>
      <c r="S92" s="168">
        <f t="shared" ref="S92:S101" si="165">O92*1.05</f>
        <v>136.74445312500001</v>
      </c>
      <c r="T92" s="169">
        <f>'Program Budget'!T94</f>
        <v>0</v>
      </c>
      <c r="U92" s="170">
        <v>0</v>
      </c>
      <c r="V92" s="823">
        <f>S92*T92*U92</f>
        <v>0</v>
      </c>
      <c r="W92" s="838">
        <f>F92+J92+N92+R92+V92</f>
        <v>5818.6687499999998</v>
      </c>
    </row>
    <row r="93" spans="1:23" ht="15.6" outlineLevel="1">
      <c r="A93" s="163" t="s">
        <v>97</v>
      </c>
      <c r="B93" s="819"/>
      <c r="D93" s="218"/>
      <c r="F93" s="823"/>
      <c r="H93" s="218"/>
      <c r="I93" s="140"/>
      <c r="J93" s="823"/>
      <c r="L93" s="218"/>
      <c r="N93" s="823"/>
      <c r="P93" s="218"/>
      <c r="Q93" s="140"/>
      <c r="R93" s="823"/>
      <c r="T93" s="218"/>
      <c r="U93" s="140"/>
      <c r="V93" s="823"/>
      <c r="W93" s="838"/>
    </row>
    <row r="94" spans="1:23" ht="15.6" outlineLevel="1">
      <c r="A94" s="221" t="str">
        <f>'Program Budget'!D96</f>
        <v>Banking and Cash Handling Fees (Nigeria)</v>
      </c>
      <c r="B94" s="167" t="str">
        <f>'Program Budget'!F96</f>
        <v>Month</v>
      </c>
      <c r="C94" s="168">
        <f>'Program Budget'!H96</f>
        <v>50</v>
      </c>
      <c r="D94" s="169">
        <f>'Program Budget'!G96</f>
        <v>6</v>
      </c>
      <c r="E94" s="170">
        <v>1</v>
      </c>
      <c r="F94" s="823">
        <f>C94*D94*E94</f>
        <v>300</v>
      </c>
      <c r="G94" s="168">
        <f>C94*1.05</f>
        <v>52.5</v>
      </c>
      <c r="H94" s="169">
        <f>'Program Budget'!K96</f>
        <v>12</v>
      </c>
      <c r="I94" s="170">
        <v>1</v>
      </c>
      <c r="J94" s="823">
        <f>G94*H94*I94</f>
        <v>630</v>
      </c>
      <c r="K94" s="168">
        <f>G94*1.05</f>
        <v>55.125</v>
      </c>
      <c r="L94" s="169">
        <f>'Program Budget'!N96</f>
        <v>12</v>
      </c>
      <c r="M94" s="170">
        <v>1</v>
      </c>
      <c r="N94" s="823">
        <f>K94*L94*M94</f>
        <v>661.5</v>
      </c>
      <c r="O94" s="168">
        <f>K94*1.05</f>
        <v>57.881250000000001</v>
      </c>
      <c r="P94" s="169">
        <f>'Program Budget'!Q96</f>
        <v>9</v>
      </c>
      <c r="Q94" s="170">
        <v>1</v>
      </c>
      <c r="R94" s="823">
        <f>O94*P94*Q94</f>
        <v>520.93124999999998</v>
      </c>
      <c r="S94" s="168">
        <f>O94*1.05</f>
        <v>60.775312500000005</v>
      </c>
      <c r="T94" s="169">
        <f>'Program Budget'!T96</f>
        <v>0</v>
      </c>
      <c r="U94" s="170">
        <v>0</v>
      </c>
      <c r="V94" s="823">
        <f>S94*T94*U94</f>
        <v>0</v>
      </c>
      <c r="W94" s="838">
        <f>F94+J94+N94+R94+V94</f>
        <v>2112.4312500000001</v>
      </c>
    </row>
    <row r="95" spans="1:23" ht="15.6" outlineLevel="1">
      <c r="A95" s="221" t="str">
        <f>'Program Budget'!D97</f>
        <v>Communications Costs (Internet, Phone, Data) (Lagos)</v>
      </c>
      <c r="B95" s="167" t="str">
        <f>'Program Budget'!F97</f>
        <v>Month</v>
      </c>
      <c r="C95" s="168">
        <f>'Program Budget'!H97</f>
        <v>375</v>
      </c>
      <c r="D95" s="169">
        <f>'Program Budget'!G97</f>
        <v>3</v>
      </c>
      <c r="E95" s="170">
        <v>1</v>
      </c>
      <c r="F95" s="823">
        <f>C95*D95*E95</f>
        <v>1125</v>
      </c>
      <c r="G95" s="168">
        <f t="shared" si="162"/>
        <v>393.75</v>
      </c>
      <c r="H95" s="169">
        <f>'Program Budget'!K97</f>
        <v>12</v>
      </c>
      <c r="I95" s="170">
        <v>1</v>
      </c>
      <c r="J95" s="823">
        <f>G95*H95*I95</f>
        <v>4725</v>
      </c>
      <c r="K95" s="168">
        <f t="shared" si="163"/>
        <v>413.4375</v>
      </c>
      <c r="L95" s="169">
        <f>'Program Budget'!N97</f>
        <v>12</v>
      </c>
      <c r="M95" s="170">
        <v>1</v>
      </c>
      <c r="N95" s="823">
        <f>K95*L95*M95</f>
        <v>4961.25</v>
      </c>
      <c r="O95" s="168">
        <f t="shared" si="164"/>
        <v>434.109375</v>
      </c>
      <c r="P95" s="169">
        <f>'Program Budget'!Q97</f>
        <v>9</v>
      </c>
      <c r="Q95" s="170">
        <v>1</v>
      </c>
      <c r="R95" s="823">
        <f>O95*P95*Q95</f>
        <v>3906.984375</v>
      </c>
      <c r="S95" s="168">
        <f t="shared" si="165"/>
        <v>455.81484375000002</v>
      </c>
      <c r="T95" s="169">
        <f>'Program Budget'!T97</f>
        <v>0</v>
      </c>
      <c r="U95" s="170">
        <v>0</v>
      </c>
      <c r="V95" s="823">
        <f>S95*T95*U95</f>
        <v>0</v>
      </c>
      <c r="W95" s="838">
        <f>F95+J95+N95+R95+V95</f>
        <v>14718.234375</v>
      </c>
    </row>
    <row r="96" spans="1:23" ht="15.6" outlineLevel="1">
      <c r="A96" s="221" t="str">
        <f>'Program Budget'!D98</f>
        <v>Office Rent, Utilities &amp; Cleaning (Lagos) (Coworking Space, rental price includes all costs)</v>
      </c>
      <c r="B96" s="167" t="str">
        <f>'Program Budget'!F98</f>
        <v>Month</v>
      </c>
      <c r="C96" s="168">
        <f>'Program Budget'!H98</f>
        <v>2150</v>
      </c>
      <c r="D96" s="169">
        <f>'Program Budget'!G98</f>
        <v>3</v>
      </c>
      <c r="E96" s="170">
        <v>1</v>
      </c>
      <c r="F96" s="823">
        <f t="shared" ref="F96:F101" si="166">C96*D96*E96</f>
        <v>6450</v>
      </c>
      <c r="G96" s="168">
        <f t="shared" si="162"/>
        <v>2257.5</v>
      </c>
      <c r="H96" s="169">
        <f>'Program Budget'!K98</f>
        <v>12</v>
      </c>
      <c r="I96" s="170">
        <v>1</v>
      </c>
      <c r="J96" s="823">
        <f t="shared" ref="J96:J101" si="167">G96*H96*I96</f>
        <v>27090</v>
      </c>
      <c r="K96" s="168">
        <f t="shared" si="163"/>
        <v>2370.375</v>
      </c>
      <c r="L96" s="169">
        <f>'Program Budget'!N98</f>
        <v>12</v>
      </c>
      <c r="M96" s="170">
        <v>1</v>
      </c>
      <c r="N96" s="823">
        <f t="shared" ref="N96:N101" si="168">K96*L96*M96</f>
        <v>28444.5</v>
      </c>
      <c r="O96" s="168">
        <f t="shared" si="164"/>
        <v>2488.8937500000002</v>
      </c>
      <c r="P96" s="169">
        <f>'Program Budget'!Q98</f>
        <v>9</v>
      </c>
      <c r="Q96" s="170">
        <v>1</v>
      </c>
      <c r="R96" s="823">
        <f t="shared" ref="R96:R101" si="169">O96*P96*Q96</f>
        <v>22400.043750000001</v>
      </c>
      <c r="S96" s="168">
        <f t="shared" si="165"/>
        <v>2613.3384375000005</v>
      </c>
      <c r="T96" s="169">
        <f>'Program Budget'!T98</f>
        <v>0</v>
      </c>
      <c r="U96" s="170">
        <v>0</v>
      </c>
      <c r="V96" s="823">
        <f t="shared" ref="V96:V101" si="170">S96*T96*U96</f>
        <v>0</v>
      </c>
      <c r="W96" s="838">
        <f t="shared" ref="W96:W101" si="171">F96+J96+N96+R96+V96</f>
        <v>84384.543749999997</v>
      </c>
    </row>
    <row r="97" spans="1:23" ht="15.6" outlineLevel="1">
      <c r="A97" s="221" t="str">
        <f>'Program Budget'!D99</f>
        <v>Courier fees/Services/Postage</v>
      </c>
      <c r="B97" s="167" t="str">
        <f>'Program Budget'!F99</f>
        <v>Month</v>
      </c>
      <c r="C97" s="168">
        <f>'Program Budget'!H99</f>
        <v>20</v>
      </c>
      <c r="D97" s="169">
        <f>'Program Budget'!G99</f>
        <v>3</v>
      </c>
      <c r="E97" s="170">
        <v>1</v>
      </c>
      <c r="F97" s="823">
        <f t="shared" si="166"/>
        <v>60</v>
      </c>
      <c r="G97" s="168">
        <f t="shared" si="162"/>
        <v>21</v>
      </c>
      <c r="H97" s="169">
        <f>'Program Budget'!K99</f>
        <v>12</v>
      </c>
      <c r="I97" s="170">
        <v>1</v>
      </c>
      <c r="J97" s="823">
        <f t="shared" si="167"/>
        <v>252</v>
      </c>
      <c r="K97" s="168">
        <f t="shared" si="163"/>
        <v>22.05</v>
      </c>
      <c r="L97" s="169">
        <f>'Program Budget'!N99</f>
        <v>12</v>
      </c>
      <c r="M97" s="170">
        <v>1</v>
      </c>
      <c r="N97" s="823">
        <f t="shared" si="168"/>
        <v>264.60000000000002</v>
      </c>
      <c r="O97" s="168">
        <f t="shared" si="164"/>
        <v>23.152500000000003</v>
      </c>
      <c r="P97" s="169">
        <f>'Program Budget'!Q99</f>
        <v>9</v>
      </c>
      <c r="Q97" s="170">
        <v>1</v>
      </c>
      <c r="R97" s="823">
        <f t="shared" si="169"/>
        <v>208.37250000000003</v>
      </c>
      <c r="S97" s="168">
        <f t="shared" si="165"/>
        <v>24.310125000000003</v>
      </c>
      <c r="T97" s="169">
        <f>'Program Budget'!T99</f>
        <v>0</v>
      </c>
      <c r="U97" s="170">
        <v>0</v>
      </c>
      <c r="V97" s="823">
        <f t="shared" si="170"/>
        <v>0</v>
      </c>
      <c r="W97" s="838">
        <f t="shared" si="171"/>
        <v>784.97250000000008</v>
      </c>
    </row>
    <row r="98" spans="1:23" ht="15.6" outlineLevel="1">
      <c r="A98" s="221" t="str">
        <f>'Program Budget'!D100</f>
        <v xml:space="preserve">Recruitment/Procurement Advertising </v>
      </c>
      <c r="B98" s="167" t="str">
        <f>'Program Budget'!F100</f>
        <v>Year</v>
      </c>
      <c r="C98" s="168">
        <f>'Program Budget'!H100</f>
        <v>300</v>
      </c>
      <c r="D98" s="169">
        <f>'Program Budget'!G100</f>
        <v>1</v>
      </c>
      <c r="E98" s="170">
        <v>1</v>
      </c>
      <c r="F98" s="823">
        <f t="shared" si="166"/>
        <v>300</v>
      </c>
      <c r="G98" s="168">
        <f t="shared" si="162"/>
        <v>315</v>
      </c>
      <c r="H98" s="169">
        <f>'Program Budget'!K100</f>
        <v>1</v>
      </c>
      <c r="I98" s="170">
        <v>1</v>
      </c>
      <c r="J98" s="823">
        <f t="shared" si="167"/>
        <v>315</v>
      </c>
      <c r="K98" s="168">
        <f t="shared" si="163"/>
        <v>330.75</v>
      </c>
      <c r="L98" s="169">
        <f>'Program Budget'!N100</f>
        <v>1</v>
      </c>
      <c r="M98" s="170">
        <v>1</v>
      </c>
      <c r="N98" s="823">
        <f t="shared" si="168"/>
        <v>330.75</v>
      </c>
      <c r="O98" s="168">
        <f t="shared" si="164"/>
        <v>347.28750000000002</v>
      </c>
      <c r="P98" s="169">
        <f>'Program Budget'!Q100</f>
        <v>1</v>
      </c>
      <c r="Q98" s="170">
        <v>1</v>
      </c>
      <c r="R98" s="823">
        <f t="shared" si="169"/>
        <v>347.28750000000002</v>
      </c>
      <c r="S98" s="168">
        <f t="shared" si="165"/>
        <v>364.65187500000002</v>
      </c>
      <c r="T98" s="169">
        <f>'Program Budget'!T100</f>
        <v>0</v>
      </c>
      <c r="U98" s="170">
        <v>0</v>
      </c>
      <c r="V98" s="823">
        <f t="shared" si="170"/>
        <v>0</v>
      </c>
      <c r="W98" s="838">
        <f t="shared" si="171"/>
        <v>1293.0374999999999</v>
      </c>
    </row>
    <row r="99" spans="1:23" ht="15.6" outlineLevel="1">
      <c r="A99" s="221" t="str">
        <f>'Program Budget'!D101</f>
        <v>Meeting Expenses - Room Rental and A/V Equipment (for Small Meeting, Rooms Space Rented per Hour)</v>
      </c>
      <c r="B99" s="167" t="str">
        <f>'Program Budget'!F101</f>
        <v>Hours</v>
      </c>
      <c r="C99" s="168">
        <f>'Program Budget'!H101</f>
        <v>20</v>
      </c>
      <c r="D99" s="169">
        <f>'Program Budget'!G101</f>
        <v>120</v>
      </c>
      <c r="E99" s="170">
        <v>1</v>
      </c>
      <c r="F99" s="823">
        <f t="shared" si="166"/>
        <v>2400</v>
      </c>
      <c r="G99" s="168">
        <f t="shared" si="162"/>
        <v>21</v>
      </c>
      <c r="H99" s="169">
        <f>'Program Budget'!K101</f>
        <v>160</v>
      </c>
      <c r="I99" s="170">
        <v>1</v>
      </c>
      <c r="J99" s="823">
        <f t="shared" si="167"/>
        <v>3360</v>
      </c>
      <c r="K99" s="168">
        <f t="shared" si="163"/>
        <v>22.05</v>
      </c>
      <c r="L99" s="169">
        <f>'Program Budget'!N101</f>
        <v>160</v>
      </c>
      <c r="M99" s="170">
        <v>1</v>
      </c>
      <c r="N99" s="823">
        <f t="shared" si="168"/>
        <v>3528</v>
      </c>
      <c r="O99" s="168">
        <f t="shared" si="164"/>
        <v>23.152500000000003</v>
      </c>
      <c r="P99" s="169">
        <f>'Program Budget'!Q101</f>
        <v>160</v>
      </c>
      <c r="Q99" s="170">
        <v>1</v>
      </c>
      <c r="R99" s="823">
        <f t="shared" si="169"/>
        <v>3704.4000000000005</v>
      </c>
      <c r="S99" s="168">
        <f t="shared" si="165"/>
        <v>24.310125000000003</v>
      </c>
      <c r="T99" s="169">
        <f>'Program Budget'!T101</f>
        <v>0</v>
      </c>
      <c r="U99" s="170">
        <v>0</v>
      </c>
      <c r="V99" s="823">
        <f t="shared" si="170"/>
        <v>0</v>
      </c>
      <c r="W99" s="838">
        <f t="shared" si="171"/>
        <v>12992.400000000001</v>
      </c>
    </row>
    <row r="100" spans="1:23" ht="15.6" outlineLevel="1">
      <c r="A100" s="221" t="str">
        <f>'Program Budget'!D102</f>
        <v>Accounting Platform (Sage Intacct &amp; QuickBooks)</v>
      </c>
      <c r="B100" s="167" t="str">
        <f>'Program Budget'!F102</f>
        <v>Month</v>
      </c>
      <c r="C100" s="168">
        <f>'Program Budget'!H102</f>
        <v>1500</v>
      </c>
      <c r="D100" s="169">
        <f>'Program Budget'!G102</f>
        <v>9</v>
      </c>
      <c r="E100" s="170">
        <v>1</v>
      </c>
      <c r="F100" s="823">
        <f t="shared" si="166"/>
        <v>13500</v>
      </c>
      <c r="G100" s="168">
        <f t="shared" si="162"/>
        <v>1575</v>
      </c>
      <c r="H100" s="169">
        <f>'Program Budget'!K102</f>
        <v>12</v>
      </c>
      <c r="I100" s="170">
        <v>1</v>
      </c>
      <c r="J100" s="823">
        <f t="shared" si="167"/>
        <v>18900</v>
      </c>
      <c r="K100" s="168">
        <f t="shared" si="163"/>
        <v>1653.75</v>
      </c>
      <c r="L100" s="169">
        <f>'Program Budget'!N102</f>
        <v>12</v>
      </c>
      <c r="M100" s="170">
        <v>1</v>
      </c>
      <c r="N100" s="823">
        <f t="shared" si="168"/>
        <v>19845</v>
      </c>
      <c r="O100" s="168">
        <f t="shared" si="164"/>
        <v>1736.4375</v>
      </c>
      <c r="P100" s="169">
        <f>'Program Budget'!Q102</f>
        <v>9</v>
      </c>
      <c r="Q100" s="170">
        <v>1</v>
      </c>
      <c r="R100" s="823">
        <f t="shared" si="169"/>
        <v>15627.9375</v>
      </c>
      <c r="S100" s="168">
        <f t="shared" si="165"/>
        <v>1823.2593750000001</v>
      </c>
      <c r="T100" s="169">
        <f>'Program Budget'!T102</f>
        <v>0</v>
      </c>
      <c r="U100" s="170">
        <v>0</v>
      </c>
      <c r="V100" s="823">
        <f t="shared" si="170"/>
        <v>0</v>
      </c>
      <c r="W100" s="838">
        <f t="shared" si="171"/>
        <v>67872.9375</v>
      </c>
    </row>
    <row r="101" spans="1:23" ht="15.9" customHeight="1" outlineLevel="1">
      <c r="A101" s="221" t="str">
        <f>'Program Budget'!D103</f>
        <v>Licenses &amp; Subscriptions (Microsoft 365, Replicon, PandaDoc, TripLog, Adobe, DeepL &amp; Visual Compliance)</v>
      </c>
      <c r="B101" s="167" t="str">
        <f>'Program Budget'!F103</f>
        <v>Month</v>
      </c>
      <c r="C101" s="168">
        <f>'Program Budget'!H103</f>
        <v>1521.6666666666667</v>
      </c>
      <c r="D101" s="169">
        <f>'Program Budget'!G103</f>
        <v>12</v>
      </c>
      <c r="E101" s="170">
        <v>1</v>
      </c>
      <c r="F101" s="823">
        <f t="shared" si="166"/>
        <v>18260</v>
      </c>
      <c r="G101" s="168">
        <f t="shared" si="162"/>
        <v>1597.7500000000002</v>
      </c>
      <c r="H101" s="169">
        <f>'Program Budget'!K103</f>
        <v>12</v>
      </c>
      <c r="I101" s="170">
        <v>1</v>
      </c>
      <c r="J101" s="823">
        <f t="shared" si="167"/>
        <v>19173.000000000004</v>
      </c>
      <c r="K101" s="168">
        <f t="shared" si="163"/>
        <v>1677.6375000000003</v>
      </c>
      <c r="L101" s="169">
        <f>'Program Budget'!N103</f>
        <v>12</v>
      </c>
      <c r="M101" s="170">
        <v>1</v>
      </c>
      <c r="N101" s="823">
        <f t="shared" si="168"/>
        <v>20131.650000000001</v>
      </c>
      <c r="O101" s="168">
        <f t="shared" si="164"/>
        <v>1761.5193750000003</v>
      </c>
      <c r="P101" s="169">
        <f>'Program Budget'!Q103</f>
        <v>9</v>
      </c>
      <c r="Q101" s="170">
        <v>1</v>
      </c>
      <c r="R101" s="823">
        <f t="shared" si="169"/>
        <v>15853.674375000002</v>
      </c>
      <c r="S101" s="168">
        <f t="shared" si="165"/>
        <v>1849.5953437500004</v>
      </c>
      <c r="T101" s="169">
        <f>'Program Budget'!T103</f>
        <v>0</v>
      </c>
      <c r="U101" s="170">
        <v>0</v>
      </c>
      <c r="V101" s="823">
        <f t="shared" si="170"/>
        <v>0</v>
      </c>
      <c r="W101" s="838">
        <f t="shared" si="171"/>
        <v>73418.324374999997</v>
      </c>
    </row>
    <row r="102" spans="1:23" outlineLevel="1">
      <c r="A102" s="269"/>
      <c r="B102" s="181"/>
      <c r="D102" s="218"/>
      <c r="F102" s="823"/>
      <c r="G102" s="168"/>
      <c r="H102" s="218"/>
      <c r="I102" s="140"/>
      <c r="J102" s="823"/>
      <c r="L102" s="218"/>
      <c r="N102" s="823"/>
      <c r="P102" s="218"/>
      <c r="Q102" s="140"/>
      <c r="R102" s="823"/>
      <c r="T102" s="218"/>
      <c r="U102" s="140"/>
      <c r="V102" s="823"/>
      <c r="W102" s="838"/>
    </row>
    <row r="103" spans="1:23" ht="18.3" outlineLevel="1">
      <c r="A103" s="214" t="s">
        <v>98</v>
      </c>
      <c r="B103" s="188"/>
      <c r="C103" s="189"/>
      <c r="D103" s="215"/>
      <c r="E103" s="216"/>
      <c r="F103" s="826">
        <f>SUM(F90:F101)</f>
        <v>46745</v>
      </c>
      <c r="G103" s="189"/>
      <c r="H103" s="215"/>
      <c r="I103" s="192"/>
      <c r="J103" s="826">
        <f>SUM(J90:J101)</f>
        <v>79012.5</v>
      </c>
      <c r="K103" s="189"/>
      <c r="L103" s="215"/>
      <c r="M103" s="216"/>
      <c r="N103" s="826">
        <f>SUM(N90:N101)</f>
        <v>82963.125</v>
      </c>
      <c r="O103" s="189"/>
      <c r="P103" s="215"/>
      <c r="Q103" s="192"/>
      <c r="R103" s="826">
        <f>SUM(R90:R101)</f>
        <v>67605.3</v>
      </c>
      <c r="S103" s="189"/>
      <c r="T103" s="215"/>
      <c r="U103" s="192"/>
      <c r="V103" s="826">
        <f>SUM(V90:V101)</f>
        <v>0</v>
      </c>
      <c r="W103" s="826">
        <f>SUM(W90:W101)</f>
        <v>276325.92500000005</v>
      </c>
    </row>
    <row r="104" spans="1:23" ht="15.6" outlineLevel="1">
      <c r="A104" s="163" t="s">
        <v>33</v>
      </c>
      <c r="B104" s="217"/>
      <c r="D104" s="218"/>
      <c r="E104" s="219"/>
      <c r="F104" s="828"/>
      <c r="H104" s="218"/>
      <c r="I104" s="220"/>
      <c r="J104" s="839"/>
      <c r="L104" s="218"/>
      <c r="M104" s="219"/>
      <c r="N104" s="839"/>
      <c r="P104" s="218"/>
      <c r="Q104" s="220"/>
      <c r="R104" s="839"/>
      <c r="T104" s="218"/>
      <c r="U104" s="220"/>
      <c r="V104" s="839"/>
      <c r="W104" s="838"/>
    </row>
    <row r="105" spans="1:23" ht="15.6" outlineLevel="1">
      <c r="A105" s="221" t="str">
        <f>'Program Budget'!D108</f>
        <v xml:space="preserve">Desktop/Laptop Computers </v>
      </c>
      <c r="B105" s="167" t="str">
        <f>'Program Budget'!F108</f>
        <v>Unit</v>
      </c>
      <c r="C105" s="168">
        <f>'Program Budget'!H108</f>
        <v>600</v>
      </c>
      <c r="D105" s="169">
        <f>'Program Budget'!G108</f>
        <v>12</v>
      </c>
      <c r="E105" s="170">
        <v>1</v>
      </c>
      <c r="F105" s="823">
        <f t="shared" ref="F105" si="172">C105*D105*E105</f>
        <v>7200</v>
      </c>
      <c r="G105" s="168">
        <f>C105*1.05</f>
        <v>630</v>
      </c>
      <c r="H105" s="169">
        <f>'Program Budget'!K108</f>
        <v>0</v>
      </c>
      <c r="I105" s="170">
        <v>0</v>
      </c>
      <c r="J105" s="823">
        <f t="shared" ref="J105" si="173">G105*H105*I105</f>
        <v>0</v>
      </c>
      <c r="K105" s="168">
        <f>G105*1.05</f>
        <v>661.5</v>
      </c>
      <c r="L105" s="169">
        <f>'Program Budget'!N108</f>
        <v>0</v>
      </c>
      <c r="M105" s="170">
        <v>0</v>
      </c>
      <c r="N105" s="823">
        <f t="shared" ref="N105" si="174">K105*L105*M105</f>
        <v>0</v>
      </c>
      <c r="O105" s="168">
        <f>K105*1.05</f>
        <v>694.57500000000005</v>
      </c>
      <c r="P105" s="169">
        <f>'Program Budget'!Q108</f>
        <v>0</v>
      </c>
      <c r="Q105" s="170">
        <v>0</v>
      </c>
      <c r="R105" s="823">
        <f t="shared" ref="R105" si="175">O105*P105*Q105</f>
        <v>0</v>
      </c>
      <c r="S105" s="168">
        <f>O105*1.05</f>
        <v>729.30375000000004</v>
      </c>
      <c r="T105" s="169">
        <f>'Program Budget'!T108</f>
        <v>0</v>
      </c>
      <c r="U105" s="170">
        <v>0</v>
      </c>
      <c r="V105" s="823">
        <f t="shared" ref="V105" si="176">S105*T105*U105</f>
        <v>0</v>
      </c>
      <c r="W105" s="838">
        <f t="shared" ref="W105" si="177">F105+J105+N105+R105+V105</f>
        <v>7200</v>
      </c>
    </row>
    <row r="106" spans="1:23" ht="15.6" outlineLevel="1">
      <c r="A106" s="221" t="str">
        <f>'Program Budget'!D109</f>
        <v>All in One: Printer, Photocopier &amp; Scanner</v>
      </c>
      <c r="B106" s="167" t="str">
        <f>'Program Budget'!F109</f>
        <v>Unit</v>
      </c>
      <c r="C106" s="168">
        <f>'Program Budget'!H109</f>
        <v>335</v>
      </c>
      <c r="D106" s="169">
        <f>'Program Budget'!G109</f>
        <v>2</v>
      </c>
      <c r="E106" s="170">
        <v>1</v>
      </c>
      <c r="F106" s="823">
        <f t="shared" ref="F106:F109" si="178">C106*D106*E106</f>
        <v>670</v>
      </c>
      <c r="G106" s="168">
        <f t="shared" ref="G106:G109" si="179">C106*1.05</f>
        <v>351.75</v>
      </c>
      <c r="H106" s="169">
        <f>'Program Budget'!K109</f>
        <v>0</v>
      </c>
      <c r="I106" s="170">
        <v>0</v>
      </c>
      <c r="J106" s="823">
        <f t="shared" ref="J106:J109" si="180">G106*H106*I106</f>
        <v>0</v>
      </c>
      <c r="K106" s="168">
        <f t="shared" ref="K106:K109" si="181">G106*1.05</f>
        <v>369.33750000000003</v>
      </c>
      <c r="L106" s="169">
        <f>'Program Budget'!N109</f>
        <v>0</v>
      </c>
      <c r="M106" s="170">
        <v>0</v>
      </c>
      <c r="N106" s="823">
        <f t="shared" ref="N106:N109" si="182">K106*L106*M106</f>
        <v>0</v>
      </c>
      <c r="O106" s="168">
        <f t="shared" ref="O106:O109" si="183">K106*1.05</f>
        <v>387.80437500000005</v>
      </c>
      <c r="P106" s="169">
        <f>'Program Budget'!Q109</f>
        <v>0</v>
      </c>
      <c r="Q106" s="170">
        <v>0</v>
      </c>
      <c r="R106" s="823">
        <f t="shared" ref="R106:R109" si="184">O106*P106*Q106</f>
        <v>0</v>
      </c>
      <c r="S106" s="168">
        <f t="shared" ref="S106:S109" si="185">O106*1.05</f>
        <v>407.19459375000008</v>
      </c>
      <c r="T106" s="169">
        <f>'Program Budget'!T109</f>
        <v>0</v>
      </c>
      <c r="U106" s="170">
        <v>0</v>
      </c>
      <c r="V106" s="823">
        <f t="shared" ref="V106:V109" si="186">S106*T106*U106</f>
        <v>0</v>
      </c>
      <c r="W106" s="838">
        <f t="shared" ref="W106:W109" si="187">F106+J106+N106+R106+V106</f>
        <v>670</v>
      </c>
    </row>
    <row r="107" spans="1:23" ht="15.6" outlineLevel="1">
      <c r="A107" s="221" t="str">
        <f>'Program Budget'!D110</f>
        <v>Projector and Video Conferencing Equipment</v>
      </c>
      <c r="B107" s="167" t="str">
        <f>'Program Budget'!F110</f>
        <v>Unit</v>
      </c>
      <c r="C107" s="168">
        <f>'Program Budget'!H110</f>
        <v>416.63</v>
      </c>
      <c r="D107" s="169">
        <f>'Program Budget'!G110</f>
        <v>1</v>
      </c>
      <c r="E107" s="170">
        <v>1</v>
      </c>
      <c r="F107" s="823">
        <f t="shared" si="178"/>
        <v>416.63</v>
      </c>
      <c r="G107" s="168">
        <f t="shared" si="179"/>
        <v>437.4615</v>
      </c>
      <c r="H107" s="169">
        <f>'Program Budget'!K110</f>
        <v>0</v>
      </c>
      <c r="I107" s="170">
        <v>0</v>
      </c>
      <c r="J107" s="823">
        <f t="shared" si="180"/>
        <v>0</v>
      </c>
      <c r="K107" s="168">
        <f t="shared" si="181"/>
        <v>459.33457500000003</v>
      </c>
      <c r="L107" s="169">
        <f>'Program Budget'!N110</f>
        <v>0</v>
      </c>
      <c r="M107" s="170">
        <v>0</v>
      </c>
      <c r="N107" s="823">
        <f t="shared" si="182"/>
        <v>0</v>
      </c>
      <c r="O107" s="168">
        <f t="shared" si="183"/>
        <v>482.30130375000005</v>
      </c>
      <c r="P107" s="169">
        <f>'Program Budget'!Q110</f>
        <v>0</v>
      </c>
      <c r="Q107" s="170">
        <v>0</v>
      </c>
      <c r="R107" s="823">
        <f t="shared" si="184"/>
        <v>0</v>
      </c>
      <c r="S107" s="168">
        <f t="shared" si="185"/>
        <v>506.41636893750007</v>
      </c>
      <c r="T107" s="169">
        <f>'Program Budget'!T110</f>
        <v>0</v>
      </c>
      <c r="U107" s="170">
        <v>0</v>
      </c>
      <c r="V107" s="823">
        <f t="shared" si="186"/>
        <v>0</v>
      </c>
      <c r="W107" s="838">
        <f t="shared" si="187"/>
        <v>416.63</v>
      </c>
    </row>
    <row r="108" spans="1:23" ht="15.6" outlineLevel="1">
      <c r="A108" s="221" t="str">
        <f>'Program Budget'!D111</f>
        <v>Shelves and Filing Cabinets, &amp; Safe for Office Storage</v>
      </c>
      <c r="B108" s="167" t="str">
        <f>'Program Budget'!F111</f>
        <v>Unit</v>
      </c>
      <c r="C108" s="168">
        <f>'Program Budget'!H111</f>
        <v>80</v>
      </c>
      <c r="D108" s="169">
        <f>'Program Budget'!G111</f>
        <v>5</v>
      </c>
      <c r="E108" s="170">
        <v>1</v>
      </c>
      <c r="F108" s="823">
        <f t="shared" si="178"/>
        <v>400</v>
      </c>
      <c r="G108" s="168">
        <f t="shared" si="179"/>
        <v>84</v>
      </c>
      <c r="H108" s="169">
        <f>'Program Budget'!K111</f>
        <v>0</v>
      </c>
      <c r="I108" s="170">
        <v>0</v>
      </c>
      <c r="J108" s="823">
        <f t="shared" si="180"/>
        <v>0</v>
      </c>
      <c r="K108" s="168">
        <f t="shared" si="181"/>
        <v>88.2</v>
      </c>
      <c r="L108" s="169">
        <f>'Program Budget'!N111</f>
        <v>0</v>
      </c>
      <c r="M108" s="170">
        <v>0</v>
      </c>
      <c r="N108" s="823">
        <f t="shared" si="182"/>
        <v>0</v>
      </c>
      <c r="O108" s="168">
        <f t="shared" si="183"/>
        <v>92.610000000000014</v>
      </c>
      <c r="P108" s="169">
        <f>'Program Budget'!Q111</f>
        <v>0</v>
      </c>
      <c r="Q108" s="170">
        <v>0</v>
      </c>
      <c r="R108" s="823">
        <f t="shared" si="184"/>
        <v>0</v>
      </c>
      <c r="S108" s="168">
        <f t="shared" si="185"/>
        <v>97.240500000000011</v>
      </c>
      <c r="T108" s="169">
        <f>'Program Budget'!T111</f>
        <v>0</v>
      </c>
      <c r="U108" s="170">
        <v>0</v>
      </c>
      <c r="V108" s="823">
        <f t="shared" si="186"/>
        <v>0</v>
      </c>
      <c r="W108" s="838">
        <f t="shared" si="187"/>
        <v>400</v>
      </c>
    </row>
    <row r="109" spans="1:23" ht="15.6" outlineLevel="1">
      <c r="A109" s="221" t="str">
        <f>'Program Budget'!D112</f>
        <v xml:space="preserve">Office Supplies </v>
      </c>
      <c r="B109" s="167" t="str">
        <f>'Program Budget'!F112</f>
        <v>Month</v>
      </c>
      <c r="C109" s="168">
        <f>'Program Budget'!H112</f>
        <v>135</v>
      </c>
      <c r="D109" s="169">
        <f>'Program Budget'!G112</f>
        <v>12</v>
      </c>
      <c r="E109" s="170">
        <v>1</v>
      </c>
      <c r="F109" s="823">
        <f t="shared" si="178"/>
        <v>1620</v>
      </c>
      <c r="G109" s="168">
        <f t="shared" si="179"/>
        <v>141.75</v>
      </c>
      <c r="H109" s="169">
        <f>'Program Budget'!K112</f>
        <v>12</v>
      </c>
      <c r="I109" s="170">
        <v>1</v>
      </c>
      <c r="J109" s="823">
        <f t="shared" si="180"/>
        <v>1701</v>
      </c>
      <c r="K109" s="168">
        <f t="shared" si="181"/>
        <v>148.83750000000001</v>
      </c>
      <c r="L109" s="169">
        <f>'Program Budget'!N112</f>
        <v>12</v>
      </c>
      <c r="M109" s="170">
        <v>1</v>
      </c>
      <c r="N109" s="823">
        <f t="shared" si="182"/>
        <v>1786.0500000000002</v>
      </c>
      <c r="O109" s="168">
        <f t="shared" si="183"/>
        <v>156.27937500000002</v>
      </c>
      <c r="P109" s="169">
        <f>'Program Budget'!Q112</f>
        <v>12</v>
      </c>
      <c r="Q109" s="170">
        <v>1</v>
      </c>
      <c r="R109" s="823">
        <f t="shared" si="184"/>
        <v>1875.3525000000002</v>
      </c>
      <c r="S109" s="168">
        <f t="shared" si="185"/>
        <v>164.09334375000003</v>
      </c>
      <c r="T109" s="169">
        <f>'Program Budget'!T112</f>
        <v>0</v>
      </c>
      <c r="U109" s="170">
        <v>0</v>
      </c>
      <c r="V109" s="823">
        <f t="shared" si="186"/>
        <v>0</v>
      </c>
      <c r="W109" s="838">
        <f t="shared" si="187"/>
        <v>6982.4025000000001</v>
      </c>
    </row>
    <row r="110" spans="1:23" ht="15.6" outlineLevel="1">
      <c r="A110" s="221"/>
      <c r="B110" s="181"/>
      <c r="C110" s="222"/>
      <c r="D110" s="223"/>
      <c r="F110" s="823"/>
      <c r="G110" s="222"/>
      <c r="H110" s="223"/>
      <c r="I110" s="140"/>
      <c r="J110" s="823"/>
      <c r="K110" s="222"/>
      <c r="L110" s="223"/>
      <c r="N110" s="823"/>
      <c r="O110" s="222"/>
      <c r="P110" s="223"/>
      <c r="Q110" s="140"/>
      <c r="R110" s="823"/>
      <c r="S110" s="222"/>
      <c r="T110" s="223"/>
      <c r="U110" s="140"/>
      <c r="V110" s="823"/>
      <c r="W110" s="838"/>
    </row>
    <row r="111" spans="1:23" ht="18.3" outlineLevel="1">
      <c r="A111" s="214" t="s">
        <v>99</v>
      </c>
      <c r="B111" s="188"/>
      <c r="C111" s="189"/>
      <c r="D111" s="215"/>
      <c r="E111" s="216"/>
      <c r="F111" s="826">
        <f>SUM(F105:F110)</f>
        <v>10306.629999999999</v>
      </c>
      <c r="G111" s="189"/>
      <c r="H111" s="215"/>
      <c r="I111" s="192"/>
      <c r="J111" s="826">
        <f>SUM(J105:J110)</f>
        <v>1701</v>
      </c>
      <c r="K111" s="189"/>
      <c r="L111" s="215"/>
      <c r="M111" s="216"/>
      <c r="N111" s="826">
        <f>SUM(N105:N110)</f>
        <v>1786.0500000000002</v>
      </c>
      <c r="O111" s="189"/>
      <c r="P111" s="215"/>
      <c r="Q111" s="192"/>
      <c r="R111" s="826">
        <f>SUM(R105:R110)</f>
        <v>1875.3525000000002</v>
      </c>
      <c r="S111" s="189"/>
      <c r="T111" s="215"/>
      <c r="U111" s="192"/>
      <c r="V111" s="826">
        <f>SUM(V105:V110)</f>
        <v>0</v>
      </c>
      <c r="W111" s="846">
        <f>+F111+J111+N111+R111+V111</f>
        <v>15669.032500000001</v>
      </c>
    </row>
    <row r="112" spans="1:23" ht="15.6" outlineLevel="1">
      <c r="A112" s="226" t="s">
        <v>100</v>
      </c>
      <c r="B112" s="181"/>
      <c r="C112" s="227"/>
      <c r="D112" s="228"/>
      <c r="F112" s="828"/>
      <c r="G112" s="227"/>
      <c r="H112" s="228"/>
      <c r="J112" s="839"/>
      <c r="K112" s="227"/>
      <c r="L112" s="228"/>
      <c r="N112" s="839"/>
      <c r="O112" s="227"/>
      <c r="P112" s="228"/>
      <c r="R112" s="839"/>
      <c r="S112" s="227"/>
      <c r="T112" s="228"/>
      <c r="V112" s="839"/>
      <c r="W112" s="838"/>
    </row>
    <row r="113" spans="1:23" ht="15.6" outlineLevel="1">
      <c r="A113" s="163" t="s">
        <v>116</v>
      </c>
      <c r="B113" s="167"/>
      <c r="C113" s="168"/>
      <c r="D113" s="169"/>
      <c r="E113" s="170"/>
      <c r="F113" s="823"/>
      <c r="G113" s="168"/>
      <c r="H113" s="169"/>
      <c r="I113" s="170"/>
      <c r="J113" s="823"/>
      <c r="K113" s="168"/>
      <c r="L113" s="169"/>
      <c r="M113" s="170"/>
      <c r="N113" s="823"/>
      <c r="O113" s="168"/>
      <c r="P113" s="169"/>
      <c r="Q113" s="170"/>
      <c r="R113" s="823"/>
      <c r="S113" s="168"/>
      <c r="T113" s="169"/>
      <c r="U113" s="170"/>
      <c r="V113" s="823"/>
      <c r="W113" s="838"/>
    </row>
    <row r="114" spans="1:23" ht="15.6" outlineLevel="1">
      <c r="A114" s="221" t="str">
        <f>'Program Budget'!D117</f>
        <v xml:space="preserve">Training, Workshops, Conference and Registration Fees </v>
      </c>
      <c r="B114" s="167" t="str">
        <f>'Program Budget'!F117</f>
        <v>Unit</v>
      </c>
      <c r="C114" s="168">
        <f>'Program Budget'!H117</f>
        <v>1500</v>
      </c>
      <c r="D114" s="169">
        <f>'Program Budget'!G117</f>
        <v>3</v>
      </c>
      <c r="E114" s="170">
        <v>1</v>
      </c>
      <c r="F114" s="823">
        <f t="shared" ref="F114:F116" si="188">C114*D114*E114</f>
        <v>4500</v>
      </c>
      <c r="G114" s="168">
        <f>C114</f>
        <v>1500</v>
      </c>
      <c r="H114" s="169">
        <f>'Program Budget'!K117</f>
        <v>3</v>
      </c>
      <c r="I114" s="170">
        <v>1</v>
      </c>
      <c r="J114" s="823">
        <f t="shared" ref="J114:J116" si="189">G114*H114*I114</f>
        <v>4500</v>
      </c>
      <c r="K114" s="168">
        <f>G114</f>
        <v>1500</v>
      </c>
      <c r="L114" s="169">
        <f>'Program Budget'!N117</f>
        <v>3</v>
      </c>
      <c r="M114" s="170">
        <v>1</v>
      </c>
      <c r="N114" s="823">
        <f t="shared" ref="N114:N116" si="190">K114*L114*M114</f>
        <v>4500</v>
      </c>
      <c r="O114" s="168">
        <f>K114</f>
        <v>1500</v>
      </c>
      <c r="P114" s="169">
        <f>'Program Budget'!Q117</f>
        <v>3</v>
      </c>
      <c r="Q114" s="170">
        <v>1</v>
      </c>
      <c r="R114" s="823">
        <f t="shared" ref="R114:R116" si="191">O114*P114*Q114</f>
        <v>4500</v>
      </c>
      <c r="S114" s="168">
        <f>O114</f>
        <v>1500</v>
      </c>
      <c r="T114" s="169">
        <f>'Program Budget'!T117</f>
        <v>0</v>
      </c>
      <c r="U114" s="170">
        <v>0</v>
      </c>
      <c r="V114" s="823">
        <f t="shared" ref="V114:V116" si="192">S114*T114*U114</f>
        <v>0</v>
      </c>
      <c r="W114" s="838">
        <f t="shared" ref="W114:W116" si="193">F114+J114+N114+R114+V114</f>
        <v>18000</v>
      </c>
    </row>
    <row r="115" spans="1:23" ht="15.6" outlineLevel="1">
      <c r="A115" s="163" t="s">
        <v>117</v>
      </c>
      <c r="B115" s="167"/>
      <c r="C115" s="168"/>
      <c r="D115" s="169"/>
      <c r="E115" s="170"/>
      <c r="F115" s="823"/>
      <c r="G115" s="168"/>
      <c r="H115" s="169"/>
      <c r="I115" s="170"/>
      <c r="J115" s="823"/>
      <c r="K115" s="168"/>
      <c r="L115" s="169"/>
      <c r="M115" s="170"/>
      <c r="N115" s="823"/>
      <c r="O115" s="168"/>
      <c r="P115" s="169"/>
      <c r="Q115" s="170"/>
      <c r="R115" s="823"/>
      <c r="S115" s="168"/>
      <c r="T115" s="169"/>
      <c r="U115" s="170"/>
      <c r="V115" s="823"/>
      <c r="W115" s="838"/>
    </row>
    <row r="116" spans="1:23" ht="15.6" outlineLevel="1">
      <c r="A116" s="221" t="str">
        <f>'Program Budget'!D119</f>
        <v>Equipment and Office Repairs and Maintenance</v>
      </c>
      <c r="B116" s="167" t="str">
        <f>'Program Budget'!F119</f>
        <v>Year</v>
      </c>
      <c r="C116" s="168">
        <f>'Program Budget'!H119</f>
        <v>1000</v>
      </c>
      <c r="D116" s="169">
        <f>'Program Budget'!G119</f>
        <v>1</v>
      </c>
      <c r="E116" s="170">
        <v>1</v>
      </c>
      <c r="F116" s="823">
        <f t="shared" si="188"/>
        <v>1000</v>
      </c>
      <c r="G116" s="168">
        <f>C116*1.05</f>
        <v>1050</v>
      </c>
      <c r="H116" s="169">
        <f>'Program Budget'!K119</f>
        <v>1</v>
      </c>
      <c r="I116" s="170">
        <v>1</v>
      </c>
      <c r="J116" s="823">
        <f t="shared" si="189"/>
        <v>1050</v>
      </c>
      <c r="K116" s="168">
        <f>G116*1.05</f>
        <v>1102.5</v>
      </c>
      <c r="L116" s="169">
        <f>'Program Budget'!N119</f>
        <v>1</v>
      </c>
      <c r="M116" s="170">
        <v>1</v>
      </c>
      <c r="N116" s="823">
        <f t="shared" si="190"/>
        <v>1102.5</v>
      </c>
      <c r="O116" s="168">
        <f>K116*1.05</f>
        <v>1157.625</v>
      </c>
      <c r="P116" s="169">
        <f>'Program Budget'!Q119</f>
        <v>1</v>
      </c>
      <c r="Q116" s="170">
        <v>1</v>
      </c>
      <c r="R116" s="823">
        <f t="shared" si="191"/>
        <v>1157.625</v>
      </c>
      <c r="S116" s="168">
        <f>O116*1.05</f>
        <v>1215.5062500000001</v>
      </c>
      <c r="T116" s="169">
        <f>'Program Budget'!T119</f>
        <v>0</v>
      </c>
      <c r="U116" s="170">
        <v>0</v>
      </c>
      <c r="V116" s="823">
        <f t="shared" si="192"/>
        <v>0</v>
      </c>
      <c r="W116" s="838">
        <f t="shared" si="193"/>
        <v>4310.125</v>
      </c>
    </row>
    <row r="117" spans="1:23" ht="15.6" outlineLevel="1">
      <c r="A117" s="221" t="str">
        <f>'Program Budget'!D120</f>
        <v>Vehicle Maintenance/Repairs/Spare Parts</v>
      </c>
      <c r="B117" s="167" t="str">
        <f>'Program Budget'!F120</f>
        <v>Year</v>
      </c>
      <c r="C117" s="168">
        <f>'Program Budget'!H120</f>
        <v>650</v>
      </c>
      <c r="D117" s="169">
        <f>'Program Budget'!G120</f>
        <v>1</v>
      </c>
      <c r="E117" s="170">
        <v>1</v>
      </c>
      <c r="F117" s="823">
        <f t="shared" ref="F117" si="194">C117*D117*E117</f>
        <v>650</v>
      </c>
      <c r="G117" s="168">
        <f t="shared" ref="G117:G121" si="195">C117*1.05</f>
        <v>682.5</v>
      </c>
      <c r="H117" s="169">
        <f>'Program Budget'!K120</f>
        <v>1</v>
      </c>
      <c r="I117" s="170">
        <v>1</v>
      </c>
      <c r="J117" s="823">
        <f t="shared" ref="J117" si="196">G117*H117*I117</f>
        <v>682.5</v>
      </c>
      <c r="K117" s="168">
        <f t="shared" ref="K117:K121" si="197">G117*1.05</f>
        <v>716.625</v>
      </c>
      <c r="L117" s="169">
        <f>'Program Budget'!N120</f>
        <v>1</v>
      </c>
      <c r="M117" s="170">
        <v>1</v>
      </c>
      <c r="N117" s="823">
        <f t="shared" ref="N117" si="198">K117*L117*M117</f>
        <v>716.625</v>
      </c>
      <c r="O117" s="168">
        <f t="shared" ref="O117:O121" si="199">K117*1.05</f>
        <v>752.45625000000007</v>
      </c>
      <c r="P117" s="169">
        <f>'Program Budget'!Q120</f>
        <v>1</v>
      </c>
      <c r="Q117" s="170">
        <v>1</v>
      </c>
      <c r="R117" s="823">
        <f t="shared" ref="R117" si="200">O117*P117*Q117</f>
        <v>752.45625000000007</v>
      </c>
      <c r="S117" s="168">
        <f t="shared" ref="S117:S121" si="201">O117*1.05</f>
        <v>790.07906250000008</v>
      </c>
      <c r="T117" s="169">
        <f>'Program Budget'!T120</f>
        <v>0</v>
      </c>
      <c r="U117" s="170">
        <v>0</v>
      </c>
      <c r="V117" s="823">
        <f t="shared" ref="V117" si="202">S117*T117*U117</f>
        <v>0</v>
      </c>
      <c r="W117" s="838">
        <f t="shared" ref="W117" si="203">F117+J117+N117+R117+V117</f>
        <v>2801.5812500000002</v>
      </c>
    </row>
    <row r="118" spans="1:23" ht="15.6" outlineLevel="1">
      <c r="A118" s="163" t="str">
        <f>'Program Budget'!D121</f>
        <v>Insurance</v>
      </c>
      <c r="B118" s="167"/>
      <c r="C118" s="168"/>
      <c r="D118" s="169"/>
      <c r="E118" s="170"/>
      <c r="F118" s="823"/>
      <c r="G118" s="168"/>
      <c r="H118" s="169"/>
      <c r="I118" s="170"/>
      <c r="J118" s="823"/>
      <c r="K118" s="168"/>
      <c r="L118" s="169"/>
      <c r="M118" s="170"/>
      <c r="N118" s="823"/>
      <c r="O118" s="168"/>
      <c r="P118" s="169"/>
      <c r="Q118" s="170"/>
      <c r="R118" s="823"/>
      <c r="S118" s="168"/>
      <c r="T118" s="169"/>
      <c r="U118" s="170"/>
      <c r="V118" s="823"/>
      <c r="W118" s="838"/>
    </row>
    <row r="119" spans="1:23" ht="15.6" outlineLevel="1">
      <c r="A119" s="221" t="str">
        <f>'Program Budget'!D122</f>
        <v>Property, Business, &amp; Liability Insurance</v>
      </c>
      <c r="B119" s="167" t="str">
        <f>'Program Budget'!F122</f>
        <v>Year</v>
      </c>
      <c r="C119" s="168">
        <f>'Program Budget'!H122</f>
        <v>10000</v>
      </c>
      <c r="D119" s="169">
        <f>'Program Budget'!G122</f>
        <v>1</v>
      </c>
      <c r="E119" s="170">
        <v>1</v>
      </c>
      <c r="F119" s="823">
        <f t="shared" ref="F119:F120" si="204">C119*D119*E119</f>
        <v>10000</v>
      </c>
      <c r="G119" s="168">
        <f t="shared" si="195"/>
        <v>10500</v>
      </c>
      <c r="H119" s="169">
        <f>'Program Budget'!K122</f>
        <v>1</v>
      </c>
      <c r="I119" s="170">
        <v>1</v>
      </c>
      <c r="J119" s="823">
        <f t="shared" ref="J119:J120" si="205">G119*H119*I119</f>
        <v>10500</v>
      </c>
      <c r="K119" s="168">
        <f t="shared" si="197"/>
        <v>11025</v>
      </c>
      <c r="L119" s="169">
        <f>'Program Budget'!N122</f>
        <v>1</v>
      </c>
      <c r="M119" s="170">
        <v>1</v>
      </c>
      <c r="N119" s="823">
        <f t="shared" ref="N119:N120" si="206">K119*L119*M119</f>
        <v>11025</v>
      </c>
      <c r="O119" s="168">
        <f t="shared" si="199"/>
        <v>11576.25</v>
      </c>
      <c r="P119" s="169">
        <f>'Program Budget'!Q122</f>
        <v>1</v>
      </c>
      <c r="Q119" s="170">
        <v>1</v>
      </c>
      <c r="R119" s="823">
        <f t="shared" ref="R119:R120" si="207">O119*P119*Q119</f>
        <v>11576.25</v>
      </c>
      <c r="S119" s="168">
        <f t="shared" si="201"/>
        <v>12155.0625</v>
      </c>
      <c r="T119" s="169">
        <f>'Program Budget'!T122</f>
        <v>0</v>
      </c>
      <c r="U119" s="170">
        <v>0</v>
      </c>
      <c r="V119" s="823">
        <f t="shared" ref="V119:V120" si="208">S119*T119*U119</f>
        <v>0</v>
      </c>
      <c r="W119" s="838">
        <f t="shared" ref="W119:W120" si="209">F119+J119+N119+R119+V119</f>
        <v>43101.25</v>
      </c>
    </row>
    <row r="120" spans="1:23" ht="15.6" outlineLevel="1">
      <c r="A120" s="221" t="str">
        <f>'Program Budget'!D123</f>
        <v>Annual Vehicle Registration</v>
      </c>
      <c r="B120" s="167" t="str">
        <f>'Program Budget'!F123</f>
        <v>Vehicle</v>
      </c>
      <c r="C120" s="168">
        <f>'Program Budget'!H123</f>
        <v>25</v>
      </c>
      <c r="D120" s="169">
        <f>'Program Budget'!G123</f>
        <v>1</v>
      </c>
      <c r="E120" s="170">
        <v>1</v>
      </c>
      <c r="F120" s="823">
        <f t="shared" si="204"/>
        <v>25</v>
      </c>
      <c r="G120" s="168">
        <f t="shared" ref="G120" si="210">C120*1.05</f>
        <v>26.25</v>
      </c>
      <c r="H120" s="169">
        <f>'Program Budget'!K123</f>
        <v>1</v>
      </c>
      <c r="I120" s="170">
        <v>1</v>
      </c>
      <c r="J120" s="823">
        <f t="shared" si="205"/>
        <v>26.25</v>
      </c>
      <c r="K120" s="168">
        <f t="shared" ref="K120" si="211">G120*1.05</f>
        <v>27.5625</v>
      </c>
      <c r="L120" s="169">
        <f>'Program Budget'!N123</f>
        <v>1</v>
      </c>
      <c r="M120" s="170">
        <v>1</v>
      </c>
      <c r="N120" s="823">
        <f t="shared" si="206"/>
        <v>27.5625</v>
      </c>
      <c r="O120" s="168">
        <f t="shared" ref="O120" si="212">K120*1.05</f>
        <v>28.940625000000001</v>
      </c>
      <c r="P120" s="169">
        <f>'Program Budget'!Q123</f>
        <v>1</v>
      </c>
      <c r="Q120" s="170">
        <v>1</v>
      </c>
      <c r="R120" s="823">
        <f t="shared" si="207"/>
        <v>28.940625000000001</v>
      </c>
      <c r="S120" s="168">
        <f t="shared" ref="S120" si="213">O120*1.05</f>
        <v>30.387656250000003</v>
      </c>
      <c r="T120" s="169">
        <f>'Program Budget'!T123</f>
        <v>0</v>
      </c>
      <c r="U120" s="170">
        <v>0</v>
      </c>
      <c r="V120" s="823">
        <f t="shared" si="208"/>
        <v>0</v>
      </c>
      <c r="W120" s="838">
        <f t="shared" si="209"/>
        <v>107.753125</v>
      </c>
    </row>
    <row r="121" spans="1:23" ht="15.6" outlineLevel="1">
      <c r="A121" s="221" t="str">
        <f>'Program Budget'!D124</f>
        <v>Vehicle Insurance</v>
      </c>
      <c r="B121" s="167" t="str">
        <f>'Program Budget'!F124</f>
        <v>Vehicle</v>
      </c>
      <c r="C121" s="168">
        <f>'Program Budget'!H124</f>
        <v>800</v>
      </c>
      <c r="D121" s="169">
        <f>'Program Budget'!G124</f>
        <v>1</v>
      </c>
      <c r="E121" s="170">
        <v>1</v>
      </c>
      <c r="F121" s="823">
        <f t="shared" ref="F121" si="214">C121*D121*E121</f>
        <v>800</v>
      </c>
      <c r="G121" s="168">
        <f t="shared" si="195"/>
        <v>840</v>
      </c>
      <c r="H121" s="169">
        <f>'Program Budget'!K124</f>
        <v>1</v>
      </c>
      <c r="I121" s="170">
        <v>1</v>
      </c>
      <c r="J121" s="823">
        <f t="shared" ref="J121" si="215">G121*H121*I121</f>
        <v>840</v>
      </c>
      <c r="K121" s="168">
        <f t="shared" si="197"/>
        <v>882</v>
      </c>
      <c r="L121" s="169">
        <f>'Program Budget'!N124</f>
        <v>1</v>
      </c>
      <c r="M121" s="170">
        <v>1</v>
      </c>
      <c r="N121" s="823">
        <f t="shared" ref="N121" si="216">K121*L121*M121</f>
        <v>882</v>
      </c>
      <c r="O121" s="168">
        <f t="shared" si="199"/>
        <v>926.1</v>
      </c>
      <c r="P121" s="169">
        <f>'Program Budget'!Q124</f>
        <v>1</v>
      </c>
      <c r="Q121" s="170">
        <v>1</v>
      </c>
      <c r="R121" s="823">
        <f t="shared" ref="R121" si="217">O121*P121*Q121</f>
        <v>926.1</v>
      </c>
      <c r="S121" s="168">
        <f t="shared" si="201"/>
        <v>972.40500000000009</v>
      </c>
      <c r="T121" s="169">
        <f>'Program Budget'!T124</f>
        <v>0</v>
      </c>
      <c r="U121" s="170">
        <v>0</v>
      </c>
      <c r="V121" s="823">
        <f t="shared" ref="V121" si="218">S121*T121*U121</f>
        <v>0</v>
      </c>
      <c r="W121" s="838">
        <f t="shared" ref="W121" si="219">F121+J121+N121+R121+V121</f>
        <v>3448.1</v>
      </c>
    </row>
    <row r="122" spans="1:23" outlineLevel="1">
      <c r="A122" s="271"/>
      <c r="B122" s="199"/>
      <c r="C122" s="229"/>
      <c r="D122" s="230"/>
      <c r="E122" s="202"/>
      <c r="F122" s="827"/>
      <c r="G122" s="229"/>
      <c r="H122" s="230"/>
      <c r="I122" s="202"/>
      <c r="J122" s="827"/>
      <c r="K122" s="229"/>
      <c r="L122" s="230"/>
      <c r="M122" s="202"/>
      <c r="N122" s="827"/>
      <c r="O122" s="229"/>
      <c r="P122" s="230"/>
      <c r="Q122" s="202"/>
      <c r="R122" s="827"/>
      <c r="S122" s="229"/>
      <c r="T122" s="230"/>
      <c r="U122" s="202"/>
      <c r="V122" s="827"/>
      <c r="W122" s="838"/>
    </row>
    <row r="123" spans="1:23" ht="18.3" outlineLevel="1">
      <c r="A123" s="232" t="s">
        <v>107</v>
      </c>
      <c r="B123" s="188"/>
      <c r="C123" s="208"/>
      <c r="D123" s="209"/>
      <c r="E123" s="233"/>
      <c r="F123" s="829">
        <f>SUM(F114:F121)</f>
        <v>16975</v>
      </c>
      <c r="G123" s="208"/>
      <c r="H123" s="209"/>
      <c r="I123" s="211"/>
      <c r="J123" s="829">
        <f>SUM(J114:J121)</f>
        <v>17598.75</v>
      </c>
      <c r="K123" s="208"/>
      <c r="L123" s="209"/>
      <c r="M123" s="233"/>
      <c r="N123" s="829">
        <f>SUM(N114:N121)</f>
        <v>18253.6875</v>
      </c>
      <c r="O123" s="208"/>
      <c r="P123" s="209"/>
      <c r="Q123" s="211"/>
      <c r="R123" s="829">
        <f>SUM(R114:R121)</f>
        <v>18941.371874999997</v>
      </c>
      <c r="S123" s="208"/>
      <c r="T123" s="209"/>
      <c r="U123" s="211"/>
      <c r="V123" s="829">
        <f>SUM(V114:V121)</f>
        <v>0</v>
      </c>
      <c r="W123" s="846">
        <f>+F123+J123+N123+R123+V123</f>
        <v>71768.809374999997</v>
      </c>
    </row>
    <row r="124" spans="1:23" outlineLevel="1">
      <c r="A124" s="272"/>
      <c r="B124" s="197"/>
      <c r="C124" s="227"/>
      <c r="D124" s="228"/>
      <c r="F124" s="823"/>
      <c r="G124" s="227"/>
      <c r="H124" s="228"/>
      <c r="J124" s="838"/>
      <c r="K124" s="227"/>
      <c r="L124" s="228"/>
      <c r="N124" s="838"/>
      <c r="O124" s="227"/>
      <c r="P124" s="228"/>
      <c r="R124" s="838"/>
      <c r="S124" s="227"/>
      <c r="T124" s="228"/>
      <c r="V124" s="838"/>
      <c r="W124" s="838"/>
    </row>
    <row r="125" spans="1:23" ht="18.3" outlineLevel="1">
      <c r="A125" s="235" t="s">
        <v>108</v>
      </c>
      <c r="B125" s="236"/>
      <c r="C125" s="237"/>
      <c r="D125" s="238"/>
      <c r="E125" s="239"/>
      <c r="F125" s="830">
        <f>F123+F111+F103+F89+F85+F62+F42+F32</f>
        <v>897537.12800000003</v>
      </c>
      <c r="G125" s="237"/>
      <c r="H125" s="238"/>
      <c r="I125" s="240"/>
      <c r="J125" s="830">
        <f>J123+J111+J103+J89+J85+J62+J42+J32</f>
        <v>331277.80939999997</v>
      </c>
      <c r="K125" s="237"/>
      <c r="L125" s="238"/>
      <c r="M125" s="239"/>
      <c r="N125" s="830">
        <f>N123+N111+N103+N89+N85+N62+N42+N32</f>
        <v>440943.77486999996</v>
      </c>
      <c r="O125" s="237"/>
      <c r="P125" s="238"/>
      <c r="Q125" s="240"/>
      <c r="R125" s="830">
        <f>R123+R111+R103+R89+R85+R62+R42+R32</f>
        <v>446994.98236350005</v>
      </c>
      <c r="S125" s="237"/>
      <c r="T125" s="238"/>
      <c r="U125" s="240"/>
      <c r="V125" s="830">
        <f>V123+V111+V103+V89+V85+V62+V42+V32</f>
        <v>0</v>
      </c>
      <c r="W125" s="830">
        <f>W123+W111+W103+W89+W85+W62+W42+W32</f>
        <v>2116753.6946335002</v>
      </c>
    </row>
    <row r="126" spans="1:23">
      <c r="A126" s="273"/>
      <c r="B126" s="197"/>
      <c r="C126" s="227"/>
      <c r="D126" s="228"/>
      <c r="F126" s="823"/>
      <c r="G126" s="227"/>
      <c r="H126" s="228"/>
      <c r="J126" s="838"/>
      <c r="K126" s="227"/>
      <c r="L126" s="228"/>
      <c r="N126" s="838"/>
      <c r="O126" s="227"/>
      <c r="P126" s="228"/>
      <c r="R126" s="838"/>
      <c r="S126" s="227"/>
      <c r="T126" s="228"/>
      <c r="V126" s="838"/>
      <c r="W126" s="838"/>
    </row>
    <row r="127" spans="1:23" ht="20.399999999999999">
      <c r="A127" s="241" t="s">
        <v>53</v>
      </c>
      <c r="B127" s="242"/>
      <c r="C127" s="243"/>
      <c r="D127" s="243"/>
      <c r="E127" s="243"/>
      <c r="F127" s="831"/>
      <c r="G127" s="243"/>
      <c r="H127" s="243"/>
      <c r="I127" s="243"/>
      <c r="J127" s="831"/>
      <c r="K127" s="243"/>
      <c r="L127" s="243"/>
      <c r="M127" s="243"/>
      <c r="N127" s="831"/>
      <c r="O127" s="243"/>
      <c r="P127" s="243"/>
      <c r="Q127" s="243"/>
      <c r="R127" s="831"/>
      <c r="S127" s="243"/>
      <c r="T127" s="243"/>
      <c r="U127" s="243"/>
      <c r="V127" s="831"/>
      <c r="W127" s="849"/>
    </row>
    <row r="128" spans="1:23" ht="15" customHeight="1">
      <c r="A128" s="244" t="s">
        <v>54</v>
      </c>
      <c r="B128" s="280" t="s">
        <v>109</v>
      </c>
      <c r="C128" s="168">
        <f>F125</f>
        <v>897537.12800000003</v>
      </c>
      <c r="D128" s="169">
        <v>1</v>
      </c>
      <c r="E128" s="170">
        <v>0.15</v>
      </c>
      <c r="F128" s="823">
        <f>C128*D128*E128</f>
        <v>134630.5692</v>
      </c>
      <c r="G128" s="168">
        <f>J125</f>
        <v>331277.80939999997</v>
      </c>
      <c r="H128" s="169">
        <v>1</v>
      </c>
      <c r="I128" s="170">
        <f>E128</f>
        <v>0.15</v>
      </c>
      <c r="J128" s="823">
        <f>G128*H128*I128</f>
        <v>49691.671409999995</v>
      </c>
      <c r="K128" s="168">
        <f>N125</f>
        <v>440943.77486999996</v>
      </c>
      <c r="L128" s="169">
        <v>1</v>
      </c>
      <c r="M128" s="170">
        <f>I128</f>
        <v>0.15</v>
      </c>
      <c r="N128" s="823">
        <f>K128*L128*M128</f>
        <v>66141.566230499986</v>
      </c>
      <c r="O128" s="168">
        <f>R125</f>
        <v>446994.98236350005</v>
      </c>
      <c r="P128" s="169">
        <v>1</v>
      </c>
      <c r="Q128" s="170">
        <f>M128</f>
        <v>0.15</v>
      </c>
      <c r="R128" s="823">
        <f>O128*P128*Q128</f>
        <v>67049.24735452501</v>
      </c>
      <c r="S128" s="168">
        <f>V125</f>
        <v>0</v>
      </c>
      <c r="T128" s="169">
        <v>1</v>
      </c>
      <c r="U128" s="170">
        <v>0</v>
      </c>
      <c r="V128" s="823">
        <f>S128*T128*U128</f>
        <v>0</v>
      </c>
      <c r="W128" s="838">
        <f>F128+J128+N128+R128+V128</f>
        <v>317513.054195025</v>
      </c>
    </row>
    <row r="129" spans="1:23" ht="15" customHeight="1">
      <c r="A129" s="244" t="s">
        <v>55</v>
      </c>
      <c r="B129" s="280" t="s">
        <v>109</v>
      </c>
      <c r="C129" s="168">
        <v>0</v>
      </c>
      <c r="D129" s="169">
        <v>0</v>
      </c>
      <c r="E129" s="170">
        <v>0.15</v>
      </c>
      <c r="F129" s="823">
        <f>C129*D129*E129</f>
        <v>0</v>
      </c>
      <c r="G129" s="168">
        <v>0</v>
      </c>
      <c r="H129" s="169">
        <v>0</v>
      </c>
      <c r="I129" s="170">
        <f>E129</f>
        <v>0.15</v>
      </c>
      <c r="J129" s="823">
        <f>G129*H129*I129</f>
        <v>0</v>
      </c>
      <c r="K129" s="168">
        <v>0</v>
      </c>
      <c r="L129" s="169">
        <v>0</v>
      </c>
      <c r="M129" s="170">
        <f>I129</f>
        <v>0.15</v>
      </c>
      <c r="N129" s="823">
        <f>K129*L129*M129</f>
        <v>0</v>
      </c>
      <c r="O129" s="168">
        <v>0</v>
      </c>
      <c r="P129" s="169">
        <v>0</v>
      </c>
      <c r="Q129" s="170">
        <f>M129</f>
        <v>0.15</v>
      </c>
      <c r="R129" s="823">
        <f>O129*P129*Q129</f>
        <v>0</v>
      </c>
      <c r="S129" s="168">
        <v>0</v>
      </c>
      <c r="T129" s="169">
        <v>0</v>
      </c>
      <c r="U129" s="170">
        <v>0</v>
      </c>
      <c r="V129" s="823">
        <f>S129*T129*U129</f>
        <v>0</v>
      </c>
      <c r="W129" s="838">
        <f>F129+J129+N129+R129+V129</f>
        <v>0</v>
      </c>
    </row>
    <row r="130" spans="1:23">
      <c r="A130" s="245"/>
      <c r="B130" s="197"/>
      <c r="C130" s="222"/>
      <c r="D130" s="246"/>
      <c r="E130" s="247"/>
      <c r="F130" s="823"/>
      <c r="G130" s="222"/>
      <c r="H130" s="246"/>
      <c r="I130" s="172"/>
      <c r="J130" s="823"/>
      <c r="K130" s="222"/>
      <c r="L130" s="246"/>
      <c r="M130" s="247"/>
      <c r="N130" s="823"/>
      <c r="O130" s="222"/>
      <c r="P130" s="246"/>
      <c r="Q130" s="172"/>
      <c r="R130" s="823"/>
      <c r="S130" s="222"/>
      <c r="T130" s="246"/>
      <c r="U130" s="172"/>
      <c r="V130" s="823"/>
      <c r="W130" s="838">
        <f>F130+J130+N130+R130+V130</f>
        <v>0</v>
      </c>
    </row>
    <row r="131" spans="1:23" ht="18.3">
      <c r="A131" s="235" t="s">
        <v>112</v>
      </c>
      <c r="B131" s="236"/>
      <c r="C131" s="237"/>
      <c r="D131" s="238"/>
      <c r="E131" s="239"/>
      <c r="F131" s="830">
        <f>SUM(F128:F130)</f>
        <v>134630.5692</v>
      </c>
      <c r="G131" s="237"/>
      <c r="H131" s="238"/>
      <c r="I131" s="240"/>
      <c r="J131" s="830">
        <f>SUM(J128:J130)</f>
        <v>49691.671409999995</v>
      </c>
      <c r="K131" s="237"/>
      <c r="L131" s="238"/>
      <c r="M131" s="239"/>
      <c r="N131" s="830">
        <f>SUM(N128:N130)</f>
        <v>66141.566230499986</v>
      </c>
      <c r="O131" s="237"/>
      <c r="P131" s="238"/>
      <c r="Q131" s="240"/>
      <c r="R131" s="830">
        <f>SUM(R128:R130)</f>
        <v>67049.24735452501</v>
      </c>
      <c r="S131" s="237"/>
      <c r="T131" s="238"/>
      <c r="U131" s="240"/>
      <c r="V131" s="830">
        <f>SUM(V128:V130)</f>
        <v>0</v>
      </c>
      <c r="W131" s="830">
        <f>SUM(W128:W130)</f>
        <v>317513.054195025</v>
      </c>
    </row>
    <row r="132" spans="1:23">
      <c r="A132" s="171"/>
      <c r="B132" s="197"/>
      <c r="C132" s="222"/>
      <c r="D132" s="246"/>
      <c r="E132" s="247"/>
      <c r="F132" s="823"/>
      <c r="G132" s="222"/>
      <c r="H132" s="246"/>
      <c r="I132" s="172"/>
      <c r="J132" s="823"/>
      <c r="K132" s="222"/>
      <c r="L132" s="246"/>
      <c r="M132" s="247"/>
      <c r="N132" s="823"/>
      <c r="O132" s="222"/>
      <c r="P132" s="246"/>
      <c r="Q132" s="172"/>
      <c r="R132" s="823"/>
      <c r="S132" s="222"/>
      <c r="T132" s="246"/>
      <c r="U132" s="172"/>
      <c r="V132" s="823"/>
      <c r="W132" s="838"/>
    </row>
    <row r="133" spans="1:23" ht="18.3">
      <c r="A133" s="252" t="s">
        <v>113</v>
      </c>
      <c r="B133" s="253"/>
      <c r="C133" s="254"/>
      <c r="D133" s="255"/>
      <c r="E133" s="256"/>
      <c r="F133" s="832">
        <f>F125+F131</f>
        <v>1032167.6972000001</v>
      </c>
      <c r="G133" s="254"/>
      <c r="H133" s="255"/>
      <c r="I133" s="257"/>
      <c r="J133" s="832">
        <f>J125+J131</f>
        <v>380969.48080999998</v>
      </c>
      <c r="K133" s="254"/>
      <c r="L133" s="255"/>
      <c r="M133" s="256"/>
      <c r="N133" s="832">
        <f>N125+N131</f>
        <v>507085.34110049997</v>
      </c>
      <c r="O133" s="254"/>
      <c r="P133" s="255"/>
      <c r="Q133" s="257"/>
      <c r="R133" s="832">
        <f>R125+R131</f>
        <v>514044.22971802508</v>
      </c>
      <c r="S133" s="254"/>
      <c r="T133" s="255"/>
      <c r="U133" s="257"/>
      <c r="V133" s="832">
        <f>V125+V131</f>
        <v>0</v>
      </c>
      <c r="W133" s="850">
        <f>F133+J133+N133+R133+V133</f>
        <v>2434266.7488285247</v>
      </c>
    </row>
    <row r="134" spans="1:23" ht="15.6">
      <c r="A134" s="258" t="s">
        <v>118</v>
      </c>
      <c r="B134" s="259"/>
      <c r="C134" s="200"/>
      <c r="D134" s="260"/>
      <c r="E134" s="202"/>
      <c r="F134" s="827">
        <f t="shared" ref="F134" si="220">C134*D134*E134</f>
        <v>0</v>
      </c>
      <c r="G134" s="200"/>
      <c r="H134" s="260"/>
      <c r="I134" s="261"/>
      <c r="J134" s="827">
        <f t="shared" ref="J134" si="221">G134*H134*I134</f>
        <v>0</v>
      </c>
      <c r="K134" s="200"/>
      <c r="L134" s="260"/>
      <c r="M134" s="202"/>
      <c r="N134" s="827">
        <f t="shared" ref="N134" si="222">K134*L134*M134</f>
        <v>0</v>
      </c>
      <c r="O134" s="200"/>
      <c r="P134" s="260"/>
      <c r="Q134" s="261"/>
      <c r="R134" s="827">
        <f t="shared" ref="R134" si="223">O134*P134*Q134</f>
        <v>0</v>
      </c>
      <c r="S134" s="200"/>
      <c r="T134" s="260"/>
      <c r="U134" s="261"/>
      <c r="V134" s="827">
        <f t="shared" ref="V134" si="224">S134*T134*U134</f>
        <v>0</v>
      </c>
      <c r="W134" s="845">
        <f>F134+J134+N134+R134+V134</f>
        <v>0</v>
      </c>
    </row>
    <row r="135" spans="1:23" ht="18.3">
      <c r="A135" s="252" t="s">
        <v>114</v>
      </c>
      <c r="B135" s="253"/>
      <c r="C135" s="254"/>
      <c r="D135" s="255"/>
      <c r="E135" s="256"/>
      <c r="F135" s="832">
        <f>F133+F134</f>
        <v>1032167.6972000001</v>
      </c>
      <c r="G135" s="254"/>
      <c r="H135" s="255"/>
      <c r="I135" s="257"/>
      <c r="J135" s="832">
        <f>J133+J134</f>
        <v>380969.48080999998</v>
      </c>
      <c r="K135" s="254"/>
      <c r="L135" s="255"/>
      <c r="M135" s="256"/>
      <c r="N135" s="832">
        <f>N133+N134</f>
        <v>507085.34110049997</v>
      </c>
      <c r="O135" s="254"/>
      <c r="P135" s="255"/>
      <c r="Q135" s="257"/>
      <c r="R135" s="832">
        <f>R133+R134</f>
        <v>514044.22971802508</v>
      </c>
      <c r="S135" s="254"/>
      <c r="T135" s="255"/>
      <c r="U135" s="257"/>
      <c r="V135" s="832">
        <f>V133+V134</f>
        <v>0</v>
      </c>
      <c r="W135" s="850">
        <f>F135+J135+N135+R135+V135</f>
        <v>2434266.7488285247</v>
      </c>
    </row>
    <row r="136" spans="1:23">
      <c r="A136" s="167"/>
      <c r="B136" s="167"/>
      <c r="W136" s="838"/>
    </row>
    <row r="137" spans="1:23" ht="15.6">
      <c r="A137" s="262" t="s">
        <v>115</v>
      </c>
      <c r="B137" s="263"/>
      <c r="C137" s="264"/>
      <c r="D137" s="265"/>
      <c r="E137" s="266"/>
      <c r="F137" s="834"/>
      <c r="G137" s="264"/>
      <c r="H137" s="265"/>
      <c r="I137" s="267"/>
      <c r="J137" s="841"/>
      <c r="K137" s="264"/>
      <c r="L137" s="265"/>
      <c r="M137" s="266"/>
      <c r="N137" s="841"/>
      <c r="O137" s="264"/>
      <c r="P137" s="265"/>
      <c r="Q137" s="267"/>
      <c r="R137" s="841"/>
      <c r="S137" s="264"/>
      <c r="T137" s="265"/>
      <c r="U137" s="267"/>
      <c r="V137" s="841"/>
      <c r="W137" s="841">
        <f>'USDA Budget Summary'!F58</f>
        <v>578839</v>
      </c>
    </row>
    <row r="140" spans="1:23">
      <c r="U140" s="426"/>
    </row>
  </sheetData>
  <mergeCells count="8">
    <mergeCell ref="S2:V2"/>
    <mergeCell ref="W2:W3"/>
    <mergeCell ref="A2:A3"/>
    <mergeCell ref="B2:B3"/>
    <mergeCell ref="C2:F2"/>
    <mergeCell ref="G2:J2"/>
    <mergeCell ref="K2:N2"/>
    <mergeCell ref="O2:R2"/>
  </mergeCells>
  <printOptions horizontalCentered="1"/>
  <pageMargins left="0.25" right="0.25" top="0.75" bottom="0.75" header="0.3" footer="0.3"/>
  <pageSetup scale="24" orientation="landscape" r:id="rId1"/>
  <headerFooter alignWithMargins="0"/>
  <rowBreaks count="1" manualBreakCount="1">
    <brk id="132" max="1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FA8F4-D960-45AF-B176-1D1497DFE578}">
  <sheetPr>
    <tabColor theme="6" tint="0.39997558519241921"/>
    <pageSetUpPr fitToPage="1"/>
  </sheetPr>
  <dimension ref="A1:AA87"/>
  <sheetViews>
    <sheetView showOutlineSymbols="0" showWhiteSpace="0" topLeftCell="G57" zoomScale="90" zoomScaleNormal="90" workbookViewId="0">
      <selection activeCell="C80" sqref="C80"/>
    </sheetView>
  </sheetViews>
  <sheetFormatPr defaultRowHeight="14.4" outlineLevelRow="1" outlineLevelCol="1"/>
  <cols>
    <col min="1" max="1" width="44.44140625" style="137" customWidth="1"/>
    <col min="2" max="2" width="16" style="137" bestFit="1" customWidth="1"/>
    <col min="3" max="3" width="12.5546875" style="138" bestFit="1" customWidth="1" outlineLevel="1"/>
    <col min="4" max="4" width="11.5546875" style="139" bestFit="1" customWidth="1" outlineLevel="1"/>
    <col min="5" max="5" width="12.5546875" style="140" bestFit="1" customWidth="1" outlineLevel="1"/>
    <col min="6" max="6" width="12.5546875" style="833" bestFit="1" customWidth="1"/>
    <col min="7" max="7" width="14.44140625" style="138" bestFit="1" customWidth="1" outlineLevel="1"/>
    <col min="8" max="8" width="11.5546875" style="139" bestFit="1" customWidth="1" outlineLevel="1"/>
    <col min="9" max="9" width="12.5546875" style="141" bestFit="1" customWidth="1" outlineLevel="1"/>
    <col min="10" max="10" width="14.109375" style="840" bestFit="1" customWidth="1"/>
    <col min="11" max="11" width="14.44140625" style="138" bestFit="1" customWidth="1" outlineLevel="1"/>
    <col min="12" max="12" width="11.5546875" style="139" bestFit="1" customWidth="1" outlineLevel="1"/>
    <col min="13" max="13" width="12.5546875" style="140" bestFit="1" customWidth="1" outlineLevel="1"/>
    <col min="14" max="14" width="14.109375" style="840" bestFit="1" customWidth="1"/>
    <col min="15" max="15" width="12.5546875" style="138" bestFit="1" customWidth="1" outlineLevel="1"/>
    <col min="16" max="16" width="11.5546875" style="139" bestFit="1" customWidth="1" outlineLevel="1"/>
    <col min="17" max="17" width="12.5546875" style="141" bestFit="1" customWidth="1" outlineLevel="1"/>
    <col min="18" max="18" width="14.109375" style="840" bestFit="1" customWidth="1"/>
    <col min="19" max="19" width="12.5546875" style="138" bestFit="1" customWidth="1" outlineLevel="1"/>
    <col min="20" max="20" width="11.5546875" style="139" bestFit="1" customWidth="1" outlineLevel="1"/>
    <col min="21" max="21" width="12.5546875" style="141" bestFit="1" customWidth="1" outlineLevel="1"/>
    <col min="22" max="22" width="8.5546875" style="840" bestFit="1" customWidth="1"/>
    <col min="23" max="23" width="15.109375" style="840" bestFit="1" customWidth="1"/>
    <col min="24" max="24" width="9" style="137" customWidth="1"/>
    <col min="25" max="25" width="10.109375" style="137" bestFit="1" customWidth="1"/>
    <col min="26" max="26" width="10.5546875" style="137" customWidth="1"/>
    <col min="27" max="27" width="8.5546875" style="137" customWidth="1"/>
    <col min="28" max="252" width="8.5546875" style="137"/>
    <col min="253" max="253" width="38.109375" style="137" customWidth="1"/>
    <col min="254" max="254" width="23.44140625" style="137" bestFit="1" customWidth="1"/>
    <col min="255" max="256" width="9.109375" style="137" customWidth="1"/>
    <col min="257" max="257" width="11.109375" style="137" bestFit="1" customWidth="1"/>
    <col min="258" max="258" width="14.44140625" style="137" bestFit="1" customWidth="1"/>
    <col min="259" max="259" width="8.109375" style="137" customWidth="1"/>
    <col min="260" max="260" width="10.5546875" style="137" bestFit="1" customWidth="1"/>
    <col min="261" max="261" width="12.109375" style="137" bestFit="1" customWidth="1"/>
    <col min="262" max="262" width="9.109375" style="137" customWidth="1"/>
    <col min="263" max="263" width="10.5546875" style="137" bestFit="1" customWidth="1"/>
    <col min="264" max="264" width="12.109375" style="137" bestFit="1" customWidth="1"/>
    <col min="265" max="265" width="8" style="137" customWidth="1"/>
    <col min="266" max="266" width="10.5546875" style="137" bestFit="1" customWidth="1"/>
    <col min="267" max="267" width="12.109375" style="137" bestFit="1" customWidth="1"/>
    <col min="268" max="268" width="8.109375" style="137" bestFit="1" customWidth="1"/>
    <col min="269" max="269" width="10.5546875" style="137" bestFit="1" customWidth="1"/>
    <col min="270" max="270" width="12.109375" style="137" bestFit="1" customWidth="1"/>
    <col min="271" max="271" width="18.109375" style="137" bestFit="1" customWidth="1"/>
    <col min="272" max="272" width="10.5546875" style="137" bestFit="1" customWidth="1"/>
    <col min="273" max="508" width="8.5546875" style="137"/>
    <col min="509" max="509" width="38.109375" style="137" customWidth="1"/>
    <col min="510" max="510" width="23.44140625" style="137" bestFit="1" customWidth="1"/>
    <col min="511" max="512" width="9.109375" style="137" customWidth="1"/>
    <col min="513" max="513" width="11.109375" style="137" bestFit="1" customWidth="1"/>
    <col min="514" max="514" width="14.44140625" style="137" bestFit="1" customWidth="1"/>
    <col min="515" max="515" width="8.109375" style="137" customWidth="1"/>
    <col min="516" max="516" width="10.5546875" style="137" bestFit="1" customWidth="1"/>
    <col min="517" max="517" width="12.109375" style="137" bestFit="1" customWidth="1"/>
    <col min="518" max="518" width="9.109375" style="137" customWidth="1"/>
    <col min="519" max="519" width="10.5546875" style="137" bestFit="1" customWidth="1"/>
    <col min="520" max="520" width="12.109375" style="137" bestFit="1" customWidth="1"/>
    <col min="521" max="521" width="8" style="137" customWidth="1"/>
    <col min="522" max="522" width="10.5546875" style="137" bestFit="1" customWidth="1"/>
    <col min="523" max="523" width="12.109375" style="137" bestFit="1" customWidth="1"/>
    <col min="524" max="524" width="8.109375" style="137" bestFit="1" customWidth="1"/>
    <col min="525" max="525" width="10.5546875" style="137" bestFit="1" customWidth="1"/>
    <col min="526" max="526" width="12.109375" style="137" bestFit="1" customWidth="1"/>
    <col min="527" max="527" width="18.109375" style="137" bestFit="1" customWidth="1"/>
    <col min="528" max="528" width="10.5546875" style="137" bestFit="1" customWidth="1"/>
    <col min="529" max="764" width="8.5546875" style="137"/>
    <col min="765" max="765" width="38.109375" style="137" customWidth="1"/>
    <col min="766" max="766" width="23.44140625" style="137" bestFit="1" customWidth="1"/>
    <col min="767" max="768" width="9.109375" style="137" customWidth="1"/>
    <col min="769" max="769" width="11.109375" style="137" bestFit="1" customWidth="1"/>
    <col min="770" max="770" width="14.44140625" style="137" bestFit="1" customWidth="1"/>
    <col min="771" max="771" width="8.109375" style="137" customWidth="1"/>
    <col min="772" max="772" width="10.5546875" style="137" bestFit="1" customWidth="1"/>
    <col min="773" max="773" width="12.109375" style="137" bestFit="1" customWidth="1"/>
    <col min="774" max="774" width="9.109375" style="137" customWidth="1"/>
    <col min="775" max="775" width="10.5546875" style="137" bestFit="1" customWidth="1"/>
    <col min="776" max="776" width="12.109375" style="137" bestFit="1" customWidth="1"/>
    <col min="777" max="777" width="8" style="137" customWidth="1"/>
    <col min="778" max="778" width="10.5546875" style="137" bestFit="1" customWidth="1"/>
    <col min="779" max="779" width="12.109375" style="137" bestFit="1" customWidth="1"/>
    <col min="780" max="780" width="8.109375" style="137" bestFit="1" customWidth="1"/>
    <col min="781" max="781" width="10.5546875" style="137" bestFit="1" customWidth="1"/>
    <col min="782" max="782" width="12.109375" style="137" bestFit="1" customWidth="1"/>
    <col min="783" max="783" width="18.109375" style="137" bestFit="1" customWidth="1"/>
    <col min="784" max="784" width="10.5546875" style="137" bestFit="1" customWidth="1"/>
    <col min="785" max="1020" width="8.5546875" style="137"/>
    <col min="1021" max="1021" width="38.109375" style="137" customWidth="1"/>
    <col min="1022" max="1022" width="23.44140625" style="137" bestFit="1" customWidth="1"/>
    <col min="1023" max="1024" width="9.109375" style="137" customWidth="1"/>
    <col min="1025" max="1025" width="11.109375" style="137" bestFit="1" customWidth="1"/>
    <col min="1026" max="1026" width="14.44140625" style="137" bestFit="1" customWidth="1"/>
    <col min="1027" max="1027" width="8.109375" style="137" customWidth="1"/>
    <col min="1028" max="1028" width="10.5546875" style="137" bestFit="1" customWidth="1"/>
    <col min="1029" max="1029" width="12.109375" style="137" bestFit="1" customWidth="1"/>
    <col min="1030" max="1030" width="9.109375" style="137" customWidth="1"/>
    <col min="1031" max="1031" width="10.5546875" style="137" bestFit="1" customWidth="1"/>
    <col min="1032" max="1032" width="12.109375" style="137" bestFit="1" customWidth="1"/>
    <col min="1033" max="1033" width="8" style="137" customWidth="1"/>
    <col min="1034" max="1034" width="10.5546875" style="137" bestFit="1" customWidth="1"/>
    <col min="1035" max="1035" width="12.109375" style="137" bestFit="1" customWidth="1"/>
    <col min="1036" max="1036" width="8.109375" style="137" bestFit="1" customWidth="1"/>
    <col min="1037" max="1037" width="10.5546875" style="137" bestFit="1" customWidth="1"/>
    <col min="1038" max="1038" width="12.109375" style="137" bestFit="1" customWidth="1"/>
    <col min="1039" max="1039" width="18.109375" style="137" bestFit="1" customWidth="1"/>
    <col min="1040" max="1040" width="10.5546875" style="137" bestFit="1" customWidth="1"/>
    <col min="1041" max="1276" width="8.5546875" style="137"/>
    <col min="1277" max="1277" width="38.109375" style="137" customWidth="1"/>
    <col min="1278" max="1278" width="23.44140625" style="137" bestFit="1" customWidth="1"/>
    <col min="1279" max="1280" width="9.109375" style="137" customWidth="1"/>
    <col min="1281" max="1281" width="11.109375" style="137" bestFit="1" customWidth="1"/>
    <col min="1282" max="1282" width="14.44140625" style="137" bestFit="1" customWidth="1"/>
    <col min="1283" max="1283" width="8.109375" style="137" customWidth="1"/>
    <col min="1284" max="1284" width="10.5546875" style="137" bestFit="1" customWidth="1"/>
    <col min="1285" max="1285" width="12.109375" style="137" bestFit="1" customWidth="1"/>
    <col min="1286" max="1286" width="9.109375" style="137" customWidth="1"/>
    <col min="1287" max="1287" width="10.5546875" style="137" bestFit="1" customWidth="1"/>
    <col min="1288" max="1288" width="12.109375" style="137" bestFit="1" customWidth="1"/>
    <col min="1289" max="1289" width="8" style="137" customWidth="1"/>
    <col min="1290" max="1290" width="10.5546875" style="137" bestFit="1" customWidth="1"/>
    <col min="1291" max="1291" width="12.109375" style="137" bestFit="1" customWidth="1"/>
    <col min="1292" max="1292" width="8.109375" style="137" bestFit="1" customWidth="1"/>
    <col min="1293" max="1293" width="10.5546875" style="137" bestFit="1" customWidth="1"/>
    <col min="1294" max="1294" width="12.109375" style="137" bestFit="1" customWidth="1"/>
    <col min="1295" max="1295" width="18.109375" style="137" bestFit="1" customWidth="1"/>
    <col min="1296" max="1296" width="10.5546875" style="137" bestFit="1" customWidth="1"/>
    <col min="1297" max="1532" width="8.5546875" style="137"/>
    <col min="1533" max="1533" width="38.109375" style="137" customWidth="1"/>
    <col min="1534" max="1534" width="23.44140625" style="137" bestFit="1" customWidth="1"/>
    <col min="1535" max="1536" width="9.109375" style="137" customWidth="1"/>
    <col min="1537" max="1537" width="11.109375" style="137" bestFit="1" customWidth="1"/>
    <col min="1538" max="1538" width="14.44140625" style="137" bestFit="1" customWidth="1"/>
    <col min="1539" max="1539" width="8.109375" style="137" customWidth="1"/>
    <col min="1540" max="1540" width="10.5546875" style="137" bestFit="1" customWidth="1"/>
    <col min="1541" max="1541" width="12.109375" style="137" bestFit="1" customWidth="1"/>
    <col min="1542" max="1542" width="9.109375" style="137" customWidth="1"/>
    <col min="1543" max="1543" width="10.5546875" style="137" bestFit="1" customWidth="1"/>
    <col min="1544" max="1544" width="12.109375" style="137" bestFit="1" customWidth="1"/>
    <col min="1545" max="1545" width="8" style="137" customWidth="1"/>
    <col min="1546" max="1546" width="10.5546875" style="137" bestFit="1" customWidth="1"/>
    <col min="1547" max="1547" width="12.109375" style="137" bestFit="1" customWidth="1"/>
    <col min="1548" max="1548" width="8.109375" style="137" bestFit="1" customWidth="1"/>
    <col min="1549" max="1549" width="10.5546875" style="137" bestFit="1" customWidth="1"/>
    <col min="1550" max="1550" width="12.109375" style="137" bestFit="1" customWidth="1"/>
    <col min="1551" max="1551" width="18.109375" style="137" bestFit="1" customWidth="1"/>
    <col min="1552" max="1552" width="10.5546875" style="137" bestFit="1" customWidth="1"/>
    <col min="1553" max="1788" width="8.5546875" style="137"/>
    <col min="1789" max="1789" width="38.109375" style="137" customWidth="1"/>
    <col min="1790" max="1790" width="23.44140625" style="137" bestFit="1" customWidth="1"/>
    <col min="1791" max="1792" width="9.109375" style="137" customWidth="1"/>
    <col min="1793" max="1793" width="11.109375" style="137" bestFit="1" customWidth="1"/>
    <col min="1794" max="1794" width="14.44140625" style="137" bestFit="1" customWidth="1"/>
    <col min="1795" max="1795" width="8.109375" style="137" customWidth="1"/>
    <col min="1796" max="1796" width="10.5546875" style="137" bestFit="1" customWidth="1"/>
    <col min="1797" max="1797" width="12.109375" style="137" bestFit="1" customWidth="1"/>
    <col min="1798" max="1798" width="9.109375" style="137" customWidth="1"/>
    <col min="1799" max="1799" width="10.5546875" style="137" bestFit="1" customWidth="1"/>
    <col min="1800" max="1800" width="12.109375" style="137" bestFit="1" customWidth="1"/>
    <col min="1801" max="1801" width="8" style="137" customWidth="1"/>
    <col min="1802" max="1802" width="10.5546875" style="137" bestFit="1" customWidth="1"/>
    <col min="1803" max="1803" width="12.109375" style="137" bestFit="1" customWidth="1"/>
    <col min="1804" max="1804" width="8.109375" style="137" bestFit="1" customWidth="1"/>
    <col min="1805" max="1805" width="10.5546875" style="137" bestFit="1" customWidth="1"/>
    <col min="1806" max="1806" width="12.109375" style="137" bestFit="1" customWidth="1"/>
    <col min="1807" max="1807" width="18.109375" style="137" bestFit="1" customWidth="1"/>
    <col min="1808" max="1808" width="10.5546875" style="137" bestFit="1" customWidth="1"/>
    <col min="1809" max="2044" width="8.5546875" style="137"/>
    <col min="2045" max="2045" width="38.109375" style="137" customWidth="1"/>
    <col min="2046" max="2046" width="23.44140625" style="137" bestFit="1" customWidth="1"/>
    <col min="2047" max="2048" width="9.109375" style="137" customWidth="1"/>
    <col min="2049" max="2049" width="11.109375" style="137" bestFit="1" customWidth="1"/>
    <col min="2050" max="2050" width="14.44140625" style="137" bestFit="1" customWidth="1"/>
    <col min="2051" max="2051" width="8.109375" style="137" customWidth="1"/>
    <col min="2052" max="2052" width="10.5546875" style="137" bestFit="1" customWidth="1"/>
    <col min="2053" max="2053" width="12.109375" style="137" bestFit="1" customWidth="1"/>
    <col min="2054" max="2054" width="9.109375" style="137" customWidth="1"/>
    <col min="2055" max="2055" width="10.5546875" style="137" bestFit="1" customWidth="1"/>
    <col min="2056" max="2056" width="12.109375" style="137" bestFit="1" customWidth="1"/>
    <col min="2057" max="2057" width="8" style="137" customWidth="1"/>
    <col min="2058" max="2058" width="10.5546875" style="137" bestFit="1" customWidth="1"/>
    <col min="2059" max="2059" width="12.109375" style="137" bestFit="1" customWidth="1"/>
    <col min="2060" max="2060" width="8.109375" style="137" bestFit="1" customWidth="1"/>
    <col min="2061" max="2061" width="10.5546875" style="137" bestFit="1" customWidth="1"/>
    <col min="2062" max="2062" width="12.109375" style="137" bestFit="1" customWidth="1"/>
    <col min="2063" max="2063" width="18.109375" style="137" bestFit="1" customWidth="1"/>
    <col min="2064" max="2064" width="10.5546875" style="137" bestFit="1" customWidth="1"/>
    <col min="2065" max="2300" width="8.5546875" style="137"/>
    <col min="2301" max="2301" width="38.109375" style="137" customWidth="1"/>
    <col min="2302" max="2302" width="23.44140625" style="137" bestFit="1" customWidth="1"/>
    <col min="2303" max="2304" width="9.109375" style="137" customWidth="1"/>
    <col min="2305" max="2305" width="11.109375" style="137" bestFit="1" customWidth="1"/>
    <col min="2306" max="2306" width="14.44140625" style="137" bestFit="1" customWidth="1"/>
    <col min="2307" max="2307" width="8.109375" style="137" customWidth="1"/>
    <col min="2308" max="2308" width="10.5546875" style="137" bestFit="1" customWidth="1"/>
    <col min="2309" max="2309" width="12.109375" style="137" bestFit="1" customWidth="1"/>
    <col min="2310" max="2310" width="9.109375" style="137" customWidth="1"/>
    <col min="2311" max="2311" width="10.5546875" style="137" bestFit="1" customWidth="1"/>
    <col min="2312" max="2312" width="12.109375" style="137" bestFit="1" customWidth="1"/>
    <col min="2313" max="2313" width="8" style="137" customWidth="1"/>
    <col min="2314" max="2314" width="10.5546875" style="137" bestFit="1" customWidth="1"/>
    <col min="2315" max="2315" width="12.109375" style="137" bestFit="1" customWidth="1"/>
    <col min="2316" max="2316" width="8.109375" style="137" bestFit="1" customWidth="1"/>
    <col min="2317" max="2317" width="10.5546875" style="137" bestFit="1" customWidth="1"/>
    <col min="2318" max="2318" width="12.109375" style="137" bestFit="1" customWidth="1"/>
    <col min="2319" max="2319" width="18.109375" style="137" bestFit="1" customWidth="1"/>
    <col min="2320" max="2320" width="10.5546875" style="137" bestFit="1" customWidth="1"/>
    <col min="2321" max="2556" width="8.5546875" style="137"/>
    <col min="2557" max="2557" width="38.109375" style="137" customWidth="1"/>
    <col min="2558" max="2558" width="23.44140625" style="137" bestFit="1" customWidth="1"/>
    <col min="2559" max="2560" width="9.109375" style="137" customWidth="1"/>
    <col min="2561" max="2561" width="11.109375" style="137" bestFit="1" customWidth="1"/>
    <col min="2562" max="2562" width="14.44140625" style="137" bestFit="1" customWidth="1"/>
    <col min="2563" max="2563" width="8.109375" style="137" customWidth="1"/>
    <col min="2564" max="2564" width="10.5546875" style="137" bestFit="1" customWidth="1"/>
    <col min="2565" max="2565" width="12.109375" style="137" bestFit="1" customWidth="1"/>
    <col min="2566" max="2566" width="9.109375" style="137" customWidth="1"/>
    <col min="2567" max="2567" width="10.5546875" style="137" bestFit="1" customWidth="1"/>
    <col min="2568" max="2568" width="12.109375" style="137" bestFit="1" customWidth="1"/>
    <col min="2569" max="2569" width="8" style="137" customWidth="1"/>
    <col min="2570" max="2570" width="10.5546875" style="137" bestFit="1" customWidth="1"/>
    <col min="2571" max="2571" width="12.109375" style="137" bestFit="1" customWidth="1"/>
    <col min="2572" max="2572" width="8.109375" style="137" bestFit="1" customWidth="1"/>
    <col min="2573" max="2573" width="10.5546875" style="137" bestFit="1" customWidth="1"/>
    <col min="2574" max="2574" width="12.109375" style="137" bestFit="1" customWidth="1"/>
    <col min="2575" max="2575" width="18.109375" style="137" bestFit="1" customWidth="1"/>
    <col min="2576" max="2576" width="10.5546875" style="137" bestFit="1" customWidth="1"/>
    <col min="2577" max="2812" width="8.5546875" style="137"/>
    <col min="2813" max="2813" width="38.109375" style="137" customWidth="1"/>
    <col min="2814" max="2814" width="23.44140625" style="137" bestFit="1" customWidth="1"/>
    <col min="2815" max="2816" width="9.109375" style="137" customWidth="1"/>
    <col min="2817" max="2817" width="11.109375" style="137" bestFit="1" customWidth="1"/>
    <col min="2818" max="2818" width="14.44140625" style="137" bestFit="1" customWidth="1"/>
    <col min="2819" max="2819" width="8.109375" style="137" customWidth="1"/>
    <col min="2820" max="2820" width="10.5546875" style="137" bestFit="1" customWidth="1"/>
    <col min="2821" max="2821" width="12.109375" style="137" bestFit="1" customWidth="1"/>
    <col min="2822" max="2822" width="9.109375" style="137" customWidth="1"/>
    <col min="2823" max="2823" width="10.5546875" style="137" bestFit="1" customWidth="1"/>
    <col min="2824" max="2824" width="12.109375" style="137" bestFit="1" customWidth="1"/>
    <col min="2825" max="2825" width="8" style="137" customWidth="1"/>
    <col min="2826" max="2826" width="10.5546875" style="137" bestFit="1" customWidth="1"/>
    <col min="2827" max="2827" width="12.109375" style="137" bestFit="1" customWidth="1"/>
    <col min="2828" max="2828" width="8.109375" style="137" bestFit="1" customWidth="1"/>
    <col min="2829" max="2829" width="10.5546875" style="137" bestFit="1" customWidth="1"/>
    <col min="2830" max="2830" width="12.109375" style="137" bestFit="1" customWidth="1"/>
    <col min="2831" max="2831" width="18.109375" style="137" bestFit="1" customWidth="1"/>
    <col min="2832" max="2832" width="10.5546875" style="137" bestFit="1" customWidth="1"/>
    <col min="2833" max="3068" width="8.5546875" style="137"/>
    <col min="3069" max="3069" width="38.109375" style="137" customWidth="1"/>
    <col min="3070" max="3070" width="23.44140625" style="137" bestFit="1" customWidth="1"/>
    <col min="3071" max="3072" width="9.109375" style="137" customWidth="1"/>
    <col min="3073" max="3073" width="11.109375" style="137" bestFit="1" customWidth="1"/>
    <col min="3074" max="3074" width="14.44140625" style="137" bestFit="1" customWidth="1"/>
    <col min="3075" max="3075" width="8.109375" style="137" customWidth="1"/>
    <col min="3076" max="3076" width="10.5546875" style="137" bestFit="1" customWidth="1"/>
    <col min="3077" max="3077" width="12.109375" style="137" bestFit="1" customWidth="1"/>
    <col min="3078" max="3078" width="9.109375" style="137" customWidth="1"/>
    <col min="3079" max="3079" width="10.5546875" style="137" bestFit="1" customWidth="1"/>
    <col min="3080" max="3080" width="12.109375" style="137" bestFit="1" customWidth="1"/>
    <col min="3081" max="3081" width="8" style="137" customWidth="1"/>
    <col min="3082" max="3082" width="10.5546875" style="137" bestFit="1" customWidth="1"/>
    <col min="3083" max="3083" width="12.109375" style="137" bestFit="1" customWidth="1"/>
    <col min="3084" max="3084" width="8.109375" style="137" bestFit="1" customWidth="1"/>
    <col min="3085" max="3085" width="10.5546875" style="137" bestFit="1" customWidth="1"/>
    <col min="3086" max="3086" width="12.109375" style="137" bestFit="1" customWidth="1"/>
    <col min="3087" max="3087" width="18.109375" style="137" bestFit="1" customWidth="1"/>
    <col min="3088" max="3088" width="10.5546875" style="137" bestFit="1" customWidth="1"/>
    <col min="3089" max="3324" width="8.5546875" style="137"/>
    <col min="3325" max="3325" width="38.109375" style="137" customWidth="1"/>
    <col min="3326" max="3326" width="23.44140625" style="137" bestFit="1" customWidth="1"/>
    <col min="3327" max="3328" width="9.109375" style="137" customWidth="1"/>
    <col min="3329" max="3329" width="11.109375" style="137" bestFit="1" customWidth="1"/>
    <col min="3330" max="3330" width="14.44140625" style="137" bestFit="1" customWidth="1"/>
    <col min="3331" max="3331" width="8.109375" style="137" customWidth="1"/>
    <col min="3332" max="3332" width="10.5546875" style="137" bestFit="1" customWidth="1"/>
    <col min="3333" max="3333" width="12.109375" style="137" bestFit="1" customWidth="1"/>
    <col min="3334" max="3334" width="9.109375" style="137" customWidth="1"/>
    <col min="3335" max="3335" width="10.5546875" style="137" bestFit="1" customWidth="1"/>
    <col min="3336" max="3336" width="12.109375" style="137" bestFit="1" customWidth="1"/>
    <col min="3337" max="3337" width="8" style="137" customWidth="1"/>
    <col min="3338" max="3338" width="10.5546875" style="137" bestFit="1" customWidth="1"/>
    <col min="3339" max="3339" width="12.109375" style="137" bestFit="1" customWidth="1"/>
    <col min="3340" max="3340" width="8.109375" style="137" bestFit="1" customWidth="1"/>
    <col min="3341" max="3341" width="10.5546875" style="137" bestFit="1" customWidth="1"/>
    <col min="3342" max="3342" width="12.109375" style="137" bestFit="1" customWidth="1"/>
    <col min="3343" max="3343" width="18.109375" style="137" bestFit="1" customWidth="1"/>
    <col min="3344" max="3344" width="10.5546875" style="137" bestFit="1" customWidth="1"/>
    <col min="3345" max="3580" width="8.5546875" style="137"/>
    <col min="3581" max="3581" width="38.109375" style="137" customWidth="1"/>
    <col min="3582" max="3582" width="23.44140625" style="137" bestFit="1" customWidth="1"/>
    <col min="3583" max="3584" width="9.109375" style="137" customWidth="1"/>
    <col min="3585" max="3585" width="11.109375" style="137" bestFit="1" customWidth="1"/>
    <col min="3586" max="3586" width="14.44140625" style="137" bestFit="1" customWidth="1"/>
    <col min="3587" max="3587" width="8.109375" style="137" customWidth="1"/>
    <col min="3588" max="3588" width="10.5546875" style="137" bestFit="1" customWidth="1"/>
    <col min="3589" max="3589" width="12.109375" style="137" bestFit="1" customWidth="1"/>
    <col min="3590" max="3590" width="9.109375" style="137" customWidth="1"/>
    <col min="3591" max="3591" width="10.5546875" style="137" bestFit="1" customWidth="1"/>
    <col min="3592" max="3592" width="12.109375" style="137" bestFit="1" customWidth="1"/>
    <col min="3593" max="3593" width="8" style="137" customWidth="1"/>
    <col min="3594" max="3594" width="10.5546875" style="137" bestFit="1" customWidth="1"/>
    <col min="3595" max="3595" width="12.109375" style="137" bestFit="1" customWidth="1"/>
    <col min="3596" max="3596" width="8.109375" style="137" bestFit="1" customWidth="1"/>
    <col min="3597" max="3597" width="10.5546875" style="137" bestFit="1" customWidth="1"/>
    <col min="3598" max="3598" width="12.109375" style="137" bestFit="1" customWidth="1"/>
    <col min="3599" max="3599" width="18.109375" style="137" bestFit="1" customWidth="1"/>
    <col min="3600" max="3600" width="10.5546875" style="137" bestFit="1" customWidth="1"/>
    <col min="3601" max="3836" width="8.5546875" style="137"/>
    <col min="3837" max="3837" width="38.109375" style="137" customWidth="1"/>
    <col min="3838" max="3838" width="23.44140625" style="137" bestFit="1" customWidth="1"/>
    <col min="3839" max="3840" width="9.109375" style="137" customWidth="1"/>
    <col min="3841" max="3841" width="11.109375" style="137" bestFit="1" customWidth="1"/>
    <col min="3842" max="3842" width="14.44140625" style="137" bestFit="1" customWidth="1"/>
    <col min="3843" max="3843" width="8.109375" style="137" customWidth="1"/>
    <col min="3844" max="3844" width="10.5546875" style="137" bestFit="1" customWidth="1"/>
    <col min="3845" max="3845" width="12.109375" style="137" bestFit="1" customWidth="1"/>
    <col min="3846" max="3846" width="9.109375" style="137" customWidth="1"/>
    <col min="3847" max="3847" width="10.5546875" style="137" bestFit="1" customWidth="1"/>
    <col min="3848" max="3848" width="12.109375" style="137" bestFit="1" customWidth="1"/>
    <col min="3849" max="3849" width="8" style="137" customWidth="1"/>
    <col min="3850" max="3850" width="10.5546875" style="137" bestFit="1" customWidth="1"/>
    <col min="3851" max="3851" width="12.109375" style="137" bestFit="1" customWidth="1"/>
    <col min="3852" max="3852" width="8.109375" style="137" bestFit="1" customWidth="1"/>
    <col min="3853" max="3853" width="10.5546875" style="137" bestFit="1" customWidth="1"/>
    <col min="3854" max="3854" width="12.109375" style="137" bestFit="1" customWidth="1"/>
    <col min="3855" max="3855" width="18.109375" style="137" bestFit="1" customWidth="1"/>
    <col min="3856" max="3856" width="10.5546875" style="137" bestFit="1" customWidth="1"/>
    <col min="3857" max="4092" width="8.5546875" style="137"/>
    <col min="4093" max="4093" width="38.109375" style="137" customWidth="1"/>
    <col min="4094" max="4094" width="23.44140625" style="137" bestFit="1" customWidth="1"/>
    <col min="4095" max="4096" width="9.109375" style="137" customWidth="1"/>
    <col min="4097" max="4097" width="11.109375" style="137" bestFit="1" customWidth="1"/>
    <col min="4098" max="4098" width="14.44140625" style="137" bestFit="1" customWidth="1"/>
    <col min="4099" max="4099" width="8.109375" style="137" customWidth="1"/>
    <col min="4100" max="4100" width="10.5546875" style="137" bestFit="1" customWidth="1"/>
    <col min="4101" max="4101" width="12.109375" style="137" bestFit="1" customWidth="1"/>
    <col min="4102" max="4102" width="9.109375" style="137" customWidth="1"/>
    <col min="4103" max="4103" width="10.5546875" style="137" bestFit="1" customWidth="1"/>
    <col min="4104" max="4104" width="12.109375" style="137" bestFit="1" customWidth="1"/>
    <col min="4105" max="4105" width="8" style="137" customWidth="1"/>
    <col min="4106" max="4106" width="10.5546875" style="137" bestFit="1" customWidth="1"/>
    <col min="4107" max="4107" width="12.109375" style="137" bestFit="1" customWidth="1"/>
    <col min="4108" max="4108" width="8.109375" style="137" bestFit="1" customWidth="1"/>
    <col min="4109" max="4109" width="10.5546875" style="137" bestFit="1" customWidth="1"/>
    <col min="4110" max="4110" width="12.109375" style="137" bestFit="1" customWidth="1"/>
    <col min="4111" max="4111" width="18.109375" style="137" bestFit="1" customWidth="1"/>
    <col min="4112" max="4112" width="10.5546875" style="137" bestFit="1" customWidth="1"/>
    <col min="4113" max="4348" width="8.5546875" style="137"/>
    <col min="4349" max="4349" width="38.109375" style="137" customWidth="1"/>
    <col min="4350" max="4350" width="23.44140625" style="137" bestFit="1" customWidth="1"/>
    <col min="4351" max="4352" width="9.109375" style="137" customWidth="1"/>
    <col min="4353" max="4353" width="11.109375" style="137" bestFit="1" customWidth="1"/>
    <col min="4354" max="4354" width="14.44140625" style="137" bestFit="1" customWidth="1"/>
    <col min="4355" max="4355" width="8.109375" style="137" customWidth="1"/>
    <col min="4356" max="4356" width="10.5546875" style="137" bestFit="1" customWidth="1"/>
    <col min="4357" max="4357" width="12.109375" style="137" bestFit="1" customWidth="1"/>
    <col min="4358" max="4358" width="9.109375" style="137" customWidth="1"/>
    <col min="4359" max="4359" width="10.5546875" style="137" bestFit="1" customWidth="1"/>
    <col min="4360" max="4360" width="12.109375" style="137" bestFit="1" customWidth="1"/>
    <col min="4361" max="4361" width="8" style="137" customWidth="1"/>
    <col min="4362" max="4362" width="10.5546875" style="137" bestFit="1" customWidth="1"/>
    <col min="4363" max="4363" width="12.109375" style="137" bestFit="1" customWidth="1"/>
    <col min="4364" max="4364" width="8.109375" style="137" bestFit="1" customWidth="1"/>
    <col min="4365" max="4365" width="10.5546875" style="137" bestFit="1" customWidth="1"/>
    <col min="4366" max="4366" width="12.109375" style="137" bestFit="1" customWidth="1"/>
    <col min="4367" max="4367" width="18.109375" style="137" bestFit="1" customWidth="1"/>
    <col min="4368" max="4368" width="10.5546875" style="137" bestFit="1" customWidth="1"/>
    <col min="4369" max="4604" width="8.5546875" style="137"/>
    <col min="4605" max="4605" width="38.109375" style="137" customWidth="1"/>
    <col min="4606" max="4606" width="23.44140625" style="137" bestFit="1" customWidth="1"/>
    <col min="4607" max="4608" width="9.109375" style="137" customWidth="1"/>
    <col min="4609" max="4609" width="11.109375" style="137" bestFit="1" customWidth="1"/>
    <col min="4610" max="4610" width="14.44140625" style="137" bestFit="1" customWidth="1"/>
    <col min="4611" max="4611" width="8.109375" style="137" customWidth="1"/>
    <col min="4612" max="4612" width="10.5546875" style="137" bestFit="1" customWidth="1"/>
    <col min="4613" max="4613" width="12.109375" style="137" bestFit="1" customWidth="1"/>
    <col min="4614" max="4614" width="9.109375" style="137" customWidth="1"/>
    <col min="4615" max="4615" width="10.5546875" style="137" bestFit="1" customWidth="1"/>
    <col min="4616" max="4616" width="12.109375" style="137" bestFit="1" customWidth="1"/>
    <col min="4617" max="4617" width="8" style="137" customWidth="1"/>
    <col min="4618" max="4618" width="10.5546875" style="137" bestFit="1" customWidth="1"/>
    <col min="4619" max="4619" width="12.109375" style="137" bestFit="1" customWidth="1"/>
    <col min="4620" max="4620" width="8.109375" style="137" bestFit="1" customWidth="1"/>
    <col min="4621" max="4621" width="10.5546875" style="137" bestFit="1" customWidth="1"/>
    <col min="4622" max="4622" width="12.109375" style="137" bestFit="1" customWidth="1"/>
    <col min="4623" max="4623" width="18.109375" style="137" bestFit="1" customWidth="1"/>
    <col min="4624" max="4624" width="10.5546875" style="137" bestFit="1" customWidth="1"/>
    <col min="4625" max="4860" width="8.5546875" style="137"/>
    <col min="4861" max="4861" width="38.109375" style="137" customWidth="1"/>
    <col min="4862" max="4862" width="23.44140625" style="137" bestFit="1" customWidth="1"/>
    <col min="4863" max="4864" width="9.109375" style="137" customWidth="1"/>
    <col min="4865" max="4865" width="11.109375" style="137" bestFit="1" customWidth="1"/>
    <col min="4866" max="4866" width="14.44140625" style="137" bestFit="1" customWidth="1"/>
    <col min="4867" max="4867" width="8.109375" style="137" customWidth="1"/>
    <col min="4868" max="4868" width="10.5546875" style="137" bestFit="1" customWidth="1"/>
    <col min="4869" max="4869" width="12.109375" style="137" bestFit="1" customWidth="1"/>
    <col min="4870" max="4870" width="9.109375" style="137" customWidth="1"/>
    <col min="4871" max="4871" width="10.5546875" style="137" bestFit="1" customWidth="1"/>
    <col min="4872" max="4872" width="12.109375" style="137" bestFit="1" customWidth="1"/>
    <col min="4873" max="4873" width="8" style="137" customWidth="1"/>
    <col min="4874" max="4874" width="10.5546875" style="137" bestFit="1" customWidth="1"/>
    <col min="4875" max="4875" width="12.109375" style="137" bestFit="1" customWidth="1"/>
    <col min="4876" max="4876" width="8.109375" style="137" bestFit="1" customWidth="1"/>
    <col min="4877" max="4877" width="10.5546875" style="137" bestFit="1" customWidth="1"/>
    <col min="4878" max="4878" width="12.109375" style="137" bestFit="1" customWidth="1"/>
    <col min="4879" max="4879" width="18.109375" style="137" bestFit="1" customWidth="1"/>
    <col min="4880" max="4880" width="10.5546875" style="137" bestFit="1" customWidth="1"/>
    <col min="4881" max="5116" width="8.5546875" style="137"/>
    <col min="5117" max="5117" width="38.109375" style="137" customWidth="1"/>
    <col min="5118" max="5118" width="23.44140625" style="137" bestFit="1" customWidth="1"/>
    <col min="5119" max="5120" width="9.109375" style="137" customWidth="1"/>
    <col min="5121" max="5121" width="11.109375" style="137" bestFit="1" customWidth="1"/>
    <col min="5122" max="5122" width="14.44140625" style="137" bestFit="1" customWidth="1"/>
    <col min="5123" max="5123" width="8.109375" style="137" customWidth="1"/>
    <col min="5124" max="5124" width="10.5546875" style="137" bestFit="1" customWidth="1"/>
    <col min="5125" max="5125" width="12.109375" style="137" bestFit="1" customWidth="1"/>
    <col min="5126" max="5126" width="9.109375" style="137" customWidth="1"/>
    <col min="5127" max="5127" width="10.5546875" style="137" bestFit="1" customWidth="1"/>
    <col min="5128" max="5128" width="12.109375" style="137" bestFit="1" customWidth="1"/>
    <col min="5129" max="5129" width="8" style="137" customWidth="1"/>
    <col min="5130" max="5130" width="10.5546875" style="137" bestFit="1" customWidth="1"/>
    <col min="5131" max="5131" width="12.109375" style="137" bestFit="1" customWidth="1"/>
    <col min="5132" max="5132" width="8.109375" style="137" bestFit="1" customWidth="1"/>
    <col min="5133" max="5133" width="10.5546875" style="137" bestFit="1" customWidth="1"/>
    <col min="5134" max="5134" width="12.109375" style="137" bestFit="1" customWidth="1"/>
    <col min="5135" max="5135" width="18.109375" style="137" bestFit="1" customWidth="1"/>
    <col min="5136" max="5136" width="10.5546875" style="137" bestFit="1" customWidth="1"/>
    <col min="5137" max="5372" width="8.5546875" style="137"/>
    <col min="5373" max="5373" width="38.109375" style="137" customWidth="1"/>
    <col min="5374" max="5374" width="23.44140625" style="137" bestFit="1" customWidth="1"/>
    <col min="5375" max="5376" width="9.109375" style="137" customWidth="1"/>
    <col min="5377" max="5377" width="11.109375" style="137" bestFit="1" customWidth="1"/>
    <col min="5378" max="5378" width="14.44140625" style="137" bestFit="1" customWidth="1"/>
    <col min="5379" max="5379" width="8.109375" style="137" customWidth="1"/>
    <col min="5380" max="5380" width="10.5546875" style="137" bestFit="1" customWidth="1"/>
    <col min="5381" max="5381" width="12.109375" style="137" bestFit="1" customWidth="1"/>
    <col min="5382" max="5382" width="9.109375" style="137" customWidth="1"/>
    <col min="5383" max="5383" width="10.5546875" style="137" bestFit="1" customWidth="1"/>
    <col min="5384" max="5384" width="12.109375" style="137" bestFit="1" customWidth="1"/>
    <col min="5385" max="5385" width="8" style="137" customWidth="1"/>
    <col min="5386" max="5386" width="10.5546875" style="137" bestFit="1" customWidth="1"/>
    <col min="5387" max="5387" width="12.109375" style="137" bestFit="1" customWidth="1"/>
    <col min="5388" max="5388" width="8.109375" style="137" bestFit="1" customWidth="1"/>
    <col min="5389" max="5389" width="10.5546875" style="137" bestFit="1" customWidth="1"/>
    <col min="5390" max="5390" width="12.109375" style="137" bestFit="1" customWidth="1"/>
    <col min="5391" max="5391" width="18.109375" style="137" bestFit="1" customWidth="1"/>
    <col min="5392" max="5392" width="10.5546875" style="137" bestFit="1" customWidth="1"/>
    <col min="5393" max="5628" width="8.5546875" style="137"/>
    <col min="5629" max="5629" width="38.109375" style="137" customWidth="1"/>
    <col min="5630" max="5630" width="23.44140625" style="137" bestFit="1" customWidth="1"/>
    <col min="5631" max="5632" width="9.109375" style="137" customWidth="1"/>
    <col min="5633" max="5633" width="11.109375" style="137" bestFit="1" customWidth="1"/>
    <col min="5634" max="5634" width="14.44140625" style="137" bestFit="1" customWidth="1"/>
    <col min="5635" max="5635" width="8.109375" style="137" customWidth="1"/>
    <col min="5636" max="5636" width="10.5546875" style="137" bestFit="1" customWidth="1"/>
    <col min="5637" max="5637" width="12.109375" style="137" bestFit="1" customWidth="1"/>
    <col min="5638" max="5638" width="9.109375" style="137" customWidth="1"/>
    <col min="5639" max="5639" width="10.5546875" style="137" bestFit="1" customWidth="1"/>
    <col min="5640" max="5640" width="12.109375" style="137" bestFit="1" customWidth="1"/>
    <col min="5641" max="5641" width="8" style="137" customWidth="1"/>
    <col min="5642" max="5642" width="10.5546875" style="137" bestFit="1" customWidth="1"/>
    <col min="5643" max="5643" width="12.109375" style="137" bestFit="1" customWidth="1"/>
    <col min="5644" max="5644" width="8.109375" style="137" bestFit="1" customWidth="1"/>
    <col min="5645" max="5645" width="10.5546875" style="137" bestFit="1" customWidth="1"/>
    <col min="5646" max="5646" width="12.109375" style="137" bestFit="1" customWidth="1"/>
    <col min="5647" max="5647" width="18.109375" style="137" bestFit="1" customWidth="1"/>
    <col min="5648" max="5648" width="10.5546875" style="137" bestFit="1" customWidth="1"/>
    <col min="5649" max="5884" width="8.5546875" style="137"/>
    <col min="5885" max="5885" width="38.109375" style="137" customWidth="1"/>
    <col min="5886" max="5886" width="23.44140625" style="137" bestFit="1" customWidth="1"/>
    <col min="5887" max="5888" width="9.109375" style="137" customWidth="1"/>
    <col min="5889" max="5889" width="11.109375" style="137" bestFit="1" customWidth="1"/>
    <col min="5890" max="5890" width="14.44140625" style="137" bestFit="1" customWidth="1"/>
    <col min="5891" max="5891" width="8.109375" style="137" customWidth="1"/>
    <col min="5892" max="5892" width="10.5546875" style="137" bestFit="1" customWidth="1"/>
    <col min="5893" max="5893" width="12.109375" style="137" bestFit="1" customWidth="1"/>
    <col min="5894" max="5894" width="9.109375" style="137" customWidth="1"/>
    <col min="5895" max="5895" width="10.5546875" style="137" bestFit="1" customWidth="1"/>
    <col min="5896" max="5896" width="12.109375" style="137" bestFit="1" customWidth="1"/>
    <col min="5897" max="5897" width="8" style="137" customWidth="1"/>
    <col min="5898" max="5898" width="10.5546875" style="137" bestFit="1" customWidth="1"/>
    <col min="5899" max="5899" width="12.109375" style="137" bestFit="1" customWidth="1"/>
    <col min="5900" max="5900" width="8.109375" style="137" bestFit="1" customWidth="1"/>
    <col min="5901" max="5901" width="10.5546875" style="137" bestFit="1" customWidth="1"/>
    <col min="5902" max="5902" width="12.109375" style="137" bestFit="1" customWidth="1"/>
    <col min="5903" max="5903" width="18.109375" style="137" bestFit="1" customWidth="1"/>
    <col min="5904" max="5904" width="10.5546875" style="137" bestFit="1" customWidth="1"/>
    <col min="5905" max="6140" width="8.5546875" style="137"/>
    <col min="6141" max="6141" width="38.109375" style="137" customWidth="1"/>
    <col min="6142" max="6142" width="23.44140625" style="137" bestFit="1" customWidth="1"/>
    <col min="6143" max="6144" width="9.109375" style="137" customWidth="1"/>
    <col min="6145" max="6145" width="11.109375" style="137" bestFit="1" customWidth="1"/>
    <col min="6146" max="6146" width="14.44140625" style="137" bestFit="1" customWidth="1"/>
    <col min="6147" max="6147" width="8.109375" style="137" customWidth="1"/>
    <col min="6148" max="6148" width="10.5546875" style="137" bestFit="1" customWidth="1"/>
    <col min="6149" max="6149" width="12.109375" style="137" bestFit="1" customWidth="1"/>
    <col min="6150" max="6150" width="9.109375" style="137" customWidth="1"/>
    <col min="6151" max="6151" width="10.5546875" style="137" bestFit="1" customWidth="1"/>
    <col min="6152" max="6152" width="12.109375" style="137" bestFit="1" customWidth="1"/>
    <col min="6153" max="6153" width="8" style="137" customWidth="1"/>
    <col min="6154" max="6154" width="10.5546875" style="137" bestFit="1" customWidth="1"/>
    <col min="6155" max="6155" width="12.109375" style="137" bestFit="1" customWidth="1"/>
    <col min="6156" max="6156" width="8.109375" style="137" bestFit="1" customWidth="1"/>
    <col min="6157" max="6157" width="10.5546875" style="137" bestFit="1" customWidth="1"/>
    <col min="6158" max="6158" width="12.109375" style="137" bestFit="1" customWidth="1"/>
    <col min="6159" max="6159" width="18.109375" style="137" bestFit="1" customWidth="1"/>
    <col min="6160" max="6160" width="10.5546875" style="137" bestFit="1" customWidth="1"/>
    <col min="6161" max="6396" width="8.5546875" style="137"/>
    <col min="6397" max="6397" width="38.109375" style="137" customWidth="1"/>
    <col min="6398" max="6398" width="23.44140625" style="137" bestFit="1" customWidth="1"/>
    <col min="6399" max="6400" width="9.109375" style="137" customWidth="1"/>
    <col min="6401" max="6401" width="11.109375" style="137" bestFit="1" customWidth="1"/>
    <col min="6402" max="6402" width="14.44140625" style="137" bestFit="1" customWidth="1"/>
    <col min="6403" max="6403" width="8.109375" style="137" customWidth="1"/>
    <col min="6404" max="6404" width="10.5546875" style="137" bestFit="1" customWidth="1"/>
    <col min="6405" max="6405" width="12.109375" style="137" bestFit="1" customWidth="1"/>
    <col min="6406" max="6406" width="9.109375" style="137" customWidth="1"/>
    <col min="6407" max="6407" width="10.5546875" style="137" bestFit="1" customWidth="1"/>
    <col min="6408" max="6408" width="12.109375" style="137" bestFit="1" customWidth="1"/>
    <col min="6409" max="6409" width="8" style="137" customWidth="1"/>
    <col min="6410" max="6410" width="10.5546875" style="137" bestFit="1" customWidth="1"/>
    <col min="6411" max="6411" width="12.109375" style="137" bestFit="1" customWidth="1"/>
    <col min="6412" max="6412" width="8.109375" style="137" bestFit="1" customWidth="1"/>
    <col min="6413" max="6413" width="10.5546875" style="137" bestFit="1" customWidth="1"/>
    <col min="6414" max="6414" width="12.109375" style="137" bestFit="1" customWidth="1"/>
    <col min="6415" max="6415" width="18.109375" style="137" bestFit="1" customWidth="1"/>
    <col min="6416" max="6416" width="10.5546875" style="137" bestFit="1" customWidth="1"/>
    <col min="6417" max="6652" width="8.5546875" style="137"/>
    <col min="6653" max="6653" width="38.109375" style="137" customWidth="1"/>
    <col min="6654" max="6654" width="23.44140625" style="137" bestFit="1" customWidth="1"/>
    <col min="6655" max="6656" width="9.109375" style="137" customWidth="1"/>
    <col min="6657" max="6657" width="11.109375" style="137" bestFit="1" customWidth="1"/>
    <col min="6658" max="6658" width="14.44140625" style="137" bestFit="1" customWidth="1"/>
    <col min="6659" max="6659" width="8.109375" style="137" customWidth="1"/>
    <col min="6660" max="6660" width="10.5546875" style="137" bestFit="1" customWidth="1"/>
    <col min="6661" max="6661" width="12.109375" style="137" bestFit="1" customWidth="1"/>
    <col min="6662" max="6662" width="9.109375" style="137" customWidth="1"/>
    <col min="6663" max="6663" width="10.5546875" style="137" bestFit="1" customWidth="1"/>
    <col min="6664" max="6664" width="12.109375" style="137" bestFit="1" customWidth="1"/>
    <col min="6665" max="6665" width="8" style="137" customWidth="1"/>
    <col min="6666" max="6666" width="10.5546875" style="137" bestFit="1" customWidth="1"/>
    <col min="6667" max="6667" width="12.109375" style="137" bestFit="1" customWidth="1"/>
    <col min="6668" max="6668" width="8.109375" style="137" bestFit="1" customWidth="1"/>
    <col min="6669" max="6669" width="10.5546875" style="137" bestFit="1" customWidth="1"/>
    <col min="6670" max="6670" width="12.109375" style="137" bestFit="1" customWidth="1"/>
    <col min="6671" max="6671" width="18.109375" style="137" bestFit="1" customWidth="1"/>
    <col min="6672" max="6672" width="10.5546875" style="137" bestFit="1" customWidth="1"/>
    <col min="6673" max="6908" width="8.5546875" style="137"/>
    <col min="6909" max="6909" width="38.109375" style="137" customWidth="1"/>
    <col min="6910" max="6910" width="23.44140625" style="137" bestFit="1" customWidth="1"/>
    <col min="6911" max="6912" width="9.109375" style="137" customWidth="1"/>
    <col min="6913" max="6913" width="11.109375" style="137" bestFit="1" customWidth="1"/>
    <col min="6914" max="6914" width="14.44140625" style="137" bestFit="1" customWidth="1"/>
    <col min="6915" max="6915" width="8.109375" style="137" customWidth="1"/>
    <col min="6916" max="6916" width="10.5546875" style="137" bestFit="1" customWidth="1"/>
    <col min="6917" max="6917" width="12.109375" style="137" bestFit="1" customWidth="1"/>
    <col min="6918" max="6918" width="9.109375" style="137" customWidth="1"/>
    <col min="6919" max="6919" width="10.5546875" style="137" bestFit="1" customWidth="1"/>
    <col min="6920" max="6920" width="12.109375" style="137" bestFit="1" customWidth="1"/>
    <col min="6921" max="6921" width="8" style="137" customWidth="1"/>
    <col min="6922" max="6922" width="10.5546875" style="137" bestFit="1" customWidth="1"/>
    <col min="6923" max="6923" width="12.109375" style="137" bestFit="1" customWidth="1"/>
    <col min="6924" max="6924" width="8.109375" style="137" bestFit="1" customWidth="1"/>
    <col min="6925" max="6925" width="10.5546875" style="137" bestFit="1" customWidth="1"/>
    <col min="6926" max="6926" width="12.109375" style="137" bestFit="1" customWidth="1"/>
    <col min="6927" max="6927" width="18.109375" style="137" bestFit="1" customWidth="1"/>
    <col min="6928" max="6928" width="10.5546875" style="137" bestFit="1" customWidth="1"/>
    <col min="6929" max="7164" width="8.5546875" style="137"/>
    <col min="7165" max="7165" width="38.109375" style="137" customWidth="1"/>
    <col min="7166" max="7166" width="23.44140625" style="137" bestFit="1" customWidth="1"/>
    <col min="7167" max="7168" width="9.109375" style="137" customWidth="1"/>
    <col min="7169" max="7169" width="11.109375" style="137" bestFit="1" customWidth="1"/>
    <col min="7170" max="7170" width="14.44140625" style="137" bestFit="1" customWidth="1"/>
    <col min="7171" max="7171" width="8.109375" style="137" customWidth="1"/>
    <col min="7172" max="7172" width="10.5546875" style="137" bestFit="1" customWidth="1"/>
    <col min="7173" max="7173" width="12.109375" style="137" bestFit="1" customWidth="1"/>
    <col min="7174" max="7174" width="9.109375" style="137" customWidth="1"/>
    <col min="7175" max="7175" width="10.5546875" style="137" bestFit="1" customWidth="1"/>
    <col min="7176" max="7176" width="12.109375" style="137" bestFit="1" customWidth="1"/>
    <col min="7177" max="7177" width="8" style="137" customWidth="1"/>
    <col min="7178" max="7178" width="10.5546875" style="137" bestFit="1" customWidth="1"/>
    <col min="7179" max="7179" width="12.109375" style="137" bestFit="1" customWidth="1"/>
    <col min="7180" max="7180" width="8.109375" style="137" bestFit="1" customWidth="1"/>
    <col min="7181" max="7181" width="10.5546875" style="137" bestFit="1" customWidth="1"/>
    <col min="7182" max="7182" width="12.109375" style="137" bestFit="1" customWidth="1"/>
    <col min="7183" max="7183" width="18.109375" style="137" bestFit="1" customWidth="1"/>
    <col min="7184" max="7184" width="10.5546875" style="137" bestFit="1" customWidth="1"/>
    <col min="7185" max="7420" width="8.5546875" style="137"/>
    <col min="7421" max="7421" width="38.109375" style="137" customWidth="1"/>
    <col min="7422" max="7422" width="23.44140625" style="137" bestFit="1" customWidth="1"/>
    <col min="7423" max="7424" width="9.109375" style="137" customWidth="1"/>
    <col min="7425" max="7425" width="11.109375" style="137" bestFit="1" customWidth="1"/>
    <col min="7426" max="7426" width="14.44140625" style="137" bestFit="1" customWidth="1"/>
    <col min="7427" max="7427" width="8.109375" style="137" customWidth="1"/>
    <col min="7428" max="7428" width="10.5546875" style="137" bestFit="1" customWidth="1"/>
    <col min="7429" max="7429" width="12.109375" style="137" bestFit="1" customWidth="1"/>
    <col min="7430" max="7430" width="9.109375" style="137" customWidth="1"/>
    <col min="7431" max="7431" width="10.5546875" style="137" bestFit="1" customWidth="1"/>
    <col min="7432" max="7432" width="12.109375" style="137" bestFit="1" customWidth="1"/>
    <col min="7433" max="7433" width="8" style="137" customWidth="1"/>
    <col min="7434" max="7434" width="10.5546875" style="137" bestFit="1" customWidth="1"/>
    <col min="7435" max="7435" width="12.109375" style="137" bestFit="1" customWidth="1"/>
    <col min="7436" max="7436" width="8.109375" style="137" bestFit="1" customWidth="1"/>
    <col min="7437" max="7437" width="10.5546875" style="137" bestFit="1" customWidth="1"/>
    <col min="7438" max="7438" width="12.109375" style="137" bestFit="1" customWidth="1"/>
    <col min="7439" max="7439" width="18.109375" style="137" bestFit="1" customWidth="1"/>
    <col min="7440" max="7440" width="10.5546875" style="137" bestFit="1" customWidth="1"/>
    <col min="7441" max="7676" width="8.5546875" style="137"/>
    <col min="7677" max="7677" width="38.109375" style="137" customWidth="1"/>
    <col min="7678" max="7678" width="23.44140625" style="137" bestFit="1" customWidth="1"/>
    <col min="7679" max="7680" width="9.109375" style="137" customWidth="1"/>
    <col min="7681" max="7681" width="11.109375" style="137" bestFit="1" customWidth="1"/>
    <col min="7682" max="7682" width="14.44140625" style="137" bestFit="1" customWidth="1"/>
    <col min="7683" max="7683" width="8.109375" style="137" customWidth="1"/>
    <col min="7684" max="7684" width="10.5546875" style="137" bestFit="1" customWidth="1"/>
    <col min="7685" max="7685" width="12.109375" style="137" bestFit="1" customWidth="1"/>
    <col min="7686" max="7686" width="9.109375" style="137" customWidth="1"/>
    <col min="7687" max="7687" width="10.5546875" style="137" bestFit="1" customWidth="1"/>
    <col min="7688" max="7688" width="12.109375" style="137" bestFit="1" customWidth="1"/>
    <col min="7689" max="7689" width="8" style="137" customWidth="1"/>
    <col min="7690" max="7690" width="10.5546875" style="137" bestFit="1" customWidth="1"/>
    <col min="7691" max="7691" width="12.109375" style="137" bestFit="1" customWidth="1"/>
    <col min="7692" max="7692" width="8.109375" style="137" bestFit="1" customWidth="1"/>
    <col min="7693" max="7693" width="10.5546875" style="137" bestFit="1" customWidth="1"/>
    <col min="7694" max="7694" width="12.109375" style="137" bestFit="1" customWidth="1"/>
    <col min="7695" max="7695" width="18.109375" style="137" bestFit="1" customWidth="1"/>
    <col min="7696" max="7696" width="10.5546875" style="137" bestFit="1" customWidth="1"/>
    <col min="7697" max="7932" width="8.5546875" style="137"/>
    <col min="7933" max="7933" width="38.109375" style="137" customWidth="1"/>
    <col min="7934" max="7934" width="23.44140625" style="137" bestFit="1" customWidth="1"/>
    <col min="7935" max="7936" width="9.109375" style="137" customWidth="1"/>
    <col min="7937" max="7937" width="11.109375" style="137" bestFit="1" customWidth="1"/>
    <col min="7938" max="7938" width="14.44140625" style="137" bestFit="1" customWidth="1"/>
    <col min="7939" max="7939" width="8.109375" style="137" customWidth="1"/>
    <col min="7940" max="7940" width="10.5546875" style="137" bestFit="1" customWidth="1"/>
    <col min="7941" max="7941" width="12.109375" style="137" bestFit="1" customWidth="1"/>
    <col min="7942" max="7942" width="9.109375" style="137" customWidth="1"/>
    <col min="7943" max="7943" width="10.5546875" style="137" bestFit="1" customWidth="1"/>
    <col min="7944" max="7944" width="12.109375" style="137" bestFit="1" customWidth="1"/>
    <col min="7945" max="7945" width="8" style="137" customWidth="1"/>
    <col min="7946" max="7946" width="10.5546875" style="137" bestFit="1" customWidth="1"/>
    <col min="7947" max="7947" width="12.109375" style="137" bestFit="1" customWidth="1"/>
    <col min="7948" max="7948" width="8.109375" style="137" bestFit="1" customWidth="1"/>
    <col min="7949" max="7949" width="10.5546875" style="137" bestFit="1" customWidth="1"/>
    <col min="7950" max="7950" width="12.109375" style="137" bestFit="1" customWidth="1"/>
    <col min="7951" max="7951" width="18.109375" style="137" bestFit="1" customWidth="1"/>
    <col min="7952" max="7952" width="10.5546875" style="137" bestFit="1" customWidth="1"/>
    <col min="7953" max="8188" width="8.5546875" style="137"/>
    <col min="8189" max="8189" width="38.109375" style="137" customWidth="1"/>
    <col min="8190" max="8190" width="23.44140625" style="137" bestFit="1" customWidth="1"/>
    <col min="8191" max="8192" width="9.109375" style="137" customWidth="1"/>
    <col min="8193" max="8193" width="11.109375" style="137" bestFit="1" customWidth="1"/>
    <col min="8194" max="8194" width="14.44140625" style="137" bestFit="1" customWidth="1"/>
    <col min="8195" max="8195" width="8.109375" style="137" customWidth="1"/>
    <col min="8196" max="8196" width="10.5546875" style="137" bestFit="1" customWidth="1"/>
    <col min="8197" max="8197" width="12.109375" style="137" bestFit="1" customWidth="1"/>
    <col min="8198" max="8198" width="9.109375" style="137" customWidth="1"/>
    <col min="8199" max="8199" width="10.5546875" style="137" bestFit="1" customWidth="1"/>
    <col min="8200" max="8200" width="12.109375" style="137" bestFit="1" customWidth="1"/>
    <col min="8201" max="8201" width="8" style="137" customWidth="1"/>
    <col min="8202" max="8202" width="10.5546875" style="137" bestFit="1" customWidth="1"/>
    <col min="8203" max="8203" width="12.109375" style="137" bestFit="1" customWidth="1"/>
    <col min="8204" max="8204" width="8.109375" style="137" bestFit="1" customWidth="1"/>
    <col min="8205" max="8205" width="10.5546875" style="137" bestFit="1" customWidth="1"/>
    <col min="8206" max="8206" width="12.109375" style="137" bestFit="1" customWidth="1"/>
    <col min="8207" max="8207" width="18.109375" style="137" bestFit="1" customWidth="1"/>
    <col min="8208" max="8208" width="10.5546875" style="137" bestFit="1" customWidth="1"/>
    <col min="8209" max="8444" width="8.5546875" style="137"/>
    <col min="8445" max="8445" width="38.109375" style="137" customWidth="1"/>
    <col min="8446" max="8446" width="23.44140625" style="137" bestFit="1" customWidth="1"/>
    <col min="8447" max="8448" width="9.109375" style="137" customWidth="1"/>
    <col min="8449" max="8449" width="11.109375" style="137" bestFit="1" customWidth="1"/>
    <col min="8450" max="8450" width="14.44140625" style="137" bestFit="1" customWidth="1"/>
    <col min="8451" max="8451" width="8.109375" style="137" customWidth="1"/>
    <col min="8452" max="8452" width="10.5546875" style="137" bestFit="1" customWidth="1"/>
    <col min="8453" max="8453" width="12.109375" style="137" bestFit="1" customWidth="1"/>
    <col min="8454" max="8454" width="9.109375" style="137" customWidth="1"/>
    <col min="8455" max="8455" width="10.5546875" style="137" bestFit="1" customWidth="1"/>
    <col min="8456" max="8456" width="12.109375" style="137" bestFit="1" customWidth="1"/>
    <col min="8457" max="8457" width="8" style="137" customWidth="1"/>
    <col min="8458" max="8458" width="10.5546875" style="137" bestFit="1" customWidth="1"/>
    <col min="8459" max="8459" width="12.109375" style="137" bestFit="1" customWidth="1"/>
    <col min="8460" max="8460" width="8.109375" style="137" bestFit="1" customWidth="1"/>
    <col min="8461" max="8461" width="10.5546875" style="137" bestFit="1" customWidth="1"/>
    <col min="8462" max="8462" width="12.109375" style="137" bestFit="1" customWidth="1"/>
    <col min="8463" max="8463" width="18.109375" style="137" bestFit="1" customWidth="1"/>
    <col min="8464" max="8464" width="10.5546875" style="137" bestFit="1" customWidth="1"/>
    <col min="8465" max="8700" width="8.5546875" style="137"/>
    <col min="8701" max="8701" width="38.109375" style="137" customWidth="1"/>
    <col min="8702" max="8702" width="23.44140625" style="137" bestFit="1" customWidth="1"/>
    <col min="8703" max="8704" width="9.109375" style="137" customWidth="1"/>
    <col min="8705" max="8705" width="11.109375" style="137" bestFit="1" customWidth="1"/>
    <col min="8706" max="8706" width="14.44140625" style="137" bestFit="1" customWidth="1"/>
    <col min="8707" max="8707" width="8.109375" style="137" customWidth="1"/>
    <col min="8708" max="8708" width="10.5546875" style="137" bestFit="1" customWidth="1"/>
    <col min="8709" max="8709" width="12.109375" style="137" bestFit="1" customWidth="1"/>
    <col min="8710" max="8710" width="9.109375" style="137" customWidth="1"/>
    <col min="8711" max="8711" width="10.5546875" style="137" bestFit="1" customWidth="1"/>
    <col min="8712" max="8712" width="12.109375" style="137" bestFit="1" customWidth="1"/>
    <col min="8713" max="8713" width="8" style="137" customWidth="1"/>
    <col min="8714" max="8714" width="10.5546875" style="137" bestFit="1" customWidth="1"/>
    <col min="8715" max="8715" width="12.109375" style="137" bestFit="1" customWidth="1"/>
    <col min="8716" max="8716" width="8.109375" style="137" bestFit="1" customWidth="1"/>
    <col min="8717" max="8717" width="10.5546875" style="137" bestFit="1" customWidth="1"/>
    <col min="8718" max="8718" width="12.109375" style="137" bestFit="1" customWidth="1"/>
    <col min="8719" max="8719" width="18.109375" style="137" bestFit="1" customWidth="1"/>
    <col min="8720" max="8720" width="10.5546875" style="137" bestFit="1" customWidth="1"/>
    <col min="8721" max="8956" width="8.5546875" style="137"/>
    <col min="8957" max="8957" width="38.109375" style="137" customWidth="1"/>
    <col min="8958" max="8958" width="23.44140625" style="137" bestFit="1" customWidth="1"/>
    <col min="8959" max="8960" width="9.109375" style="137" customWidth="1"/>
    <col min="8961" max="8961" width="11.109375" style="137" bestFit="1" customWidth="1"/>
    <col min="8962" max="8962" width="14.44140625" style="137" bestFit="1" customWidth="1"/>
    <col min="8963" max="8963" width="8.109375" style="137" customWidth="1"/>
    <col min="8964" max="8964" width="10.5546875" style="137" bestFit="1" customWidth="1"/>
    <col min="8965" max="8965" width="12.109375" style="137" bestFit="1" customWidth="1"/>
    <col min="8966" max="8966" width="9.109375" style="137" customWidth="1"/>
    <col min="8967" max="8967" width="10.5546875" style="137" bestFit="1" customWidth="1"/>
    <col min="8968" max="8968" width="12.109375" style="137" bestFit="1" customWidth="1"/>
    <col min="8969" max="8969" width="8" style="137" customWidth="1"/>
    <col min="8970" max="8970" width="10.5546875" style="137" bestFit="1" customWidth="1"/>
    <col min="8971" max="8971" width="12.109375" style="137" bestFit="1" customWidth="1"/>
    <col min="8972" max="8972" width="8.109375" style="137" bestFit="1" customWidth="1"/>
    <col min="8973" max="8973" width="10.5546875" style="137" bestFit="1" customWidth="1"/>
    <col min="8974" max="8974" width="12.109375" style="137" bestFit="1" customWidth="1"/>
    <col min="8975" max="8975" width="18.109375" style="137" bestFit="1" customWidth="1"/>
    <col min="8976" max="8976" width="10.5546875" style="137" bestFit="1" customWidth="1"/>
    <col min="8977" max="9212" width="8.5546875" style="137"/>
    <col min="9213" max="9213" width="38.109375" style="137" customWidth="1"/>
    <col min="9214" max="9214" width="23.44140625" style="137" bestFit="1" customWidth="1"/>
    <col min="9215" max="9216" width="9.109375" style="137" customWidth="1"/>
    <col min="9217" max="9217" width="11.109375" style="137" bestFit="1" customWidth="1"/>
    <col min="9218" max="9218" width="14.44140625" style="137" bestFit="1" customWidth="1"/>
    <col min="9219" max="9219" width="8.109375" style="137" customWidth="1"/>
    <col min="9220" max="9220" width="10.5546875" style="137" bestFit="1" customWidth="1"/>
    <col min="9221" max="9221" width="12.109375" style="137" bestFit="1" customWidth="1"/>
    <col min="9222" max="9222" width="9.109375" style="137" customWidth="1"/>
    <col min="9223" max="9223" width="10.5546875" style="137" bestFit="1" customWidth="1"/>
    <col min="9224" max="9224" width="12.109375" style="137" bestFit="1" customWidth="1"/>
    <col min="9225" max="9225" width="8" style="137" customWidth="1"/>
    <col min="9226" max="9226" width="10.5546875" style="137" bestFit="1" customWidth="1"/>
    <col min="9227" max="9227" width="12.109375" style="137" bestFit="1" customWidth="1"/>
    <col min="9228" max="9228" width="8.109375" style="137" bestFit="1" customWidth="1"/>
    <col min="9229" max="9229" width="10.5546875" style="137" bestFit="1" customWidth="1"/>
    <col min="9230" max="9230" width="12.109375" style="137" bestFit="1" customWidth="1"/>
    <col min="9231" max="9231" width="18.109375" style="137" bestFit="1" customWidth="1"/>
    <col min="9232" max="9232" width="10.5546875" style="137" bestFit="1" customWidth="1"/>
    <col min="9233" max="9468" width="8.5546875" style="137"/>
    <col min="9469" max="9469" width="38.109375" style="137" customWidth="1"/>
    <col min="9470" max="9470" width="23.44140625" style="137" bestFit="1" customWidth="1"/>
    <col min="9471" max="9472" width="9.109375" style="137" customWidth="1"/>
    <col min="9473" max="9473" width="11.109375" style="137" bestFit="1" customWidth="1"/>
    <col min="9474" max="9474" width="14.44140625" style="137" bestFit="1" customWidth="1"/>
    <col min="9475" max="9475" width="8.109375" style="137" customWidth="1"/>
    <col min="9476" max="9476" width="10.5546875" style="137" bestFit="1" customWidth="1"/>
    <col min="9477" max="9477" width="12.109375" style="137" bestFit="1" customWidth="1"/>
    <col min="9478" max="9478" width="9.109375" style="137" customWidth="1"/>
    <col min="9479" max="9479" width="10.5546875" style="137" bestFit="1" customWidth="1"/>
    <col min="9480" max="9480" width="12.109375" style="137" bestFit="1" customWidth="1"/>
    <col min="9481" max="9481" width="8" style="137" customWidth="1"/>
    <col min="9482" max="9482" width="10.5546875" style="137" bestFit="1" customWidth="1"/>
    <col min="9483" max="9483" width="12.109375" style="137" bestFit="1" customWidth="1"/>
    <col min="9484" max="9484" width="8.109375" style="137" bestFit="1" customWidth="1"/>
    <col min="9485" max="9485" width="10.5546875" style="137" bestFit="1" customWidth="1"/>
    <col min="9486" max="9486" width="12.109375" style="137" bestFit="1" customWidth="1"/>
    <col min="9487" max="9487" width="18.109375" style="137" bestFit="1" customWidth="1"/>
    <col min="9488" max="9488" width="10.5546875" style="137" bestFit="1" customWidth="1"/>
    <col min="9489" max="9724" width="8.5546875" style="137"/>
    <col min="9725" max="9725" width="38.109375" style="137" customWidth="1"/>
    <col min="9726" max="9726" width="23.44140625" style="137" bestFit="1" customWidth="1"/>
    <col min="9727" max="9728" width="9.109375" style="137" customWidth="1"/>
    <col min="9729" max="9729" width="11.109375" style="137" bestFit="1" customWidth="1"/>
    <col min="9730" max="9730" width="14.44140625" style="137" bestFit="1" customWidth="1"/>
    <col min="9731" max="9731" width="8.109375" style="137" customWidth="1"/>
    <col min="9732" max="9732" width="10.5546875" style="137" bestFit="1" customWidth="1"/>
    <col min="9733" max="9733" width="12.109375" style="137" bestFit="1" customWidth="1"/>
    <col min="9734" max="9734" width="9.109375" style="137" customWidth="1"/>
    <col min="9735" max="9735" width="10.5546875" style="137" bestFit="1" customWidth="1"/>
    <col min="9736" max="9736" width="12.109375" style="137" bestFit="1" customWidth="1"/>
    <col min="9737" max="9737" width="8" style="137" customWidth="1"/>
    <col min="9738" max="9738" width="10.5546875" style="137" bestFit="1" customWidth="1"/>
    <col min="9739" max="9739" width="12.109375" style="137" bestFit="1" customWidth="1"/>
    <col min="9740" max="9740" width="8.109375" style="137" bestFit="1" customWidth="1"/>
    <col min="9741" max="9741" width="10.5546875" style="137" bestFit="1" customWidth="1"/>
    <col min="9742" max="9742" width="12.109375" style="137" bestFit="1" customWidth="1"/>
    <col min="9743" max="9743" width="18.109375" style="137" bestFit="1" customWidth="1"/>
    <col min="9744" max="9744" width="10.5546875" style="137" bestFit="1" customWidth="1"/>
    <col min="9745" max="9980" width="8.5546875" style="137"/>
    <col min="9981" max="9981" width="38.109375" style="137" customWidth="1"/>
    <col min="9982" max="9982" width="23.44140625" style="137" bestFit="1" customWidth="1"/>
    <col min="9983" max="9984" width="9.109375" style="137" customWidth="1"/>
    <col min="9985" max="9985" width="11.109375" style="137" bestFit="1" customWidth="1"/>
    <col min="9986" max="9986" width="14.44140625" style="137" bestFit="1" customWidth="1"/>
    <col min="9987" max="9987" width="8.109375" style="137" customWidth="1"/>
    <col min="9988" max="9988" width="10.5546875" style="137" bestFit="1" customWidth="1"/>
    <col min="9989" max="9989" width="12.109375" style="137" bestFit="1" customWidth="1"/>
    <col min="9990" max="9990" width="9.109375" style="137" customWidth="1"/>
    <col min="9991" max="9991" width="10.5546875" style="137" bestFit="1" customWidth="1"/>
    <col min="9992" max="9992" width="12.109375" style="137" bestFit="1" customWidth="1"/>
    <col min="9993" max="9993" width="8" style="137" customWidth="1"/>
    <col min="9994" max="9994" width="10.5546875" style="137" bestFit="1" customWidth="1"/>
    <col min="9995" max="9995" width="12.109375" style="137" bestFit="1" customWidth="1"/>
    <col min="9996" max="9996" width="8.109375" style="137" bestFit="1" customWidth="1"/>
    <col min="9997" max="9997" width="10.5546875" style="137" bestFit="1" customWidth="1"/>
    <col min="9998" max="9998" width="12.109375" style="137" bestFit="1" customWidth="1"/>
    <col min="9999" max="9999" width="18.109375" style="137" bestFit="1" customWidth="1"/>
    <col min="10000" max="10000" width="10.5546875" style="137" bestFit="1" customWidth="1"/>
    <col min="10001" max="10236" width="8.5546875" style="137"/>
    <col min="10237" max="10237" width="38.109375" style="137" customWidth="1"/>
    <col min="10238" max="10238" width="23.44140625" style="137" bestFit="1" customWidth="1"/>
    <col min="10239" max="10240" width="9.109375" style="137" customWidth="1"/>
    <col min="10241" max="10241" width="11.109375" style="137" bestFit="1" customWidth="1"/>
    <col min="10242" max="10242" width="14.44140625" style="137" bestFit="1" customWidth="1"/>
    <col min="10243" max="10243" width="8.109375" style="137" customWidth="1"/>
    <col min="10244" max="10244" width="10.5546875" style="137" bestFit="1" customWidth="1"/>
    <col min="10245" max="10245" width="12.109375" style="137" bestFit="1" customWidth="1"/>
    <col min="10246" max="10246" width="9.109375" style="137" customWidth="1"/>
    <col min="10247" max="10247" width="10.5546875" style="137" bestFit="1" customWidth="1"/>
    <col min="10248" max="10248" width="12.109375" style="137" bestFit="1" customWidth="1"/>
    <col min="10249" max="10249" width="8" style="137" customWidth="1"/>
    <col min="10250" max="10250" width="10.5546875" style="137" bestFit="1" customWidth="1"/>
    <col min="10251" max="10251" width="12.109375" style="137" bestFit="1" customWidth="1"/>
    <col min="10252" max="10252" width="8.109375" style="137" bestFit="1" customWidth="1"/>
    <col min="10253" max="10253" width="10.5546875" style="137" bestFit="1" customWidth="1"/>
    <col min="10254" max="10254" width="12.109375" style="137" bestFit="1" customWidth="1"/>
    <col min="10255" max="10255" width="18.109375" style="137" bestFit="1" customWidth="1"/>
    <col min="10256" max="10256" width="10.5546875" style="137" bestFit="1" customWidth="1"/>
    <col min="10257" max="10492" width="8.5546875" style="137"/>
    <col min="10493" max="10493" width="38.109375" style="137" customWidth="1"/>
    <col min="10494" max="10494" width="23.44140625" style="137" bestFit="1" customWidth="1"/>
    <col min="10495" max="10496" width="9.109375" style="137" customWidth="1"/>
    <col min="10497" max="10497" width="11.109375" style="137" bestFit="1" customWidth="1"/>
    <col min="10498" max="10498" width="14.44140625" style="137" bestFit="1" customWidth="1"/>
    <col min="10499" max="10499" width="8.109375" style="137" customWidth="1"/>
    <col min="10500" max="10500" width="10.5546875" style="137" bestFit="1" customWidth="1"/>
    <col min="10501" max="10501" width="12.109375" style="137" bestFit="1" customWidth="1"/>
    <col min="10502" max="10502" width="9.109375" style="137" customWidth="1"/>
    <col min="10503" max="10503" width="10.5546875" style="137" bestFit="1" customWidth="1"/>
    <col min="10504" max="10504" width="12.109375" style="137" bestFit="1" customWidth="1"/>
    <col min="10505" max="10505" width="8" style="137" customWidth="1"/>
    <col min="10506" max="10506" width="10.5546875" style="137" bestFit="1" customWidth="1"/>
    <col min="10507" max="10507" width="12.109375" style="137" bestFit="1" customWidth="1"/>
    <col min="10508" max="10508" width="8.109375" style="137" bestFit="1" customWidth="1"/>
    <col min="10509" max="10509" width="10.5546875" style="137" bestFit="1" customWidth="1"/>
    <col min="10510" max="10510" width="12.109375" style="137" bestFit="1" customWidth="1"/>
    <col min="10511" max="10511" width="18.109375" style="137" bestFit="1" customWidth="1"/>
    <col min="10512" max="10512" width="10.5546875" style="137" bestFit="1" customWidth="1"/>
    <col min="10513" max="10748" width="8.5546875" style="137"/>
    <col min="10749" max="10749" width="38.109375" style="137" customWidth="1"/>
    <col min="10750" max="10750" width="23.44140625" style="137" bestFit="1" customWidth="1"/>
    <col min="10751" max="10752" width="9.109375" style="137" customWidth="1"/>
    <col min="10753" max="10753" width="11.109375" style="137" bestFit="1" customWidth="1"/>
    <col min="10754" max="10754" width="14.44140625" style="137" bestFit="1" customWidth="1"/>
    <col min="10755" max="10755" width="8.109375" style="137" customWidth="1"/>
    <col min="10756" max="10756" width="10.5546875" style="137" bestFit="1" customWidth="1"/>
    <col min="10757" max="10757" width="12.109375" style="137" bestFit="1" customWidth="1"/>
    <col min="10758" max="10758" width="9.109375" style="137" customWidth="1"/>
    <col min="10759" max="10759" width="10.5546875" style="137" bestFit="1" customWidth="1"/>
    <col min="10760" max="10760" width="12.109375" style="137" bestFit="1" customWidth="1"/>
    <col min="10761" max="10761" width="8" style="137" customWidth="1"/>
    <col min="10762" max="10762" width="10.5546875" style="137" bestFit="1" customWidth="1"/>
    <col min="10763" max="10763" width="12.109375" style="137" bestFit="1" customWidth="1"/>
    <col min="10764" max="10764" width="8.109375" style="137" bestFit="1" customWidth="1"/>
    <col min="10765" max="10765" width="10.5546875" style="137" bestFit="1" customWidth="1"/>
    <col min="10766" max="10766" width="12.109375" style="137" bestFit="1" customWidth="1"/>
    <col min="10767" max="10767" width="18.109375" style="137" bestFit="1" customWidth="1"/>
    <col min="10768" max="10768" width="10.5546875" style="137" bestFit="1" customWidth="1"/>
    <col min="10769" max="11004" width="8.5546875" style="137"/>
    <col min="11005" max="11005" width="38.109375" style="137" customWidth="1"/>
    <col min="11006" max="11006" width="23.44140625" style="137" bestFit="1" customWidth="1"/>
    <col min="11007" max="11008" width="9.109375" style="137" customWidth="1"/>
    <col min="11009" max="11009" width="11.109375" style="137" bestFit="1" customWidth="1"/>
    <col min="11010" max="11010" width="14.44140625" style="137" bestFit="1" customWidth="1"/>
    <col min="11011" max="11011" width="8.109375" style="137" customWidth="1"/>
    <col min="11012" max="11012" width="10.5546875" style="137" bestFit="1" customWidth="1"/>
    <col min="11013" max="11013" width="12.109375" style="137" bestFit="1" customWidth="1"/>
    <col min="11014" max="11014" width="9.109375" style="137" customWidth="1"/>
    <col min="11015" max="11015" width="10.5546875" style="137" bestFit="1" customWidth="1"/>
    <col min="11016" max="11016" width="12.109375" style="137" bestFit="1" customWidth="1"/>
    <col min="11017" max="11017" width="8" style="137" customWidth="1"/>
    <col min="11018" max="11018" width="10.5546875" style="137" bestFit="1" customWidth="1"/>
    <col min="11019" max="11019" width="12.109375" style="137" bestFit="1" customWidth="1"/>
    <col min="11020" max="11020" width="8.109375" style="137" bestFit="1" customWidth="1"/>
    <col min="11021" max="11021" width="10.5546875" style="137" bestFit="1" customWidth="1"/>
    <col min="11022" max="11022" width="12.109375" style="137" bestFit="1" customWidth="1"/>
    <col min="11023" max="11023" width="18.109375" style="137" bestFit="1" customWidth="1"/>
    <col min="11024" max="11024" width="10.5546875" style="137" bestFit="1" customWidth="1"/>
    <col min="11025" max="11260" width="8.5546875" style="137"/>
    <col min="11261" max="11261" width="38.109375" style="137" customWidth="1"/>
    <col min="11262" max="11262" width="23.44140625" style="137" bestFit="1" customWidth="1"/>
    <col min="11263" max="11264" width="9.109375" style="137" customWidth="1"/>
    <col min="11265" max="11265" width="11.109375" style="137" bestFit="1" customWidth="1"/>
    <col min="11266" max="11266" width="14.44140625" style="137" bestFit="1" customWidth="1"/>
    <col min="11267" max="11267" width="8.109375" style="137" customWidth="1"/>
    <col min="11268" max="11268" width="10.5546875" style="137" bestFit="1" customWidth="1"/>
    <col min="11269" max="11269" width="12.109375" style="137" bestFit="1" customWidth="1"/>
    <col min="11270" max="11270" width="9.109375" style="137" customWidth="1"/>
    <col min="11271" max="11271" width="10.5546875" style="137" bestFit="1" customWidth="1"/>
    <col min="11272" max="11272" width="12.109375" style="137" bestFit="1" customWidth="1"/>
    <col min="11273" max="11273" width="8" style="137" customWidth="1"/>
    <col min="11274" max="11274" width="10.5546875" style="137" bestFit="1" customWidth="1"/>
    <col min="11275" max="11275" width="12.109375" style="137" bestFit="1" customWidth="1"/>
    <col min="11276" max="11276" width="8.109375" style="137" bestFit="1" customWidth="1"/>
    <col min="11277" max="11277" width="10.5546875" style="137" bestFit="1" customWidth="1"/>
    <col min="11278" max="11278" width="12.109375" style="137" bestFit="1" customWidth="1"/>
    <col min="11279" max="11279" width="18.109375" style="137" bestFit="1" customWidth="1"/>
    <col min="11280" max="11280" width="10.5546875" style="137" bestFit="1" customWidth="1"/>
    <col min="11281" max="11516" width="8.5546875" style="137"/>
    <col min="11517" max="11517" width="38.109375" style="137" customWidth="1"/>
    <col min="11518" max="11518" width="23.44140625" style="137" bestFit="1" customWidth="1"/>
    <col min="11519" max="11520" width="9.109375" style="137" customWidth="1"/>
    <col min="11521" max="11521" width="11.109375" style="137" bestFit="1" customWidth="1"/>
    <col min="11522" max="11522" width="14.44140625" style="137" bestFit="1" customWidth="1"/>
    <col min="11523" max="11523" width="8.109375" style="137" customWidth="1"/>
    <col min="11524" max="11524" width="10.5546875" style="137" bestFit="1" customWidth="1"/>
    <col min="11525" max="11525" width="12.109375" style="137" bestFit="1" customWidth="1"/>
    <col min="11526" max="11526" width="9.109375" style="137" customWidth="1"/>
    <col min="11527" max="11527" width="10.5546875" style="137" bestFit="1" customWidth="1"/>
    <col min="11528" max="11528" width="12.109375" style="137" bestFit="1" customWidth="1"/>
    <col min="11529" max="11529" width="8" style="137" customWidth="1"/>
    <col min="11530" max="11530" width="10.5546875" style="137" bestFit="1" customWidth="1"/>
    <col min="11531" max="11531" width="12.109375" style="137" bestFit="1" customWidth="1"/>
    <col min="11532" max="11532" width="8.109375" style="137" bestFit="1" customWidth="1"/>
    <col min="11533" max="11533" width="10.5546875" style="137" bestFit="1" customWidth="1"/>
    <col min="11534" max="11534" width="12.109375" style="137" bestFit="1" customWidth="1"/>
    <col min="11535" max="11535" width="18.109375" style="137" bestFit="1" customWidth="1"/>
    <col min="11536" max="11536" width="10.5546875" style="137" bestFit="1" customWidth="1"/>
    <col min="11537" max="11772" width="8.5546875" style="137"/>
    <col min="11773" max="11773" width="38.109375" style="137" customWidth="1"/>
    <col min="11774" max="11774" width="23.44140625" style="137" bestFit="1" customWidth="1"/>
    <col min="11775" max="11776" width="9.109375" style="137" customWidth="1"/>
    <col min="11777" max="11777" width="11.109375" style="137" bestFit="1" customWidth="1"/>
    <col min="11778" max="11778" width="14.44140625" style="137" bestFit="1" customWidth="1"/>
    <col min="11779" max="11779" width="8.109375" style="137" customWidth="1"/>
    <col min="11780" max="11780" width="10.5546875" style="137" bestFit="1" customWidth="1"/>
    <col min="11781" max="11781" width="12.109375" style="137" bestFit="1" customWidth="1"/>
    <col min="11782" max="11782" width="9.109375" style="137" customWidth="1"/>
    <col min="11783" max="11783" width="10.5546875" style="137" bestFit="1" customWidth="1"/>
    <col min="11784" max="11784" width="12.109375" style="137" bestFit="1" customWidth="1"/>
    <col min="11785" max="11785" width="8" style="137" customWidth="1"/>
    <col min="11786" max="11786" width="10.5546875" style="137" bestFit="1" customWidth="1"/>
    <col min="11787" max="11787" width="12.109375" style="137" bestFit="1" customWidth="1"/>
    <col min="11788" max="11788" width="8.109375" style="137" bestFit="1" customWidth="1"/>
    <col min="11789" max="11789" width="10.5546875" style="137" bestFit="1" customWidth="1"/>
    <col min="11790" max="11790" width="12.109375" style="137" bestFit="1" customWidth="1"/>
    <col min="11791" max="11791" width="18.109375" style="137" bestFit="1" customWidth="1"/>
    <col min="11792" max="11792" width="10.5546875" style="137" bestFit="1" customWidth="1"/>
    <col min="11793" max="12028" width="8.5546875" style="137"/>
    <col min="12029" max="12029" width="38.109375" style="137" customWidth="1"/>
    <col min="12030" max="12030" width="23.44140625" style="137" bestFit="1" customWidth="1"/>
    <col min="12031" max="12032" width="9.109375" style="137" customWidth="1"/>
    <col min="12033" max="12033" width="11.109375" style="137" bestFit="1" customWidth="1"/>
    <col min="12034" max="12034" width="14.44140625" style="137" bestFit="1" customWidth="1"/>
    <col min="12035" max="12035" width="8.109375" style="137" customWidth="1"/>
    <col min="12036" max="12036" width="10.5546875" style="137" bestFit="1" customWidth="1"/>
    <col min="12037" max="12037" width="12.109375" style="137" bestFit="1" customWidth="1"/>
    <col min="12038" max="12038" width="9.109375" style="137" customWidth="1"/>
    <col min="12039" max="12039" width="10.5546875" style="137" bestFit="1" customWidth="1"/>
    <col min="12040" max="12040" width="12.109375" style="137" bestFit="1" customWidth="1"/>
    <col min="12041" max="12041" width="8" style="137" customWidth="1"/>
    <col min="12042" max="12042" width="10.5546875" style="137" bestFit="1" customWidth="1"/>
    <col min="12043" max="12043" width="12.109375" style="137" bestFit="1" customWidth="1"/>
    <col min="12044" max="12044" width="8.109375" style="137" bestFit="1" customWidth="1"/>
    <col min="12045" max="12045" width="10.5546875" style="137" bestFit="1" customWidth="1"/>
    <col min="12046" max="12046" width="12.109375" style="137" bestFit="1" customWidth="1"/>
    <col min="12047" max="12047" width="18.109375" style="137" bestFit="1" customWidth="1"/>
    <col min="12048" max="12048" width="10.5546875" style="137" bestFit="1" customWidth="1"/>
    <col min="12049" max="12284" width="8.5546875" style="137"/>
    <col min="12285" max="12285" width="38.109375" style="137" customWidth="1"/>
    <col min="12286" max="12286" width="23.44140625" style="137" bestFit="1" customWidth="1"/>
    <col min="12287" max="12288" width="9.109375" style="137" customWidth="1"/>
    <col min="12289" max="12289" width="11.109375" style="137" bestFit="1" customWidth="1"/>
    <col min="12290" max="12290" width="14.44140625" style="137" bestFit="1" customWidth="1"/>
    <col min="12291" max="12291" width="8.109375" style="137" customWidth="1"/>
    <col min="12292" max="12292" width="10.5546875" style="137" bestFit="1" customWidth="1"/>
    <col min="12293" max="12293" width="12.109375" style="137" bestFit="1" customWidth="1"/>
    <col min="12294" max="12294" width="9.109375" style="137" customWidth="1"/>
    <col min="12295" max="12295" width="10.5546875" style="137" bestFit="1" customWidth="1"/>
    <col min="12296" max="12296" width="12.109375" style="137" bestFit="1" customWidth="1"/>
    <col min="12297" max="12297" width="8" style="137" customWidth="1"/>
    <col min="12298" max="12298" width="10.5546875" style="137" bestFit="1" customWidth="1"/>
    <col min="12299" max="12299" width="12.109375" style="137" bestFit="1" customWidth="1"/>
    <col min="12300" max="12300" width="8.109375" style="137" bestFit="1" customWidth="1"/>
    <col min="12301" max="12301" width="10.5546875" style="137" bestFit="1" customWidth="1"/>
    <col min="12302" max="12302" width="12.109375" style="137" bestFit="1" customWidth="1"/>
    <col min="12303" max="12303" width="18.109375" style="137" bestFit="1" customWidth="1"/>
    <col min="12304" max="12304" width="10.5546875" style="137" bestFit="1" customWidth="1"/>
    <col min="12305" max="12540" width="8.5546875" style="137"/>
    <col min="12541" max="12541" width="38.109375" style="137" customWidth="1"/>
    <col min="12542" max="12542" width="23.44140625" style="137" bestFit="1" customWidth="1"/>
    <col min="12543" max="12544" width="9.109375" style="137" customWidth="1"/>
    <col min="12545" max="12545" width="11.109375" style="137" bestFit="1" customWidth="1"/>
    <col min="12546" max="12546" width="14.44140625" style="137" bestFit="1" customWidth="1"/>
    <col min="12547" max="12547" width="8.109375" style="137" customWidth="1"/>
    <col min="12548" max="12548" width="10.5546875" style="137" bestFit="1" customWidth="1"/>
    <col min="12549" max="12549" width="12.109375" style="137" bestFit="1" customWidth="1"/>
    <col min="12550" max="12550" width="9.109375" style="137" customWidth="1"/>
    <col min="12551" max="12551" width="10.5546875" style="137" bestFit="1" customWidth="1"/>
    <col min="12552" max="12552" width="12.109375" style="137" bestFit="1" customWidth="1"/>
    <col min="12553" max="12553" width="8" style="137" customWidth="1"/>
    <col min="12554" max="12554" width="10.5546875" style="137" bestFit="1" customWidth="1"/>
    <col min="12555" max="12555" width="12.109375" style="137" bestFit="1" customWidth="1"/>
    <col min="12556" max="12556" width="8.109375" style="137" bestFit="1" customWidth="1"/>
    <col min="12557" max="12557" width="10.5546875" style="137" bestFit="1" customWidth="1"/>
    <col min="12558" max="12558" width="12.109375" style="137" bestFit="1" customWidth="1"/>
    <col min="12559" max="12559" width="18.109375" style="137" bestFit="1" customWidth="1"/>
    <col min="12560" max="12560" width="10.5546875" style="137" bestFit="1" customWidth="1"/>
    <col min="12561" max="12796" width="8.5546875" style="137"/>
    <col min="12797" max="12797" width="38.109375" style="137" customWidth="1"/>
    <col min="12798" max="12798" width="23.44140625" style="137" bestFit="1" customWidth="1"/>
    <col min="12799" max="12800" width="9.109375" style="137" customWidth="1"/>
    <col min="12801" max="12801" width="11.109375" style="137" bestFit="1" customWidth="1"/>
    <col min="12802" max="12802" width="14.44140625" style="137" bestFit="1" customWidth="1"/>
    <col min="12803" max="12803" width="8.109375" style="137" customWidth="1"/>
    <col min="12804" max="12804" width="10.5546875" style="137" bestFit="1" customWidth="1"/>
    <col min="12805" max="12805" width="12.109375" style="137" bestFit="1" customWidth="1"/>
    <col min="12806" max="12806" width="9.109375" style="137" customWidth="1"/>
    <col min="12807" max="12807" width="10.5546875" style="137" bestFit="1" customWidth="1"/>
    <col min="12808" max="12808" width="12.109375" style="137" bestFit="1" customWidth="1"/>
    <col min="12809" max="12809" width="8" style="137" customWidth="1"/>
    <col min="12810" max="12810" width="10.5546875" style="137" bestFit="1" customWidth="1"/>
    <col min="12811" max="12811" width="12.109375" style="137" bestFit="1" customWidth="1"/>
    <col min="12812" max="12812" width="8.109375" style="137" bestFit="1" customWidth="1"/>
    <col min="12813" max="12813" width="10.5546875" style="137" bestFit="1" customWidth="1"/>
    <col min="12814" max="12814" width="12.109375" style="137" bestFit="1" customWidth="1"/>
    <col min="12815" max="12815" width="18.109375" style="137" bestFit="1" customWidth="1"/>
    <col min="12816" max="12816" width="10.5546875" style="137" bestFit="1" customWidth="1"/>
    <col min="12817" max="13052" width="8.5546875" style="137"/>
    <col min="13053" max="13053" width="38.109375" style="137" customWidth="1"/>
    <col min="13054" max="13054" width="23.44140625" style="137" bestFit="1" customWidth="1"/>
    <col min="13055" max="13056" width="9.109375" style="137" customWidth="1"/>
    <col min="13057" max="13057" width="11.109375" style="137" bestFit="1" customWidth="1"/>
    <col min="13058" max="13058" width="14.44140625" style="137" bestFit="1" customWidth="1"/>
    <col min="13059" max="13059" width="8.109375" style="137" customWidth="1"/>
    <col min="13060" max="13060" width="10.5546875" style="137" bestFit="1" customWidth="1"/>
    <col min="13061" max="13061" width="12.109375" style="137" bestFit="1" customWidth="1"/>
    <col min="13062" max="13062" width="9.109375" style="137" customWidth="1"/>
    <col min="13063" max="13063" width="10.5546875" style="137" bestFit="1" customWidth="1"/>
    <col min="13064" max="13064" width="12.109375" style="137" bestFit="1" customWidth="1"/>
    <col min="13065" max="13065" width="8" style="137" customWidth="1"/>
    <col min="13066" max="13066" width="10.5546875" style="137" bestFit="1" customWidth="1"/>
    <col min="13067" max="13067" width="12.109375" style="137" bestFit="1" customWidth="1"/>
    <col min="13068" max="13068" width="8.109375" style="137" bestFit="1" customWidth="1"/>
    <col min="13069" max="13069" width="10.5546875" style="137" bestFit="1" customWidth="1"/>
    <col min="13070" max="13070" width="12.109375" style="137" bestFit="1" customWidth="1"/>
    <col min="13071" max="13071" width="18.109375" style="137" bestFit="1" customWidth="1"/>
    <col min="13072" max="13072" width="10.5546875" style="137" bestFit="1" customWidth="1"/>
    <col min="13073" max="13308" width="8.5546875" style="137"/>
    <col min="13309" max="13309" width="38.109375" style="137" customWidth="1"/>
    <col min="13310" max="13310" width="23.44140625" style="137" bestFit="1" customWidth="1"/>
    <col min="13311" max="13312" width="9.109375" style="137" customWidth="1"/>
    <col min="13313" max="13313" width="11.109375" style="137" bestFit="1" customWidth="1"/>
    <col min="13314" max="13314" width="14.44140625" style="137" bestFit="1" customWidth="1"/>
    <col min="13315" max="13315" width="8.109375" style="137" customWidth="1"/>
    <col min="13316" max="13316" width="10.5546875" style="137" bestFit="1" customWidth="1"/>
    <col min="13317" max="13317" width="12.109375" style="137" bestFit="1" customWidth="1"/>
    <col min="13318" max="13318" width="9.109375" style="137" customWidth="1"/>
    <col min="13319" max="13319" width="10.5546875" style="137" bestFit="1" customWidth="1"/>
    <col min="13320" max="13320" width="12.109375" style="137" bestFit="1" customWidth="1"/>
    <col min="13321" max="13321" width="8" style="137" customWidth="1"/>
    <col min="13322" max="13322" width="10.5546875" style="137" bestFit="1" customWidth="1"/>
    <col min="13323" max="13323" width="12.109375" style="137" bestFit="1" customWidth="1"/>
    <col min="13324" max="13324" width="8.109375" style="137" bestFit="1" customWidth="1"/>
    <col min="13325" max="13325" width="10.5546875" style="137" bestFit="1" customWidth="1"/>
    <col min="13326" max="13326" width="12.109375" style="137" bestFit="1" customWidth="1"/>
    <col min="13327" max="13327" width="18.109375" style="137" bestFit="1" customWidth="1"/>
    <col min="13328" max="13328" width="10.5546875" style="137" bestFit="1" customWidth="1"/>
    <col min="13329" max="13564" width="8.5546875" style="137"/>
    <col min="13565" max="13565" width="38.109375" style="137" customWidth="1"/>
    <col min="13566" max="13566" width="23.44140625" style="137" bestFit="1" customWidth="1"/>
    <col min="13567" max="13568" width="9.109375" style="137" customWidth="1"/>
    <col min="13569" max="13569" width="11.109375" style="137" bestFit="1" customWidth="1"/>
    <col min="13570" max="13570" width="14.44140625" style="137" bestFit="1" customWidth="1"/>
    <col min="13571" max="13571" width="8.109375" style="137" customWidth="1"/>
    <col min="13572" max="13572" width="10.5546875" style="137" bestFit="1" customWidth="1"/>
    <col min="13573" max="13573" width="12.109375" style="137" bestFit="1" customWidth="1"/>
    <col min="13574" max="13574" width="9.109375" style="137" customWidth="1"/>
    <col min="13575" max="13575" width="10.5546875" style="137" bestFit="1" customWidth="1"/>
    <col min="13576" max="13576" width="12.109375" style="137" bestFit="1" customWidth="1"/>
    <col min="13577" max="13577" width="8" style="137" customWidth="1"/>
    <col min="13578" max="13578" width="10.5546875" style="137" bestFit="1" customWidth="1"/>
    <col min="13579" max="13579" width="12.109375" style="137" bestFit="1" customWidth="1"/>
    <col min="13580" max="13580" width="8.109375" style="137" bestFit="1" customWidth="1"/>
    <col min="13581" max="13581" width="10.5546875" style="137" bestFit="1" customWidth="1"/>
    <col min="13582" max="13582" width="12.109375" style="137" bestFit="1" customWidth="1"/>
    <col min="13583" max="13583" width="18.109375" style="137" bestFit="1" customWidth="1"/>
    <col min="13584" max="13584" width="10.5546875" style="137" bestFit="1" customWidth="1"/>
    <col min="13585" max="13820" width="8.5546875" style="137"/>
    <col min="13821" max="13821" width="38.109375" style="137" customWidth="1"/>
    <col min="13822" max="13822" width="23.44140625" style="137" bestFit="1" customWidth="1"/>
    <col min="13823" max="13824" width="9.109375" style="137" customWidth="1"/>
    <col min="13825" max="13825" width="11.109375" style="137" bestFit="1" customWidth="1"/>
    <col min="13826" max="13826" width="14.44140625" style="137" bestFit="1" customWidth="1"/>
    <col min="13827" max="13827" width="8.109375" style="137" customWidth="1"/>
    <col min="13828" max="13828" width="10.5546875" style="137" bestFit="1" customWidth="1"/>
    <col min="13829" max="13829" width="12.109375" style="137" bestFit="1" customWidth="1"/>
    <col min="13830" max="13830" width="9.109375" style="137" customWidth="1"/>
    <col min="13831" max="13831" width="10.5546875" style="137" bestFit="1" customWidth="1"/>
    <col min="13832" max="13832" width="12.109375" style="137" bestFit="1" customWidth="1"/>
    <col min="13833" max="13833" width="8" style="137" customWidth="1"/>
    <col min="13834" max="13834" width="10.5546875" style="137" bestFit="1" customWidth="1"/>
    <col min="13835" max="13835" width="12.109375" style="137" bestFit="1" customWidth="1"/>
    <col min="13836" max="13836" width="8.109375" style="137" bestFit="1" customWidth="1"/>
    <col min="13837" max="13837" width="10.5546875" style="137" bestFit="1" customWidth="1"/>
    <col min="13838" max="13838" width="12.109375" style="137" bestFit="1" customWidth="1"/>
    <col min="13839" max="13839" width="18.109375" style="137" bestFit="1" customWidth="1"/>
    <col min="13840" max="13840" width="10.5546875" style="137" bestFit="1" customWidth="1"/>
    <col min="13841" max="14076" width="8.5546875" style="137"/>
    <col min="14077" max="14077" width="38.109375" style="137" customWidth="1"/>
    <col min="14078" max="14078" width="23.44140625" style="137" bestFit="1" customWidth="1"/>
    <col min="14079" max="14080" width="9.109375" style="137" customWidth="1"/>
    <col min="14081" max="14081" width="11.109375" style="137" bestFit="1" customWidth="1"/>
    <col min="14082" max="14082" width="14.44140625" style="137" bestFit="1" customWidth="1"/>
    <col min="14083" max="14083" width="8.109375" style="137" customWidth="1"/>
    <col min="14084" max="14084" width="10.5546875" style="137" bestFit="1" customWidth="1"/>
    <col min="14085" max="14085" width="12.109375" style="137" bestFit="1" customWidth="1"/>
    <col min="14086" max="14086" width="9.109375" style="137" customWidth="1"/>
    <col min="14087" max="14087" width="10.5546875" style="137" bestFit="1" customWidth="1"/>
    <col min="14088" max="14088" width="12.109375" style="137" bestFit="1" customWidth="1"/>
    <col min="14089" max="14089" width="8" style="137" customWidth="1"/>
    <col min="14090" max="14090" width="10.5546875" style="137" bestFit="1" customWidth="1"/>
    <col min="14091" max="14091" width="12.109375" style="137" bestFit="1" customWidth="1"/>
    <col min="14092" max="14092" width="8.109375" style="137" bestFit="1" customWidth="1"/>
    <col min="14093" max="14093" width="10.5546875" style="137" bestFit="1" customWidth="1"/>
    <col min="14094" max="14094" width="12.109375" style="137" bestFit="1" customWidth="1"/>
    <col min="14095" max="14095" width="18.109375" style="137" bestFit="1" customWidth="1"/>
    <col min="14096" max="14096" width="10.5546875" style="137" bestFit="1" customWidth="1"/>
    <col min="14097" max="14332" width="8.5546875" style="137"/>
    <col min="14333" max="14333" width="38.109375" style="137" customWidth="1"/>
    <col min="14334" max="14334" width="23.44140625" style="137" bestFit="1" customWidth="1"/>
    <col min="14335" max="14336" width="9.109375" style="137" customWidth="1"/>
    <col min="14337" max="14337" width="11.109375" style="137" bestFit="1" customWidth="1"/>
    <col min="14338" max="14338" width="14.44140625" style="137" bestFit="1" customWidth="1"/>
    <col min="14339" max="14339" width="8.109375" style="137" customWidth="1"/>
    <col min="14340" max="14340" width="10.5546875" style="137" bestFit="1" customWidth="1"/>
    <col min="14341" max="14341" width="12.109375" style="137" bestFit="1" customWidth="1"/>
    <col min="14342" max="14342" width="9.109375" style="137" customWidth="1"/>
    <col min="14343" max="14343" width="10.5546875" style="137" bestFit="1" customWidth="1"/>
    <col min="14344" max="14344" width="12.109375" style="137" bestFit="1" customWidth="1"/>
    <col min="14345" max="14345" width="8" style="137" customWidth="1"/>
    <col min="14346" max="14346" width="10.5546875" style="137" bestFit="1" customWidth="1"/>
    <col min="14347" max="14347" width="12.109375" style="137" bestFit="1" customWidth="1"/>
    <col min="14348" max="14348" width="8.109375" style="137" bestFit="1" customWidth="1"/>
    <col min="14349" max="14349" width="10.5546875" style="137" bestFit="1" customWidth="1"/>
    <col min="14350" max="14350" width="12.109375" style="137" bestFit="1" customWidth="1"/>
    <col min="14351" max="14351" width="18.109375" style="137" bestFit="1" customWidth="1"/>
    <col min="14352" max="14352" width="10.5546875" style="137" bestFit="1" customWidth="1"/>
    <col min="14353" max="14588" width="8.5546875" style="137"/>
    <col min="14589" max="14589" width="38.109375" style="137" customWidth="1"/>
    <col min="14590" max="14590" width="23.44140625" style="137" bestFit="1" customWidth="1"/>
    <col min="14591" max="14592" width="9.109375" style="137" customWidth="1"/>
    <col min="14593" max="14593" width="11.109375" style="137" bestFit="1" customWidth="1"/>
    <col min="14594" max="14594" width="14.44140625" style="137" bestFit="1" customWidth="1"/>
    <col min="14595" max="14595" width="8.109375" style="137" customWidth="1"/>
    <col min="14596" max="14596" width="10.5546875" style="137" bestFit="1" customWidth="1"/>
    <col min="14597" max="14597" width="12.109375" style="137" bestFit="1" customWidth="1"/>
    <col min="14598" max="14598" width="9.109375" style="137" customWidth="1"/>
    <col min="14599" max="14599" width="10.5546875" style="137" bestFit="1" customWidth="1"/>
    <col min="14600" max="14600" width="12.109375" style="137" bestFit="1" customWidth="1"/>
    <col min="14601" max="14601" width="8" style="137" customWidth="1"/>
    <col min="14602" max="14602" width="10.5546875" style="137" bestFit="1" customWidth="1"/>
    <col min="14603" max="14603" width="12.109375" style="137" bestFit="1" customWidth="1"/>
    <col min="14604" max="14604" width="8.109375" style="137" bestFit="1" customWidth="1"/>
    <col min="14605" max="14605" width="10.5546875" style="137" bestFit="1" customWidth="1"/>
    <col min="14606" max="14606" width="12.109375" style="137" bestFit="1" customWidth="1"/>
    <col min="14607" max="14607" width="18.109375" style="137" bestFit="1" customWidth="1"/>
    <col min="14608" max="14608" width="10.5546875" style="137" bestFit="1" customWidth="1"/>
    <col min="14609" max="14844" width="8.5546875" style="137"/>
    <col min="14845" max="14845" width="38.109375" style="137" customWidth="1"/>
    <col min="14846" max="14846" width="23.44140625" style="137" bestFit="1" customWidth="1"/>
    <col min="14847" max="14848" width="9.109375" style="137" customWidth="1"/>
    <col min="14849" max="14849" width="11.109375" style="137" bestFit="1" customWidth="1"/>
    <col min="14850" max="14850" width="14.44140625" style="137" bestFit="1" customWidth="1"/>
    <col min="14851" max="14851" width="8.109375" style="137" customWidth="1"/>
    <col min="14852" max="14852" width="10.5546875" style="137" bestFit="1" customWidth="1"/>
    <col min="14853" max="14853" width="12.109375" style="137" bestFit="1" customWidth="1"/>
    <col min="14854" max="14854" width="9.109375" style="137" customWidth="1"/>
    <col min="14855" max="14855" width="10.5546875" style="137" bestFit="1" customWidth="1"/>
    <col min="14856" max="14856" width="12.109375" style="137" bestFit="1" customWidth="1"/>
    <col min="14857" max="14857" width="8" style="137" customWidth="1"/>
    <col min="14858" max="14858" width="10.5546875" style="137" bestFit="1" customWidth="1"/>
    <col min="14859" max="14859" width="12.109375" style="137" bestFit="1" customWidth="1"/>
    <col min="14860" max="14860" width="8.109375" style="137" bestFit="1" customWidth="1"/>
    <col min="14861" max="14861" width="10.5546875" style="137" bestFit="1" customWidth="1"/>
    <col min="14862" max="14862" width="12.109375" style="137" bestFit="1" customWidth="1"/>
    <col min="14863" max="14863" width="18.109375" style="137" bestFit="1" customWidth="1"/>
    <col min="14864" max="14864" width="10.5546875" style="137" bestFit="1" customWidth="1"/>
    <col min="14865" max="15100" width="8.5546875" style="137"/>
    <col min="15101" max="15101" width="38.109375" style="137" customWidth="1"/>
    <col min="15102" max="15102" width="23.44140625" style="137" bestFit="1" customWidth="1"/>
    <col min="15103" max="15104" width="9.109375" style="137" customWidth="1"/>
    <col min="15105" max="15105" width="11.109375" style="137" bestFit="1" customWidth="1"/>
    <col min="15106" max="15106" width="14.44140625" style="137" bestFit="1" customWidth="1"/>
    <col min="15107" max="15107" width="8.109375" style="137" customWidth="1"/>
    <col min="15108" max="15108" width="10.5546875" style="137" bestFit="1" customWidth="1"/>
    <col min="15109" max="15109" width="12.109375" style="137" bestFit="1" customWidth="1"/>
    <col min="15110" max="15110" width="9.109375" style="137" customWidth="1"/>
    <col min="15111" max="15111" width="10.5546875" style="137" bestFit="1" customWidth="1"/>
    <col min="15112" max="15112" width="12.109375" style="137" bestFit="1" customWidth="1"/>
    <col min="15113" max="15113" width="8" style="137" customWidth="1"/>
    <col min="15114" max="15114" width="10.5546875" style="137" bestFit="1" customWidth="1"/>
    <col min="15115" max="15115" width="12.109375" style="137" bestFit="1" customWidth="1"/>
    <col min="15116" max="15116" width="8.109375" style="137" bestFit="1" customWidth="1"/>
    <col min="15117" max="15117" width="10.5546875" style="137" bestFit="1" customWidth="1"/>
    <col min="15118" max="15118" width="12.109375" style="137" bestFit="1" customWidth="1"/>
    <col min="15119" max="15119" width="18.109375" style="137" bestFit="1" customWidth="1"/>
    <col min="15120" max="15120" width="10.5546875" style="137" bestFit="1" customWidth="1"/>
    <col min="15121" max="15356" width="8.5546875" style="137"/>
    <col min="15357" max="15357" width="38.109375" style="137" customWidth="1"/>
    <col min="15358" max="15358" width="23.44140625" style="137" bestFit="1" customWidth="1"/>
    <col min="15359" max="15360" width="9.109375" style="137" customWidth="1"/>
    <col min="15361" max="15361" width="11.109375" style="137" bestFit="1" customWidth="1"/>
    <col min="15362" max="15362" width="14.44140625" style="137" bestFit="1" customWidth="1"/>
    <col min="15363" max="15363" width="8.109375" style="137" customWidth="1"/>
    <col min="15364" max="15364" width="10.5546875" style="137" bestFit="1" customWidth="1"/>
    <col min="15365" max="15365" width="12.109375" style="137" bestFit="1" customWidth="1"/>
    <col min="15366" max="15366" width="9.109375" style="137" customWidth="1"/>
    <col min="15367" max="15367" width="10.5546875" style="137" bestFit="1" customWidth="1"/>
    <col min="15368" max="15368" width="12.109375" style="137" bestFit="1" customWidth="1"/>
    <col min="15369" max="15369" width="8" style="137" customWidth="1"/>
    <col min="15370" max="15370" width="10.5546875" style="137" bestFit="1" customWidth="1"/>
    <col min="15371" max="15371" width="12.109375" style="137" bestFit="1" customWidth="1"/>
    <col min="15372" max="15372" width="8.109375" style="137" bestFit="1" customWidth="1"/>
    <col min="15373" max="15373" width="10.5546875" style="137" bestFit="1" customWidth="1"/>
    <col min="15374" max="15374" width="12.109375" style="137" bestFit="1" customWidth="1"/>
    <col min="15375" max="15375" width="18.109375" style="137" bestFit="1" customWidth="1"/>
    <col min="15376" max="15376" width="10.5546875" style="137" bestFit="1" customWidth="1"/>
    <col min="15377" max="15612" width="8.5546875" style="137"/>
    <col min="15613" max="15613" width="38.109375" style="137" customWidth="1"/>
    <col min="15614" max="15614" width="23.44140625" style="137" bestFit="1" customWidth="1"/>
    <col min="15615" max="15616" width="9.109375" style="137" customWidth="1"/>
    <col min="15617" max="15617" width="11.109375" style="137" bestFit="1" customWidth="1"/>
    <col min="15618" max="15618" width="14.44140625" style="137" bestFit="1" customWidth="1"/>
    <col min="15619" max="15619" width="8.109375" style="137" customWidth="1"/>
    <col min="15620" max="15620" width="10.5546875" style="137" bestFit="1" customWidth="1"/>
    <col min="15621" max="15621" width="12.109375" style="137" bestFit="1" customWidth="1"/>
    <col min="15622" max="15622" width="9.109375" style="137" customWidth="1"/>
    <col min="15623" max="15623" width="10.5546875" style="137" bestFit="1" customWidth="1"/>
    <col min="15624" max="15624" width="12.109375" style="137" bestFit="1" customWidth="1"/>
    <col min="15625" max="15625" width="8" style="137" customWidth="1"/>
    <col min="15626" max="15626" width="10.5546875" style="137" bestFit="1" customWidth="1"/>
    <col min="15627" max="15627" width="12.109375" style="137" bestFit="1" customWidth="1"/>
    <col min="15628" max="15628" width="8.109375" style="137" bestFit="1" customWidth="1"/>
    <col min="15629" max="15629" width="10.5546875" style="137" bestFit="1" customWidth="1"/>
    <col min="15630" max="15630" width="12.109375" style="137" bestFit="1" customWidth="1"/>
    <col min="15631" max="15631" width="18.109375" style="137" bestFit="1" customWidth="1"/>
    <col min="15632" max="15632" width="10.5546875" style="137" bestFit="1" customWidth="1"/>
    <col min="15633" max="15868" width="8.5546875" style="137"/>
    <col min="15869" max="15869" width="38.109375" style="137" customWidth="1"/>
    <col min="15870" max="15870" width="23.44140625" style="137" bestFit="1" customWidth="1"/>
    <col min="15871" max="15872" width="9.109375" style="137" customWidth="1"/>
    <col min="15873" max="15873" width="11.109375" style="137" bestFit="1" customWidth="1"/>
    <col min="15874" max="15874" width="14.44140625" style="137" bestFit="1" customWidth="1"/>
    <col min="15875" max="15875" width="8.109375" style="137" customWidth="1"/>
    <col min="15876" max="15876" width="10.5546875" style="137" bestFit="1" customWidth="1"/>
    <col min="15877" max="15877" width="12.109375" style="137" bestFit="1" customWidth="1"/>
    <col min="15878" max="15878" width="9.109375" style="137" customWidth="1"/>
    <col min="15879" max="15879" width="10.5546875" style="137" bestFit="1" customWidth="1"/>
    <col min="15880" max="15880" width="12.109375" style="137" bestFit="1" customWidth="1"/>
    <col min="15881" max="15881" width="8" style="137" customWidth="1"/>
    <col min="15882" max="15882" width="10.5546875" style="137" bestFit="1" customWidth="1"/>
    <col min="15883" max="15883" width="12.109375" style="137" bestFit="1" customWidth="1"/>
    <col min="15884" max="15884" width="8.109375" style="137" bestFit="1" customWidth="1"/>
    <col min="15885" max="15885" width="10.5546875" style="137" bestFit="1" customWidth="1"/>
    <col min="15886" max="15886" width="12.109375" style="137" bestFit="1" customWidth="1"/>
    <col min="15887" max="15887" width="18.109375" style="137" bestFit="1" customWidth="1"/>
    <col min="15888" max="15888" width="10.5546875" style="137" bestFit="1" customWidth="1"/>
    <col min="15889" max="16124" width="8.5546875" style="137"/>
    <col min="16125" max="16125" width="38.109375" style="137" customWidth="1"/>
    <col min="16126" max="16126" width="23.44140625" style="137" bestFit="1" customWidth="1"/>
    <col min="16127" max="16128" width="9.109375" style="137" customWidth="1"/>
    <col min="16129" max="16129" width="11.109375" style="137" bestFit="1" customWidth="1"/>
    <col min="16130" max="16130" width="14.44140625" style="137" bestFit="1" customWidth="1"/>
    <col min="16131" max="16131" width="8.109375" style="137" customWidth="1"/>
    <col min="16132" max="16132" width="10.5546875" style="137" bestFit="1" customWidth="1"/>
    <col min="16133" max="16133" width="12.109375" style="137" bestFit="1" customWidth="1"/>
    <col min="16134" max="16134" width="9.109375" style="137" customWidth="1"/>
    <col min="16135" max="16135" width="10.5546875" style="137" bestFit="1" customWidth="1"/>
    <col min="16136" max="16136" width="12.109375" style="137" bestFit="1" customWidth="1"/>
    <col min="16137" max="16137" width="8" style="137" customWidth="1"/>
    <col min="16138" max="16138" width="10.5546875" style="137" bestFit="1" customWidth="1"/>
    <col min="16139" max="16139" width="12.109375" style="137" bestFit="1" customWidth="1"/>
    <col min="16140" max="16140" width="8.109375" style="137" bestFit="1" customWidth="1"/>
    <col min="16141" max="16141" width="10.5546875" style="137" bestFit="1" customWidth="1"/>
    <col min="16142" max="16142" width="12.109375" style="137" bestFit="1" customWidth="1"/>
    <col min="16143" max="16143" width="18.109375" style="137" bestFit="1" customWidth="1"/>
    <col min="16144" max="16144" width="10.5546875" style="137" bestFit="1" customWidth="1"/>
    <col min="16145" max="16372" width="8.5546875" style="137"/>
    <col min="16373" max="16384" width="8.5546875" style="137" customWidth="1"/>
  </cols>
  <sheetData>
    <row r="1" spans="1:27" ht="14.7" thickBot="1"/>
    <row r="2" spans="1:27" ht="24" customHeight="1">
      <c r="A2" s="889" t="s">
        <v>62</v>
      </c>
      <c r="B2" s="885" t="s">
        <v>63</v>
      </c>
      <c r="C2" s="882" t="s">
        <v>64</v>
      </c>
      <c r="D2" s="886"/>
      <c r="E2" s="886"/>
      <c r="F2" s="887"/>
      <c r="G2" s="882" t="s">
        <v>65</v>
      </c>
      <c r="H2" s="886"/>
      <c r="I2" s="886"/>
      <c r="J2" s="887"/>
      <c r="K2" s="882" t="s">
        <v>66</v>
      </c>
      <c r="L2" s="886"/>
      <c r="M2" s="886"/>
      <c r="N2" s="887"/>
      <c r="O2" s="882" t="s">
        <v>67</v>
      </c>
      <c r="P2" s="886"/>
      <c r="Q2" s="886"/>
      <c r="R2" s="887"/>
      <c r="S2" s="882" t="s">
        <v>68</v>
      </c>
      <c r="T2" s="886"/>
      <c r="U2" s="886"/>
      <c r="V2" s="887"/>
      <c r="W2" s="883" t="s">
        <v>69</v>
      </c>
    </row>
    <row r="3" spans="1:27" ht="48" customHeight="1">
      <c r="A3" s="890"/>
      <c r="B3" s="891"/>
      <c r="C3" s="144" t="s">
        <v>70</v>
      </c>
      <c r="D3" s="145" t="s">
        <v>71</v>
      </c>
      <c r="E3" s="146" t="s">
        <v>72</v>
      </c>
      <c r="F3" s="820" t="s">
        <v>69</v>
      </c>
      <c r="G3" s="144" t="s">
        <v>70</v>
      </c>
      <c r="H3" s="145" t="s">
        <v>71</v>
      </c>
      <c r="I3" s="147" t="s">
        <v>72</v>
      </c>
      <c r="J3" s="835" t="s">
        <v>69</v>
      </c>
      <c r="K3" s="144" t="s">
        <v>70</v>
      </c>
      <c r="L3" s="145" t="s">
        <v>71</v>
      </c>
      <c r="M3" s="146" t="s">
        <v>72</v>
      </c>
      <c r="N3" s="835" t="s">
        <v>69</v>
      </c>
      <c r="O3" s="144" t="s">
        <v>70</v>
      </c>
      <c r="P3" s="145" t="s">
        <v>71</v>
      </c>
      <c r="Q3" s="147" t="s">
        <v>72</v>
      </c>
      <c r="R3" s="835" t="s">
        <v>69</v>
      </c>
      <c r="S3" s="144" t="s">
        <v>70</v>
      </c>
      <c r="T3" s="145" t="s">
        <v>71</v>
      </c>
      <c r="U3" s="147" t="s">
        <v>72</v>
      </c>
      <c r="V3" s="835" t="s">
        <v>69</v>
      </c>
      <c r="W3" s="888"/>
    </row>
    <row r="4" spans="1:27" ht="20.399999999999999">
      <c r="A4" s="268" t="s">
        <v>73</v>
      </c>
      <c r="B4" s="148"/>
      <c r="C4" s="149"/>
      <c r="D4" s="150"/>
      <c r="E4" s="151"/>
      <c r="F4" s="821"/>
      <c r="G4" s="149"/>
      <c r="H4" s="150"/>
      <c r="I4" s="152"/>
      <c r="J4" s="836"/>
      <c r="K4" s="149"/>
      <c r="L4" s="150"/>
      <c r="M4" s="151"/>
      <c r="N4" s="836"/>
      <c r="O4" s="153"/>
      <c r="P4" s="150"/>
      <c r="Q4" s="152"/>
      <c r="R4" s="836"/>
      <c r="S4" s="153"/>
      <c r="T4" s="150"/>
      <c r="U4" s="152"/>
      <c r="V4" s="842"/>
      <c r="W4" s="836"/>
    </row>
    <row r="5" spans="1:27" s="162" customFormat="1" ht="15" customHeight="1" outlineLevel="1">
      <c r="A5" s="154" t="s">
        <v>27</v>
      </c>
      <c r="B5" s="155"/>
      <c r="C5" s="156"/>
      <c r="D5" s="157"/>
      <c r="E5" s="158"/>
      <c r="F5" s="822"/>
      <c r="G5" s="156"/>
      <c r="H5" s="157"/>
      <c r="I5" s="160"/>
      <c r="J5" s="837"/>
      <c r="K5" s="156"/>
      <c r="L5" s="157"/>
      <c r="M5" s="158"/>
      <c r="N5" s="837"/>
      <c r="O5" s="156"/>
      <c r="P5" s="157"/>
      <c r="Q5" s="160"/>
      <c r="R5" s="837"/>
      <c r="S5" s="156"/>
      <c r="T5" s="157"/>
      <c r="U5" s="160"/>
      <c r="V5" s="837"/>
      <c r="W5" s="843"/>
      <c r="X5" s="161"/>
      <c r="Y5" s="137"/>
      <c r="Z5" s="137"/>
      <c r="AA5" s="137"/>
    </row>
    <row r="6" spans="1:27" s="162" customFormat="1" ht="15.6" outlineLevel="1">
      <c r="A6" s="163" t="s">
        <v>74</v>
      </c>
      <c r="B6" s="164"/>
      <c r="C6" s="156"/>
      <c r="D6" s="157"/>
      <c r="E6" s="158"/>
      <c r="F6" s="822"/>
      <c r="G6" s="156"/>
      <c r="H6" s="157"/>
      <c r="I6" s="160"/>
      <c r="J6" s="837"/>
      <c r="K6" s="156"/>
      <c r="L6" s="157"/>
      <c r="M6" s="158"/>
      <c r="N6" s="837"/>
      <c r="O6" s="156"/>
      <c r="P6" s="157"/>
      <c r="Q6" s="160"/>
      <c r="R6" s="837"/>
      <c r="S6" s="156"/>
      <c r="T6" s="157"/>
      <c r="U6" s="160"/>
      <c r="V6" s="837"/>
      <c r="W6" s="843"/>
      <c r="X6" s="165"/>
      <c r="Y6" s="137"/>
      <c r="Z6" s="137"/>
      <c r="AA6" s="137"/>
    </row>
    <row r="7" spans="1:27" ht="15" customHeight="1" outlineLevel="1">
      <c r="A7" s="166" t="s">
        <v>75</v>
      </c>
      <c r="B7" s="819"/>
      <c r="D7" s="218"/>
      <c r="F7" s="823">
        <f>C7*D7*E7</f>
        <v>0</v>
      </c>
      <c r="H7" s="218"/>
      <c r="I7" s="140"/>
      <c r="J7" s="823">
        <f>G7*H7*I7</f>
        <v>0</v>
      </c>
      <c r="L7" s="218"/>
      <c r="N7" s="823">
        <f>K7*L7*M7</f>
        <v>0</v>
      </c>
      <c r="P7" s="218"/>
      <c r="Q7" s="140"/>
      <c r="R7" s="823">
        <f>O7*P7*Q7</f>
        <v>0</v>
      </c>
      <c r="T7" s="218"/>
      <c r="U7" s="140"/>
      <c r="V7" s="823">
        <f>S7*T7*U7</f>
        <v>0</v>
      </c>
      <c r="W7" s="838">
        <f>F7+J7+N7+R7+V7</f>
        <v>0</v>
      </c>
    </row>
    <row r="8" spans="1:27" ht="15" customHeight="1" outlineLevel="1">
      <c r="A8" s="175" t="s">
        <v>76</v>
      </c>
      <c r="B8" s="176"/>
      <c r="C8" s="177"/>
      <c r="D8" s="178"/>
      <c r="E8" s="179"/>
      <c r="F8" s="824">
        <f>SUM(F7:F7)</f>
        <v>0</v>
      </c>
      <c r="G8" s="177"/>
      <c r="H8" s="178"/>
      <c r="I8" s="180"/>
      <c r="J8" s="824">
        <f>SUM(J7:J7)</f>
        <v>0</v>
      </c>
      <c r="K8" s="177"/>
      <c r="L8" s="178"/>
      <c r="M8" s="179"/>
      <c r="N8" s="824">
        <f>SUM(N7:N7)</f>
        <v>0</v>
      </c>
      <c r="O8" s="177"/>
      <c r="P8" s="178"/>
      <c r="Q8" s="180"/>
      <c r="R8" s="824">
        <f>SUM(R7:R7)</f>
        <v>0</v>
      </c>
      <c r="S8" s="177"/>
      <c r="T8" s="178"/>
      <c r="U8" s="180"/>
      <c r="V8" s="824">
        <f>SUM(V7:V7)</f>
        <v>0</v>
      </c>
      <c r="W8" s="844">
        <f>+F8+J8+N8+R8+V8</f>
        <v>0</v>
      </c>
    </row>
    <row r="9" spans="1:27" ht="15" customHeight="1" outlineLevel="1">
      <c r="A9" s="163" t="s">
        <v>119</v>
      </c>
      <c r="B9" s="181"/>
      <c r="C9" s="182"/>
      <c r="D9" s="183"/>
      <c r="E9" s="184"/>
      <c r="F9" s="823"/>
      <c r="G9" s="182"/>
      <c r="H9" s="183"/>
      <c r="I9" s="185"/>
      <c r="J9" s="838"/>
      <c r="K9" s="182"/>
      <c r="L9" s="183"/>
      <c r="M9" s="184"/>
      <c r="N9" s="838"/>
      <c r="O9" s="182"/>
      <c r="P9" s="183"/>
      <c r="Q9" s="185"/>
      <c r="R9" s="838"/>
      <c r="S9" s="182"/>
      <c r="T9" s="183"/>
      <c r="U9" s="185"/>
      <c r="V9" s="838"/>
      <c r="W9" s="839"/>
      <c r="X9" s="165"/>
    </row>
    <row r="10" spans="1:27" ht="15" customHeight="1" outlineLevel="1">
      <c r="A10" s="166" t="str">
        <f>'Program Budget'!D12</f>
        <v>Key Personnel: Chief of Party</v>
      </c>
      <c r="B10" s="167" t="str">
        <f>'Program Budget'!F131</f>
        <v>Month</v>
      </c>
      <c r="C10" s="168">
        <f>'Program Budget'!H131</f>
        <v>9583.3333333333339</v>
      </c>
      <c r="D10" s="169">
        <f>'Program Budget'!G131</f>
        <v>11</v>
      </c>
      <c r="E10" s="170">
        <f>'Program Budget'!E131</f>
        <v>0.2</v>
      </c>
      <c r="F10" s="823">
        <f>C10*D10*E10</f>
        <v>21083.333333333336</v>
      </c>
      <c r="G10" s="168">
        <f>C10*1.05</f>
        <v>10062.500000000002</v>
      </c>
      <c r="H10" s="169">
        <f>'Program Budget'!K131</f>
        <v>12</v>
      </c>
      <c r="I10" s="172">
        <f>'Program Budget'!J131</f>
        <v>0.2</v>
      </c>
      <c r="J10" s="823">
        <f>G10*H10*I10</f>
        <v>24150.000000000007</v>
      </c>
      <c r="K10" s="168">
        <f>G10*1.05</f>
        <v>10565.625000000002</v>
      </c>
      <c r="L10" s="169">
        <f>'Program Budget'!N131</f>
        <v>12</v>
      </c>
      <c r="M10" s="172">
        <f>'Program Budget'!M131</f>
        <v>0.2</v>
      </c>
      <c r="N10" s="823">
        <f>K10*L10*M10</f>
        <v>25357.500000000007</v>
      </c>
      <c r="O10" s="168">
        <f>K10*1.05</f>
        <v>11093.906250000002</v>
      </c>
      <c r="P10" s="169">
        <f>'Program Budget'!Q131</f>
        <v>12</v>
      </c>
      <c r="Q10" s="172">
        <f>'Program Budget'!P131</f>
        <v>0.3</v>
      </c>
      <c r="R10" s="823">
        <f>O10*P10*Q10</f>
        <v>39938.062500000007</v>
      </c>
      <c r="S10" s="168">
        <f>O10*1.05</f>
        <v>11648.601562500002</v>
      </c>
      <c r="T10" s="169">
        <f>'Program Budget'!T131</f>
        <v>0</v>
      </c>
      <c r="U10" s="172">
        <f>'Program Budget'!S131</f>
        <v>0</v>
      </c>
      <c r="V10" s="823">
        <f>S10*T10*U10</f>
        <v>0</v>
      </c>
      <c r="W10" s="838">
        <f>F10+J10+N10+R10+V10</f>
        <v>110528.89583333334</v>
      </c>
      <c r="X10" s="173"/>
      <c r="Y10" s="161"/>
      <c r="Z10" s="174"/>
      <c r="AA10" s="174"/>
    </row>
    <row r="11" spans="1:27" ht="15" customHeight="1" outlineLevel="1">
      <c r="A11" s="166" t="str">
        <f>'Program Budget'!D13</f>
        <v>Technical Director</v>
      </c>
      <c r="B11" s="167" t="str">
        <f>'Program Budget'!F132</f>
        <v>Month</v>
      </c>
      <c r="C11" s="168">
        <f>'Program Budget'!H132</f>
        <v>3500</v>
      </c>
      <c r="D11" s="169">
        <f>'Program Budget'!G132</f>
        <v>9</v>
      </c>
      <c r="E11" s="170">
        <f>'Program Budget'!E132</f>
        <v>0.22</v>
      </c>
      <c r="F11" s="823">
        <f t="shared" ref="F11:F21" si="0">C11*D11*E11</f>
        <v>6930</v>
      </c>
      <c r="G11" s="168">
        <f t="shared" ref="G11:G21" si="1">C11*1.05</f>
        <v>3675</v>
      </c>
      <c r="H11" s="169">
        <f>'Program Budget'!K132</f>
        <v>12</v>
      </c>
      <c r="I11" s="172">
        <f>'Program Budget'!J132</f>
        <v>0.2</v>
      </c>
      <c r="J11" s="823">
        <f t="shared" ref="J11:J21" si="2">G11*H11*I11</f>
        <v>8820</v>
      </c>
      <c r="K11" s="168">
        <f t="shared" ref="K11:K21" si="3">G11*1.05</f>
        <v>3858.75</v>
      </c>
      <c r="L11" s="169">
        <f>'Program Budget'!N132</f>
        <v>12</v>
      </c>
      <c r="M11" s="172">
        <f>'Program Budget'!M132</f>
        <v>0.2</v>
      </c>
      <c r="N11" s="823">
        <f t="shared" ref="N11:N21" si="4">K11*L11*M11</f>
        <v>9261</v>
      </c>
      <c r="O11" s="168">
        <f t="shared" ref="O11:O21" si="5">K11*1.05</f>
        <v>4051.6875</v>
      </c>
      <c r="P11" s="169">
        <f>'Program Budget'!Q132</f>
        <v>12</v>
      </c>
      <c r="Q11" s="172">
        <f>'Program Budget'!P132</f>
        <v>0.3</v>
      </c>
      <c r="R11" s="823">
        <f t="shared" ref="R11:R21" si="6">O11*P11*Q11</f>
        <v>14586.074999999999</v>
      </c>
      <c r="S11" s="168">
        <f t="shared" ref="S11:S21" si="7">O11*1.05</f>
        <v>4254.2718750000004</v>
      </c>
      <c r="T11" s="169">
        <f>'Program Budget'!T132</f>
        <v>0</v>
      </c>
      <c r="U11" s="172">
        <f>'Program Budget'!S132</f>
        <v>0</v>
      </c>
      <c r="V11" s="823">
        <f t="shared" ref="V11:V21" si="8">S11*T11*U11</f>
        <v>0</v>
      </c>
      <c r="W11" s="838">
        <f t="shared" ref="W11:W21" si="9">F11+J11+N11+R11+V11</f>
        <v>39597.074999999997</v>
      </c>
      <c r="X11" s="173"/>
      <c r="Y11" s="161"/>
      <c r="Z11" s="174"/>
      <c r="AA11" s="174"/>
    </row>
    <row r="12" spans="1:27" ht="15" customHeight="1" outlineLevel="1">
      <c r="A12" s="166" t="str">
        <f>'Program Budget'!D14</f>
        <v>Technical Lead - Activity 2 US Exports</v>
      </c>
      <c r="B12" s="167" t="str">
        <f>'Program Budget'!F133</f>
        <v>Month</v>
      </c>
      <c r="C12" s="168">
        <f>'Program Budget'!H133</f>
        <v>2833.3333333333335</v>
      </c>
      <c r="D12" s="169">
        <f>'Program Budget'!G133</f>
        <v>8</v>
      </c>
      <c r="E12" s="170">
        <f>'Program Budget'!E133</f>
        <v>0</v>
      </c>
      <c r="F12" s="823">
        <f t="shared" si="0"/>
        <v>0</v>
      </c>
      <c r="G12" s="168">
        <f t="shared" si="1"/>
        <v>2975.0000000000005</v>
      </c>
      <c r="H12" s="169">
        <f>'Program Budget'!K133</f>
        <v>12</v>
      </c>
      <c r="I12" s="172">
        <f>'Program Budget'!J133</f>
        <v>0</v>
      </c>
      <c r="J12" s="823">
        <f t="shared" si="2"/>
        <v>0</v>
      </c>
      <c r="K12" s="168">
        <f t="shared" si="3"/>
        <v>3123.7500000000005</v>
      </c>
      <c r="L12" s="169">
        <f>'Program Budget'!N133</f>
        <v>12</v>
      </c>
      <c r="M12" s="172">
        <f>'Program Budget'!M133</f>
        <v>0</v>
      </c>
      <c r="N12" s="823">
        <f t="shared" si="4"/>
        <v>0</v>
      </c>
      <c r="O12" s="168">
        <f t="shared" si="5"/>
        <v>3279.9375000000005</v>
      </c>
      <c r="P12" s="169">
        <f>'Program Budget'!Q133</f>
        <v>12</v>
      </c>
      <c r="Q12" s="172">
        <f>'Program Budget'!P133</f>
        <v>0</v>
      </c>
      <c r="R12" s="823">
        <f t="shared" si="6"/>
        <v>0</v>
      </c>
      <c r="S12" s="168">
        <f t="shared" si="7"/>
        <v>3443.9343750000007</v>
      </c>
      <c r="T12" s="169">
        <f>'Program Budget'!T133</f>
        <v>0</v>
      </c>
      <c r="U12" s="172">
        <f>'Program Budget'!S133</f>
        <v>0</v>
      </c>
      <c r="V12" s="823">
        <f t="shared" si="8"/>
        <v>0</v>
      </c>
      <c r="W12" s="838">
        <f t="shared" si="9"/>
        <v>0</v>
      </c>
      <c r="X12" s="173"/>
      <c r="Y12" s="161"/>
      <c r="Z12" s="174"/>
      <c r="AA12" s="174"/>
    </row>
    <row r="13" spans="1:27" ht="15" customHeight="1" outlineLevel="1">
      <c r="A13" s="166" t="str">
        <f>'Program Budget'!D15</f>
        <v>Technical Lead - Activity 2 Access to Finance Specialist</v>
      </c>
      <c r="B13" s="167" t="str">
        <f>'Program Budget'!F134</f>
        <v>Month</v>
      </c>
      <c r="C13" s="168">
        <f>'Program Budget'!H134</f>
        <v>2833.3333333333335</v>
      </c>
      <c r="D13" s="169">
        <f>'Program Budget'!G134</f>
        <v>8</v>
      </c>
      <c r="E13" s="170">
        <f>'Program Budget'!E134</f>
        <v>0</v>
      </c>
      <c r="F13" s="823">
        <f t="shared" si="0"/>
        <v>0</v>
      </c>
      <c r="G13" s="168">
        <f t="shared" si="1"/>
        <v>2975.0000000000005</v>
      </c>
      <c r="H13" s="169">
        <f>'Program Budget'!K134</f>
        <v>12</v>
      </c>
      <c r="I13" s="172">
        <f>'Program Budget'!J134</f>
        <v>0</v>
      </c>
      <c r="J13" s="823">
        <f t="shared" si="2"/>
        <v>0</v>
      </c>
      <c r="K13" s="168">
        <f t="shared" si="3"/>
        <v>3123.7500000000005</v>
      </c>
      <c r="L13" s="169">
        <f>'Program Budget'!N134</f>
        <v>12</v>
      </c>
      <c r="M13" s="172">
        <f>'Program Budget'!M134</f>
        <v>0</v>
      </c>
      <c r="N13" s="823">
        <f t="shared" si="4"/>
        <v>0</v>
      </c>
      <c r="O13" s="168">
        <f t="shared" si="5"/>
        <v>3279.9375000000005</v>
      </c>
      <c r="P13" s="169">
        <f>'Program Budget'!Q134</f>
        <v>12</v>
      </c>
      <c r="Q13" s="172">
        <f>'Program Budget'!P134</f>
        <v>0</v>
      </c>
      <c r="R13" s="823">
        <f t="shared" si="6"/>
        <v>0</v>
      </c>
      <c r="S13" s="168">
        <f t="shared" si="7"/>
        <v>3443.9343750000007</v>
      </c>
      <c r="T13" s="169">
        <f>'Program Budget'!T134</f>
        <v>0</v>
      </c>
      <c r="U13" s="172">
        <f>'Program Budget'!S134</f>
        <v>0</v>
      </c>
      <c r="V13" s="823">
        <f t="shared" si="8"/>
        <v>0</v>
      </c>
      <c r="W13" s="838">
        <f t="shared" si="9"/>
        <v>0</v>
      </c>
      <c r="X13" s="173"/>
      <c r="Y13" s="161"/>
      <c r="Z13" s="174"/>
      <c r="AA13" s="174"/>
    </row>
    <row r="14" spans="1:27" ht="15" customHeight="1" outlineLevel="1">
      <c r="A14" s="166" t="str">
        <f>'Program Budget'!D16</f>
        <v>Communications/Strategic Partnerships Manager</v>
      </c>
      <c r="B14" s="167" t="str">
        <f>'Program Budget'!F135</f>
        <v>Month</v>
      </c>
      <c r="C14" s="168">
        <f>'Program Budget'!H135</f>
        <v>2666.6666666666665</v>
      </c>
      <c r="D14" s="169">
        <f>'Program Budget'!G135</f>
        <v>8</v>
      </c>
      <c r="E14" s="170">
        <f>'Program Budget'!E135</f>
        <v>0.3</v>
      </c>
      <c r="F14" s="823">
        <f t="shared" si="0"/>
        <v>6399.9999999999991</v>
      </c>
      <c r="G14" s="168">
        <f t="shared" si="1"/>
        <v>2800</v>
      </c>
      <c r="H14" s="169">
        <f>'Program Budget'!K135</f>
        <v>12</v>
      </c>
      <c r="I14" s="172">
        <f>'Program Budget'!J135</f>
        <v>0.4</v>
      </c>
      <c r="J14" s="823">
        <f t="shared" si="2"/>
        <v>13440</v>
      </c>
      <c r="K14" s="168">
        <f t="shared" si="3"/>
        <v>2940</v>
      </c>
      <c r="L14" s="169">
        <f>'Program Budget'!N135</f>
        <v>12</v>
      </c>
      <c r="M14" s="172">
        <f>'Program Budget'!M135</f>
        <v>0.4</v>
      </c>
      <c r="N14" s="823">
        <f t="shared" si="4"/>
        <v>14112</v>
      </c>
      <c r="O14" s="168">
        <f t="shared" si="5"/>
        <v>3087</v>
      </c>
      <c r="P14" s="169">
        <f>'Program Budget'!Q135</f>
        <v>12</v>
      </c>
      <c r="Q14" s="172">
        <f>'Program Budget'!P135</f>
        <v>0.5</v>
      </c>
      <c r="R14" s="823">
        <f t="shared" si="6"/>
        <v>18522</v>
      </c>
      <c r="S14" s="168">
        <f t="shared" si="7"/>
        <v>3241.3500000000004</v>
      </c>
      <c r="T14" s="169">
        <f>'Program Budget'!T135</f>
        <v>0</v>
      </c>
      <c r="U14" s="172">
        <f>'Program Budget'!S135</f>
        <v>0</v>
      </c>
      <c r="V14" s="823">
        <f t="shared" si="8"/>
        <v>0</v>
      </c>
      <c r="W14" s="838">
        <f t="shared" si="9"/>
        <v>52474</v>
      </c>
      <c r="X14" s="173"/>
      <c r="Y14" s="161"/>
      <c r="Z14" s="174"/>
      <c r="AA14" s="174"/>
    </row>
    <row r="15" spans="1:27" ht="15" customHeight="1" outlineLevel="1">
      <c r="A15" s="166" t="str">
        <f>'Program Budget'!D17</f>
        <v xml:space="preserve">M&amp;E Director </v>
      </c>
      <c r="B15" s="167" t="str">
        <f>'Program Budget'!F136</f>
        <v>Month</v>
      </c>
      <c r="C15" s="168">
        <f>'Program Budget'!H136</f>
        <v>3500</v>
      </c>
      <c r="D15" s="169">
        <f>'Program Budget'!G136</f>
        <v>10</v>
      </c>
      <c r="E15" s="170">
        <f>'Program Budget'!E136</f>
        <v>0.2</v>
      </c>
      <c r="F15" s="823">
        <f t="shared" si="0"/>
        <v>7000</v>
      </c>
      <c r="G15" s="168">
        <f t="shared" si="1"/>
        <v>3675</v>
      </c>
      <c r="H15" s="169">
        <f>'Program Budget'!K136</f>
        <v>12</v>
      </c>
      <c r="I15" s="172">
        <f>'Program Budget'!J136</f>
        <v>0.25</v>
      </c>
      <c r="J15" s="823">
        <f t="shared" si="2"/>
        <v>11025</v>
      </c>
      <c r="K15" s="168">
        <f t="shared" si="3"/>
        <v>3858.75</v>
      </c>
      <c r="L15" s="169">
        <f>'Program Budget'!N136</f>
        <v>12</v>
      </c>
      <c r="M15" s="172">
        <f>'Program Budget'!M136</f>
        <v>0.25</v>
      </c>
      <c r="N15" s="823">
        <f t="shared" si="4"/>
        <v>11576.25</v>
      </c>
      <c r="O15" s="168">
        <f t="shared" si="5"/>
        <v>4051.6875</v>
      </c>
      <c r="P15" s="169">
        <f>'Program Budget'!Q136</f>
        <v>12</v>
      </c>
      <c r="Q15" s="172">
        <f>'Program Budget'!P136</f>
        <v>0.35</v>
      </c>
      <c r="R15" s="823">
        <f t="shared" si="6"/>
        <v>17017.087499999998</v>
      </c>
      <c r="S15" s="168">
        <f t="shared" si="7"/>
        <v>4254.2718750000004</v>
      </c>
      <c r="T15" s="169">
        <f>'Program Budget'!T136</f>
        <v>0</v>
      </c>
      <c r="U15" s="172">
        <f>'Program Budget'!S136</f>
        <v>0</v>
      </c>
      <c r="V15" s="823">
        <f t="shared" si="8"/>
        <v>0</v>
      </c>
      <c r="W15" s="838">
        <f t="shared" si="9"/>
        <v>46618.337499999994</v>
      </c>
      <c r="X15" s="173"/>
      <c r="Y15" s="161"/>
      <c r="Z15" s="174"/>
      <c r="AA15" s="174"/>
    </row>
    <row r="16" spans="1:27" ht="15" customHeight="1" outlineLevel="1">
      <c r="A16" s="166" t="str">
        <f>'Program Budget'!D18</f>
        <v>M&amp;E Specialist</v>
      </c>
      <c r="B16" s="167" t="str">
        <f>'Program Budget'!F137</f>
        <v>Month</v>
      </c>
      <c r="C16" s="168">
        <f>'Program Budget'!H137</f>
        <v>2000</v>
      </c>
      <c r="D16" s="169">
        <f>'Program Budget'!G137</f>
        <v>8</v>
      </c>
      <c r="E16" s="170">
        <f>'Program Budget'!E137</f>
        <v>0.25</v>
      </c>
      <c r="F16" s="823">
        <f t="shared" si="0"/>
        <v>4000</v>
      </c>
      <c r="G16" s="168">
        <f t="shared" si="1"/>
        <v>2100</v>
      </c>
      <c r="H16" s="169">
        <f>'Program Budget'!K137</f>
        <v>12</v>
      </c>
      <c r="I16" s="172">
        <f>'Program Budget'!J137</f>
        <v>0.25</v>
      </c>
      <c r="J16" s="823">
        <f t="shared" si="2"/>
        <v>6300</v>
      </c>
      <c r="K16" s="168">
        <f t="shared" si="3"/>
        <v>2205</v>
      </c>
      <c r="L16" s="169">
        <f>'Program Budget'!N137</f>
        <v>12</v>
      </c>
      <c r="M16" s="172">
        <f>'Program Budget'!M137</f>
        <v>0.25</v>
      </c>
      <c r="N16" s="823">
        <f t="shared" si="4"/>
        <v>6615</v>
      </c>
      <c r="O16" s="168">
        <f t="shared" si="5"/>
        <v>2315.25</v>
      </c>
      <c r="P16" s="169">
        <f>'Program Budget'!Q137</f>
        <v>12</v>
      </c>
      <c r="Q16" s="172">
        <f>'Program Budget'!P137</f>
        <v>0.35</v>
      </c>
      <c r="R16" s="823">
        <f t="shared" si="6"/>
        <v>9724.0499999999993</v>
      </c>
      <c r="S16" s="168">
        <f t="shared" si="7"/>
        <v>2431.0125000000003</v>
      </c>
      <c r="T16" s="169">
        <f>'Program Budget'!T137</f>
        <v>0</v>
      </c>
      <c r="U16" s="172">
        <f>'Program Budget'!S137</f>
        <v>0</v>
      </c>
      <c r="V16" s="823">
        <f t="shared" si="8"/>
        <v>0</v>
      </c>
      <c r="W16" s="838">
        <f t="shared" si="9"/>
        <v>26639.05</v>
      </c>
      <c r="X16" s="173"/>
      <c r="Y16" s="161"/>
      <c r="Z16" s="174"/>
      <c r="AA16" s="174"/>
    </row>
    <row r="17" spans="1:27" ht="15" customHeight="1" outlineLevel="1">
      <c r="A17" s="166" t="str">
        <f>'Program Budget'!D19</f>
        <v xml:space="preserve">Key Personnel: Finance &amp; Administration (F&amp;A) Director </v>
      </c>
      <c r="B17" s="167" t="str">
        <f>'Program Budget'!F138</f>
        <v>Month</v>
      </c>
      <c r="C17" s="168">
        <f>'Program Budget'!H138</f>
        <v>3500</v>
      </c>
      <c r="D17" s="169">
        <f>'Program Budget'!G138</f>
        <v>10</v>
      </c>
      <c r="E17" s="170">
        <f>'Program Budget'!E138</f>
        <v>0.2</v>
      </c>
      <c r="F17" s="823">
        <f t="shared" si="0"/>
        <v>7000</v>
      </c>
      <c r="G17" s="168">
        <f t="shared" si="1"/>
        <v>3675</v>
      </c>
      <c r="H17" s="169">
        <f>'Program Budget'!K138</f>
        <v>12</v>
      </c>
      <c r="I17" s="172">
        <f>'Program Budget'!J138</f>
        <v>0.3</v>
      </c>
      <c r="J17" s="823">
        <f t="shared" si="2"/>
        <v>13230</v>
      </c>
      <c r="K17" s="168">
        <f t="shared" si="3"/>
        <v>3858.75</v>
      </c>
      <c r="L17" s="169">
        <f>'Program Budget'!N138</f>
        <v>12</v>
      </c>
      <c r="M17" s="172">
        <f>'Program Budget'!M138</f>
        <v>0.3</v>
      </c>
      <c r="N17" s="823">
        <f t="shared" si="4"/>
        <v>13891.5</v>
      </c>
      <c r="O17" s="168">
        <f t="shared" si="5"/>
        <v>4051.6875</v>
      </c>
      <c r="P17" s="169">
        <f>'Program Budget'!Q138</f>
        <v>12</v>
      </c>
      <c r="Q17" s="172">
        <f>'Program Budget'!P138</f>
        <v>0.4</v>
      </c>
      <c r="R17" s="823">
        <f t="shared" si="6"/>
        <v>19448.100000000002</v>
      </c>
      <c r="S17" s="168">
        <f t="shared" si="7"/>
        <v>4254.2718750000004</v>
      </c>
      <c r="T17" s="169">
        <f>'Program Budget'!T138</f>
        <v>0</v>
      </c>
      <c r="U17" s="172">
        <f>'Program Budget'!S138</f>
        <v>0</v>
      </c>
      <c r="V17" s="823">
        <f t="shared" si="8"/>
        <v>0</v>
      </c>
      <c r="W17" s="838">
        <f t="shared" si="9"/>
        <v>53569.600000000006</v>
      </c>
      <c r="X17" s="173"/>
      <c r="Y17" s="161"/>
      <c r="Z17" s="174"/>
      <c r="AA17" s="174"/>
    </row>
    <row r="18" spans="1:27" ht="15" customHeight="1" outlineLevel="1">
      <c r="A18" s="166" t="str">
        <f>'Program Budget'!D20</f>
        <v xml:space="preserve">Accountant </v>
      </c>
      <c r="B18" s="167" t="str">
        <f>'Program Budget'!F139</f>
        <v>Month</v>
      </c>
      <c r="C18" s="168">
        <f>'Program Budget'!H139</f>
        <v>2000</v>
      </c>
      <c r="D18" s="169">
        <f>'Program Budget'!G139</f>
        <v>8</v>
      </c>
      <c r="E18" s="170">
        <f>'Program Budget'!E139</f>
        <v>0.25</v>
      </c>
      <c r="F18" s="823">
        <f t="shared" si="0"/>
        <v>4000</v>
      </c>
      <c r="G18" s="168">
        <f t="shared" si="1"/>
        <v>2100</v>
      </c>
      <c r="H18" s="169">
        <f>'Program Budget'!K139</f>
        <v>12</v>
      </c>
      <c r="I18" s="172">
        <f>'Program Budget'!J139</f>
        <v>0.25</v>
      </c>
      <c r="J18" s="823">
        <f t="shared" si="2"/>
        <v>6300</v>
      </c>
      <c r="K18" s="168">
        <f t="shared" si="3"/>
        <v>2205</v>
      </c>
      <c r="L18" s="169">
        <f>'Program Budget'!N139</f>
        <v>12</v>
      </c>
      <c r="M18" s="172">
        <f>'Program Budget'!M139</f>
        <v>0.25</v>
      </c>
      <c r="N18" s="823">
        <f t="shared" si="4"/>
        <v>6615</v>
      </c>
      <c r="O18" s="168">
        <f t="shared" si="5"/>
        <v>2315.25</v>
      </c>
      <c r="P18" s="169">
        <f>'Program Budget'!Q139</f>
        <v>12</v>
      </c>
      <c r="Q18" s="172">
        <f>'Program Budget'!P139</f>
        <v>0.4</v>
      </c>
      <c r="R18" s="823">
        <f t="shared" si="6"/>
        <v>11113.2</v>
      </c>
      <c r="S18" s="168">
        <f t="shared" si="7"/>
        <v>2431.0125000000003</v>
      </c>
      <c r="T18" s="169">
        <f>'Program Budget'!T139</f>
        <v>0</v>
      </c>
      <c r="U18" s="172">
        <f>'Program Budget'!S139</f>
        <v>0</v>
      </c>
      <c r="V18" s="823">
        <f t="shared" si="8"/>
        <v>0</v>
      </c>
      <c r="W18" s="838">
        <f t="shared" si="9"/>
        <v>28028.2</v>
      </c>
      <c r="X18" s="173"/>
      <c r="Y18" s="161"/>
      <c r="Z18" s="174"/>
      <c r="AA18" s="174"/>
    </row>
    <row r="19" spans="1:27" ht="15" customHeight="1" outlineLevel="1">
      <c r="A19" s="166" t="str">
        <f>'Program Budget'!D21</f>
        <v>Administration/ HR Manager</v>
      </c>
      <c r="B19" s="167" t="str">
        <f>'Program Budget'!F140</f>
        <v>Month</v>
      </c>
      <c r="C19" s="168">
        <f>'Program Budget'!H140</f>
        <v>2666.6666666666665</v>
      </c>
      <c r="D19" s="169">
        <f>'Program Budget'!G140</f>
        <v>10</v>
      </c>
      <c r="E19" s="170">
        <f>'Program Budget'!E140</f>
        <v>0.15</v>
      </c>
      <c r="F19" s="823">
        <f t="shared" si="0"/>
        <v>3999.9999999999995</v>
      </c>
      <c r="G19" s="168">
        <f t="shared" si="1"/>
        <v>2800</v>
      </c>
      <c r="H19" s="169">
        <f>'Program Budget'!K140</f>
        <v>12</v>
      </c>
      <c r="I19" s="172">
        <f>'Program Budget'!J140</f>
        <v>0.25</v>
      </c>
      <c r="J19" s="823">
        <f t="shared" si="2"/>
        <v>8400</v>
      </c>
      <c r="K19" s="168">
        <f t="shared" si="3"/>
        <v>2940</v>
      </c>
      <c r="L19" s="169">
        <f>'Program Budget'!N140</f>
        <v>12</v>
      </c>
      <c r="M19" s="172">
        <f>'Program Budget'!M140</f>
        <v>0.25</v>
      </c>
      <c r="N19" s="823">
        <f t="shared" si="4"/>
        <v>8820</v>
      </c>
      <c r="O19" s="168">
        <f t="shared" si="5"/>
        <v>3087</v>
      </c>
      <c r="P19" s="169">
        <f>'Program Budget'!Q140</f>
        <v>12</v>
      </c>
      <c r="Q19" s="172">
        <f>'Program Budget'!P140</f>
        <v>0.35</v>
      </c>
      <c r="R19" s="823">
        <f t="shared" si="6"/>
        <v>12965.4</v>
      </c>
      <c r="S19" s="168">
        <f t="shared" si="7"/>
        <v>3241.3500000000004</v>
      </c>
      <c r="T19" s="169">
        <f>'Program Budget'!T140</f>
        <v>0</v>
      </c>
      <c r="U19" s="172">
        <f>'Program Budget'!S140</f>
        <v>0</v>
      </c>
      <c r="V19" s="823">
        <f t="shared" si="8"/>
        <v>0</v>
      </c>
      <c r="W19" s="838">
        <f t="shared" si="9"/>
        <v>34185.4</v>
      </c>
      <c r="X19" s="173"/>
      <c r="Y19" s="161"/>
      <c r="Z19" s="174"/>
      <c r="AA19" s="174"/>
    </row>
    <row r="20" spans="1:27" ht="15" customHeight="1" outlineLevel="1">
      <c r="A20" s="166" t="str">
        <f>'Program Budget'!D22</f>
        <v>Grants &amp; Contracts Manager</v>
      </c>
      <c r="B20" s="167" t="str">
        <f>'Program Budget'!F141</f>
        <v>Month</v>
      </c>
      <c r="C20" s="168">
        <f>'Program Budget'!H141</f>
        <v>2666.6666666666665</v>
      </c>
      <c r="D20" s="169">
        <f>'Program Budget'!G141</f>
        <v>9</v>
      </c>
      <c r="E20" s="170">
        <f>'Program Budget'!E141</f>
        <v>0.21</v>
      </c>
      <c r="F20" s="823">
        <f t="shared" si="0"/>
        <v>5040</v>
      </c>
      <c r="G20" s="168">
        <f t="shared" si="1"/>
        <v>2800</v>
      </c>
      <c r="H20" s="169">
        <f>'Program Budget'!K141</f>
        <v>12</v>
      </c>
      <c r="I20" s="172">
        <f>'Program Budget'!J141</f>
        <v>0.3</v>
      </c>
      <c r="J20" s="823">
        <f t="shared" si="2"/>
        <v>10080</v>
      </c>
      <c r="K20" s="168">
        <f t="shared" si="3"/>
        <v>2940</v>
      </c>
      <c r="L20" s="169">
        <f>'Program Budget'!N141</f>
        <v>12</v>
      </c>
      <c r="M20" s="172">
        <f>'Program Budget'!M141</f>
        <v>0.3</v>
      </c>
      <c r="N20" s="823">
        <f t="shared" si="4"/>
        <v>10584</v>
      </c>
      <c r="O20" s="168">
        <f t="shared" si="5"/>
        <v>3087</v>
      </c>
      <c r="P20" s="169">
        <f>'Program Budget'!Q141</f>
        <v>12</v>
      </c>
      <c r="Q20" s="172">
        <f>'Program Budget'!P141</f>
        <v>0.4</v>
      </c>
      <c r="R20" s="823">
        <f t="shared" si="6"/>
        <v>14817.6</v>
      </c>
      <c r="S20" s="168">
        <f t="shared" si="7"/>
        <v>3241.3500000000004</v>
      </c>
      <c r="T20" s="169">
        <f>'Program Budget'!T141</f>
        <v>0</v>
      </c>
      <c r="U20" s="172">
        <f>'Program Budget'!S141</f>
        <v>0</v>
      </c>
      <c r="V20" s="823">
        <f t="shared" si="8"/>
        <v>0</v>
      </c>
      <c r="W20" s="838">
        <f t="shared" si="9"/>
        <v>40521.599999999999</v>
      </c>
      <c r="X20" s="173"/>
      <c r="Y20" s="161"/>
      <c r="Z20" s="174"/>
      <c r="AA20" s="174"/>
    </row>
    <row r="21" spans="1:27" ht="15" customHeight="1" outlineLevel="1">
      <c r="A21" s="166" t="str">
        <f>'Program Budget'!D23</f>
        <v>Compliance &amp; Procurement Specialist</v>
      </c>
      <c r="B21" s="167" t="str">
        <f>'Program Budget'!F142</f>
        <v>Month</v>
      </c>
      <c r="C21" s="168">
        <f>'Program Budget'!H142</f>
        <v>2000</v>
      </c>
      <c r="D21" s="169">
        <f>'Program Budget'!G142</f>
        <v>9</v>
      </c>
      <c r="E21" s="170">
        <f>'Program Budget'!E142</f>
        <v>0.21</v>
      </c>
      <c r="F21" s="823">
        <f t="shared" si="0"/>
        <v>3780</v>
      </c>
      <c r="G21" s="168">
        <f t="shared" si="1"/>
        <v>2100</v>
      </c>
      <c r="H21" s="169">
        <f>'Program Budget'!K142</f>
        <v>12</v>
      </c>
      <c r="I21" s="172">
        <f>'Program Budget'!J142</f>
        <v>0.3</v>
      </c>
      <c r="J21" s="823">
        <f t="shared" si="2"/>
        <v>7560</v>
      </c>
      <c r="K21" s="168">
        <f t="shared" si="3"/>
        <v>2205</v>
      </c>
      <c r="L21" s="169">
        <f>'Program Budget'!N142</f>
        <v>12</v>
      </c>
      <c r="M21" s="172">
        <f>'Program Budget'!M142</f>
        <v>0.3</v>
      </c>
      <c r="N21" s="823">
        <f t="shared" si="4"/>
        <v>7938</v>
      </c>
      <c r="O21" s="168">
        <f t="shared" si="5"/>
        <v>2315.25</v>
      </c>
      <c r="P21" s="169">
        <f>'Program Budget'!Q142</f>
        <v>12</v>
      </c>
      <c r="Q21" s="172">
        <f>'Program Budget'!P142</f>
        <v>0.4</v>
      </c>
      <c r="R21" s="823">
        <f t="shared" si="6"/>
        <v>11113.2</v>
      </c>
      <c r="S21" s="168">
        <f t="shared" si="7"/>
        <v>2431.0125000000003</v>
      </c>
      <c r="T21" s="169">
        <f>'Program Budget'!T142</f>
        <v>0</v>
      </c>
      <c r="U21" s="172">
        <f>'Program Budget'!S142</f>
        <v>0</v>
      </c>
      <c r="V21" s="823">
        <f t="shared" si="8"/>
        <v>0</v>
      </c>
      <c r="W21" s="838">
        <f t="shared" si="9"/>
        <v>30391.200000000001</v>
      </c>
      <c r="X21" s="173"/>
      <c r="Y21" s="161"/>
      <c r="Z21" s="174"/>
      <c r="AA21" s="174"/>
    </row>
    <row r="22" spans="1:27" ht="15" customHeight="1" outlineLevel="1">
      <c r="A22" s="166" t="str">
        <f>'Program Budget'!D24</f>
        <v>Driver</v>
      </c>
      <c r="B22" s="167" t="str">
        <f>'Program Budget'!F143</f>
        <v>Month</v>
      </c>
      <c r="C22" s="168">
        <f>'Program Budget'!H143</f>
        <v>500</v>
      </c>
      <c r="D22" s="169">
        <f>'Program Budget'!G143</f>
        <v>7</v>
      </c>
      <c r="E22" s="170">
        <f>'Program Budget'!E143</f>
        <v>0.25</v>
      </c>
      <c r="F22" s="823">
        <f>C22*D22*E22</f>
        <v>875</v>
      </c>
      <c r="G22" s="168">
        <f>C22*1.05</f>
        <v>525</v>
      </c>
      <c r="H22" s="169">
        <f>'Program Budget'!K143</f>
        <v>12</v>
      </c>
      <c r="I22" s="172">
        <f>'Program Budget'!J143</f>
        <v>0.25</v>
      </c>
      <c r="J22" s="823">
        <f>G22*H22*I22</f>
        <v>1575</v>
      </c>
      <c r="K22" s="168">
        <f>G22*1.05</f>
        <v>551.25</v>
      </c>
      <c r="L22" s="169">
        <f>'Program Budget'!N143</f>
        <v>12</v>
      </c>
      <c r="M22" s="172">
        <f>'Program Budget'!M143</f>
        <v>0.25</v>
      </c>
      <c r="N22" s="823">
        <f>K22*L22*M22</f>
        <v>1653.75</v>
      </c>
      <c r="O22" s="168">
        <f>K22*1.05</f>
        <v>578.8125</v>
      </c>
      <c r="P22" s="169">
        <f>'Program Budget'!Q143</f>
        <v>12</v>
      </c>
      <c r="Q22" s="172">
        <f>'Program Budget'!P143</f>
        <v>0.35</v>
      </c>
      <c r="R22" s="823">
        <f>O22*P22*Q22</f>
        <v>2431.0124999999998</v>
      </c>
      <c r="S22" s="168">
        <f>O22*1.05</f>
        <v>607.75312500000007</v>
      </c>
      <c r="T22" s="169">
        <f>'Program Budget'!T143</f>
        <v>0</v>
      </c>
      <c r="U22" s="172">
        <f>'Program Budget'!S143</f>
        <v>0</v>
      </c>
      <c r="V22" s="823">
        <f>S22*T22*U22</f>
        <v>0</v>
      </c>
      <c r="W22" s="838">
        <f>F22+J22+N22+R22+V22</f>
        <v>6534.7624999999998</v>
      </c>
      <c r="X22" s="173"/>
      <c r="Y22" s="161"/>
      <c r="Z22" s="174"/>
      <c r="AA22" s="174"/>
    </row>
    <row r="23" spans="1:27" ht="15" customHeight="1" outlineLevel="1">
      <c r="A23" s="175" t="s">
        <v>78</v>
      </c>
      <c r="B23" s="176"/>
      <c r="C23" s="177"/>
      <c r="D23" s="178"/>
      <c r="E23" s="179"/>
      <c r="F23" s="825">
        <f>SUM(F10:F22)</f>
        <v>70108.333333333343</v>
      </c>
      <c r="G23" s="177"/>
      <c r="H23" s="178"/>
      <c r="I23" s="180"/>
      <c r="J23" s="825">
        <f>SUM(J10:J22)</f>
        <v>110880</v>
      </c>
      <c r="K23" s="177"/>
      <c r="L23" s="178"/>
      <c r="M23" s="179"/>
      <c r="N23" s="825">
        <f>SUM(N10:N22)</f>
        <v>116424</v>
      </c>
      <c r="O23" s="177"/>
      <c r="P23" s="178"/>
      <c r="Q23" s="180"/>
      <c r="R23" s="825">
        <f>SUM(R10:R22)</f>
        <v>171675.78750000003</v>
      </c>
      <c r="S23" s="177"/>
      <c r="T23" s="178"/>
      <c r="U23" s="180"/>
      <c r="V23" s="825">
        <f>SUM(V10:V22)</f>
        <v>0</v>
      </c>
      <c r="W23" s="825">
        <f>SUM(W10:W22)</f>
        <v>469088.12083333341</v>
      </c>
    </row>
    <row r="24" spans="1:27" s="162" customFormat="1" ht="15.6" outlineLevel="1">
      <c r="A24" s="163" t="s">
        <v>79</v>
      </c>
      <c r="B24" s="164"/>
      <c r="C24" s="156"/>
      <c r="D24" s="157"/>
      <c r="E24" s="158"/>
      <c r="F24" s="822"/>
      <c r="G24" s="156"/>
      <c r="H24" s="157"/>
      <c r="I24" s="160"/>
      <c r="J24" s="837"/>
      <c r="K24" s="156"/>
      <c r="L24" s="157"/>
      <c r="M24" s="158"/>
      <c r="N24" s="837"/>
      <c r="O24" s="156"/>
      <c r="P24" s="157"/>
      <c r="Q24" s="160"/>
      <c r="R24" s="837"/>
      <c r="S24" s="156"/>
      <c r="T24" s="157"/>
      <c r="U24" s="160"/>
      <c r="V24" s="837"/>
      <c r="W24" s="843"/>
      <c r="X24" s="165"/>
      <c r="Y24" s="137"/>
      <c r="Z24" s="137"/>
      <c r="AA24" s="137"/>
    </row>
    <row r="25" spans="1:27" outlineLevel="1">
      <c r="A25" s="166" t="str">
        <f>'Program Budget'!D26</f>
        <v>Senior Vice President of Programs</v>
      </c>
      <c r="B25" s="167" t="str">
        <f>'Program Budget'!F145</f>
        <v>Month</v>
      </c>
      <c r="C25" s="168">
        <f>'Program Budget'!H145</f>
        <v>13500</v>
      </c>
      <c r="D25" s="169">
        <f>'Program Budget'!G145</f>
        <v>12</v>
      </c>
      <c r="E25" s="170">
        <f>'Program Budget'!E145</f>
        <v>0.01</v>
      </c>
      <c r="F25" s="823">
        <f>C25*D25*E25</f>
        <v>1620</v>
      </c>
      <c r="G25" s="168">
        <f>C25*1.05</f>
        <v>14175</v>
      </c>
      <c r="H25" s="169">
        <f>'Program Budget'!K145</f>
        <v>12</v>
      </c>
      <c r="I25" s="172">
        <f>'Program Budget'!J145</f>
        <v>0.01</v>
      </c>
      <c r="J25" s="823">
        <f>G25*H25*I25</f>
        <v>1701</v>
      </c>
      <c r="K25" s="168">
        <f>G25*1.05</f>
        <v>14883.75</v>
      </c>
      <c r="L25" s="169">
        <f>'Program Budget'!N145</f>
        <v>12</v>
      </c>
      <c r="M25" s="172">
        <f>'Program Budget'!M145</f>
        <v>0.01</v>
      </c>
      <c r="N25" s="823">
        <f>K25*L25*M25</f>
        <v>1786.05</v>
      </c>
      <c r="O25" s="168">
        <f>K25*1.05</f>
        <v>15627.9375</v>
      </c>
      <c r="P25" s="169">
        <f>'Program Budget'!Q145</f>
        <v>12</v>
      </c>
      <c r="Q25" s="172">
        <f>'Program Budget'!P145</f>
        <v>0.01</v>
      </c>
      <c r="R25" s="823">
        <f>O25*P25*Q25</f>
        <v>1875.3525</v>
      </c>
      <c r="S25" s="168">
        <f>O25*1.05</f>
        <v>16409.334375000002</v>
      </c>
      <c r="T25" s="169">
        <f>'Program Budget'!T145</f>
        <v>0</v>
      </c>
      <c r="U25" s="172">
        <f>'Program Budget'!S145</f>
        <v>0</v>
      </c>
      <c r="V25" s="823">
        <f>S25*T25*U25</f>
        <v>0</v>
      </c>
      <c r="W25" s="838">
        <f>F25+J25+N25+R25+V25</f>
        <v>6982.4025000000001</v>
      </c>
      <c r="X25" s="173"/>
      <c r="Y25" s="161"/>
      <c r="Z25" s="174"/>
      <c r="AA25" s="174"/>
    </row>
    <row r="26" spans="1:27" ht="15" customHeight="1" outlineLevel="1">
      <c r="A26" s="166" t="str">
        <f>'Program Budget'!D27</f>
        <v xml:space="preserve">Senior Program Director </v>
      </c>
      <c r="B26" s="167" t="str">
        <f>'Program Budget'!F146</f>
        <v>Month</v>
      </c>
      <c r="C26" s="168">
        <f>'Program Budget'!H146</f>
        <v>12500</v>
      </c>
      <c r="D26" s="169">
        <f>'Program Budget'!G146</f>
        <v>12</v>
      </c>
      <c r="E26" s="170">
        <f>'Program Budget'!E146</f>
        <v>0.04</v>
      </c>
      <c r="F26" s="823">
        <f t="shared" ref="F26" si="10">C26*D26*E26</f>
        <v>6000</v>
      </c>
      <c r="G26" s="168">
        <f t="shared" ref="G26" si="11">C26*1.05</f>
        <v>13125</v>
      </c>
      <c r="H26" s="169">
        <f>'Program Budget'!K146</f>
        <v>12</v>
      </c>
      <c r="I26" s="172">
        <f>'Program Budget'!J146</f>
        <v>0.05</v>
      </c>
      <c r="J26" s="823">
        <f t="shared" ref="J26" si="12">G26*H26*I26</f>
        <v>7875</v>
      </c>
      <c r="K26" s="168">
        <f t="shared" ref="K26" si="13">G26*1.05</f>
        <v>13781.25</v>
      </c>
      <c r="L26" s="169">
        <f>'Program Budget'!N146</f>
        <v>12</v>
      </c>
      <c r="M26" s="172">
        <f>'Program Budget'!M146</f>
        <v>0.05</v>
      </c>
      <c r="N26" s="823">
        <f t="shared" ref="N26" si="14">K26*L26*M26</f>
        <v>8268.75</v>
      </c>
      <c r="O26" s="168">
        <f t="shared" ref="O26" si="15">K26*1.05</f>
        <v>14470.3125</v>
      </c>
      <c r="P26" s="169">
        <f>'Program Budget'!Q146</f>
        <v>12</v>
      </c>
      <c r="Q26" s="172">
        <f>'Program Budget'!P146</f>
        <v>0.05</v>
      </c>
      <c r="R26" s="823">
        <f t="shared" ref="R26" si="16">O26*P26*Q26</f>
        <v>8682.1875</v>
      </c>
      <c r="S26" s="168">
        <f t="shared" ref="S26" si="17">O26*1.05</f>
        <v>15193.828125</v>
      </c>
      <c r="T26" s="169">
        <f>'Program Budget'!T146</f>
        <v>0</v>
      </c>
      <c r="U26" s="172">
        <f>'Program Budget'!S146</f>
        <v>0</v>
      </c>
      <c r="V26" s="823">
        <f t="shared" ref="V26" si="18">S26*T26*U26</f>
        <v>0</v>
      </c>
      <c r="W26" s="838">
        <f t="shared" ref="W26" si="19">F26+J26+N26+R26+V26</f>
        <v>30825.9375</v>
      </c>
      <c r="X26" s="173"/>
      <c r="Y26" s="161"/>
      <c r="Z26" s="174"/>
      <c r="AA26" s="174"/>
    </row>
    <row r="27" spans="1:27" ht="15" customHeight="1" outlineLevel="1">
      <c r="A27" s="166" t="str">
        <f>'Program Budget'!D28</f>
        <v>Associate Director</v>
      </c>
      <c r="B27" s="167" t="str">
        <f>'Program Budget'!F147</f>
        <v>Month</v>
      </c>
      <c r="C27" s="168">
        <f>'Program Budget'!H147</f>
        <v>7500</v>
      </c>
      <c r="D27" s="169">
        <f>'Program Budget'!G147</f>
        <v>12</v>
      </c>
      <c r="E27" s="170">
        <f>'Program Budget'!E147</f>
        <v>0.05</v>
      </c>
      <c r="F27" s="823">
        <f t="shared" ref="F27" si="20">C27*D27*E27</f>
        <v>4500</v>
      </c>
      <c r="G27" s="168">
        <f t="shared" ref="G27" si="21">C27*1.05</f>
        <v>7875</v>
      </c>
      <c r="H27" s="169">
        <f>'Program Budget'!K147</f>
        <v>12</v>
      </c>
      <c r="I27" s="172">
        <f>'Program Budget'!J147</f>
        <v>0.2</v>
      </c>
      <c r="J27" s="823">
        <f t="shared" ref="J27" si="22">G27*H27*I27</f>
        <v>18900</v>
      </c>
      <c r="K27" s="168">
        <f t="shared" ref="K27" si="23">G27*1.05</f>
        <v>8268.75</v>
      </c>
      <c r="L27" s="169">
        <f>'Program Budget'!N147</f>
        <v>12</v>
      </c>
      <c r="M27" s="172">
        <f>'Program Budget'!M147</f>
        <v>0.2</v>
      </c>
      <c r="N27" s="823">
        <f t="shared" ref="N27" si="24">K27*L27*M27</f>
        <v>19845</v>
      </c>
      <c r="O27" s="168">
        <f t="shared" ref="O27" si="25">K27*1.05</f>
        <v>8682.1875</v>
      </c>
      <c r="P27" s="169">
        <f>'Program Budget'!Q147</f>
        <v>12</v>
      </c>
      <c r="Q27" s="172">
        <f>'Program Budget'!P147</f>
        <v>0.2</v>
      </c>
      <c r="R27" s="823">
        <f t="shared" ref="R27" si="26">O27*P27*Q27</f>
        <v>20837.25</v>
      </c>
      <c r="S27" s="168">
        <f t="shared" ref="S27" si="27">O27*1.05</f>
        <v>9116.296875</v>
      </c>
      <c r="T27" s="169">
        <f>'Program Budget'!T147</f>
        <v>0</v>
      </c>
      <c r="U27" s="172">
        <f>'Program Budget'!S147</f>
        <v>0</v>
      </c>
      <c r="V27" s="823">
        <f t="shared" ref="V27" si="28">S27*T27*U27</f>
        <v>0</v>
      </c>
      <c r="W27" s="838">
        <f t="shared" ref="W27" si="29">F27+J27+N27+R27+V27</f>
        <v>64082.25</v>
      </c>
      <c r="X27" s="173"/>
      <c r="Y27" s="161"/>
      <c r="Z27" s="174"/>
      <c r="AA27" s="174"/>
    </row>
    <row r="28" spans="1:27" ht="15" customHeight="1" outlineLevel="1">
      <c r="A28" s="166" t="str">
        <f>'Program Budget'!D29</f>
        <v>Compliance &amp; Contracts Director</v>
      </c>
      <c r="B28" s="167" t="str">
        <f>'Program Budget'!F148</f>
        <v>Month</v>
      </c>
      <c r="C28" s="168">
        <f>'Program Budget'!H148</f>
        <v>9166.6666666666661</v>
      </c>
      <c r="D28" s="169">
        <f>'Program Budget'!G148</f>
        <v>12</v>
      </c>
      <c r="E28" s="170">
        <f>'Program Budget'!E148</f>
        <v>0.04</v>
      </c>
      <c r="F28" s="823">
        <f t="shared" ref="F28" si="30">C28*D28*E28</f>
        <v>4400</v>
      </c>
      <c r="G28" s="168">
        <f t="shared" ref="G28" si="31">C28*1.05</f>
        <v>9625</v>
      </c>
      <c r="H28" s="169">
        <f>'Program Budget'!K148</f>
        <v>12</v>
      </c>
      <c r="I28" s="172">
        <f>'Program Budget'!J148</f>
        <v>0.05</v>
      </c>
      <c r="J28" s="823">
        <f t="shared" ref="J28" si="32">G28*H28*I28</f>
        <v>5775</v>
      </c>
      <c r="K28" s="168">
        <f t="shared" ref="K28" si="33">G28*1.05</f>
        <v>10106.25</v>
      </c>
      <c r="L28" s="169">
        <f>'Program Budget'!N148</f>
        <v>12</v>
      </c>
      <c r="M28" s="172">
        <f>'Program Budget'!M148</f>
        <v>0.05</v>
      </c>
      <c r="N28" s="823">
        <f t="shared" ref="N28" si="34">K28*L28*M28</f>
        <v>6063.75</v>
      </c>
      <c r="O28" s="168">
        <f t="shared" ref="O28" si="35">K28*1.05</f>
        <v>10611.5625</v>
      </c>
      <c r="P28" s="169">
        <f>'Program Budget'!Q148</f>
        <v>12</v>
      </c>
      <c r="Q28" s="172">
        <f>'Program Budget'!P148</f>
        <v>0.05</v>
      </c>
      <c r="R28" s="823">
        <f t="shared" ref="R28" si="36">O28*P28*Q28</f>
        <v>6366.9375</v>
      </c>
      <c r="S28" s="168">
        <f t="shared" ref="S28" si="37">O28*1.05</f>
        <v>11142.140625</v>
      </c>
      <c r="T28" s="169">
        <f>'Program Budget'!T148</f>
        <v>0</v>
      </c>
      <c r="U28" s="172">
        <f>'Program Budget'!S148</f>
        <v>0</v>
      </c>
      <c r="V28" s="823">
        <f t="shared" ref="V28" si="38">S28*T28*U28</f>
        <v>0</v>
      </c>
      <c r="W28" s="838">
        <f t="shared" ref="W28" si="39">F28+J28+N28+R28+V28</f>
        <v>22605.6875</v>
      </c>
      <c r="X28" s="173"/>
      <c r="Y28" s="161"/>
      <c r="Z28" s="174"/>
      <c r="AA28" s="174"/>
    </row>
    <row r="29" spans="1:27" ht="15" customHeight="1" outlineLevel="1">
      <c r="A29" s="166" t="str">
        <f>'Program Budget'!D30</f>
        <v>Finance, HR, &amp; Administration Home Office Support</v>
      </c>
      <c r="B29" s="167" t="str">
        <f>'Program Budget'!F149</f>
        <v>Month</v>
      </c>
      <c r="C29" s="168">
        <f>'Program Budget'!H149</f>
        <v>7500</v>
      </c>
      <c r="D29" s="169">
        <f>'Program Budget'!G149</f>
        <v>12</v>
      </c>
      <c r="E29" s="170">
        <f>'Program Budget'!E149</f>
        <v>0.08</v>
      </c>
      <c r="F29" s="823">
        <f t="shared" ref="F29" si="40">C29*D29*E29</f>
        <v>7200</v>
      </c>
      <c r="G29" s="168">
        <f t="shared" ref="G29" si="41">C29*1.05</f>
        <v>7875</v>
      </c>
      <c r="H29" s="169">
        <f>'Program Budget'!K149</f>
        <v>12</v>
      </c>
      <c r="I29" s="172">
        <f>'Program Budget'!J149</f>
        <v>0.15</v>
      </c>
      <c r="J29" s="823">
        <f t="shared" ref="J29" si="42">G29*H29*I29</f>
        <v>14175</v>
      </c>
      <c r="K29" s="168">
        <f t="shared" ref="K29" si="43">G29*1.05</f>
        <v>8268.75</v>
      </c>
      <c r="L29" s="169">
        <f>'Program Budget'!N149</f>
        <v>12</v>
      </c>
      <c r="M29" s="172">
        <f>'Program Budget'!M149</f>
        <v>0.15</v>
      </c>
      <c r="N29" s="823">
        <f t="shared" ref="N29" si="44">K29*L29*M29</f>
        <v>14883.75</v>
      </c>
      <c r="O29" s="168">
        <f t="shared" ref="O29" si="45">K29*1.05</f>
        <v>8682.1875</v>
      </c>
      <c r="P29" s="169">
        <f>'Program Budget'!Q149</f>
        <v>12</v>
      </c>
      <c r="Q29" s="172">
        <f>'Program Budget'!P149</f>
        <v>0.15</v>
      </c>
      <c r="R29" s="823">
        <f t="shared" ref="R29" si="46">O29*P29*Q29</f>
        <v>15627.9375</v>
      </c>
      <c r="S29" s="168">
        <f t="shared" ref="S29" si="47">O29*1.05</f>
        <v>9116.296875</v>
      </c>
      <c r="T29" s="169">
        <f>'Program Budget'!T149</f>
        <v>0</v>
      </c>
      <c r="U29" s="172">
        <f>'Program Budget'!S149</f>
        <v>0</v>
      </c>
      <c r="V29" s="823">
        <f t="shared" ref="V29" si="48">S29*T29*U29</f>
        <v>0</v>
      </c>
      <c r="W29" s="838">
        <f t="shared" ref="W29" si="49">F29+J29+N29+R29+V29</f>
        <v>51886.6875</v>
      </c>
      <c r="X29" s="173"/>
      <c r="Y29" s="161"/>
      <c r="Z29" s="174"/>
      <c r="AA29" s="174"/>
    </row>
    <row r="30" spans="1:27" ht="15" customHeight="1" outlineLevel="1">
      <c r="A30" s="175" t="s">
        <v>80</v>
      </c>
      <c r="B30" s="176"/>
      <c r="C30" s="177"/>
      <c r="D30" s="178"/>
      <c r="E30" s="179"/>
      <c r="F30" s="824">
        <f>SUM(F24:F29)</f>
        <v>23720</v>
      </c>
      <c r="G30" s="177"/>
      <c r="H30" s="178"/>
      <c r="I30" s="180"/>
      <c r="J30" s="824">
        <f>SUM(J24:J29)</f>
        <v>48426</v>
      </c>
      <c r="K30" s="177"/>
      <c r="L30" s="178"/>
      <c r="M30" s="179"/>
      <c r="N30" s="824">
        <f>SUM(N24:N29)</f>
        <v>50847.3</v>
      </c>
      <c r="O30" s="177"/>
      <c r="P30" s="178"/>
      <c r="Q30" s="180"/>
      <c r="R30" s="824">
        <f>SUM(R24:R29)</f>
        <v>53389.665000000001</v>
      </c>
      <c r="S30" s="177"/>
      <c r="T30" s="178"/>
      <c r="U30" s="180"/>
      <c r="V30" s="824">
        <f>SUM(V24:V29)</f>
        <v>0</v>
      </c>
      <c r="W30" s="824">
        <f>SUM(W24:W29)</f>
        <v>176382.965</v>
      </c>
    </row>
    <row r="31" spans="1:27" s="162" customFormat="1" ht="15" customHeight="1" outlineLevel="1">
      <c r="A31" s="186"/>
      <c r="B31" s="181"/>
      <c r="C31" s="182"/>
      <c r="D31" s="183"/>
      <c r="E31" s="140"/>
      <c r="F31" s="823"/>
      <c r="G31" s="182"/>
      <c r="H31" s="183"/>
      <c r="I31" s="140"/>
      <c r="J31" s="823"/>
      <c r="K31" s="182"/>
      <c r="L31" s="183"/>
      <c r="M31" s="140"/>
      <c r="N31" s="823"/>
      <c r="O31" s="182"/>
      <c r="P31" s="183"/>
      <c r="Q31" s="140"/>
      <c r="R31" s="823"/>
      <c r="S31" s="182"/>
      <c r="T31" s="183"/>
      <c r="U31" s="140"/>
      <c r="V31" s="823"/>
      <c r="W31" s="845"/>
      <c r="X31" s="137"/>
      <c r="Y31" s="137"/>
      <c r="Z31" s="137"/>
      <c r="AA31" s="137"/>
    </row>
    <row r="32" spans="1:27" s="195" customFormat="1" ht="15" customHeight="1">
      <c r="A32" s="187" t="s">
        <v>81</v>
      </c>
      <c r="B32" s="188"/>
      <c r="C32" s="189"/>
      <c r="D32" s="190"/>
      <c r="E32" s="191"/>
      <c r="F32" s="826">
        <f>F23+F8+F30</f>
        <v>93828.333333333343</v>
      </c>
      <c r="G32" s="189"/>
      <c r="H32" s="190"/>
      <c r="I32" s="192"/>
      <c r="J32" s="826">
        <f>J23+J8+J30</f>
        <v>159306</v>
      </c>
      <c r="K32" s="189"/>
      <c r="L32" s="190"/>
      <c r="M32" s="191"/>
      <c r="N32" s="826">
        <f>N23+N8+N30</f>
        <v>167271.29999999999</v>
      </c>
      <c r="O32" s="189"/>
      <c r="P32" s="190"/>
      <c r="Q32" s="192"/>
      <c r="R32" s="826">
        <f>R23+R8+R30</f>
        <v>225065.45250000004</v>
      </c>
      <c r="S32" s="189"/>
      <c r="T32" s="190"/>
      <c r="U32" s="192"/>
      <c r="V32" s="826">
        <f>V23+V8+V30</f>
        <v>0</v>
      </c>
      <c r="W32" s="826">
        <f>W23+W8+W30</f>
        <v>645471.08583333343</v>
      </c>
      <c r="X32" s="193"/>
      <c r="Y32" s="193"/>
      <c r="Z32" s="193"/>
      <c r="AA32" s="193"/>
    </row>
    <row r="33" spans="1:27" s="162" customFormat="1" ht="15" customHeight="1" outlineLevel="1">
      <c r="A33" s="163" t="s">
        <v>120</v>
      </c>
      <c r="B33" s="164"/>
      <c r="C33" s="156"/>
      <c r="D33" s="157"/>
      <c r="E33" s="158"/>
      <c r="F33" s="822"/>
      <c r="G33" s="156"/>
      <c r="H33" s="157"/>
      <c r="I33" s="160"/>
      <c r="J33" s="837"/>
      <c r="K33" s="156"/>
      <c r="L33" s="157"/>
      <c r="M33" s="158"/>
      <c r="N33" s="837"/>
      <c r="O33" s="156"/>
      <c r="P33" s="157"/>
      <c r="Q33" s="160"/>
      <c r="R33" s="837"/>
      <c r="S33" s="156"/>
      <c r="T33" s="157"/>
      <c r="U33" s="160"/>
      <c r="V33" s="837"/>
      <c r="W33" s="843"/>
      <c r="X33" s="137"/>
      <c r="Y33" s="137"/>
      <c r="Z33" s="137"/>
      <c r="AA33" s="137"/>
    </row>
    <row r="34" spans="1:27" s="162" customFormat="1" ht="15" customHeight="1" outlineLevel="1">
      <c r="A34" s="196" t="s">
        <v>74</v>
      </c>
      <c r="B34" s="181" t="str">
        <f>'Program Budget'!F153</f>
        <v>%</v>
      </c>
      <c r="C34" s="275">
        <f>F8</f>
        <v>0</v>
      </c>
      <c r="D34" s="183">
        <v>1</v>
      </c>
      <c r="E34" s="140">
        <v>0</v>
      </c>
      <c r="F34" s="823">
        <f>C34*D34*E34</f>
        <v>0</v>
      </c>
      <c r="G34" s="275">
        <f>J8</f>
        <v>0</v>
      </c>
      <c r="H34" s="183">
        <v>1</v>
      </c>
      <c r="I34" s="140">
        <f>E34</f>
        <v>0</v>
      </c>
      <c r="J34" s="823">
        <f t="shared" ref="J34:J35" si="50">G34*H34*I34</f>
        <v>0</v>
      </c>
      <c r="K34" s="275">
        <f>N8</f>
        <v>0</v>
      </c>
      <c r="L34" s="183">
        <v>1</v>
      </c>
      <c r="M34" s="140">
        <f>E34</f>
        <v>0</v>
      </c>
      <c r="N34" s="823">
        <f t="shared" ref="N34:N35" si="51">K34*L34*M34</f>
        <v>0</v>
      </c>
      <c r="O34" s="275">
        <f>R8</f>
        <v>0</v>
      </c>
      <c r="P34" s="183">
        <v>1</v>
      </c>
      <c r="Q34" s="140">
        <f>E34</f>
        <v>0</v>
      </c>
      <c r="R34" s="823">
        <f t="shared" ref="R34" si="52">O34*P34*Q34</f>
        <v>0</v>
      </c>
      <c r="S34" s="275">
        <f>V8</f>
        <v>0</v>
      </c>
      <c r="T34" s="183">
        <v>1</v>
      </c>
      <c r="U34" s="140">
        <f>E34</f>
        <v>0</v>
      </c>
      <c r="V34" s="823">
        <f t="shared" ref="V34:V35" si="53">S34*T34*U34</f>
        <v>0</v>
      </c>
      <c r="W34" s="838">
        <f t="shared" ref="W34" si="54">F34+J34+N34+R34+V34</f>
        <v>0</v>
      </c>
      <c r="X34" s="137"/>
      <c r="Y34" s="137"/>
      <c r="Z34" s="137"/>
      <c r="AA34" s="137"/>
    </row>
    <row r="35" spans="1:27" s="162" customFormat="1" ht="15" customHeight="1" outlineLevel="1">
      <c r="A35" s="196" t="s">
        <v>121</v>
      </c>
      <c r="B35" s="819" t="str">
        <f>'Program Budget'!F153</f>
        <v>%</v>
      </c>
      <c r="C35" s="275">
        <f>F23</f>
        <v>70108.333333333343</v>
      </c>
      <c r="D35" s="183">
        <v>1</v>
      </c>
      <c r="E35" s="140">
        <f>'Program Budget'!H153</f>
        <v>0.29599999999999999</v>
      </c>
      <c r="F35" s="823">
        <f>C35*D35*E35</f>
        <v>20752.066666666669</v>
      </c>
      <c r="G35" s="275">
        <f>J23</f>
        <v>110880</v>
      </c>
      <c r="H35" s="183">
        <v>1</v>
      </c>
      <c r="I35" s="140">
        <f t="shared" ref="I35" si="55">E35</f>
        <v>0.29599999999999999</v>
      </c>
      <c r="J35" s="823">
        <f t="shared" si="50"/>
        <v>32820.479999999996</v>
      </c>
      <c r="K35" s="275">
        <f>N23</f>
        <v>116424</v>
      </c>
      <c r="L35" s="183">
        <v>1</v>
      </c>
      <c r="M35" s="140">
        <f t="shared" ref="M35" si="56">E35</f>
        <v>0.29599999999999999</v>
      </c>
      <c r="N35" s="823">
        <f t="shared" si="51"/>
        <v>34461.504000000001</v>
      </c>
      <c r="O35" s="275">
        <f>R23</f>
        <v>171675.78750000003</v>
      </c>
      <c r="P35" s="183">
        <v>1</v>
      </c>
      <c r="Q35" s="140">
        <f t="shared" ref="Q35" si="57">E35</f>
        <v>0.29599999999999999</v>
      </c>
      <c r="R35" s="823">
        <f>O35*P35*Q35</f>
        <v>50816.033100000008</v>
      </c>
      <c r="S35" s="275">
        <f>V23</f>
        <v>0</v>
      </c>
      <c r="T35" s="183">
        <v>1</v>
      </c>
      <c r="U35" s="140">
        <v>0</v>
      </c>
      <c r="V35" s="823">
        <f t="shared" si="53"/>
        <v>0</v>
      </c>
      <c r="W35" s="838">
        <f>F35+J35+N35+R35+V35</f>
        <v>138850.08376666668</v>
      </c>
      <c r="X35" s="137"/>
      <c r="Y35" s="137"/>
      <c r="Z35" s="137"/>
      <c r="AA35" s="137"/>
    </row>
    <row r="36" spans="1:27" s="162" customFormat="1" ht="15" customHeight="1" outlineLevel="1">
      <c r="A36" s="198" t="s">
        <v>83</v>
      </c>
      <c r="B36" s="819" t="str">
        <f>'Program Budget'!F154</f>
        <v>%</v>
      </c>
      <c r="C36" s="276">
        <f>F30</f>
        <v>23720</v>
      </c>
      <c r="D36" s="201">
        <v>1</v>
      </c>
      <c r="E36" s="140">
        <f>'Program Budget'!H154</f>
        <v>0.23469999999999999</v>
      </c>
      <c r="F36" s="827">
        <f>C36*D36*E36</f>
        <v>5567.0839999999998</v>
      </c>
      <c r="G36" s="276">
        <f>J30</f>
        <v>48426</v>
      </c>
      <c r="H36" s="201">
        <v>1</v>
      </c>
      <c r="I36" s="140">
        <f t="shared" ref="I36" si="58">E36</f>
        <v>0.23469999999999999</v>
      </c>
      <c r="J36" s="827">
        <f t="shared" ref="J36" si="59">G36*H36*I36</f>
        <v>11365.582199999999</v>
      </c>
      <c r="K36" s="276">
        <f>N30</f>
        <v>50847.3</v>
      </c>
      <c r="L36" s="201">
        <v>1</v>
      </c>
      <c r="M36" s="140">
        <f t="shared" ref="M36" si="60">E36</f>
        <v>0.23469999999999999</v>
      </c>
      <c r="N36" s="827">
        <f t="shared" ref="N36" si="61">K36*L36*M36</f>
        <v>11933.86131</v>
      </c>
      <c r="O36" s="276">
        <f>R30</f>
        <v>53389.665000000001</v>
      </c>
      <c r="P36" s="201">
        <v>1</v>
      </c>
      <c r="Q36" s="140">
        <f t="shared" ref="Q36" si="62">E36</f>
        <v>0.23469999999999999</v>
      </c>
      <c r="R36" s="827">
        <f t="shared" ref="R36" si="63">O36*P36*Q36</f>
        <v>12530.5543755</v>
      </c>
      <c r="S36" s="276">
        <f>V30</f>
        <v>0</v>
      </c>
      <c r="T36" s="201">
        <v>1</v>
      </c>
      <c r="U36" s="140">
        <v>0</v>
      </c>
      <c r="V36" s="827">
        <f t="shared" ref="V36" si="64">S36*T36*U36</f>
        <v>0</v>
      </c>
      <c r="W36" s="847">
        <f t="shared" ref="W36" si="65">F36+J36+N36+R36+V36</f>
        <v>41397.081885499996</v>
      </c>
      <c r="X36" s="137"/>
      <c r="Y36" s="137"/>
      <c r="Z36" s="137"/>
      <c r="AA36" s="137"/>
    </row>
    <row r="37" spans="1:27" ht="15" customHeight="1" outlineLevel="1">
      <c r="A37" s="175" t="s">
        <v>84</v>
      </c>
      <c r="B37" s="176"/>
      <c r="C37" s="177"/>
      <c r="D37" s="178"/>
      <c r="E37" s="179"/>
      <c r="F37" s="824">
        <f>SUM(F34:F36)</f>
        <v>26319.150666666668</v>
      </c>
      <c r="G37" s="177"/>
      <c r="H37" s="178"/>
      <c r="I37" s="180"/>
      <c r="J37" s="824">
        <f>+SUM(J34:J36)</f>
        <v>44186.062199999993</v>
      </c>
      <c r="K37" s="177"/>
      <c r="L37" s="178"/>
      <c r="M37" s="179"/>
      <c r="N37" s="824">
        <f>+SUM(N34:N36)</f>
        <v>46395.365310000001</v>
      </c>
      <c r="O37" s="177"/>
      <c r="P37" s="178"/>
      <c r="Q37" s="180"/>
      <c r="R37" s="824">
        <f>+SUM(R34:R36)</f>
        <v>63346.587475500011</v>
      </c>
      <c r="S37" s="177"/>
      <c r="T37" s="178"/>
      <c r="U37" s="180"/>
      <c r="V37" s="824">
        <f>+SUM(V34:V36)</f>
        <v>0</v>
      </c>
      <c r="W37" s="844">
        <f>+F37+J37+N37+R37+V37</f>
        <v>180247.16565216667</v>
      </c>
    </row>
    <row r="38" spans="1:27" s="162" customFormat="1" ht="15" customHeight="1" outlineLevel="1">
      <c r="A38" s="163" t="s">
        <v>85</v>
      </c>
      <c r="B38" s="204"/>
      <c r="C38" s="182"/>
      <c r="D38" s="183"/>
      <c r="E38" s="140"/>
      <c r="F38" s="828"/>
      <c r="G38" s="182"/>
      <c r="H38" s="183"/>
      <c r="I38" s="141"/>
      <c r="J38" s="839"/>
      <c r="K38" s="182"/>
      <c r="L38" s="183"/>
      <c r="M38" s="140"/>
      <c r="N38" s="839"/>
      <c r="O38" s="182"/>
      <c r="P38" s="183"/>
      <c r="Q38" s="141"/>
      <c r="R38" s="839"/>
      <c r="S38" s="182"/>
      <c r="T38" s="183"/>
      <c r="U38" s="141"/>
      <c r="V38" s="839"/>
      <c r="W38" s="838">
        <f>+F38+J38+N38+R38+V38</f>
        <v>0</v>
      </c>
      <c r="X38" s="137"/>
      <c r="Y38" s="137"/>
      <c r="Z38" s="137"/>
      <c r="AA38" s="137"/>
    </row>
    <row r="39" spans="1:27" outlineLevel="1">
      <c r="A39" s="166" t="s">
        <v>75</v>
      </c>
      <c r="B39" s="181"/>
      <c r="D39" s="218"/>
      <c r="F39" s="823">
        <f>C39*D39*E39</f>
        <v>0</v>
      </c>
      <c r="H39" s="218"/>
      <c r="I39" s="140"/>
      <c r="J39" s="823">
        <f>G39*H39*I39</f>
        <v>0</v>
      </c>
      <c r="L39" s="218"/>
      <c r="N39" s="823">
        <f>K39*L39*M39</f>
        <v>0</v>
      </c>
      <c r="P39" s="218"/>
      <c r="Q39" s="140"/>
      <c r="R39" s="823">
        <f>O39*P39*Q39</f>
        <v>0</v>
      </c>
      <c r="T39" s="218"/>
      <c r="U39" s="140"/>
      <c r="V39" s="823">
        <f>S39*T39*U39</f>
        <v>0</v>
      </c>
      <c r="W39" s="838">
        <f t="shared" ref="W39" si="66">F39+J39+N39+R39+V39</f>
        <v>0</v>
      </c>
    </row>
    <row r="40" spans="1:27" ht="15" customHeight="1" outlineLevel="1">
      <c r="A40" s="175" t="s">
        <v>86</v>
      </c>
      <c r="B40" s="176"/>
      <c r="C40" s="177"/>
      <c r="D40" s="178"/>
      <c r="E40" s="179"/>
      <c r="F40" s="824">
        <f>SUM(F39:F39)</f>
        <v>0</v>
      </c>
      <c r="G40" s="177"/>
      <c r="H40" s="178"/>
      <c r="I40" s="180"/>
      <c r="J40" s="824">
        <f>SUM(J39:J39)</f>
        <v>0</v>
      </c>
      <c r="K40" s="177"/>
      <c r="L40" s="178"/>
      <c r="M40" s="179"/>
      <c r="N40" s="824">
        <f>SUM(N39:N39)</f>
        <v>0</v>
      </c>
      <c r="O40" s="177"/>
      <c r="P40" s="178"/>
      <c r="Q40" s="180"/>
      <c r="R40" s="824">
        <f>SUM(R39:R39)</f>
        <v>0</v>
      </c>
      <c r="S40" s="177"/>
      <c r="T40" s="178"/>
      <c r="U40" s="180"/>
      <c r="V40" s="824">
        <f>SUM(V39:V39)</f>
        <v>0</v>
      </c>
      <c r="W40" s="844">
        <f>F40+J40+N40+R40+V40</f>
        <v>0</v>
      </c>
    </row>
    <row r="41" spans="1:27" ht="15" customHeight="1" outlineLevel="1">
      <c r="A41" s="277"/>
      <c r="B41" s="199"/>
      <c r="C41" s="278"/>
      <c r="D41" s="279"/>
      <c r="E41" s="202"/>
      <c r="F41" s="851"/>
      <c r="G41" s="278"/>
      <c r="H41" s="279"/>
      <c r="I41" s="261"/>
      <c r="J41" s="851"/>
      <c r="K41" s="278"/>
      <c r="L41" s="279"/>
      <c r="M41" s="202"/>
      <c r="N41" s="851"/>
      <c r="O41" s="278"/>
      <c r="P41" s="279"/>
      <c r="Q41" s="261"/>
      <c r="R41" s="851"/>
      <c r="S41" s="278"/>
      <c r="T41" s="279"/>
      <c r="U41" s="261"/>
      <c r="V41" s="851"/>
      <c r="W41" s="844"/>
    </row>
    <row r="42" spans="1:27" s="212" customFormat="1" ht="18.3" outlineLevel="1">
      <c r="A42" s="206" t="s">
        <v>87</v>
      </c>
      <c r="B42" s="207"/>
      <c r="C42" s="208"/>
      <c r="D42" s="209"/>
      <c r="E42" s="210"/>
      <c r="F42" s="829">
        <f>F40+F37</f>
        <v>26319.150666666668</v>
      </c>
      <c r="G42" s="208"/>
      <c r="H42" s="209"/>
      <c r="I42" s="211"/>
      <c r="J42" s="829">
        <f>J40+J37</f>
        <v>44186.062199999993</v>
      </c>
      <c r="K42" s="208"/>
      <c r="L42" s="209"/>
      <c r="M42" s="210"/>
      <c r="N42" s="829">
        <f>N40+N37</f>
        <v>46395.365310000001</v>
      </c>
      <c r="O42" s="208"/>
      <c r="P42" s="209"/>
      <c r="Q42" s="211"/>
      <c r="R42" s="829">
        <f>R40+R37</f>
        <v>63346.587475500011</v>
      </c>
      <c r="S42" s="208"/>
      <c r="T42" s="209"/>
      <c r="U42" s="211"/>
      <c r="V42" s="829">
        <f>V40+V37</f>
        <v>0</v>
      </c>
      <c r="W42" s="846">
        <f>+F42+J42+N42+R42+V42</f>
        <v>180247.16565216667</v>
      </c>
      <c r="X42" s="194"/>
      <c r="Y42" s="194"/>
      <c r="Z42" s="194"/>
      <c r="AA42" s="194"/>
    </row>
    <row r="43" spans="1:27" s="213" customFormat="1" ht="15.6" outlineLevel="1">
      <c r="A43" s="163" t="s">
        <v>88</v>
      </c>
      <c r="B43" s="164"/>
      <c r="C43" s="138"/>
      <c r="D43" s="139"/>
      <c r="E43" s="158"/>
      <c r="F43" s="823"/>
      <c r="G43" s="138"/>
      <c r="H43" s="139"/>
      <c r="I43" s="160"/>
      <c r="J43" s="823"/>
      <c r="K43" s="138"/>
      <c r="L43" s="139"/>
      <c r="M43" s="158"/>
      <c r="N43" s="823"/>
      <c r="O43" s="138"/>
      <c r="P43" s="139"/>
      <c r="Q43" s="160"/>
      <c r="R43" s="823"/>
      <c r="S43" s="138"/>
      <c r="T43" s="139"/>
      <c r="U43" s="160"/>
      <c r="V43" s="823"/>
      <c r="W43" s="838"/>
      <c r="X43" s="137"/>
      <c r="Y43" s="137"/>
      <c r="Z43" s="137"/>
      <c r="AA43" s="137"/>
    </row>
    <row r="44" spans="1:27" ht="15" customHeight="1" outlineLevel="1">
      <c r="A44" s="166" t="s">
        <v>75</v>
      </c>
      <c r="B44" s="819"/>
      <c r="D44" s="225"/>
      <c r="F44" s="823">
        <f>C44*D44*E44</f>
        <v>0</v>
      </c>
      <c r="H44" s="225"/>
      <c r="I44" s="140"/>
      <c r="J44" s="823">
        <f>G44*H44*I44</f>
        <v>0</v>
      </c>
      <c r="L44" s="225"/>
      <c r="N44" s="823">
        <f>K44*L44*M44</f>
        <v>0</v>
      </c>
      <c r="P44" s="225"/>
      <c r="Q44" s="140"/>
      <c r="R44" s="823">
        <f>O44*P44*Q44</f>
        <v>0</v>
      </c>
      <c r="T44" s="225"/>
      <c r="U44" s="140"/>
      <c r="V44" s="823">
        <f>S44*T44*U44</f>
        <v>0</v>
      </c>
      <c r="W44" s="838">
        <f>F44+J44+N44+R44+V44</f>
        <v>0</v>
      </c>
    </row>
    <row r="45" spans="1:27" s="213" customFormat="1" ht="15.6" outlineLevel="1">
      <c r="A45" s="163" t="s">
        <v>89</v>
      </c>
      <c r="B45" s="164"/>
      <c r="C45" s="138"/>
      <c r="D45" s="139"/>
      <c r="E45" s="158"/>
      <c r="F45" s="823"/>
      <c r="G45" s="138"/>
      <c r="H45" s="139"/>
      <c r="I45" s="158"/>
      <c r="J45" s="823"/>
      <c r="K45" s="138"/>
      <c r="L45" s="139"/>
      <c r="M45" s="158"/>
      <c r="N45" s="823"/>
      <c r="O45" s="138"/>
      <c r="P45" s="139"/>
      <c r="Q45" s="158"/>
      <c r="R45" s="823"/>
      <c r="S45" s="138"/>
      <c r="T45" s="139"/>
      <c r="U45" s="158"/>
      <c r="V45" s="823"/>
      <c r="W45" s="838"/>
      <c r="X45" s="137"/>
      <c r="Y45" s="137"/>
      <c r="Z45" s="137"/>
      <c r="AA45" s="137"/>
    </row>
    <row r="46" spans="1:27" ht="15" customHeight="1" outlineLevel="1">
      <c r="A46" s="166" t="str">
        <f>'Program Budget'!D168</f>
        <v>Local Transportation (Taxis/Ubers)  for Project Implementation</v>
      </c>
      <c r="B46" s="167" t="str">
        <f>'Program Budget'!F168</f>
        <v>Month</v>
      </c>
      <c r="C46" s="168">
        <f>'Program Budget'!H168</f>
        <v>300</v>
      </c>
      <c r="D46" s="169">
        <f>'Program Budget'!G168</f>
        <v>6</v>
      </c>
      <c r="E46" s="170">
        <v>1</v>
      </c>
      <c r="F46" s="823">
        <f t="shared" ref="F46" si="67">C46*D46*E46</f>
        <v>1800</v>
      </c>
      <c r="G46" s="168">
        <f>C46*1.05</f>
        <v>315</v>
      </c>
      <c r="H46" s="169">
        <f>'Program Budget'!K168</f>
        <v>12</v>
      </c>
      <c r="I46" s="170">
        <v>1</v>
      </c>
      <c r="J46" s="823">
        <f t="shared" ref="J46" si="68">G46*H46*I46</f>
        <v>3780</v>
      </c>
      <c r="K46" s="168">
        <f>G46*1.05</f>
        <v>330.75</v>
      </c>
      <c r="L46" s="169">
        <f>'Program Budget'!N168</f>
        <v>12</v>
      </c>
      <c r="M46" s="170">
        <v>1</v>
      </c>
      <c r="N46" s="823">
        <f t="shared" ref="N46" si="69">K46*L46*M46</f>
        <v>3969</v>
      </c>
      <c r="O46" s="168">
        <f>K46*1.05</f>
        <v>347.28750000000002</v>
      </c>
      <c r="P46" s="169">
        <f>'Program Budget'!Q168</f>
        <v>12</v>
      </c>
      <c r="Q46" s="170">
        <v>1</v>
      </c>
      <c r="R46" s="823">
        <f t="shared" ref="R46" si="70">O46*P46*Q46</f>
        <v>4167.4500000000007</v>
      </c>
      <c r="S46" s="168">
        <f>O46*1.05</f>
        <v>364.65187500000002</v>
      </c>
      <c r="T46" s="169">
        <f>'Program Budget'!T168</f>
        <v>0</v>
      </c>
      <c r="U46" s="170">
        <v>0</v>
      </c>
      <c r="V46" s="823">
        <f t="shared" ref="V46" si="71">S46*T46*U46</f>
        <v>0</v>
      </c>
      <c r="W46" s="838">
        <f t="shared" ref="W46" si="72">F46+J46+N46+R46+V46</f>
        <v>13716.45</v>
      </c>
      <c r="X46" s="173"/>
      <c r="Y46" s="161"/>
      <c r="Z46" s="174"/>
      <c r="AA46" s="174"/>
    </row>
    <row r="47" spans="1:27" ht="15" customHeight="1" outlineLevel="1">
      <c r="A47" s="166" t="str">
        <f>'Program Budget'!D169</f>
        <v>Roundtrip Domestic Airfare - Lagos to Implementing Regions for Trainings on Activity 1</v>
      </c>
      <c r="B47" s="167" t="str">
        <f>'Program Budget'!F169</f>
        <v>Trip</v>
      </c>
      <c r="C47" s="168">
        <f>'Program Budget'!H169</f>
        <v>250</v>
      </c>
      <c r="D47" s="169">
        <f>'Program Budget'!G169</f>
        <v>12</v>
      </c>
      <c r="E47" s="170">
        <v>1</v>
      </c>
      <c r="F47" s="823">
        <f>C47*D47*E47</f>
        <v>3000</v>
      </c>
      <c r="G47" s="168">
        <f>C47*1.05</f>
        <v>262.5</v>
      </c>
      <c r="H47" s="169">
        <f>'Program Budget'!K169</f>
        <v>24</v>
      </c>
      <c r="I47" s="170">
        <v>1</v>
      </c>
      <c r="J47" s="823">
        <f>G47*H47*I47</f>
        <v>6300</v>
      </c>
      <c r="K47" s="168">
        <f>G47*1.05</f>
        <v>275.625</v>
      </c>
      <c r="L47" s="169">
        <f>'Program Budget'!N169</f>
        <v>24</v>
      </c>
      <c r="M47" s="170">
        <v>1</v>
      </c>
      <c r="N47" s="823">
        <f>K47*L47*M47</f>
        <v>6615</v>
      </c>
      <c r="O47" s="168">
        <f>K47*1.05</f>
        <v>289.40625</v>
      </c>
      <c r="P47" s="169">
        <f>'Program Budget'!Q169</f>
        <v>24</v>
      </c>
      <c r="Q47" s="170">
        <v>1</v>
      </c>
      <c r="R47" s="823">
        <f>O47*P47*Q47</f>
        <v>6945.75</v>
      </c>
      <c r="S47" s="168">
        <f>O47*1.05</f>
        <v>303.87656250000003</v>
      </c>
      <c r="T47" s="169">
        <f>'Program Budget'!T169</f>
        <v>0</v>
      </c>
      <c r="U47" s="170">
        <v>0</v>
      </c>
      <c r="V47" s="823">
        <f>S47*T47*U47</f>
        <v>0</v>
      </c>
      <c r="W47" s="838">
        <f>F47+J47+N47+R47+V47</f>
        <v>22860.75</v>
      </c>
      <c r="X47" s="173"/>
      <c r="Y47" s="161"/>
      <c r="Z47" s="174"/>
      <c r="AA47" s="174"/>
    </row>
    <row r="48" spans="1:27" ht="15" customHeight="1" outlineLevel="1">
      <c r="A48" s="166" t="str">
        <f>'Program Budget'!D170</f>
        <v>Local Transportation (Car Rental, Taxis) for Trainings on Activity 1</v>
      </c>
      <c r="B48" s="167" t="str">
        <f>'Program Budget'!F170</f>
        <v>Trip</v>
      </c>
      <c r="C48" s="168">
        <f>'Program Budget'!H170</f>
        <v>30</v>
      </c>
      <c r="D48" s="169">
        <f>'Program Budget'!G170</f>
        <v>12</v>
      </c>
      <c r="E48" s="170">
        <v>1</v>
      </c>
      <c r="F48" s="823">
        <f>C48*D48*E48</f>
        <v>360</v>
      </c>
      <c r="G48" s="168">
        <f>C48*1.05</f>
        <v>31.5</v>
      </c>
      <c r="H48" s="169">
        <f>'Program Budget'!K170</f>
        <v>24</v>
      </c>
      <c r="I48" s="170">
        <v>1</v>
      </c>
      <c r="J48" s="823">
        <f>G48*H48*I48</f>
        <v>756</v>
      </c>
      <c r="K48" s="168">
        <f>G48*1.05</f>
        <v>33.075000000000003</v>
      </c>
      <c r="L48" s="169">
        <f>'Program Budget'!N170</f>
        <v>24</v>
      </c>
      <c r="M48" s="170">
        <v>1</v>
      </c>
      <c r="N48" s="823">
        <f>K48*L48*M48</f>
        <v>793.80000000000007</v>
      </c>
      <c r="O48" s="168">
        <f>K48*1.05</f>
        <v>34.728750000000005</v>
      </c>
      <c r="P48" s="169">
        <f>'Program Budget'!Q170</f>
        <v>24</v>
      </c>
      <c r="Q48" s="170">
        <v>1</v>
      </c>
      <c r="R48" s="823">
        <f>O48*P48*Q48</f>
        <v>833.49000000000012</v>
      </c>
      <c r="S48" s="168">
        <f>O48*1.05</f>
        <v>36.465187500000006</v>
      </c>
      <c r="T48" s="169">
        <f>'Program Budget'!T170</f>
        <v>0</v>
      </c>
      <c r="U48" s="170">
        <v>0</v>
      </c>
      <c r="V48" s="823">
        <f>S48*T48*U48</f>
        <v>0</v>
      </c>
      <c r="W48" s="838">
        <f>F48+J48+N48+R48+V48</f>
        <v>2743.2900000000004</v>
      </c>
      <c r="X48" s="173"/>
      <c r="Y48" s="161"/>
      <c r="Z48" s="174"/>
      <c r="AA48" s="174"/>
    </row>
    <row r="49" spans="1:27" s="213" customFormat="1" ht="15.6" outlineLevel="1">
      <c r="A49" s="163" t="s">
        <v>90</v>
      </c>
      <c r="B49" s="181"/>
      <c r="C49" s="138"/>
      <c r="D49" s="139"/>
      <c r="E49" s="140"/>
      <c r="F49" s="823"/>
      <c r="G49" s="168"/>
      <c r="H49" s="139"/>
      <c r="I49" s="140"/>
      <c r="J49" s="823"/>
      <c r="K49" s="168"/>
      <c r="L49" s="139"/>
      <c r="M49" s="140"/>
      <c r="N49" s="823"/>
      <c r="O49" s="168"/>
      <c r="P49" s="139"/>
      <c r="Q49" s="140"/>
      <c r="R49" s="823"/>
      <c r="S49" s="168"/>
      <c r="T49" s="139"/>
      <c r="U49" s="140"/>
      <c r="V49" s="823"/>
      <c r="W49" s="838"/>
      <c r="X49" s="137"/>
      <c r="Y49" s="137"/>
      <c r="Z49" s="137"/>
      <c r="AA49" s="137"/>
    </row>
    <row r="50" spans="1:27" ht="15" customHeight="1" outlineLevel="1">
      <c r="A50" s="166" t="str">
        <f>'Program Budget'!D167</f>
        <v>Vehicle Fuel Expense (for Field Office Vehicle)</v>
      </c>
      <c r="B50" s="167" t="str">
        <f>'Program Budget'!F167</f>
        <v>Month</v>
      </c>
      <c r="C50" s="168">
        <f>'Program Budget'!H167</f>
        <v>60</v>
      </c>
      <c r="D50" s="169">
        <f>'Program Budget'!G167</f>
        <v>3</v>
      </c>
      <c r="E50" s="170">
        <v>1</v>
      </c>
      <c r="F50" s="823">
        <f t="shared" ref="F50" si="73">C50*D50*E50</f>
        <v>180</v>
      </c>
      <c r="G50" s="168">
        <f>C50*1.05</f>
        <v>63</v>
      </c>
      <c r="H50" s="169">
        <f>'Program Budget'!K167</f>
        <v>12</v>
      </c>
      <c r="I50" s="170">
        <v>1</v>
      </c>
      <c r="J50" s="823">
        <f t="shared" ref="J50" si="74">G50*H50*I50</f>
        <v>756</v>
      </c>
      <c r="K50" s="168">
        <f>G50*1.05</f>
        <v>66.150000000000006</v>
      </c>
      <c r="L50" s="169">
        <f>'Program Budget'!N167</f>
        <v>12</v>
      </c>
      <c r="M50" s="170">
        <v>1</v>
      </c>
      <c r="N50" s="823">
        <f t="shared" ref="N50" si="75">K50*L50*M50</f>
        <v>793.80000000000007</v>
      </c>
      <c r="O50" s="168">
        <f>K50*1.05</f>
        <v>69.45750000000001</v>
      </c>
      <c r="P50" s="169">
        <f>'Program Budget'!Q167</f>
        <v>12</v>
      </c>
      <c r="Q50" s="170">
        <v>1</v>
      </c>
      <c r="R50" s="823">
        <f t="shared" ref="R50" si="76">O50*P50*Q50</f>
        <v>833.49000000000012</v>
      </c>
      <c r="S50" s="168">
        <f>O50*1.05</f>
        <v>72.930375000000012</v>
      </c>
      <c r="T50" s="169">
        <f>'Program Budget'!T167</f>
        <v>0</v>
      </c>
      <c r="U50" s="170">
        <v>0</v>
      </c>
      <c r="V50" s="823">
        <f t="shared" ref="V50" si="77">S50*T50*U50</f>
        <v>0</v>
      </c>
      <c r="W50" s="838">
        <f t="shared" ref="W50" si="78">F50+J50+N50+R50+V50</f>
        <v>2563.2900000000004</v>
      </c>
      <c r="X50" s="173"/>
      <c r="Y50" s="161"/>
      <c r="Z50" s="174"/>
      <c r="AA50" s="174"/>
    </row>
    <row r="51" spans="1:27" s="213" customFormat="1" ht="15" customHeight="1" outlineLevel="1">
      <c r="A51" s="163" t="s">
        <v>91</v>
      </c>
      <c r="B51" s="181"/>
      <c r="C51" s="138"/>
      <c r="D51" s="139"/>
      <c r="E51" s="140"/>
      <c r="F51" s="823"/>
      <c r="G51" s="168"/>
      <c r="H51" s="139"/>
      <c r="I51" s="140"/>
      <c r="J51" s="823"/>
      <c r="K51" s="168"/>
      <c r="L51" s="139"/>
      <c r="M51" s="140"/>
      <c r="N51" s="823"/>
      <c r="O51" s="168"/>
      <c r="P51" s="139"/>
      <c r="Q51" s="140"/>
      <c r="R51" s="823"/>
      <c r="S51" s="168"/>
      <c r="T51" s="139"/>
      <c r="U51" s="140"/>
      <c r="V51" s="823"/>
      <c r="W51" s="838"/>
      <c r="X51" s="137"/>
      <c r="Y51" s="137"/>
      <c r="Z51" s="137"/>
      <c r="AA51" s="137"/>
    </row>
    <row r="52" spans="1:27" ht="15" customHeight="1" outlineLevel="1">
      <c r="A52" s="166" t="str">
        <f>'Program Budget'!D171</f>
        <v>Lodging and M&amp;IE for Trainings on Activity 1</v>
      </c>
      <c r="B52" s="167" t="str">
        <f>'Program Budget'!F171</f>
        <v>Day</v>
      </c>
      <c r="C52" s="168">
        <f>'Program Budget'!H171</f>
        <v>145.5</v>
      </c>
      <c r="D52" s="168">
        <f>'Program Budget'!G171</f>
        <v>36</v>
      </c>
      <c r="E52" s="170">
        <v>1</v>
      </c>
      <c r="F52" s="823">
        <f t="shared" ref="F52" si="79">C52*D52*E52</f>
        <v>5238</v>
      </c>
      <c r="G52" s="168">
        <f t="shared" ref="G52" si="80">C52*1.05</f>
        <v>152.77500000000001</v>
      </c>
      <c r="H52" s="169">
        <f>'Program Budget'!K171</f>
        <v>72</v>
      </c>
      <c r="I52" s="170">
        <v>1</v>
      </c>
      <c r="J52" s="823">
        <f t="shared" ref="J52" si="81">G52*H52*I52</f>
        <v>10999.800000000001</v>
      </c>
      <c r="K52" s="168">
        <f t="shared" ref="K52" si="82">G52*1.05</f>
        <v>160.41375000000002</v>
      </c>
      <c r="L52" s="169">
        <f>'Program Budget'!N171</f>
        <v>72</v>
      </c>
      <c r="M52" s="170">
        <v>1</v>
      </c>
      <c r="N52" s="823">
        <f t="shared" ref="N52" si="83">K52*L52*M52</f>
        <v>11549.79</v>
      </c>
      <c r="O52" s="168">
        <f t="shared" ref="O52" si="84">K52*1.05</f>
        <v>168.43443750000003</v>
      </c>
      <c r="P52" s="169">
        <f>'Program Budget'!Q171</f>
        <v>72</v>
      </c>
      <c r="Q52" s="170">
        <v>1</v>
      </c>
      <c r="R52" s="823">
        <f t="shared" ref="R52" si="85">O52*P52*Q52</f>
        <v>12127.279500000002</v>
      </c>
      <c r="S52" s="168">
        <f t="shared" ref="S52" si="86">O52*1.05</f>
        <v>176.85615937500003</v>
      </c>
      <c r="T52" s="169">
        <f>'Program Budget'!T171</f>
        <v>0</v>
      </c>
      <c r="U52" s="170">
        <v>0</v>
      </c>
      <c r="V52" s="823">
        <f t="shared" ref="V52" si="87">S52*T52*U52</f>
        <v>0</v>
      </c>
      <c r="W52" s="838">
        <f>F52+J52+N52+R52+V52</f>
        <v>39914.869500000008</v>
      </c>
      <c r="X52" s="173"/>
      <c r="Y52" s="161"/>
      <c r="Z52" s="174"/>
      <c r="AA52" s="174"/>
    </row>
    <row r="53" spans="1:27" ht="15" customHeight="1" outlineLevel="1">
      <c r="A53" s="166"/>
      <c r="B53" s="167"/>
      <c r="C53" s="168"/>
      <c r="D53" s="169"/>
      <c r="E53" s="170"/>
      <c r="F53" s="823"/>
      <c r="G53" s="168"/>
      <c r="H53" s="169"/>
      <c r="I53" s="170"/>
      <c r="J53" s="823"/>
      <c r="K53" s="168"/>
      <c r="L53" s="169"/>
      <c r="M53" s="170"/>
      <c r="N53" s="823"/>
      <c r="O53" s="168"/>
      <c r="P53" s="169"/>
      <c r="Q53" s="170"/>
      <c r="R53" s="823"/>
      <c r="S53" s="168"/>
      <c r="T53" s="169"/>
      <c r="U53" s="170"/>
      <c r="V53" s="823"/>
      <c r="W53" s="838"/>
      <c r="X53" s="173"/>
      <c r="Y53" s="161"/>
      <c r="Z53" s="174"/>
      <c r="AA53" s="174"/>
    </row>
    <row r="54" spans="1:27" ht="18.3">
      <c r="A54" s="214" t="s">
        <v>92</v>
      </c>
      <c r="B54" s="188"/>
      <c r="C54" s="189"/>
      <c r="D54" s="215"/>
      <c r="E54" s="216"/>
      <c r="F54" s="826">
        <f>SUM(F43:F53)</f>
        <v>10578</v>
      </c>
      <c r="G54" s="189"/>
      <c r="H54" s="215"/>
      <c r="I54" s="192"/>
      <c r="J54" s="826">
        <f>SUM(J43:J53)</f>
        <v>22591.800000000003</v>
      </c>
      <c r="K54" s="189"/>
      <c r="L54" s="215"/>
      <c r="M54" s="216"/>
      <c r="N54" s="826">
        <f>SUM(N43:N53)</f>
        <v>23721.39</v>
      </c>
      <c r="O54" s="189"/>
      <c r="P54" s="215"/>
      <c r="Q54" s="192"/>
      <c r="R54" s="826">
        <f>SUM(R43:R53)</f>
        <v>24907.459500000004</v>
      </c>
      <c r="S54" s="189"/>
      <c r="T54" s="215"/>
      <c r="U54" s="192"/>
      <c r="V54" s="826">
        <f>SUM(V43:V53)</f>
        <v>0</v>
      </c>
      <c r="W54" s="826">
        <f>SUM(W43:W53)</f>
        <v>81798.6495</v>
      </c>
      <c r="X54" s="143"/>
      <c r="Y54" s="143"/>
      <c r="Z54" s="143"/>
      <c r="AA54" s="143"/>
    </row>
    <row r="55" spans="1:27" ht="15.6" outlineLevel="1">
      <c r="A55" s="163" t="s">
        <v>30</v>
      </c>
      <c r="B55" s="217"/>
      <c r="D55" s="218"/>
      <c r="E55" s="219"/>
      <c r="F55" s="828"/>
      <c r="H55" s="218"/>
      <c r="I55" s="220"/>
      <c r="J55" s="839"/>
      <c r="L55" s="218"/>
      <c r="M55" s="219"/>
      <c r="N55" s="839"/>
      <c r="P55" s="218"/>
      <c r="Q55" s="220"/>
      <c r="R55" s="839"/>
      <c r="T55" s="218"/>
      <c r="U55" s="220"/>
      <c r="V55" s="839"/>
      <c r="W55" s="838"/>
    </row>
    <row r="56" spans="1:27" ht="15.6" outlineLevel="1">
      <c r="A56" s="221" t="str">
        <f>'Program Budget'!D158</f>
        <v>Contract for Nation-wide Poultry Consumption Campaign</v>
      </c>
      <c r="B56" s="167" t="str">
        <f>'Program Budget'!F158</f>
        <v>Year</v>
      </c>
      <c r="C56" s="168">
        <f>'Program Budget'!H158</f>
        <v>160000</v>
      </c>
      <c r="D56" s="169">
        <f>'Program Budget'!G158</f>
        <v>0</v>
      </c>
      <c r="E56" s="170">
        <v>1</v>
      </c>
      <c r="F56" s="823">
        <f>C56*D56*E56</f>
        <v>0</v>
      </c>
      <c r="G56" s="168">
        <f>C56</f>
        <v>160000</v>
      </c>
      <c r="H56" s="169">
        <f>'Program Budget'!K158</f>
        <v>0.5</v>
      </c>
      <c r="I56" s="170">
        <v>1</v>
      </c>
      <c r="J56" s="823">
        <f>G56*H56*I56</f>
        <v>80000</v>
      </c>
      <c r="K56" s="168">
        <f>G56</f>
        <v>160000</v>
      </c>
      <c r="L56" s="169">
        <f>'Program Budget'!N158</f>
        <v>1</v>
      </c>
      <c r="M56" s="170">
        <v>1</v>
      </c>
      <c r="N56" s="823">
        <f>K56*L56*M56</f>
        <v>160000</v>
      </c>
      <c r="O56" s="168">
        <f>K56</f>
        <v>160000</v>
      </c>
      <c r="P56" s="169">
        <f>'Program Budget'!Q158</f>
        <v>1</v>
      </c>
      <c r="Q56" s="170">
        <v>1</v>
      </c>
      <c r="R56" s="823">
        <f>O56*P56*Q56</f>
        <v>160000</v>
      </c>
      <c r="S56" s="168">
        <f>O56</f>
        <v>160000</v>
      </c>
      <c r="T56" s="169">
        <f>'Program Budget'!T158</f>
        <v>0</v>
      </c>
      <c r="U56" s="170">
        <v>0</v>
      </c>
      <c r="V56" s="823">
        <f>S56*T56*U56</f>
        <v>0</v>
      </c>
      <c r="W56" s="838">
        <f>F56+J56+N56+R56+V56</f>
        <v>400000</v>
      </c>
    </row>
    <row r="57" spans="1:27" ht="15.6" outlineLevel="1">
      <c r="A57" s="221" t="str">
        <f>'Program Budget'!D159</f>
        <v>Security Services, Risk Assessments, &amp; Security Assessment</v>
      </c>
      <c r="B57" s="167" t="str">
        <f>'Program Budget'!F159</f>
        <v>Year</v>
      </c>
      <c r="C57" s="168">
        <f>'Program Budget'!H159</f>
        <v>2000</v>
      </c>
      <c r="D57" s="169">
        <f>'Program Budget'!G159</f>
        <v>1</v>
      </c>
      <c r="E57" s="170">
        <v>1</v>
      </c>
      <c r="F57" s="823">
        <f t="shared" ref="F57" si="88">C57*D57*E57</f>
        <v>2000</v>
      </c>
      <c r="G57" s="168">
        <f t="shared" ref="G57" si="89">C57</f>
        <v>2000</v>
      </c>
      <c r="H57" s="169">
        <f>'Program Budget'!K159</f>
        <v>1</v>
      </c>
      <c r="I57" s="170">
        <v>1</v>
      </c>
      <c r="J57" s="823">
        <f t="shared" ref="J57" si="90">G57*H57*I57</f>
        <v>2000</v>
      </c>
      <c r="K57" s="168">
        <f t="shared" ref="K57" si="91">G57</f>
        <v>2000</v>
      </c>
      <c r="L57" s="169">
        <f>'Program Budget'!N159</f>
        <v>1</v>
      </c>
      <c r="M57" s="170">
        <v>1</v>
      </c>
      <c r="N57" s="823">
        <f t="shared" ref="N57" si="92">K57*L57*M57</f>
        <v>2000</v>
      </c>
      <c r="O57" s="168">
        <f t="shared" ref="O57" si="93">K57</f>
        <v>2000</v>
      </c>
      <c r="P57" s="169">
        <f>'Program Budget'!Q159</f>
        <v>1</v>
      </c>
      <c r="Q57" s="170">
        <v>1</v>
      </c>
      <c r="R57" s="823">
        <f t="shared" ref="R57" si="94">O57*P57*Q57</f>
        <v>2000</v>
      </c>
      <c r="S57" s="168">
        <f t="shared" ref="S57" si="95">O57</f>
        <v>2000</v>
      </c>
      <c r="T57" s="169">
        <f>'Program Budget'!T159</f>
        <v>0</v>
      </c>
      <c r="U57" s="170">
        <v>0</v>
      </c>
      <c r="V57" s="823">
        <f t="shared" ref="V57" si="96">S57*T57*U57</f>
        <v>0</v>
      </c>
      <c r="W57" s="838">
        <f t="shared" ref="W57" si="97">F57+J57+N57+R57+V57</f>
        <v>8000</v>
      </c>
    </row>
    <row r="58" spans="1:27" ht="18.3" outlineLevel="1">
      <c r="A58" s="214" t="s">
        <v>93</v>
      </c>
      <c r="B58" s="188"/>
      <c r="C58" s="189"/>
      <c r="D58" s="215"/>
      <c r="E58" s="216"/>
      <c r="F58" s="826">
        <f>SUM(F56:F57)</f>
        <v>2000</v>
      </c>
      <c r="G58" s="189"/>
      <c r="H58" s="215"/>
      <c r="I58" s="192"/>
      <c r="J58" s="826">
        <f>SUM(J56:J57)</f>
        <v>82000</v>
      </c>
      <c r="K58" s="189"/>
      <c r="L58" s="215"/>
      <c r="M58" s="216"/>
      <c r="N58" s="826">
        <f>SUM(N56:N57)</f>
        <v>162000</v>
      </c>
      <c r="O58" s="189"/>
      <c r="P58" s="215"/>
      <c r="Q58" s="192"/>
      <c r="R58" s="826">
        <f>SUM(R56:R57)</f>
        <v>162000</v>
      </c>
      <c r="S58" s="189"/>
      <c r="T58" s="215"/>
      <c r="U58" s="192"/>
      <c r="V58" s="826">
        <f>SUM(V56:V57)</f>
        <v>0</v>
      </c>
      <c r="W58" s="846">
        <f>+F58+J58+N58+R58+V58</f>
        <v>408000</v>
      </c>
    </row>
    <row r="59" spans="1:27" ht="15.6" outlineLevel="1">
      <c r="A59" s="163" t="s">
        <v>94</v>
      </c>
      <c r="B59" s="224"/>
      <c r="D59" s="218"/>
      <c r="F59" s="823"/>
      <c r="H59" s="218"/>
      <c r="J59" s="838"/>
      <c r="L59" s="218"/>
      <c r="N59" s="838"/>
      <c r="P59" s="218"/>
      <c r="R59" s="838"/>
      <c r="T59" s="218"/>
      <c r="V59" s="838"/>
      <c r="W59" s="838"/>
    </row>
    <row r="60" spans="1:27" outlineLevel="1">
      <c r="A60" s="166" t="s">
        <v>75</v>
      </c>
      <c r="B60" s="181"/>
      <c r="D60" s="225"/>
      <c r="F60" s="823">
        <f>C60*D60*E60</f>
        <v>0</v>
      </c>
      <c r="H60" s="225"/>
      <c r="I60" s="140"/>
      <c r="J60" s="823">
        <f t="shared" ref="J60" si="98">G60*H60*I60</f>
        <v>0</v>
      </c>
      <c r="L60" s="225"/>
      <c r="N60" s="823">
        <f t="shared" ref="N60" si="99">K60*L60*M60</f>
        <v>0</v>
      </c>
      <c r="P60" s="225"/>
      <c r="Q60" s="140"/>
      <c r="R60" s="823">
        <f t="shared" ref="R60" si="100">O60*P60*Q60</f>
        <v>0</v>
      </c>
      <c r="T60" s="225"/>
      <c r="U60" s="140"/>
      <c r="V60" s="823">
        <f t="shared" ref="V60" si="101">S60*T60*U60</f>
        <v>0</v>
      </c>
      <c r="W60" s="838">
        <f t="shared" ref="W60" si="102">F60+J60+N60+R60+V60</f>
        <v>0</v>
      </c>
    </row>
    <row r="61" spans="1:27" ht="18.3" outlineLevel="1">
      <c r="A61" s="214" t="s">
        <v>95</v>
      </c>
      <c r="B61" s="188"/>
      <c r="C61" s="189"/>
      <c r="D61" s="215"/>
      <c r="E61" s="216"/>
      <c r="F61" s="826">
        <f>SUM(F60:F60)</f>
        <v>0</v>
      </c>
      <c r="G61" s="189"/>
      <c r="H61" s="215"/>
      <c r="I61" s="192"/>
      <c r="J61" s="826">
        <f>SUM(J60:J60)</f>
        <v>0</v>
      </c>
      <c r="K61" s="189"/>
      <c r="L61" s="215"/>
      <c r="M61" s="216"/>
      <c r="N61" s="826">
        <f>SUM(N60:N60)</f>
        <v>0</v>
      </c>
      <c r="O61" s="189"/>
      <c r="P61" s="215"/>
      <c r="Q61" s="192"/>
      <c r="R61" s="826">
        <f>SUM(R60:R60)</f>
        <v>0</v>
      </c>
      <c r="S61" s="189"/>
      <c r="T61" s="215"/>
      <c r="U61" s="192"/>
      <c r="V61" s="826">
        <f>SUM(V60:V60)</f>
        <v>0</v>
      </c>
      <c r="W61" s="846">
        <f>+F61+J61+N61+R61+V61</f>
        <v>0</v>
      </c>
    </row>
    <row r="62" spans="1:27" ht="15.6" outlineLevel="1">
      <c r="A62" s="163" t="s">
        <v>32</v>
      </c>
      <c r="B62" s="181"/>
      <c r="D62" s="218"/>
      <c r="F62" s="823"/>
      <c r="H62" s="218"/>
      <c r="I62" s="140"/>
      <c r="J62" s="823"/>
      <c r="L62" s="218"/>
      <c r="N62" s="823"/>
      <c r="P62" s="218"/>
      <c r="Q62" s="140"/>
      <c r="R62" s="823"/>
      <c r="T62" s="218"/>
      <c r="U62" s="140"/>
      <c r="V62" s="823"/>
      <c r="W62" s="838"/>
    </row>
    <row r="63" spans="1:27" outlineLevel="1">
      <c r="A63" s="166" t="s">
        <v>75</v>
      </c>
      <c r="B63" s="181"/>
      <c r="D63" s="218"/>
      <c r="F63" s="823">
        <f>C63*D63*E63</f>
        <v>0</v>
      </c>
      <c r="H63" s="218"/>
      <c r="I63" s="140"/>
      <c r="J63" s="823">
        <f>G63*H63*I63</f>
        <v>0</v>
      </c>
      <c r="L63" s="218"/>
      <c r="N63" s="823">
        <f>K63*L63*M63</f>
        <v>0</v>
      </c>
      <c r="P63" s="218"/>
      <c r="Q63" s="140"/>
      <c r="R63" s="823">
        <f>O63*P63*Q63</f>
        <v>0</v>
      </c>
      <c r="T63" s="218"/>
      <c r="U63" s="140"/>
      <c r="V63" s="823">
        <f>S63*T63*U63</f>
        <v>0</v>
      </c>
      <c r="W63" s="838">
        <f t="shared" ref="W63" si="103">F63+J63+N63+R63+V63</f>
        <v>0</v>
      </c>
    </row>
    <row r="64" spans="1:27" ht="18.3" outlineLevel="1">
      <c r="A64" s="214" t="s">
        <v>98</v>
      </c>
      <c r="B64" s="188"/>
      <c r="C64" s="189"/>
      <c r="D64" s="215"/>
      <c r="E64" s="216"/>
      <c r="F64" s="826">
        <f>SUM(F60:F60)</f>
        <v>0</v>
      </c>
      <c r="G64" s="189"/>
      <c r="H64" s="215"/>
      <c r="I64" s="192"/>
      <c r="J64" s="826">
        <f>SUM(J60:J60)</f>
        <v>0</v>
      </c>
      <c r="K64" s="189"/>
      <c r="L64" s="215"/>
      <c r="M64" s="216"/>
      <c r="N64" s="826">
        <f>SUM(N60:N60)</f>
        <v>0</v>
      </c>
      <c r="O64" s="189"/>
      <c r="P64" s="215"/>
      <c r="Q64" s="192"/>
      <c r="R64" s="826">
        <f>SUM(R60:R60)</f>
        <v>0</v>
      </c>
      <c r="S64" s="189"/>
      <c r="T64" s="215"/>
      <c r="U64" s="192"/>
      <c r="V64" s="826">
        <f>SUM(V60:V60)</f>
        <v>0</v>
      </c>
      <c r="W64" s="846">
        <f>+F64+J64+N64+R64+V64</f>
        <v>0</v>
      </c>
    </row>
    <row r="65" spans="1:23" ht="15.6" outlineLevel="1">
      <c r="A65" s="163" t="s">
        <v>33</v>
      </c>
      <c r="B65" s="217"/>
      <c r="D65" s="218"/>
      <c r="E65" s="219"/>
      <c r="F65" s="828"/>
      <c r="H65" s="218"/>
      <c r="I65" s="220"/>
      <c r="J65" s="839"/>
      <c r="L65" s="218"/>
      <c r="M65" s="219"/>
      <c r="N65" s="839"/>
      <c r="P65" s="218"/>
      <c r="Q65" s="220"/>
      <c r="R65" s="839"/>
      <c r="T65" s="218"/>
      <c r="U65" s="220"/>
      <c r="V65" s="839"/>
      <c r="W65" s="838"/>
    </row>
    <row r="66" spans="1:23" outlineLevel="1">
      <c r="A66" s="166" t="s">
        <v>75</v>
      </c>
      <c r="B66" s="181"/>
      <c r="D66" s="218"/>
      <c r="F66" s="823">
        <f>C66*D66*E66</f>
        <v>0</v>
      </c>
      <c r="H66" s="218"/>
      <c r="I66" s="140"/>
      <c r="J66" s="823">
        <f>G66*H66*I66</f>
        <v>0</v>
      </c>
      <c r="L66" s="218"/>
      <c r="N66" s="823">
        <f>K66*L66*M66</f>
        <v>0</v>
      </c>
      <c r="P66" s="218"/>
      <c r="Q66" s="140"/>
      <c r="R66" s="823">
        <f>O66*P66*Q66</f>
        <v>0</v>
      </c>
      <c r="T66" s="218"/>
      <c r="U66" s="140"/>
      <c r="V66" s="823">
        <f>S66*T66*U66</f>
        <v>0</v>
      </c>
      <c r="W66" s="838">
        <f t="shared" ref="W66" si="104">F66+J66+N66+R66+V66</f>
        <v>0</v>
      </c>
    </row>
    <row r="67" spans="1:23" outlineLevel="1">
      <c r="A67" s="270"/>
      <c r="B67" s="181"/>
      <c r="C67" s="222"/>
      <c r="D67" s="223"/>
      <c r="F67" s="823"/>
      <c r="G67" s="222"/>
      <c r="H67" s="223"/>
      <c r="I67" s="140"/>
      <c r="J67" s="823"/>
      <c r="K67" s="222"/>
      <c r="L67" s="223"/>
      <c r="N67" s="823"/>
      <c r="O67" s="222"/>
      <c r="P67" s="223"/>
      <c r="Q67" s="140"/>
      <c r="R67" s="823"/>
      <c r="S67" s="222"/>
      <c r="T67" s="223"/>
      <c r="U67" s="140"/>
      <c r="V67" s="823"/>
      <c r="W67" s="838"/>
    </row>
    <row r="68" spans="1:23" ht="18.3" outlineLevel="1">
      <c r="A68" s="214" t="s">
        <v>99</v>
      </c>
      <c r="B68" s="188"/>
      <c r="C68" s="189"/>
      <c r="D68" s="215"/>
      <c r="E68" s="216"/>
      <c r="F68" s="826">
        <f>SUM(F66:F67)</f>
        <v>0</v>
      </c>
      <c r="G68" s="189"/>
      <c r="H68" s="215"/>
      <c r="I68" s="192"/>
      <c r="J68" s="826">
        <f>SUM(J66:J67)</f>
        <v>0</v>
      </c>
      <c r="K68" s="189"/>
      <c r="L68" s="215"/>
      <c r="M68" s="216"/>
      <c r="N68" s="826">
        <f>SUM(N66:N67)</f>
        <v>0</v>
      </c>
      <c r="O68" s="189"/>
      <c r="P68" s="215"/>
      <c r="Q68" s="192"/>
      <c r="R68" s="826">
        <f>SUM(R66:R67)</f>
        <v>0</v>
      </c>
      <c r="S68" s="189"/>
      <c r="T68" s="215"/>
      <c r="U68" s="192"/>
      <c r="V68" s="826">
        <f>SUM(V66:V67)</f>
        <v>0</v>
      </c>
      <c r="W68" s="846">
        <f>+F68+J68+N68+R68+V68</f>
        <v>0</v>
      </c>
    </row>
    <row r="69" spans="1:23" ht="15.6" outlineLevel="1">
      <c r="A69" s="226" t="s">
        <v>100</v>
      </c>
      <c r="B69" s="181"/>
      <c r="C69" s="227"/>
      <c r="D69" s="228"/>
      <c r="F69" s="828"/>
      <c r="G69" s="227"/>
      <c r="H69" s="228"/>
      <c r="J69" s="839"/>
      <c r="K69" s="227"/>
      <c r="L69" s="228"/>
      <c r="N69" s="839"/>
      <c r="O69" s="227"/>
      <c r="P69" s="228"/>
      <c r="R69" s="839"/>
      <c r="S69" s="227"/>
      <c r="T69" s="228"/>
      <c r="V69" s="839"/>
      <c r="W69" s="838"/>
    </row>
    <row r="70" spans="1:23" ht="15.6" outlineLevel="1">
      <c r="A70" s="163" t="s">
        <v>122</v>
      </c>
      <c r="B70" s="181"/>
      <c r="C70" s="227"/>
      <c r="D70" s="228"/>
      <c r="F70" s="828"/>
      <c r="G70" s="227"/>
      <c r="H70" s="228"/>
      <c r="J70" s="839"/>
      <c r="K70" s="227"/>
      <c r="L70" s="228"/>
      <c r="N70" s="839"/>
      <c r="O70" s="227"/>
      <c r="P70" s="228"/>
      <c r="R70" s="839"/>
      <c r="S70" s="227"/>
      <c r="T70" s="228"/>
      <c r="V70" s="839"/>
      <c r="W70" s="838"/>
    </row>
    <row r="71" spans="1:23" ht="15.6" outlineLevel="1">
      <c r="A71" s="221" t="str">
        <f>'Program Budget'!D176</f>
        <v>Subrecipient:  U.S. Soybean Export Council (USSEC)</v>
      </c>
      <c r="B71" s="167" t="str">
        <f>'Program Budget'!F176</f>
        <v>Subaward</v>
      </c>
      <c r="C71" s="168">
        <f>'Program Budget'!I176</f>
        <v>296003.09999999998</v>
      </c>
      <c r="D71" s="169">
        <f>'Program Budget'!G176</f>
        <v>1</v>
      </c>
      <c r="E71" s="170">
        <v>1</v>
      </c>
      <c r="F71" s="823">
        <f t="shared" ref="F71" si="105">C71*D71*E71</f>
        <v>296003.09999999998</v>
      </c>
      <c r="G71" s="168">
        <f>'Program Budget'!L176</f>
        <v>694790.9</v>
      </c>
      <c r="H71" s="169">
        <f>'Program Budget'!K176</f>
        <v>1</v>
      </c>
      <c r="I71" s="170">
        <v>1</v>
      </c>
      <c r="J71" s="823">
        <f t="shared" ref="J71" si="106">G71*H71*I71</f>
        <v>694790.9</v>
      </c>
      <c r="K71" s="168">
        <f>'Program Budget'!O176</f>
        <v>714164.02999999991</v>
      </c>
      <c r="L71" s="169">
        <f>'Program Budget'!N176</f>
        <v>1</v>
      </c>
      <c r="M71" s="170">
        <v>1</v>
      </c>
      <c r="N71" s="823">
        <f t="shared" ref="N71" si="107">K71*L71*M71</f>
        <v>714164.02999999991</v>
      </c>
      <c r="O71" s="168">
        <f>'Program Budget'!R176</f>
        <v>418999.04808333336</v>
      </c>
      <c r="P71" s="169">
        <v>1</v>
      </c>
      <c r="Q71" s="170">
        <v>1</v>
      </c>
      <c r="R71" s="823">
        <f t="shared" ref="R71" si="108">O71*P71*Q71</f>
        <v>418999.04808333336</v>
      </c>
      <c r="S71" s="168">
        <f>'Program Budget'!U176</f>
        <v>0</v>
      </c>
      <c r="T71" s="169">
        <f>'Program Budget'!T176</f>
        <v>0</v>
      </c>
      <c r="U71" s="170">
        <v>0</v>
      </c>
      <c r="V71" s="823">
        <f t="shared" ref="V71" si="109">S71*T71*U71</f>
        <v>0</v>
      </c>
      <c r="W71" s="838">
        <f>F71+J71+N71+R71+V71</f>
        <v>2123957.0780833331</v>
      </c>
    </row>
    <row r="72" spans="1:23" ht="18.3" outlineLevel="1">
      <c r="A72" s="232" t="s">
        <v>107</v>
      </c>
      <c r="B72" s="188"/>
      <c r="C72" s="208"/>
      <c r="D72" s="209"/>
      <c r="E72" s="233"/>
      <c r="F72" s="829">
        <f>SUM(F69:F71)</f>
        <v>296003.09999999998</v>
      </c>
      <c r="G72" s="208"/>
      <c r="H72" s="209"/>
      <c r="I72" s="211"/>
      <c r="J72" s="829">
        <f>SUM(J69:J71)</f>
        <v>694790.9</v>
      </c>
      <c r="K72" s="208"/>
      <c r="L72" s="209"/>
      <c r="M72" s="233"/>
      <c r="N72" s="829">
        <f>SUM(N69:N71)</f>
        <v>714164.02999999991</v>
      </c>
      <c r="O72" s="208"/>
      <c r="P72" s="209"/>
      <c r="Q72" s="211"/>
      <c r="R72" s="829">
        <f>SUM(R69:R71)</f>
        <v>418999.04808333336</v>
      </c>
      <c r="S72" s="208"/>
      <c r="T72" s="209"/>
      <c r="U72" s="211"/>
      <c r="V72" s="829">
        <f>SUM(V69:V71)</f>
        <v>0</v>
      </c>
      <c r="W72" s="846">
        <f>+F72+J72+N72+R72+V72</f>
        <v>2123957.0780833331</v>
      </c>
    </row>
    <row r="73" spans="1:23" ht="15.6" outlineLevel="1">
      <c r="A73" s="234"/>
      <c r="B73" s="197"/>
      <c r="C73" s="227"/>
      <c r="D73" s="228"/>
      <c r="F73" s="823"/>
      <c r="G73" s="227"/>
      <c r="H73" s="228"/>
      <c r="J73" s="838"/>
      <c r="K73" s="227"/>
      <c r="L73" s="228"/>
      <c r="N73" s="838"/>
      <c r="O73" s="227"/>
      <c r="P73" s="228"/>
      <c r="R73" s="838"/>
      <c r="S73" s="227"/>
      <c r="T73" s="228"/>
      <c r="V73" s="838"/>
      <c r="W73" s="838"/>
    </row>
    <row r="74" spans="1:23" ht="18.3" outlineLevel="1">
      <c r="A74" s="235" t="s">
        <v>108</v>
      </c>
      <c r="B74" s="236"/>
      <c r="C74" s="237"/>
      <c r="D74" s="238"/>
      <c r="E74" s="239"/>
      <c r="F74" s="830">
        <f>F32+F42+F54+F64+F68+F58+F72+F61</f>
        <v>428728.58399999997</v>
      </c>
      <c r="G74" s="237"/>
      <c r="H74" s="238"/>
      <c r="I74" s="240"/>
      <c r="J74" s="830">
        <f>J32+J42+J54+J64+J68+J58+J72+J61</f>
        <v>1002874.7622</v>
      </c>
      <c r="K74" s="237"/>
      <c r="L74" s="238"/>
      <c r="M74" s="239"/>
      <c r="N74" s="830">
        <f>N32+N42+N54+N64+N68+N58+N72+N61</f>
        <v>1113552.08531</v>
      </c>
      <c r="O74" s="237"/>
      <c r="P74" s="238"/>
      <c r="Q74" s="240"/>
      <c r="R74" s="830">
        <f>R32+R42+R54+R64+R68+R58+R72+R61</f>
        <v>894318.54755883338</v>
      </c>
      <c r="S74" s="237"/>
      <c r="T74" s="238"/>
      <c r="U74" s="240"/>
      <c r="V74" s="830">
        <f>V32+V42+V54+V64+V68+V58+V72+V61</f>
        <v>0</v>
      </c>
      <c r="W74" s="830">
        <f>W32+W42+W54+W64+W68+W58+W72</f>
        <v>3439473.9790688334</v>
      </c>
    </row>
    <row r="75" spans="1:23">
      <c r="A75" s="273"/>
      <c r="B75" s="197"/>
      <c r="C75" s="227"/>
      <c r="D75" s="228"/>
      <c r="F75" s="823"/>
      <c r="G75" s="227"/>
      <c r="H75" s="228"/>
      <c r="J75" s="838"/>
      <c r="K75" s="227"/>
      <c r="L75" s="228"/>
      <c r="N75" s="838"/>
      <c r="O75" s="227"/>
      <c r="P75" s="228"/>
      <c r="R75" s="838"/>
      <c r="S75" s="227"/>
      <c r="T75" s="228"/>
      <c r="V75" s="838"/>
      <c r="W75" s="838"/>
    </row>
    <row r="76" spans="1:23" ht="20.399999999999999">
      <c r="A76" s="241" t="s">
        <v>53</v>
      </c>
      <c r="B76" s="242"/>
      <c r="C76" s="243"/>
      <c r="D76" s="243"/>
      <c r="E76" s="243"/>
      <c r="F76" s="831"/>
      <c r="G76" s="243"/>
      <c r="H76" s="243"/>
      <c r="I76" s="243"/>
      <c r="J76" s="831"/>
      <c r="K76" s="243"/>
      <c r="L76" s="243"/>
      <c r="M76" s="243"/>
      <c r="N76" s="831"/>
      <c r="O76" s="243"/>
      <c r="P76" s="243"/>
      <c r="Q76" s="243"/>
      <c r="R76" s="831"/>
      <c r="S76" s="243"/>
      <c r="T76" s="243"/>
      <c r="U76" s="243"/>
      <c r="V76" s="831"/>
      <c r="W76" s="849"/>
    </row>
    <row r="77" spans="1:23" ht="15" customHeight="1">
      <c r="A77" s="244" t="s">
        <v>54</v>
      </c>
      <c r="B77" s="280" t="s">
        <v>109</v>
      </c>
      <c r="C77" s="168">
        <v>0</v>
      </c>
      <c r="D77" s="169">
        <v>0</v>
      </c>
      <c r="E77" s="170">
        <v>0.15</v>
      </c>
      <c r="F77" s="823">
        <f>C77*D77*E77</f>
        <v>0</v>
      </c>
      <c r="G77" s="168">
        <v>0</v>
      </c>
      <c r="H77" s="169">
        <v>0</v>
      </c>
      <c r="I77" s="170">
        <f>E77</f>
        <v>0.15</v>
      </c>
      <c r="J77" s="823">
        <f>G77*H77*I77</f>
        <v>0</v>
      </c>
      <c r="K77" s="168">
        <v>0</v>
      </c>
      <c r="L77" s="169">
        <v>0</v>
      </c>
      <c r="M77" s="170">
        <f>I77</f>
        <v>0.15</v>
      </c>
      <c r="N77" s="823">
        <f>K77*L77*M77</f>
        <v>0</v>
      </c>
      <c r="O77" s="168">
        <v>0</v>
      </c>
      <c r="P77" s="169">
        <v>0</v>
      </c>
      <c r="Q77" s="170">
        <f>M77</f>
        <v>0.15</v>
      </c>
      <c r="R77" s="823">
        <f>O77*P77*Q77</f>
        <v>0</v>
      </c>
      <c r="S77" s="168">
        <v>0</v>
      </c>
      <c r="T77" s="169">
        <v>0</v>
      </c>
      <c r="U77" s="170">
        <v>0</v>
      </c>
      <c r="V77" s="823">
        <f>S77*T77*U77</f>
        <v>0</v>
      </c>
      <c r="W77" s="838">
        <f>F77+J77+N77+R77+V77</f>
        <v>0</v>
      </c>
    </row>
    <row r="78" spans="1:23" ht="15" customHeight="1">
      <c r="A78" s="244" t="s">
        <v>110</v>
      </c>
      <c r="B78" s="280" t="s">
        <v>109</v>
      </c>
      <c r="C78" s="438">
        <f>F74-F71</f>
        <v>132725.484</v>
      </c>
      <c r="D78" s="169">
        <v>1</v>
      </c>
      <c r="E78" s="170">
        <v>0.15</v>
      </c>
      <c r="F78" s="823">
        <f>C78*D78*E78</f>
        <v>19908.8226</v>
      </c>
      <c r="G78" s="438">
        <f>J74-J71</f>
        <v>308083.86219999997</v>
      </c>
      <c r="H78" s="169">
        <v>1</v>
      </c>
      <c r="I78" s="170">
        <f>E78</f>
        <v>0.15</v>
      </c>
      <c r="J78" s="823">
        <f>G78*H78*I78</f>
        <v>46212.579329999993</v>
      </c>
      <c r="K78" s="438">
        <f>N74-N71</f>
        <v>399388.05531000008</v>
      </c>
      <c r="L78" s="169">
        <v>1</v>
      </c>
      <c r="M78" s="170">
        <f>I78</f>
        <v>0.15</v>
      </c>
      <c r="N78" s="823">
        <f>K78*L78*M78</f>
        <v>59908.208296500008</v>
      </c>
      <c r="O78" s="438">
        <f>R74-R71</f>
        <v>475319.49947550002</v>
      </c>
      <c r="P78" s="169">
        <v>1</v>
      </c>
      <c r="Q78" s="170">
        <f>M78</f>
        <v>0.15</v>
      </c>
      <c r="R78" s="823">
        <f>O78*P78*Q78</f>
        <v>71297.924921325</v>
      </c>
      <c r="S78" s="438">
        <f>V74-V71</f>
        <v>0</v>
      </c>
      <c r="T78" s="169">
        <v>1</v>
      </c>
      <c r="U78" s="170">
        <v>0</v>
      </c>
      <c r="V78" s="823">
        <f>S78*T78*U78</f>
        <v>0</v>
      </c>
      <c r="W78" s="838">
        <f>F78+J78+N78+R78+V78</f>
        <v>197327.53514782499</v>
      </c>
    </row>
    <row r="79" spans="1:23" ht="15" customHeight="1">
      <c r="A79" s="244" t="s">
        <v>111</v>
      </c>
      <c r="B79" s="280" t="s">
        <v>109</v>
      </c>
      <c r="C79" s="438">
        <f>F71</f>
        <v>296003.09999999998</v>
      </c>
      <c r="D79" s="169">
        <v>1</v>
      </c>
      <c r="E79" s="170">
        <v>7.0000000000000007E-2</v>
      </c>
      <c r="F79" s="823">
        <f>C79*D79*E79</f>
        <v>20720.217000000001</v>
      </c>
      <c r="G79" s="438">
        <f>J71</f>
        <v>694790.9</v>
      </c>
      <c r="H79" s="169">
        <v>1</v>
      </c>
      <c r="I79" s="170">
        <f>E79</f>
        <v>7.0000000000000007E-2</v>
      </c>
      <c r="J79" s="823">
        <f>G79*H79*I79</f>
        <v>48635.363000000005</v>
      </c>
      <c r="K79" s="438">
        <f>N71</f>
        <v>714164.02999999991</v>
      </c>
      <c r="L79" s="169">
        <v>1</v>
      </c>
      <c r="M79" s="170">
        <f>I79</f>
        <v>7.0000000000000007E-2</v>
      </c>
      <c r="N79" s="823">
        <f>K79*L79*M79</f>
        <v>49991.482100000001</v>
      </c>
      <c r="O79" s="438">
        <f>R71</f>
        <v>418999.04808333336</v>
      </c>
      <c r="P79" s="169">
        <v>1</v>
      </c>
      <c r="Q79" s="170">
        <f>M79</f>
        <v>7.0000000000000007E-2</v>
      </c>
      <c r="R79" s="823">
        <f>O79*P79*Q79</f>
        <v>29329.933365833338</v>
      </c>
      <c r="S79" s="438">
        <f>V71</f>
        <v>0</v>
      </c>
      <c r="T79" s="169">
        <v>1</v>
      </c>
      <c r="U79" s="170">
        <v>0</v>
      </c>
      <c r="V79" s="823">
        <f>S79*T79*U79</f>
        <v>0</v>
      </c>
      <c r="W79" s="838">
        <f>F79+J79+N79+R79+V79</f>
        <v>148676.99546583334</v>
      </c>
    </row>
    <row r="80" spans="1:23">
      <c r="A80" s="245"/>
      <c r="B80" s="197"/>
      <c r="C80" s="222"/>
      <c r="D80" s="246"/>
      <c r="E80" s="247"/>
      <c r="F80" s="823"/>
      <c r="G80" s="222"/>
      <c r="H80" s="246"/>
      <c r="I80" s="172"/>
      <c r="J80" s="823"/>
      <c r="K80" s="222"/>
      <c r="L80" s="246"/>
      <c r="M80" s="247"/>
      <c r="N80" s="823"/>
      <c r="O80" s="222"/>
      <c r="P80" s="246"/>
      <c r="Q80" s="172"/>
      <c r="R80" s="823"/>
      <c r="S80" s="222"/>
      <c r="T80" s="246"/>
      <c r="U80" s="172"/>
      <c r="V80" s="823"/>
      <c r="W80" s="838"/>
    </row>
    <row r="81" spans="1:23" ht="18.3">
      <c r="A81" s="235" t="s">
        <v>112</v>
      </c>
      <c r="B81" s="236"/>
      <c r="C81" s="237"/>
      <c r="D81" s="238"/>
      <c r="E81" s="239"/>
      <c r="F81" s="830">
        <f>SUM(F77:F80)</f>
        <v>40629.039600000004</v>
      </c>
      <c r="G81" s="237"/>
      <c r="H81" s="238"/>
      <c r="I81" s="240"/>
      <c r="J81" s="830">
        <f>SUM(J77:J80)</f>
        <v>94847.942329999991</v>
      </c>
      <c r="K81" s="237"/>
      <c r="L81" s="238"/>
      <c r="M81" s="239"/>
      <c r="N81" s="830">
        <f>SUM(N77:N80)</f>
        <v>109899.69039650001</v>
      </c>
      <c r="O81" s="237"/>
      <c r="P81" s="238"/>
      <c r="Q81" s="240"/>
      <c r="R81" s="830">
        <f>SUM(R77:R80)</f>
        <v>100627.85828715833</v>
      </c>
      <c r="S81" s="237"/>
      <c r="T81" s="238"/>
      <c r="U81" s="240"/>
      <c r="V81" s="830">
        <f>SUM(V77:V80)</f>
        <v>0</v>
      </c>
      <c r="W81" s="830">
        <f>SUM(W77:W80)</f>
        <v>346004.53061365837</v>
      </c>
    </row>
    <row r="82" spans="1:23">
      <c r="A82" s="171"/>
      <c r="B82" s="197"/>
      <c r="C82" s="222"/>
      <c r="D82" s="246"/>
      <c r="E82" s="247"/>
      <c r="F82" s="823"/>
      <c r="G82" s="222"/>
      <c r="H82" s="246"/>
      <c r="I82" s="172"/>
      <c r="J82" s="823"/>
      <c r="K82" s="222"/>
      <c r="L82" s="246"/>
      <c r="M82" s="247"/>
      <c r="N82" s="823"/>
      <c r="O82" s="222"/>
      <c r="P82" s="246"/>
      <c r="Q82" s="172"/>
      <c r="R82" s="823"/>
      <c r="S82" s="222"/>
      <c r="T82" s="246"/>
      <c r="U82" s="172"/>
      <c r="V82" s="823"/>
      <c r="W82" s="838"/>
    </row>
    <row r="83" spans="1:23" ht="18.3">
      <c r="A83" s="252" t="s">
        <v>113</v>
      </c>
      <c r="B83" s="253"/>
      <c r="C83" s="254"/>
      <c r="D83" s="255"/>
      <c r="E83" s="256"/>
      <c r="F83" s="832">
        <f>F74+F81</f>
        <v>469357.62359999999</v>
      </c>
      <c r="G83" s="254"/>
      <c r="H83" s="255"/>
      <c r="I83" s="257"/>
      <c r="J83" s="832">
        <f>J74+J81</f>
        <v>1097722.70453</v>
      </c>
      <c r="K83" s="254"/>
      <c r="L83" s="255"/>
      <c r="M83" s="256"/>
      <c r="N83" s="832">
        <f>N74+N81</f>
        <v>1223451.7757065</v>
      </c>
      <c r="O83" s="254"/>
      <c r="P83" s="255"/>
      <c r="Q83" s="257"/>
      <c r="R83" s="832">
        <f>R74+R81</f>
        <v>994946.40584599169</v>
      </c>
      <c r="S83" s="254"/>
      <c r="T83" s="255"/>
      <c r="U83" s="257"/>
      <c r="V83" s="832">
        <f>V74+V81</f>
        <v>0</v>
      </c>
      <c r="W83" s="850">
        <f>F83+J83+N83+R83+V83</f>
        <v>3785478.5096824919</v>
      </c>
    </row>
    <row r="84" spans="1:23" ht="15.6">
      <c r="A84" s="258" t="str">
        <f>'Program Budget'!D180</f>
        <v>Public &amp; Private Sector Support for Nation-wide Poultry Consumption Campaign</v>
      </c>
      <c r="B84" s="259" t="str">
        <f>'Program Budget'!F180</f>
        <v>Year</v>
      </c>
      <c r="C84" s="200">
        <f>'Program Budget'!H180</f>
        <v>16000</v>
      </c>
      <c r="D84" s="260">
        <f>'Program Budget'!G180</f>
        <v>0</v>
      </c>
      <c r="E84" s="202">
        <v>1</v>
      </c>
      <c r="F84" s="827">
        <f>C84*D84*E84</f>
        <v>0</v>
      </c>
      <c r="G84" s="200">
        <f>C84</f>
        <v>16000</v>
      </c>
      <c r="H84" s="260">
        <f>'Program Budget'!K180</f>
        <v>0.5</v>
      </c>
      <c r="I84" s="202">
        <v>1</v>
      </c>
      <c r="J84" s="827">
        <f>G84*H84*I84</f>
        <v>8000</v>
      </c>
      <c r="K84" s="200">
        <f>G84</f>
        <v>16000</v>
      </c>
      <c r="L84" s="260">
        <f>'Program Budget'!N180</f>
        <v>1</v>
      </c>
      <c r="M84" s="202">
        <v>1</v>
      </c>
      <c r="N84" s="827">
        <f>K84*L84*M84</f>
        <v>16000</v>
      </c>
      <c r="O84" s="200">
        <f>K84</f>
        <v>16000</v>
      </c>
      <c r="P84" s="260">
        <f>'Program Budget'!N176</f>
        <v>1</v>
      </c>
      <c r="Q84" s="202">
        <v>1</v>
      </c>
      <c r="R84" s="827">
        <f>O84*P84*Q84</f>
        <v>16000</v>
      </c>
      <c r="S84" s="200">
        <f>O84</f>
        <v>16000</v>
      </c>
      <c r="T84" s="260">
        <f>'Program Budget'!T180</f>
        <v>0</v>
      </c>
      <c r="U84" s="202">
        <v>0</v>
      </c>
      <c r="V84" s="827">
        <f>S84*T84*U84</f>
        <v>0</v>
      </c>
      <c r="W84" s="845">
        <f>F84+J84+N84+R84+V84</f>
        <v>40000</v>
      </c>
    </row>
    <row r="85" spans="1:23" ht="18.3">
      <c r="A85" s="252" t="s">
        <v>114</v>
      </c>
      <c r="B85" s="253"/>
      <c r="C85" s="254"/>
      <c r="D85" s="255"/>
      <c r="E85" s="256"/>
      <c r="F85" s="832">
        <f>SUM(F83:F84)</f>
        <v>469357.62359999999</v>
      </c>
      <c r="G85" s="254"/>
      <c r="H85" s="255"/>
      <c r="I85" s="257"/>
      <c r="J85" s="832">
        <f>SUM(J83:J84)</f>
        <v>1105722.70453</v>
      </c>
      <c r="K85" s="254"/>
      <c r="L85" s="255"/>
      <c r="M85" s="256"/>
      <c r="N85" s="832">
        <f>SUM(N83:N84)</f>
        <v>1239451.7757065</v>
      </c>
      <c r="O85" s="254"/>
      <c r="P85" s="255"/>
      <c r="Q85" s="257"/>
      <c r="R85" s="832">
        <f>SUM(R83:R84)</f>
        <v>1010946.4058459917</v>
      </c>
      <c r="S85" s="254"/>
      <c r="T85" s="255"/>
      <c r="U85" s="257"/>
      <c r="V85" s="832">
        <f>SUM(V83:V84)</f>
        <v>0</v>
      </c>
      <c r="W85" s="850">
        <f>F85+J85+N85+R85+V85</f>
        <v>3825478.5096824919</v>
      </c>
    </row>
    <row r="86" spans="1:23">
      <c r="A86" s="167"/>
      <c r="B86" s="167"/>
      <c r="W86" s="838"/>
    </row>
    <row r="87" spans="1:23" ht="31.2">
      <c r="A87" s="262" t="s">
        <v>115</v>
      </c>
      <c r="B87" s="263"/>
      <c r="C87" s="264"/>
      <c r="D87" s="265"/>
      <c r="E87" s="266"/>
      <c r="F87" s="834"/>
      <c r="G87" s="264"/>
      <c r="H87" s="265"/>
      <c r="I87" s="267"/>
      <c r="J87" s="841"/>
      <c r="K87" s="264"/>
      <c r="L87" s="265"/>
      <c r="M87" s="266"/>
      <c r="N87" s="841"/>
      <c r="O87" s="264"/>
      <c r="P87" s="265"/>
      <c r="Q87" s="267"/>
      <c r="R87" s="841"/>
      <c r="S87" s="264"/>
      <c r="T87" s="265"/>
      <c r="U87" s="267"/>
      <c r="V87" s="841"/>
      <c r="W87" s="841"/>
    </row>
  </sheetData>
  <mergeCells count="8">
    <mergeCell ref="S2:V2"/>
    <mergeCell ref="W2:W3"/>
    <mergeCell ref="A2:A3"/>
    <mergeCell ref="B2:B3"/>
    <mergeCell ref="C2:F2"/>
    <mergeCell ref="G2:J2"/>
    <mergeCell ref="K2:N2"/>
    <mergeCell ref="O2:R2"/>
  </mergeCells>
  <printOptions horizontalCentered="1"/>
  <pageMargins left="0.25" right="0.25" top="0.75" bottom="0.75" header="0.3" footer="0.3"/>
  <pageSetup scale="34" orientation="landscape" r:id="rId1"/>
  <headerFooter alignWithMargins="0"/>
  <rowBreaks count="1" manualBreakCount="1">
    <brk id="82" max="17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F1038-78E6-4C88-B8D5-81AB78946C2D}">
  <sheetPr>
    <tabColor theme="6" tint="0.39997558519241921"/>
    <pageSetUpPr fitToPage="1"/>
  </sheetPr>
  <dimension ref="A1:AA110"/>
  <sheetViews>
    <sheetView showOutlineSymbols="0" showWhiteSpace="0" zoomScale="70" zoomScaleNormal="70" workbookViewId="0">
      <pane xSplit="2" ySplit="3" topLeftCell="H78" activePane="bottomRight" state="frozen"/>
      <selection pane="topRight"/>
      <selection pane="bottomLeft"/>
      <selection pane="bottomRight" activeCell="A82" sqref="A82"/>
    </sheetView>
  </sheetViews>
  <sheetFormatPr defaultRowHeight="14.4" outlineLevelRow="1" outlineLevelCol="1"/>
  <cols>
    <col min="1" max="1" width="68.109375" style="137" customWidth="1"/>
    <col min="2" max="2" width="16.5546875" style="137" bestFit="1" customWidth="1"/>
    <col min="3" max="3" width="14" style="138" bestFit="1" customWidth="1" outlineLevel="1"/>
    <col min="4" max="4" width="12.109375" style="139" bestFit="1" customWidth="1" outlineLevel="1"/>
    <col min="5" max="5" width="13" style="140" bestFit="1" customWidth="1" outlineLevel="1"/>
    <col min="6" max="6" width="12.5546875" style="833" bestFit="1" customWidth="1"/>
    <col min="7" max="7" width="14" style="138" bestFit="1" customWidth="1" outlineLevel="1"/>
    <col min="8" max="8" width="12.109375" style="139" bestFit="1" customWidth="1" outlineLevel="1"/>
    <col min="9" max="9" width="13" style="141" bestFit="1" customWidth="1" outlineLevel="1"/>
    <col min="10" max="10" width="14.109375" style="840" bestFit="1" customWidth="1"/>
    <col min="11" max="11" width="14" style="138" bestFit="1" customWidth="1" outlineLevel="1"/>
    <col min="12" max="12" width="12.109375" style="139" bestFit="1" customWidth="1" outlineLevel="1"/>
    <col min="13" max="13" width="13" style="140" bestFit="1" customWidth="1" outlineLevel="1"/>
    <col min="14" max="14" width="14.109375" style="840" bestFit="1" customWidth="1"/>
    <col min="15" max="15" width="14" style="138" bestFit="1" customWidth="1" outlineLevel="1"/>
    <col min="16" max="16" width="12.109375" style="139" bestFit="1" customWidth="1" outlineLevel="1"/>
    <col min="17" max="17" width="13" style="141" bestFit="1" customWidth="1" outlineLevel="1"/>
    <col min="18" max="18" width="14.109375" style="840" bestFit="1" customWidth="1"/>
    <col min="19" max="19" width="14" style="138" bestFit="1" customWidth="1" outlineLevel="1"/>
    <col min="20" max="20" width="12.109375" style="139" bestFit="1" customWidth="1" outlineLevel="1"/>
    <col min="21" max="21" width="13" style="141" bestFit="1" customWidth="1" outlineLevel="1"/>
    <col min="22" max="22" width="10.109375" style="840" bestFit="1" customWidth="1"/>
    <col min="23" max="23" width="20.109375" style="840" bestFit="1" customWidth="1"/>
    <col min="24" max="24" width="9" style="137" customWidth="1"/>
    <col min="25" max="25" width="8.5546875" style="137" customWidth="1"/>
    <col min="26" max="26" width="10.5546875" style="137" customWidth="1"/>
    <col min="27" max="27" width="8.5546875" style="137" customWidth="1"/>
    <col min="28" max="254" width="8.5546875" style="137"/>
    <col min="255" max="255" width="38.109375" style="137" customWidth="1"/>
    <col min="256" max="256" width="23.44140625" style="137" bestFit="1" customWidth="1"/>
    <col min="257" max="258" width="9.109375" style="137" customWidth="1"/>
    <col min="259" max="259" width="11.109375" style="137" bestFit="1" customWidth="1"/>
    <col min="260" max="260" width="14.44140625" style="137" bestFit="1" customWidth="1"/>
    <col min="261" max="261" width="8.109375" style="137" customWidth="1"/>
    <col min="262" max="262" width="10.5546875" style="137" bestFit="1" customWidth="1"/>
    <col min="263" max="263" width="12.109375" style="137" bestFit="1" customWidth="1"/>
    <col min="264" max="264" width="9.109375" style="137" customWidth="1"/>
    <col min="265" max="265" width="10.5546875" style="137" bestFit="1" customWidth="1"/>
    <col min="266" max="266" width="12.109375" style="137" bestFit="1" customWidth="1"/>
    <col min="267" max="267" width="8" style="137" customWidth="1"/>
    <col min="268" max="268" width="10.5546875" style="137" bestFit="1" customWidth="1"/>
    <col min="269" max="269" width="12.109375" style="137" bestFit="1" customWidth="1"/>
    <col min="270" max="270" width="8.109375" style="137" bestFit="1" customWidth="1"/>
    <col min="271" max="271" width="10.5546875" style="137" bestFit="1" customWidth="1"/>
    <col min="272" max="272" width="12.109375" style="137" bestFit="1" customWidth="1"/>
    <col min="273" max="273" width="18.109375" style="137" bestFit="1" customWidth="1"/>
    <col min="274" max="274" width="10.5546875" style="137" bestFit="1" customWidth="1"/>
    <col min="275" max="510" width="8.5546875" style="137"/>
    <col min="511" max="511" width="38.109375" style="137" customWidth="1"/>
    <col min="512" max="512" width="23.44140625" style="137" bestFit="1" customWidth="1"/>
    <col min="513" max="514" width="9.109375" style="137" customWidth="1"/>
    <col min="515" max="515" width="11.109375" style="137" bestFit="1" customWidth="1"/>
    <col min="516" max="516" width="14.44140625" style="137" bestFit="1" customWidth="1"/>
    <col min="517" max="517" width="8.109375" style="137" customWidth="1"/>
    <col min="518" max="518" width="10.5546875" style="137" bestFit="1" customWidth="1"/>
    <col min="519" max="519" width="12.109375" style="137" bestFit="1" customWidth="1"/>
    <col min="520" max="520" width="9.109375" style="137" customWidth="1"/>
    <col min="521" max="521" width="10.5546875" style="137" bestFit="1" customWidth="1"/>
    <col min="522" max="522" width="12.109375" style="137" bestFit="1" customWidth="1"/>
    <col min="523" max="523" width="8" style="137" customWidth="1"/>
    <col min="524" max="524" width="10.5546875" style="137" bestFit="1" customWidth="1"/>
    <col min="525" max="525" width="12.109375" style="137" bestFit="1" customWidth="1"/>
    <col min="526" max="526" width="8.109375" style="137" bestFit="1" customWidth="1"/>
    <col min="527" max="527" width="10.5546875" style="137" bestFit="1" customWidth="1"/>
    <col min="528" max="528" width="12.109375" style="137" bestFit="1" customWidth="1"/>
    <col min="529" max="529" width="18.109375" style="137" bestFit="1" customWidth="1"/>
    <col min="530" max="530" width="10.5546875" style="137" bestFit="1" customWidth="1"/>
    <col min="531" max="766" width="8.5546875" style="137"/>
    <col min="767" max="767" width="38.109375" style="137" customWidth="1"/>
    <col min="768" max="768" width="23.44140625" style="137" bestFit="1" customWidth="1"/>
    <col min="769" max="770" width="9.109375" style="137" customWidth="1"/>
    <col min="771" max="771" width="11.109375" style="137" bestFit="1" customWidth="1"/>
    <col min="772" max="772" width="14.44140625" style="137" bestFit="1" customWidth="1"/>
    <col min="773" max="773" width="8.109375" style="137" customWidth="1"/>
    <col min="774" max="774" width="10.5546875" style="137" bestFit="1" customWidth="1"/>
    <col min="775" max="775" width="12.109375" style="137" bestFit="1" customWidth="1"/>
    <col min="776" max="776" width="9.109375" style="137" customWidth="1"/>
    <col min="777" max="777" width="10.5546875" style="137" bestFit="1" customWidth="1"/>
    <col min="778" max="778" width="12.109375" style="137" bestFit="1" customWidth="1"/>
    <col min="779" max="779" width="8" style="137" customWidth="1"/>
    <col min="780" max="780" width="10.5546875" style="137" bestFit="1" customWidth="1"/>
    <col min="781" max="781" width="12.109375" style="137" bestFit="1" customWidth="1"/>
    <col min="782" max="782" width="8.109375" style="137" bestFit="1" customWidth="1"/>
    <col min="783" max="783" width="10.5546875" style="137" bestFit="1" customWidth="1"/>
    <col min="784" max="784" width="12.109375" style="137" bestFit="1" customWidth="1"/>
    <col min="785" max="785" width="18.109375" style="137" bestFit="1" customWidth="1"/>
    <col min="786" max="786" width="10.5546875" style="137" bestFit="1" customWidth="1"/>
    <col min="787" max="1022" width="8.5546875" style="137"/>
    <col min="1023" max="1023" width="38.109375" style="137" customWidth="1"/>
    <col min="1024" max="1024" width="23.44140625" style="137" bestFit="1" customWidth="1"/>
    <col min="1025" max="1026" width="9.109375" style="137" customWidth="1"/>
    <col min="1027" max="1027" width="11.109375" style="137" bestFit="1" customWidth="1"/>
    <col min="1028" max="1028" width="14.44140625" style="137" bestFit="1" customWidth="1"/>
    <col min="1029" max="1029" width="8.109375" style="137" customWidth="1"/>
    <col min="1030" max="1030" width="10.5546875" style="137" bestFit="1" customWidth="1"/>
    <col min="1031" max="1031" width="12.109375" style="137" bestFit="1" customWidth="1"/>
    <col min="1032" max="1032" width="9.109375" style="137" customWidth="1"/>
    <col min="1033" max="1033" width="10.5546875" style="137" bestFit="1" customWidth="1"/>
    <col min="1034" max="1034" width="12.109375" style="137" bestFit="1" customWidth="1"/>
    <col min="1035" max="1035" width="8" style="137" customWidth="1"/>
    <col min="1036" max="1036" width="10.5546875" style="137" bestFit="1" customWidth="1"/>
    <col min="1037" max="1037" width="12.109375" style="137" bestFit="1" customWidth="1"/>
    <col min="1038" max="1038" width="8.109375" style="137" bestFit="1" customWidth="1"/>
    <col min="1039" max="1039" width="10.5546875" style="137" bestFit="1" customWidth="1"/>
    <col min="1040" max="1040" width="12.109375" style="137" bestFit="1" customWidth="1"/>
    <col min="1041" max="1041" width="18.109375" style="137" bestFit="1" customWidth="1"/>
    <col min="1042" max="1042" width="10.5546875" style="137" bestFit="1" customWidth="1"/>
    <col min="1043" max="1278" width="8.5546875" style="137"/>
    <col min="1279" max="1279" width="38.109375" style="137" customWidth="1"/>
    <col min="1280" max="1280" width="23.44140625" style="137" bestFit="1" customWidth="1"/>
    <col min="1281" max="1282" width="9.109375" style="137" customWidth="1"/>
    <col min="1283" max="1283" width="11.109375" style="137" bestFit="1" customWidth="1"/>
    <col min="1284" max="1284" width="14.44140625" style="137" bestFit="1" customWidth="1"/>
    <col min="1285" max="1285" width="8.109375" style="137" customWidth="1"/>
    <col min="1286" max="1286" width="10.5546875" style="137" bestFit="1" customWidth="1"/>
    <col min="1287" max="1287" width="12.109375" style="137" bestFit="1" customWidth="1"/>
    <col min="1288" max="1288" width="9.109375" style="137" customWidth="1"/>
    <col min="1289" max="1289" width="10.5546875" style="137" bestFit="1" customWidth="1"/>
    <col min="1290" max="1290" width="12.109375" style="137" bestFit="1" customWidth="1"/>
    <col min="1291" max="1291" width="8" style="137" customWidth="1"/>
    <col min="1292" max="1292" width="10.5546875" style="137" bestFit="1" customWidth="1"/>
    <col min="1293" max="1293" width="12.109375" style="137" bestFit="1" customWidth="1"/>
    <col min="1294" max="1294" width="8.109375" style="137" bestFit="1" customWidth="1"/>
    <col min="1295" max="1295" width="10.5546875" style="137" bestFit="1" customWidth="1"/>
    <col min="1296" max="1296" width="12.109375" style="137" bestFit="1" customWidth="1"/>
    <col min="1297" max="1297" width="18.109375" style="137" bestFit="1" customWidth="1"/>
    <col min="1298" max="1298" width="10.5546875" style="137" bestFit="1" customWidth="1"/>
    <col min="1299" max="1534" width="8.5546875" style="137"/>
    <col min="1535" max="1535" width="38.109375" style="137" customWidth="1"/>
    <col min="1536" max="1536" width="23.44140625" style="137" bestFit="1" customWidth="1"/>
    <col min="1537" max="1538" width="9.109375" style="137" customWidth="1"/>
    <col min="1539" max="1539" width="11.109375" style="137" bestFit="1" customWidth="1"/>
    <col min="1540" max="1540" width="14.44140625" style="137" bestFit="1" customWidth="1"/>
    <col min="1541" max="1541" width="8.109375" style="137" customWidth="1"/>
    <col min="1542" max="1542" width="10.5546875" style="137" bestFit="1" customWidth="1"/>
    <col min="1543" max="1543" width="12.109375" style="137" bestFit="1" customWidth="1"/>
    <col min="1544" max="1544" width="9.109375" style="137" customWidth="1"/>
    <col min="1545" max="1545" width="10.5546875" style="137" bestFit="1" customWidth="1"/>
    <col min="1546" max="1546" width="12.109375" style="137" bestFit="1" customWidth="1"/>
    <col min="1547" max="1547" width="8" style="137" customWidth="1"/>
    <col min="1548" max="1548" width="10.5546875" style="137" bestFit="1" customWidth="1"/>
    <col min="1549" max="1549" width="12.109375" style="137" bestFit="1" customWidth="1"/>
    <col min="1550" max="1550" width="8.109375" style="137" bestFit="1" customWidth="1"/>
    <col min="1551" max="1551" width="10.5546875" style="137" bestFit="1" customWidth="1"/>
    <col min="1552" max="1552" width="12.109375" style="137" bestFit="1" customWidth="1"/>
    <col min="1553" max="1553" width="18.109375" style="137" bestFit="1" customWidth="1"/>
    <col min="1554" max="1554" width="10.5546875" style="137" bestFit="1" customWidth="1"/>
    <col min="1555" max="1790" width="8.5546875" style="137"/>
    <col min="1791" max="1791" width="38.109375" style="137" customWidth="1"/>
    <col min="1792" max="1792" width="23.44140625" style="137" bestFit="1" customWidth="1"/>
    <col min="1793" max="1794" width="9.109375" style="137" customWidth="1"/>
    <col min="1795" max="1795" width="11.109375" style="137" bestFit="1" customWidth="1"/>
    <col min="1796" max="1796" width="14.44140625" style="137" bestFit="1" customWidth="1"/>
    <col min="1797" max="1797" width="8.109375" style="137" customWidth="1"/>
    <col min="1798" max="1798" width="10.5546875" style="137" bestFit="1" customWidth="1"/>
    <col min="1799" max="1799" width="12.109375" style="137" bestFit="1" customWidth="1"/>
    <col min="1800" max="1800" width="9.109375" style="137" customWidth="1"/>
    <col min="1801" max="1801" width="10.5546875" style="137" bestFit="1" customWidth="1"/>
    <col min="1802" max="1802" width="12.109375" style="137" bestFit="1" customWidth="1"/>
    <col min="1803" max="1803" width="8" style="137" customWidth="1"/>
    <col min="1804" max="1804" width="10.5546875" style="137" bestFit="1" customWidth="1"/>
    <col min="1805" max="1805" width="12.109375" style="137" bestFit="1" customWidth="1"/>
    <col min="1806" max="1806" width="8.109375" style="137" bestFit="1" customWidth="1"/>
    <col min="1807" max="1807" width="10.5546875" style="137" bestFit="1" customWidth="1"/>
    <col min="1808" max="1808" width="12.109375" style="137" bestFit="1" customWidth="1"/>
    <col min="1809" max="1809" width="18.109375" style="137" bestFit="1" customWidth="1"/>
    <col min="1810" max="1810" width="10.5546875" style="137" bestFit="1" customWidth="1"/>
    <col min="1811" max="2046" width="8.5546875" style="137"/>
    <col min="2047" max="2047" width="38.109375" style="137" customWidth="1"/>
    <col min="2048" max="2048" width="23.44140625" style="137" bestFit="1" customWidth="1"/>
    <col min="2049" max="2050" width="9.109375" style="137" customWidth="1"/>
    <col min="2051" max="2051" width="11.109375" style="137" bestFit="1" customWidth="1"/>
    <col min="2052" max="2052" width="14.44140625" style="137" bestFit="1" customWidth="1"/>
    <col min="2053" max="2053" width="8.109375" style="137" customWidth="1"/>
    <col min="2054" max="2054" width="10.5546875" style="137" bestFit="1" customWidth="1"/>
    <col min="2055" max="2055" width="12.109375" style="137" bestFit="1" customWidth="1"/>
    <col min="2056" max="2056" width="9.109375" style="137" customWidth="1"/>
    <col min="2057" max="2057" width="10.5546875" style="137" bestFit="1" customWidth="1"/>
    <col min="2058" max="2058" width="12.109375" style="137" bestFit="1" customWidth="1"/>
    <col min="2059" max="2059" width="8" style="137" customWidth="1"/>
    <col min="2060" max="2060" width="10.5546875" style="137" bestFit="1" customWidth="1"/>
    <col min="2061" max="2061" width="12.109375" style="137" bestFit="1" customWidth="1"/>
    <col min="2062" max="2062" width="8.109375" style="137" bestFit="1" customWidth="1"/>
    <col min="2063" max="2063" width="10.5546875" style="137" bestFit="1" customWidth="1"/>
    <col min="2064" max="2064" width="12.109375" style="137" bestFit="1" customWidth="1"/>
    <col min="2065" max="2065" width="18.109375" style="137" bestFit="1" customWidth="1"/>
    <col min="2066" max="2066" width="10.5546875" style="137" bestFit="1" customWidth="1"/>
    <col min="2067" max="2302" width="8.5546875" style="137"/>
    <col min="2303" max="2303" width="38.109375" style="137" customWidth="1"/>
    <col min="2304" max="2304" width="23.44140625" style="137" bestFit="1" customWidth="1"/>
    <col min="2305" max="2306" width="9.109375" style="137" customWidth="1"/>
    <col min="2307" max="2307" width="11.109375" style="137" bestFit="1" customWidth="1"/>
    <col min="2308" max="2308" width="14.44140625" style="137" bestFit="1" customWidth="1"/>
    <col min="2309" max="2309" width="8.109375" style="137" customWidth="1"/>
    <col min="2310" max="2310" width="10.5546875" style="137" bestFit="1" customWidth="1"/>
    <col min="2311" max="2311" width="12.109375" style="137" bestFit="1" customWidth="1"/>
    <col min="2312" max="2312" width="9.109375" style="137" customWidth="1"/>
    <col min="2313" max="2313" width="10.5546875" style="137" bestFit="1" customWidth="1"/>
    <col min="2314" max="2314" width="12.109375" style="137" bestFit="1" customWidth="1"/>
    <col min="2315" max="2315" width="8" style="137" customWidth="1"/>
    <col min="2316" max="2316" width="10.5546875" style="137" bestFit="1" customWidth="1"/>
    <col min="2317" max="2317" width="12.109375" style="137" bestFit="1" customWidth="1"/>
    <col min="2318" max="2318" width="8.109375" style="137" bestFit="1" customWidth="1"/>
    <col min="2319" max="2319" width="10.5546875" style="137" bestFit="1" customWidth="1"/>
    <col min="2320" max="2320" width="12.109375" style="137" bestFit="1" customWidth="1"/>
    <col min="2321" max="2321" width="18.109375" style="137" bestFit="1" customWidth="1"/>
    <col min="2322" max="2322" width="10.5546875" style="137" bestFit="1" customWidth="1"/>
    <col min="2323" max="2558" width="8.5546875" style="137"/>
    <col min="2559" max="2559" width="38.109375" style="137" customWidth="1"/>
    <col min="2560" max="2560" width="23.44140625" style="137" bestFit="1" customWidth="1"/>
    <col min="2561" max="2562" width="9.109375" style="137" customWidth="1"/>
    <col min="2563" max="2563" width="11.109375" style="137" bestFit="1" customWidth="1"/>
    <col min="2564" max="2564" width="14.44140625" style="137" bestFit="1" customWidth="1"/>
    <col min="2565" max="2565" width="8.109375" style="137" customWidth="1"/>
    <col min="2566" max="2566" width="10.5546875" style="137" bestFit="1" customWidth="1"/>
    <col min="2567" max="2567" width="12.109375" style="137" bestFit="1" customWidth="1"/>
    <col min="2568" max="2568" width="9.109375" style="137" customWidth="1"/>
    <col min="2569" max="2569" width="10.5546875" style="137" bestFit="1" customWidth="1"/>
    <col min="2570" max="2570" width="12.109375" style="137" bestFit="1" customWidth="1"/>
    <col min="2571" max="2571" width="8" style="137" customWidth="1"/>
    <col min="2572" max="2572" width="10.5546875" style="137" bestFit="1" customWidth="1"/>
    <col min="2573" max="2573" width="12.109375" style="137" bestFit="1" customWidth="1"/>
    <col min="2574" max="2574" width="8.109375" style="137" bestFit="1" customWidth="1"/>
    <col min="2575" max="2575" width="10.5546875" style="137" bestFit="1" customWidth="1"/>
    <col min="2576" max="2576" width="12.109375" style="137" bestFit="1" customWidth="1"/>
    <col min="2577" max="2577" width="18.109375" style="137" bestFit="1" customWidth="1"/>
    <col min="2578" max="2578" width="10.5546875" style="137" bestFit="1" customWidth="1"/>
    <col min="2579" max="2814" width="8.5546875" style="137"/>
    <col min="2815" max="2815" width="38.109375" style="137" customWidth="1"/>
    <col min="2816" max="2816" width="23.44140625" style="137" bestFit="1" customWidth="1"/>
    <col min="2817" max="2818" width="9.109375" style="137" customWidth="1"/>
    <col min="2819" max="2819" width="11.109375" style="137" bestFit="1" customWidth="1"/>
    <col min="2820" max="2820" width="14.44140625" style="137" bestFit="1" customWidth="1"/>
    <col min="2821" max="2821" width="8.109375" style="137" customWidth="1"/>
    <col min="2822" max="2822" width="10.5546875" style="137" bestFit="1" customWidth="1"/>
    <col min="2823" max="2823" width="12.109375" style="137" bestFit="1" customWidth="1"/>
    <col min="2824" max="2824" width="9.109375" style="137" customWidth="1"/>
    <col min="2825" max="2825" width="10.5546875" style="137" bestFit="1" customWidth="1"/>
    <col min="2826" max="2826" width="12.109375" style="137" bestFit="1" customWidth="1"/>
    <col min="2827" max="2827" width="8" style="137" customWidth="1"/>
    <col min="2828" max="2828" width="10.5546875" style="137" bestFit="1" customWidth="1"/>
    <col min="2829" max="2829" width="12.109375" style="137" bestFit="1" customWidth="1"/>
    <col min="2830" max="2830" width="8.109375" style="137" bestFit="1" customWidth="1"/>
    <col min="2831" max="2831" width="10.5546875" style="137" bestFit="1" customWidth="1"/>
    <col min="2832" max="2832" width="12.109375" style="137" bestFit="1" customWidth="1"/>
    <col min="2833" max="2833" width="18.109375" style="137" bestFit="1" customWidth="1"/>
    <col min="2834" max="2834" width="10.5546875" style="137" bestFit="1" customWidth="1"/>
    <col min="2835" max="3070" width="8.5546875" style="137"/>
    <col min="3071" max="3071" width="38.109375" style="137" customWidth="1"/>
    <col min="3072" max="3072" width="23.44140625" style="137" bestFit="1" customWidth="1"/>
    <col min="3073" max="3074" width="9.109375" style="137" customWidth="1"/>
    <col min="3075" max="3075" width="11.109375" style="137" bestFit="1" customWidth="1"/>
    <col min="3076" max="3076" width="14.44140625" style="137" bestFit="1" customWidth="1"/>
    <col min="3077" max="3077" width="8.109375" style="137" customWidth="1"/>
    <col min="3078" max="3078" width="10.5546875" style="137" bestFit="1" customWidth="1"/>
    <col min="3079" max="3079" width="12.109375" style="137" bestFit="1" customWidth="1"/>
    <col min="3080" max="3080" width="9.109375" style="137" customWidth="1"/>
    <col min="3081" max="3081" width="10.5546875" style="137" bestFit="1" customWidth="1"/>
    <col min="3082" max="3082" width="12.109375" style="137" bestFit="1" customWidth="1"/>
    <col min="3083" max="3083" width="8" style="137" customWidth="1"/>
    <col min="3084" max="3084" width="10.5546875" style="137" bestFit="1" customWidth="1"/>
    <col min="3085" max="3085" width="12.109375" style="137" bestFit="1" customWidth="1"/>
    <col min="3086" max="3086" width="8.109375" style="137" bestFit="1" customWidth="1"/>
    <col min="3087" max="3087" width="10.5546875" style="137" bestFit="1" customWidth="1"/>
    <col min="3088" max="3088" width="12.109375" style="137" bestFit="1" customWidth="1"/>
    <col min="3089" max="3089" width="18.109375" style="137" bestFit="1" customWidth="1"/>
    <col min="3090" max="3090" width="10.5546875" style="137" bestFit="1" customWidth="1"/>
    <col min="3091" max="3326" width="8.5546875" style="137"/>
    <col min="3327" max="3327" width="38.109375" style="137" customWidth="1"/>
    <col min="3328" max="3328" width="23.44140625" style="137" bestFit="1" customWidth="1"/>
    <col min="3329" max="3330" width="9.109375" style="137" customWidth="1"/>
    <col min="3331" max="3331" width="11.109375" style="137" bestFit="1" customWidth="1"/>
    <col min="3332" max="3332" width="14.44140625" style="137" bestFit="1" customWidth="1"/>
    <col min="3333" max="3333" width="8.109375" style="137" customWidth="1"/>
    <col min="3334" max="3334" width="10.5546875" style="137" bestFit="1" customWidth="1"/>
    <col min="3335" max="3335" width="12.109375" style="137" bestFit="1" customWidth="1"/>
    <col min="3336" max="3336" width="9.109375" style="137" customWidth="1"/>
    <col min="3337" max="3337" width="10.5546875" style="137" bestFit="1" customWidth="1"/>
    <col min="3338" max="3338" width="12.109375" style="137" bestFit="1" customWidth="1"/>
    <col min="3339" max="3339" width="8" style="137" customWidth="1"/>
    <col min="3340" max="3340" width="10.5546875" style="137" bestFit="1" customWidth="1"/>
    <col min="3341" max="3341" width="12.109375" style="137" bestFit="1" customWidth="1"/>
    <col min="3342" max="3342" width="8.109375" style="137" bestFit="1" customWidth="1"/>
    <col min="3343" max="3343" width="10.5546875" style="137" bestFit="1" customWidth="1"/>
    <col min="3344" max="3344" width="12.109375" style="137" bestFit="1" customWidth="1"/>
    <col min="3345" max="3345" width="18.109375" style="137" bestFit="1" customWidth="1"/>
    <col min="3346" max="3346" width="10.5546875" style="137" bestFit="1" customWidth="1"/>
    <col min="3347" max="3582" width="8.5546875" style="137"/>
    <col min="3583" max="3583" width="38.109375" style="137" customWidth="1"/>
    <col min="3584" max="3584" width="23.44140625" style="137" bestFit="1" customWidth="1"/>
    <col min="3585" max="3586" width="9.109375" style="137" customWidth="1"/>
    <col min="3587" max="3587" width="11.109375" style="137" bestFit="1" customWidth="1"/>
    <col min="3588" max="3588" width="14.44140625" style="137" bestFit="1" customWidth="1"/>
    <col min="3589" max="3589" width="8.109375" style="137" customWidth="1"/>
    <col min="3590" max="3590" width="10.5546875" style="137" bestFit="1" customWidth="1"/>
    <col min="3591" max="3591" width="12.109375" style="137" bestFit="1" customWidth="1"/>
    <col min="3592" max="3592" width="9.109375" style="137" customWidth="1"/>
    <col min="3593" max="3593" width="10.5546875" style="137" bestFit="1" customWidth="1"/>
    <col min="3594" max="3594" width="12.109375" style="137" bestFit="1" customWidth="1"/>
    <col min="3595" max="3595" width="8" style="137" customWidth="1"/>
    <col min="3596" max="3596" width="10.5546875" style="137" bestFit="1" customWidth="1"/>
    <col min="3597" max="3597" width="12.109375" style="137" bestFit="1" customWidth="1"/>
    <col min="3598" max="3598" width="8.109375" style="137" bestFit="1" customWidth="1"/>
    <col min="3599" max="3599" width="10.5546875" style="137" bestFit="1" customWidth="1"/>
    <col min="3600" max="3600" width="12.109375" style="137" bestFit="1" customWidth="1"/>
    <col min="3601" max="3601" width="18.109375" style="137" bestFit="1" customWidth="1"/>
    <col min="3602" max="3602" width="10.5546875" style="137" bestFit="1" customWidth="1"/>
    <col min="3603" max="3838" width="8.5546875" style="137"/>
    <col min="3839" max="3839" width="38.109375" style="137" customWidth="1"/>
    <col min="3840" max="3840" width="23.44140625" style="137" bestFit="1" customWidth="1"/>
    <col min="3841" max="3842" width="9.109375" style="137" customWidth="1"/>
    <col min="3843" max="3843" width="11.109375" style="137" bestFit="1" customWidth="1"/>
    <col min="3844" max="3844" width="14.44140625" style="137" bestFit="1" customWidth="1"/>
    <col min="3845" max="3845" width="8.109375" style="137" customWidth="1"/>
    <col min="3846" max="3846" width="10.5546875" style="137" bestFit="1" customWidth="1"/>
    <col min="3847" max="3847" width="12.109375" style="137" bestFit="1" customWidth="1"/>
    <col min="3848" max="3848" width="9.109375" style="137" customWidth="1"/>
    <col min="3849" max="3849" width="10.5546875" style="137" bestFit="1" customWidth="1"/>
    <col min="3850" max="3850" width="12.109375" style="137" bestFit="1" customWidth="1"/>
    <col min="3851" max="3851" width="8" style="137" customWidth="1"/>
    <col min="3852" max="3852" width="10.5546875" style="137" bestFit="1" customWidth="1"/>
    <col min="3853" max="3853" width="12.109375" style="137" bestFit="1" customWidth="1"/>
    <col min="3854" max="3854" width="8.109375" style="137" bestFit="1" customWidth="1"/>
    <col min="3855" max="3855" width="10.5546875" style="137" bestFit="1" customWidth="1"/>
    <col min="3856" max="3856" width="12.109375" style="137" bestFit="1" customWidth="1"/>
    <col min="3857" max="3857" width="18.109375" style="137" bestFit="1" customWidth="1"/>
    <col min="3858" max="3858" width="10.5546875" style="137" bestFit="1" customWidth="1"/>
    <col min="3859" max="4094" width="8.5546875" style="137"/>
    <col min="4095" max="4095" width="38.109375" style="137" customWidth="1"/>
    <col min="4096" max="4096" width="23.44140625" style="137" bestFit="1" customWidth="1"/>
    <col min="4097" max="4098" width="9.109375" style="137" customWidth="1"/>
    <col min="4099" max="4099" width="11.109375" style="137" bestFit="1" customWidth="1"/>
    <col min="4100" max="4100" width="14.44140625" style="137" bestFit="1" customWidth="1"/>
    <col min="4101" max="4101" width="8.109375" style="137" customWidth="1"/>
    <col min="4102" max="4102" width="10.5546875" style="137" bestFit="1" customWidth="1"/>
    <col min="4103" max="4103" width="12.109375" style="137" bestFit="1" customWidth="1"/>
    <col min="4104" max="4104" width="9.109375" style="137" customWidth="1"/>
    <col min="4105" max="4105" width="10.5546875" style="137" bestFit="1" customWidth="1"/>
    <col min="4106" max="4106" width="12.109375" style="137" bestFit="1" customWidth="1"/>
    <col min="4107" max="4107" width="8" style="137" customWidth="1"/>
    <col min="4108" max="4108" width="10.5546875" style="137" bestFit="1" customWidth="1"/>
    <col min="4109" max="4109" width="12.109375" style="137" bestFit="1" customWidth="1"/>
    <col min="4110" max="4110" width="8.109375" style="137" bestFit="1" customWidth="1"/>
    <col min="4111" max="4111" width="10.5546875" style="137" bestFit="1" customWidth="1"/>
    <col min="4112" max="4112" width="12.109375" style="137" bestFit="1" customWidth="1"/>
    <col min="4113" max="4113" width="18.109375" style="137" bestFit="1" customWidth="1"/>
    <col min="4114" max="4114" width="10.5546875" style="137" bestFit="1" customWidth="1"/>
    <col min="4115" max="4350" width="8.5546875" style="137"/>
    <col min="4351" max="4351" width="38.109375" style="137" customWidth="1"/>
    <col min="4352" max="4352" width="23.44140625" style="137" bestFit="1" customWidth="1"/>
    <col min="4353" max="4354" width="9.109375" style="137" customWidth="1"/>
    <col min="4355" max="4355" width="11.109375" style="137" bestFit="1" customWidth="1"/>
    <col min="4356" max="4356" width="14.44140625" style="137" bestFit="1" customWidth="1"/>
    <col min="4357" max="4357" width="8.109375" style="137" customWidth="1"/>
    <col min="4358" max="4358" width="10.5546875" style="137" bestFit="1" customWidth="1"/>
    <col min="4359" max="4359" width="12.109375" style="137" bestFit="1" customWidth="1"/>
    <col min="4360" max="4360" width="9.109375" style="137" customWidth="1"/>
    <col min="4361" max="4361" width="10.5546875" style="137" bestFit="1" customWidth="1"/>
    <col min="4362" max="4362" width="12.109375" style="137" bestFit="1" customWidth="1"/>
    <col min="4363" max="4363" width="8" style="137" customWidth="1"/>
    <col min="4364" max="4364" width="10.5546875" style="137" bestFit="1" customWidth="1"/>
    <col min="4365" max="4365" width="12.109375" style="137" bestFit="1" customWidth="1"/>
    <col min="4366" max="4366" width="8.109375" style="137" bestFit="1" customWidth="1"/>
    <col min="4367" max="4367" width="10.5546875" style="137" bestFit="1" customWidth="1"/>
    <col min="4368" max="4368" width="12.109375" style="137" bestFit="1" customWidth="1"/>
    <col min="4369" max="4369" width="18.109375" style="137" bestFit="1" customWidth="1"/>
    <col min="4370" max="4370" width="10.5546875" style="137" bestFit="1" customWidth="1"/>
    <col min="4371" max="4606" width="8.5546875" style="137"/>
    <col min="4607" max="4607" width="38.109375" style="137" customWidth="1"/>
    <col min="4608" max="4608" width="23.44140625" style="137" bestFit="1" customWidth="1"/>
    <col min="4609" max="4610" width="9.109375" style="137" customWidth="1"/>
    <col min="4611" max="4611" width="11.109375" style="137" bestFit="1" customWidth="1"/>
    <col min="4612" max="4612" width="14.44140625" style="137" bestFit="1" customWidth="1"/>
    <col min="4613" max="4613" width="8.109375" style="137" customWidth="1"/>
    <col min="4614" max="4614" width="10.5546875" style="137" bestFit="1" customWidth="1"/>
    <col min="4615" max="4615" width="12.109375" style="137" bestFit="1" customWidth="1"/>
    <col min="4616" max="4616" width="9.109375" style="137" customWidth="1"/>
    <col min="4617" max="4617" width="10.5546875" style="137" bestFit="1" customWidth="1"/>
    <col min="4618" max="4618" width="12.109375" style="137" bestFit="1" customWidth="1"/>
    <col min="4619" max="4619" width="8" style="137" customWidth="1"/>
    <col min="4620" max="4620" width="10.5546875" style="137" bestFit="1" customWidth="1"/>
    <col min="4621" max="4621" width="12.109375" style="137" bestFit="1" customWidth="1"/>
    <col min="4622" max="4622" width="8.109375" style="137" bestFit="1" customWidth="1"/>
    <col min="4623" max="4623" width="10.5546875" style="137" bestFit="1" customWidth="1"/>
    <col min="4624" max="4624" width="12.109375" style="137" bestFit="1" customWidth="1"/>
    <col min="4625" max="4625" width="18.109375" style="137" bestFit="1" customWidth="1"/>
    <col min="4626" max="4626" width="10.5546875" style="137" bestFit="1" customWidth="1"/>
    <col min="4627" max="4862" width="8.5546875" style="137"/>
    <col min="4863" max="4863" width="38.109375" style="137" customWidth="1"/>
    <col min="4864" max="4864" width="23.44140625" style="137" bestFit="1" customWidth="1"/>
    <col min="4865" max="4866" width="9.109375" style="137" customWidth="1"/>
    <col min="4867" max="4867" width="11.109375" style="137" bestFit="1" customWidth="1"/>
    <col min="4868" max="4868" width="14.44140625" style="137" bestFit="1" customWidth="1"/>
    <col min="4869" max="4869" width="8.109375" style="137" customWidth="1"/>
    <col min="4870" max="4870" width="10.5546875" style="137" bestFit="1" customWidth="1"/>
    <col min="4871" max="4871" width="12.109375" style="137" bestFit="1" customWidth="1"/>
    <col min="4872" max="4872" width="9.109375" style="137" customWidth="1"/>
    <col min="4873" max="4873" width="10.5546875" style="137" bestFit="1" customWidth="1"/>
    <col min="4874" max="4874" width="12.109375" style="137" bestFit="1" customWidth="1"/>
    <col min="4875" max="4875" width="8" style="137" customWidth="1"/>
    <col min="4876" max="4876" width="10.5546875" style="137" bestFit="1" customWidth="1"/>
    <col min="4877" max="4877" width="12.109375" style="137" bestFit="1" customWidth="1"/>
    <col min="4878" max="4878" width="8.109375" style="137" bestFit="1" customWidth="1"/>
    <col min="4879" max="4879" width="10.5546875" style="137" bestFit="1" customWidth="1"/>
    <col min="4880" max="4880" width="12.109375" style="137" bestFit="1" customWidth="1"/>
    <col min="4881" max="4881" width="18.109375" style="137" bestFit="1" customWidth="1"/>
    <col min="4882" max="4882" width="10.5546875" style="137" bestFit="1" customWidth="1"/>
    <col min="4883" max="5118" width="8.5546875" style="137"/>
    <col min="5119" max="5119" width="38.109375" style="137" customWidth="1"/>
    <col min="5120" max="5120" width="23.44140625" style="137" bestFit="1" customWidth="1"/>
    <col min="5121" max="5122" width="9.109375" style="137" customWidth="1"/>
    <col min="5123" max="5123" width="11.109375" style="137" bestFit="1" customWidth="1"/>
    <col min="5124" max="5124" width="14.44140625" style="137" bestFit="1" customWidth="1"/>
    <col min="5125" max="5125" width="8.109375" style="137" customWidth="1"/>
    <col min="5126" max="5126" width="10.5546875" style="137" bestFit="1" customWidth="1"/>
    <col min="5127" max="5127" width="12.109375" style="137" bestFit="1" customWidth="1"/>
    <col min="5128" max="5128" width="9.109375" style="137" customWidth="1"/>
    <col min="5129" max="5129" width="10.5546875" style="137" bestFit="1" customWidth="1"/>
    <col min="5130" max="5130" width="12.109375" style="137" bestFit="1" customWidth="1"/>
    <col min="5131" max="5131" width="8" style="137" customWidth="1"/>
    <col min="5132" max="5132" width="10.5546875" style="137" bestFit="1" customWidth="1"/>
    <col min="5133" max="5133" width="12.109375" style="137" bestFit="1" customWidth="1"/>
    <col min="5134" max="5134" width="8.109375" style="137" bestFit="1" customWidth="1"/>
    <col min="5135" max="5135" width="10.5546875" style="137" bestFit="1" customWidth="1"/>
    <col min="5136" max="5136" width="12.109375" style="137" bestFit="1" customWidth="1"/>
    <col min="5137" max="5137" width="18.109375" style="137" bestFit="1" customWidth="1"/>
    <col min="5138" max="5138" width="10.5546875" style="137" bestFit="1" customWidth="1"/>
    <col min="5139" max="5374" width="8.5546875" style="137"/>
    <col min="5375" max="5375" width="38.109375" style="137" customWidth="1"/>
    <col min="5376" max="5376" width="23.44140625" style="137" bestFit="1" customWidth="1"/>
    <col min="5377" max="5378" width="9.109375" style="137" customWidth="1"/>
    <col min="5379" max="5379" width="11.109375" style="137" bestFit="1" customWidth="1"/>
    <col min="5380" max="5380" width="14.44140625" style="137" bestFit="1" customWidth="1"/>
    <col min="5381" max="5381" width="8.109375" style="137" customWidth="1"/>
    <col min="5382" max="5382" width="10.5546875" style="137" bestFit="1" customWidth="1"/>
    <col min="5383" max="5383" width="12.109375" style="137" bestFit="1" customWidth="1"/>
    <col min="5384" max="5384" width="9.109375" style="137" customWidth="1"/>
    <col min="5385" max="5385" width="10.5546875" style="137" bestFit="1" customWidth="1"/>
    <col min="5386" max="5386" width="12.109375" style="137" bestFit="1" customWidth="1"/>
    <col min="5387" max="5387" width="8" style="137" customWidth="1"/>
    <col min="5388" max="5388" width="10.5546875" style="137" bestFit="1" customWidth="1"/>
    <col min="5389" max="5389" width="12.109375" style="137" bestFit="1" customWidth="1"/>
    <col min="5390" max="5390" width="8.109375" style="137" bestFit="1" customWidth="1"/>
    <col min="5391" max="5391" width="10.5546875" style="137" bestFit="1" customWidth="1"/>
    <col min="5392" max="5392" width="12.109375" style="137" bestFit="1" customWidth="1"/>
    <col min="5393" max="5393" width="18.109375" style="137" bestFit="1" customWidth="1"/>
    <col min="5394" max="5394" width="10.5546875" style="137" bestFit="1" customWidth="1"/>
    <col min="5395" max="5630" width="8.5546875" style="137"/>
    <col min="5631" max="5631" width="38.109375" style="137" customWidth="1"/>
    <col min="5632" max="5632" width="23.44140625" style="137" bestFit="1" customWidth="1"/>
    <col min="5633" max="5634" width="9.109375" style="137" customWidth="1"/>
    <col min="5635" max="5635" width="11.109375" style="137" bestFit="1" customWidth="1"/>
    <col min="5636" max="5636" width="14.44140625" style="137" bestFit="1" customWidth="1"/>
    <col min="5637" max="5637" width="8.109375" style="137" customWidth="1"/>
    <col min="5638" max="5638" width="10.5546875" style="137" bestFit="1" customWidth="1"/>
    <col min="5639" max="5639" width="12.109375" style="137" bestFit="1" customWidth="1"/>
    <col min="5640" max="5640" width="9.109375" style="137" customWidth="1"/>
    <col min="5641" max="5641" width="10.5546875" style="137" bestFit="1" customWidth="1"/>
    <col min="5642" max="5642" width="12.109375" style="137" bestFit="1" customWidth="1"/>
    <col min="5643" max="5643" width="8" style="137" customWidth="1"/>
    <col min="5644" max="5644" width="10.5546875" style="137" bestFit="1" customWidth="1"/>
    <col min="5645" max="5645" width="12.109375" style="137" bestFit="1" customWidth="1"/>
    <col min="5646" max="5646" width="8.109375" style="137" bestFit="1" customWidth="1"/>
    <col min="5647" max="5647" width="10.5546875" style="137" bestFit="1" customWidth="1"/>
    <col min="5648" max="5648" width="12.109375" style="137" bestFit="1" customWidth="1"/>
    <col min="5649" max="5649" width="18.109375" style="137" bestFit="1" customWidth="1"/>
    <col min="5650" max="5650" width="10.5546875" style="137" bestFit="1" customWidth="1"/>
    <col min="5651" max="5886" width="8.5546875" style="137"/>
    <col min="5887" max="5887" width="38.109375" style="137" customWidth="1"/>
    <col min="5888" max="5888" width="23.44140625" style="137" bestFit="1" customWidth="1"/>
    <col min="5889" max="5890" width="9.109375" style="137" customWidth="1"/>
    <col min="5891" max="5891" width="11.109375" style="137" bestFit="1" customWidth="1"/>
    <col min="5892" max="5892" width="14.44140625" style="137" bestFit="1" customWidth="1"/>
    <col min="5893" max="5893" width="8.109375" style="137" customWidth="1"/>
    <col min="5894" max="5894" width="10.5546875" style="137" bestFit="1" customWidth="1"/>
    <col min="5895" max="5895" width="12.109375" style="137" bestFit="1" customWidth="1"/>
    <col min="5896" max="5896" width="9.109375" style="137" customWidth="1"/>
    <col min="5897" max="5897" width="10.5546875" style="137" bestFit="1" customWidth="1"/>
    <col min="5898" max="5898" width="12.109375" style="137" bestFit="1" customWidth="1"/>
    <col min="5899" max="5899" width="8" style="137" customWidth="1"/>
    <col min="5900" max="5900" width="10.5546875" style="137" bestFit="1" customWidth="1"/>
    <col min="5901" max="5901" width="12.109375" style="137" bestFit="1" customWidth="1"/>
    <col min="5902" max="5902" width="8.109375" style="137" bestFit="1" customWidth="1"/>
    <col min="5903" max="5903" width="10.5546875" style="137" bestFit="1" customWidth="1"/>
    <col min="5904" max="5904" width="12.109375" style="137" bestFit="1" customWidth="1"/>
    <col min="5905" max="5905" width="18.109375" style="137" bestFit="1" customWidth="1"/>
    <col min="5906" max="5906" width="10.5546875" style="137" bestFit="1" customWidth="1"/>
    <col min="5907" max="6142" width="8.5546875" style="137"/>
    <col min="6143" max="6143" width="38.109375" style="137" customWidth="1"/>
    <col min="6144" max="6144" width="23.44140625" style="137" bestFit="1" customWidth="1"/>
    <col min="6145" max="6146" width="9.109375" style="137" customWidth="1"/>
    <col min="6147" max="6147" width="11.109375" style="137" bestFit="1" customWidth="1"/>
    <col min="6148" max="6148" width="14.44140625" style="137" bestFit="1" customWidth="1"/>
    <col min="6149" max="6149" width="8.109375" style="137" customWidth="1"/>
    <col min="6150" max="6150" width="10.5546875" style="137" bestFit="1" customWidth="1"/>
    <col min="6151" max="6151" width="12.109375" style="137" bestFit="1" customWidth="1"/>
    <col min="6152" max="6152" width="9.109375" style="137" customWidth="1"/>
    <col min="6153" max="6153" width="10.5546875" style="137" bestFit="1" customWidth="1"/>
    <col min="6154" max="6154" width="12.109375" style="137" bestFit="1" customWidth="1"/>
    <col min="6155" max="6155" width="8" style="137" customWidth="1"/>
    <col min="6156" max="6156" width="10.5546875" style="137" bestFit="1" customWidth="1"/>
    <col min="6157" max="6157" width="12.109375" style="137" bestFit="1" customWidth="1"/>
    <col min="6158" max="6158" width="8.109375" style="137" bestFit="1" customWidth="1"/>
    <col min="6159" max="6159" width="10.5546875" style="137" bestFit="1" customWidth="1"/>
    <col min="6160" max="6160" width="12.109375" style="137" bestFit="1" customWidth="1"/>
    <col min="6161" max="6161" width="18.109375" style="137" bestFit="1" customWidth="1"/>
    <col min="6162" max="6162" width="10.5546875" style="137" bestFit="1" customWidth="1"/>
    <col min="6163" max="6398" width="8.5546875" style="137"/>
    <col min="6399" max="6399" width="38.109375" style="137" customWidth="1"/>
    <col min="6400" max="6400" width="23.44140625" style="137" bestFit="1" customWidth="1"/>
    <col min="6401" max="6402" width="9.109375" style="137" customWidth="1"/>
    <col min="6403" max="6403" width="11.109375" style="137" bestFit="1" customWidth="1"/>
    <col min="6404" max="6404" width="14.44140625" style="137" bestFit="1" customWidth="1"/>
    <col min="6405" max="6405" width="8.109375" style="137" customWidth="1"/>
    <col min="6406" max="6406" width="10.5546875" style="137" bestFit="1" customWidth="1"/>
    <col min="6407" max="6407" width="12.109375" style="137" bestFit="1" customWidth="1"/>
    <col min="6408" max="6408" width="9.109375" style="137" customWidth="1"/>
    <col min="6409" max="6409" width="10.5546875" style="137" bestFit="1" customWidth="1"/>
    <col min="6410" max="6410" width="12.109375" style="137" bestFit="1" customWidth="1"/>
    <col min="6411" max="6411" width="8" style="137" customWidth="1"/>
    <col min="6412" max="6412" width="10.5546875" style="137" bestFit="1" customWidth="1"/>
    <col min="6413" max="6413" width="12.109375" style="137" bestFit="1" customWidth="1"/>
    <col min="6414" max="6414" width="8.109375" style="137" bestFit="1" customWidth="1"/>
    <col min="6415" max="6415" width="10.5546875" style="137" bestFit="1" customWidth="1"/>
    <col min="6416" max="6416" width="12.109375" style="137" bestFit="1" customWidth="1"/>
    <col min="6417" max="6417" width="18.109375" style="137" bestFit="1" customWidth="1"/>
    <col min="6418" max="6418" width="10.5546875" style="137" bestFit="1" customWidth="1"/>
    <col min="6419" max="6654" width="8.5546875" style="137"/>
    <col min="6655" max="6655" width="38.109375" style="137" customWidth="1"/>
    <col min="6656" max="6656" width="23.44140625" style="137" bestFit="1" customWidth="1"/>
    <col min="6657" max="6658" width="9.109375" style="137" customWidth="1"/>
    <col min="6659" max="6659" width="11.109375" style="137" bestFit="1" customWidth="1"/>
    <col min="6660" max="6660" width="14.44140625" style="137" bestFit="1" customWidth="1"/>
    <col min="6661" max="6661" width="8.109375" style="137" customWidth="1"/>
    <col min="6662" max="6662" width="10.5546875" style="137" bestFit="1" customWidth="1"/>
    <col min="6663" max="6663" width="12.109375" style="137" bestFit="1" customWidth="1"/>
    <col min="6664" max="6664" width="9.109375" style="137" customWidth="1"/>
    <col min="6665" max="6665" width="10.5546875" style="137" bestFit="1" customWidth="1"/>
    <col min="6666" max="6666" width="12.109375" style="137" bestFit="1" customWidth="1"/>
    <col min="6667" max="6667" width="8" style="137" customWidth="1"/>
    <col min="6668" max="6668" width="10.5546875" style="137" bestFit="1" customWidth="1"/>
    <col min="6669" max="6669" width="12.109375" style="137" bestFit="1" customWidth="1"/>
    <col min="6670" max="6670" width="8.109375" style="137" bestFit="1" customWidth="1"/>
    <col min="6671" max="6671" width="10.5546875" style="137" bestFit="1" customWidth="1"/>
    <col min="6672" max="6672" width="12.109375" style="137" bestFit="1" customWidth="1"/>
    <col min="6673" max="6673" width="18.109375" style="137" bestFit="1" customWidth="1"/>
    <col min="6674" max="6674" width="10.5546875" style="137" bestFit="1" customWidth="1"/>
    <col min="6675" max="6910" width="8.5546875" style="137"/>
    <col min="6911" max="6911" width="38.109375" style="137" customWidth="1"/>
    <col min="6912" max="6912" width="23.44140625" style="137" bestFit="1" customWidth="1"/>
    <col min="6913" max="6914" width="9.109375" style="137" customWidth="1"/>
    <col min="6915" max="6915" width="11.109375" style="137" bestFit="1" customWidth="1"/>
    <col min="6916" max="6916" width="14.44140625" style="137" bestFit="1" customWidth="1"/>
    <col min="6917" max="6917" width="8.109375" style="137" customWidth="1"/>
    <col min="6918" max="6918" width="10.5546875" style="137" bestFit="1" customWidth="1"/>
    <col min="6919" max="6919" width="12.109375" style="137" bestFit="1" customWidth="1"/>
    <col min="6920" max="6920" width="9.109375" style="137" customWidth="1"/>
    <col min="6921" max="6921" width="10.5546875" style="137" bestFit="1" customWidth="1"/>
    <col min="6922" max="6922" width="12.109375" style="137" bestFit="1" customWidth="1"/>
    <col min="6923" max="6923" width="8" style="137" customWidth="1"/>
    <col min="6924" max="6924" width="10.5546875" style="137" bestFit="1" customWidth="1"/>
    <col min="6925" max="6925" width="12.109375" style="137" bestFit="1" customWidth="1"/>
    <col min="6926" max="6926" width="8.109375" style="137" bestFit="1" customWidth="1"/>
    <col min="6927" max="6927" width="10.5546875" style="137" bestFit="1" customWidth="1"/>
    <col min="6928" max="6928" width="12.109375" style="137" bestFit="1" customWidth="1"/>
    <col min="6929" max="6929" width="18.109375" style="137" bestFit="1" customWidth="1"/>
    <col min="6930" max="6930" width="10.5546875" style="137" bestFit="1" customWidth="1"/>
    <col min="6931" max="7166" width="8.5546875" style="137"/>
    <col min="7167" max="7167" width="38.109375" style="137" customWidth="1"/>
    <col min="7168" max="7168" width="23.44140625" style="137" bestFit="1" customWidth="1"/>
    <col min="7169" max="7170" width="9.109375" style="137" customWidth="1"/>
    <col min="7171" max="7171" width="11.109375" style="137" bestFit="1" customWidth="1"/>
    <col min="7172" max="7172" width="14.44140625" style="137" bestFit="1" customWidth="1"/>
    <col min="7173" max="7173" width="8.109375" style="137" customWidth="1"/>
    <col min="7174" max="7174" width="10.5546875" style="137" bestFit="1" customWidth="1"/>
    <col min="7175" max="7175" width="12.109375" style="137" bestFit="1" customWidth="1"/>
    <col min="7176" max="7176" width="9.109375" style="137" customWidth="1"/>
    <col min="7177" max="7177" width="10.5546875" style="137" bestFit="1" customWidth="1"/>
    <col min="7178" max="7178" width="12.109375" style="137" bestFit="1" customWidth="1"/>
    <col min="7179" max="7179" width="8" style="137" customWidth="1"/>
    <col min="7180" max="7180" width="10.5546875" style="137" bestFit="1" customWidth="1"/>
    <col min="7181" max="7181" width="12.109375" style="137" bestFit="1" customWidth="1"/>
    <col min="7182" max="7182" width="8.109375" style="137" bestFit="1" customWidth="1"/>
    <col min="7183" max="7183" width="10.5546875" style="137" bestFit="1" customWidth="1"/>
    <col min="7184" max="7184" width="12.109375" style="137" bestFit="1" customWidth="1"/>
    <col min="7185" max="7185" width="18.109375" style="137" bestFit="1" customWidth="1"/>
    <col min="7186" max="7186" width="10.5546875" style="137" bestFit="1" customWidth="1"/>
    <col min="7187" max="7422" width="8.5546875" style="137"/>
    <col min="7423" max="7423" width="38.109375" style="137" customWidth="1"/>
    <col min="7424" max="7424" width="23.44140625" style="137" bestFit="1" customWidth="1"/>
    <col min="7425" max="7426" width="9.109375" style="137" customWidth="1"/>
    <col min="7427" max="7427" width="11.109375" style="137" bestFit="1" customWidth="1"/>
    <col min="7428" max="7428" width="14.44140625" style="137" bestFit="1" customWidth="1"/>
    <col min="7429" max="7429" width="8.109375" style="137" customWidth="1"/>
    <col min="7430" max="7430" width="10.5546875" style="137" bestFit="1" customWidth="1"/>
    <col min="7431" max="7431" width="12.109375" style="137" bestFit="1" customWidth="1"/>
    <col min="7432" max="7432" width="9.109375" style="137" customWidth="1"/>
    <col min="7433" max="7433" width="10.5546875" style="137" bestFit="1" customWidth="1"/>
    <col min="7434" max="7434" width="12.109375" style="137" bestFit="1" customWidth="1"/>
    <col min="7435" max="7435" width="8" style="137" customWidth="1"/>
    <col min="7436" max="7436" width="10.5546875" style="137" bestFit="1" customWidth="1"/>
    <col min="7437" max="7437" width="12.109375" style="137" bestFit="1" customWidth="1"/>
    <col min="7438" max="7438" width="8.109375" style="137" bestFit="1" customWidth="1"/>
    <col min="7439" max="7439" width="10.5546875" style="137" bestFit="1" customWidth="1"/>
    <col min="7440" max="7440" width="12.109375" style="137" bestFit="1" customWidth="1"/>
    <col min="7441" max="7441" width="18.109375" style="137" bestFit="1" customWidth="1"/>
    <col min="7442" max="7442" width="10.5546875" style="137" bestFit="1" customWidth="1"/>
    <col min="7443" max="7678" width="8.5546875" style="137"/>
    <col min="7679" max="7679" width="38.109375" style="137" customWidth="1"/>
    <col min="7680" max="7680" width="23.44140625" style="137" bestFit="1" customWidth="1"/>
    <col min="7681" max="7682" width="9.109375" style="137" customWidth="1"/>
    <col min="7683" max="7683" width="11.109375" style="137" bestFit="1" customWidth="1"/>
    <col min="7684" max="7684" width="14.44140625" style="137" bestFit="1" customWidth="1"/>
    <col min="7685" max="7685" width="8.109375" style="137" customWidth="1"/>
    <col min="7686" max="7686" width="10.5546875" style="137" bestFit="1" customWidth="1"/>
    <col min="7687" max="7687" width="12.109375" style="137" bestFit="1" customWidth="1"/>
    <col min="7688" max="7688" width="9.109375" style="137" customWidth="1"/>
    <col min="7689" max="7689" width="10.5546875" style="137" bestFit="1" customWidth="1"/>
    <col min="7690" max="7690" width="12.109375" style="137" bestFit="1" customWidth="1"/>
    <col min="7691" max="7691" width="8" style="137" customWidth="1"/>
    <col min="7692" max="7692" width="10.5546875" style="137" bestFit="1" customWidth="1"/>
    <col min="7693" max="7693" width="12.109375" style="137" bestFit="1" customWidth="1"/>
    <col min="7694" max="7694" width="8.109375" style="137" bestFit="1" customWidth="1"/>
    <col min="7695" max="7695" width="10.5546875" style="137" bestFit="1" customWidth="1"/>
    <col min="7696" max="7696" width="12.109375" style="137" bestFit="1" customWidth="1"/>
    <col min="7697" max="7697" width="18.109375" style="137" bestFit="1" customWidth="1"/>
    <col min="7698" max="7698" width="10.5546875" style="137" bestFit="1" customWidth="1"/>
    <col min="7699" max="7934" width="8.5546875" style="137"/>
    <col min="7935" max="7935" width="38.109375" style="137" customWidth="1"/>
    <col min="7936" max="7936" width="23.44140625" style="137" bestFit="1" customWidth="1"/>
    <col min="7937" max="7938" width="9.109375" style="137" customWidth="1"/>
    <col min="7939" max="7939" width="11.109375" style="137" bestFit="1" customWidth="1"/>
    <col min="7940" max="7940" width="14.44140625" style="137" bestFit="1" customWidth="1"/>
    <col min="7941" max="7941" width="8.109375" style="137" customWidth="1"/>
    <col min="7942" max="7942" width="10.5546875" style="137" bestFit="1" customWidth="1"/>
    <col min="7943" max="7943" width="12.109375" style="137" bestFit="1" customWidth="1"/>
    <col min="7944" max="7944" width="9.109375" style="137" customWidth="1"/>
    <col min="7945" max="7945" width="10.5546875" style="137" bestFit="1" customWidth="1"/>
    <col min="7946" max="7946" width="12.109375" style="137" bestFit="1" customWidth="1"/>
    <col min="7947" max="7947" width="8" style="137" customWidth="1"/>
    <col min="7948" max="7948" width="10.5546875" style="137" bestFit="1" customWidth="1"/>
    <col min="7949" max="7949" width="12.109375" style="137" bestFit="1" customWidth="1"/>
    <col min="7950" max="7950" width="8.109375" style="137" bestFit="1" customWidth="1"/>
    <col min="7951" max="7951" width="10.5546875" style="137" bestFit="1" customWidth="1"/>
    <col min="7952" max="7952" width="12.109375" style="137" bestFit="1" customWidth="1"/>
    <col min="7953" max="7953" width="18.109375" style="137" bestFit="1" customWidth="1"/>
    <col min="7954" max="7954" width="10.5546875" style="137" bestFit="1" customWidth="1"/>
    <col min="7955" max="8190" width="8.5546875" style="137"/>
    <col min="8191" max="8191" width="38.109375" style="137" customWidth="1"/>
    <col min="8192" max="8192" width="23.44140625" style="137" bestFit="1" customWidth="1"/>
    <col min="8193" max="8194" width="9.109375" style="137" customWidth="1"/>
    <col min="8195" max="8195" width="11.109375" style="137" bestFit="1" customWidth="1"/>
    <col min="8196" max="8196" width="14.44140625" style="137" bestFit="1" customWidth="1"/>
    <col min="8197" max="8197" width="8.109375" style="137" customWidth="1"/>
    <col min="8198" max="8198" width="10.5546875" style="137" bestFit="1" customWidth="1"/>
    <col min="8199" max="8199" width="12.109375" style="137" bestFit="1" customWidth="1"/>
    <col min="8200" max="8200" width="9.109375" style="137" customWidth="1"/>
    <col min="8201" max="8201" width="10.5546875" style="137" bestFit="1" customWidth="1"/>
    <col min="8202" max="8202" width="12.109375" style="137" bestFit="1" customWidth="1"/>
    <col min="8203" max="8203" width="8" style="137" customWidth="1"/>
    <col min="8204" max="8204" width="10.5546875" style="137" bestFit="1" customWidth="1"/>
    <col min="8205" max="8205" width="12.109375" style="137" bestFit="1" customWidth="1"/>
    <col min="8206" max="8206" width="8.109375" style="137" bestFit="1" customWidth="1"/>
    <col min="8207" max="8207" width="10.5546875" style="137" bestFit="1" customWidth="1"/>
    <col min="8208" max="8208" width="12.109375" style="137" bestFit="1" customWidth="1"/>
    <col min="8209" max="8209" width="18.109375" style="137" bestFit="1" customWidth="1"/>
    <col min="8210" max="8210" width="10.5546875" style="137" bestFit="1" customWidth="1"/>
    <col min="8211" max="8446" width="8.5546875" style="137"/>
    <col min="8447" max="8447" width="38.109375" style="137" customWidth="1"/>
    <col min="8448" max="8448" width="23.44140625" style="137" bestFit="1" customWidth="1"/>
    <col min="8449" max="8450" width="9.109375" style="137" customWidth="1"/>
    <col min="8451" max="8451" width="11.109375" style="137" bestFit="1" customWidth="1"/>
    <col min="8452" max="8452" width="14.44140625" style="137" bestFit="1" customWidth="1"/>
    <col min="8453" max="8453" width="8.109375" style="137" customWidth="1"/>
    <col min="8454" max="8454" width="10.5546875" style="137" bestFit="1" customWidth="1"/>
    <col min="8455" max="8455" width="12.109375" style="137" bestFit="1" customWidth="1"/>
    <col min="8456" max="8456" width="9.109375" style="137" customWidth="1"/>
    <col min="8457" max="8457" width="10.5546875" style="137" bestFit="1" customWidth="1"/>
    <col min="8458" max="8458" width="12.109375" style="137" bestFit="1" customWidth="1"/>
    <col min="8459" max="8459" width="8" style="137" customWidth="1"/>
    <col min="8460" max="8460" width="10.5546875" style="137" bestFit="1" customWidth="1"/>
    <col min="8461" max="8461" width="12.109375" style="137" bestFit="1" customWidth="1"/>
    <col min="8462" max="8462" width="8.109375" style="137" bestFit="1" customWidth="1"/>
    <col min="8463" max="8463" width="10.5546875" style="137" bestFit="1" customWidth="1"/>
    <col min="8464" max="8464" width="12.109375" style="137" bestFit="1" customWidth="1"/>
    <col min="8465" max="8465" width="18.109375" style="137" bestFit="1" customWidth="1"/>
    <col min="8466" max="8466" width="10.5546875" style="137" bestFit="1" customWidth="1"/>
    <col min="8467" max="8702" width="8.5546875" style="137"/>
    <col min="8703" max="8703" width="38.109375" style="137" customWidth="1"/>
    <col min="8704" max="8704" width="23.44140625" style="137" bestFit="1" customWidth="1"/>
    <col min="8705" max="8706" width="9.109375" style="137" customWidth="1"/>
    <col min="8707" max="8707" width="11.109375" style="137" bestFit="1" customWidth="1"/>
    <col min="8708" max="8708" width="14.44140625" style="137" bestFit="1" customWidth="1"/>
    <col min="8709" max="8709" width="8.109375" style="137" customWidth="1"/>
    <col min="8710" max="8710" width="10.5546875" style="137" bestFit="1" customWidth="1"/>
    <col min="8711" max="8711" width="12.109375" style="137" bestFit="1" customWidth="1"/>
    <col min="8712" max="8712" width="9.109375" style="137" customWidth="1"/>
    <col min="8713" max="8713" width="10.5546875" style="137" bestFit="1" customWidth="1"/>
    <col min="8714" max="8714" width="12.109375" style="137" bestFit="1" customWidth="1"/>
    <col min="8715" max="8715" width="8" style="137" customWidth="1"/>
    <col min="8716" max="8716" width="10.5546875" style="137" bestFit="1" customWidth="1"/>
    <col min="8717" max="8717" width="12.109375" style="137" bestFit="1" customWidth="1"/>
    <col min="8718" max="8718" width="8.109375" style="137" bestFit="1" customWidth="1"/>
    <col min="8719" max="8719" width="10.5546875" style="137" bestFit="1" customWidth="1"/>
    <col min="8720" max="8720" width="12.109375" style="137" bestFit="1" customWidth="1"/>
    <col min="8721" max="8721" width="18.109375" style="137" bestFit="1" customWidth="1"/>
    <col min="8722" max="8722" width="10.5546875" style="137" bestFit="1" customWidth="1"/>
    <col min="8723" max="8958" width="8.5546875" style="137"/>
    <col min="8959" max="8959" width="38.109375" style="137" customWidth="1"/>
    <col min="8960" max="8960" width="23.44140625" style="137" bestFit="1" customWidth="1"/>
    <col min="8961" max="8962" width="9.109375" style="137" customWidth="1"/>
    <col min="8963" max="8963" width="11.109375" style="137" bestFit="1" customWidth="1"/>
    <col min="8964" max="8964" width="14.44140625" style="137" bestFit="1" customWidth="1"/>
    <col min="8965" max="8965" width="8.109375" style="137" customWidth="1"/>
    <col min="8966" max="8966" width="10.5546875" style="137" bestFit="1" customWidth="1"/>
    <col min="8967" max="8967" width="12.109375" style="137" bestFit="1" customWidth="1"/>
    <col min="8968" max="8968" width="9.109375" style="137" customWidth="1"/>
    <col min="8969" max="8969" width="10.5546875" style="137" bestFit="1" customWidth="1"/>
    <col min="8970" max="8970" width="12.109375" style="137" bestFit="1" customWidth="1"/>
    <col min="8971" max="8971" width="8" style="137" customWidth="1"/>
    <col min="8972" max="8972" width="10.5546875" style="137" bestFit="1" customWidth="1"/>
    <col min="8973" max="8973" width="12.109375" style="137" bestFit="1" customWidth="1"/>
    <col min="8974" max="8974" width="8.109375" style="137" bestFit="1" customWidth="1"/>
    <col min="8975" max="8975" width="10.5546875" style="137" bestFit="1" customWidth="1"/>
    <col min="8976" max="8976" width="12.109375" style="137" bestFit="1" customWidth="1"/>
    <col min="8977" max="8977" width="18.109375" style="137" bestFit="1" customWidth="1"/>
    <col min="8978" max="8978" width="10.5546875" style="137" bestFit="1" customWidth="1"/>
    <col min="8979" max="9214" width="8.5546875" style="137"/>
    <col min="9215" max="9215" width="38.109375" style="137" customWidth="1"/>
    <col min="9216" max="9216" width="23.44140625" style="137" bestFit="1" customWidth="1"/>
    <col min="9217" max="9218" width="9.109375" style="137" customWidth="1"/>
    <col min="9219" max="9219" width="11.109375" style="137" bestFit="1" customWidth="1"/>
    <col min="9220" max="9220" width="14.44140625" style="137" bestFit="1" customWidth="1"/>
    <col min="9221" max="9221" width="8.109375" style="137" customWidth="1"/>
    <col min="9222" max="9222" width="10.5546875" style="137" bestFit="1" customWidth="1"/>
    <col min="9223" max="9223" width="12.109375" style="137" bestFit="1" customWidth="1"/>
    <col min="9224" max="9224" width="9.109375" style="137" customWidth="1"/>
    <col min="9225" max="9225" width="10.5546875" style="137" bestFit="1" customWidth="1"/>
    <col min="9226" max="9226" width="12.109375" style="137" bestFit="1" customWidth="1"/>
    <col min="9227" max="9227" width="8" style="137" customWidth="1"/>
    <col min="9228" max="9228" width="10.5546875" style="137" bestFit="1" customWidth="1"/>
    <col min="9229" max="9229" width="12.109375" style="137" bestFit="1" customWidth="1"/>
    <col min="9230" max="9230" width="8.109375" style="137" bestFit="1" customWidth="1"/>
    <col min="9231" max="9231" width="10.5546875" style="137" bestFit="1" customWidth="1"/>
    <col min="9232" max="9232" width="12.109375" style="137" bestFit="1" customWidth="1"/>
    <col min="9233" max="9233" width="18.109375" style="137" bestFit="1" customWidth="1"/>
    <col min="9234" max="9234" width="10.5546875" style="137" bestFit="1" customWidth="1"/>
    <col min="9235" max="9470" width="8.5546875" style="137"/>
    <col min="9471" max="9471" width="38.109375" style="137" customWidth="1"/>
    <col min="9472" max="9472" width="23.44140625" style="137" bestFit="1" customWidth="1"/>
    <col min="9473" max="9474" width="9.109375" style="137" customWidth="1"/>
    <col min="9475" max="9475" width="11.109375" style="137" bestFit="1" customWidth="1"/>
    <col min="9476" max="9476" width="14.44140625" style="137" bestFit="1" customWidth="1"/>
    <col min="9477" max="9477" width="8.109375" style="137" customWidth="1"/>
    <col min="9478" max="9478" width="10.5546875" style="137" bestFit="1" customWidth="1"/>
    <col min="9479" max="9479" width="12.109375" style="137" bestFit="1" customWidth="1"/>
    <col min="9480" max="9480" width="9.109375" style="137" customWidth="1"/>
    <col min="9481" max="9481" width="10.5546875" style="137" bestFit="1" customWidth="1"/>
    <col min="9482" max="9482" width="12.109375" style="137" bestFit="1" customWidth="1"/>
    <col min="9483" max="9483" width="8" style="137" customWidth="1"/>
    <col min="9484" max="9484" width="10.5546875" style="137" bestFit="1" customWidth="1"/>
    <col min="9485" max="9485" width="12.109375" style="137" bestFit="1" customWidth="1"/>
    <col min="9486" max="9486" width="8.109375" style="137" bestFit="1" customWidth="1"/>
    <col min="9487" max="9487" width="10.5546875" style="137" bestFit="1" customWidth="1"/>
    <col min="9488" max="9488" width="12.109375" style="137" bestFit="1" customWidth="1"/>
    <col min="9489" max="9489" width="18.109375" style="137" bestFit="1" customWidth="1"/>
    <col min="9490" max="9490" width="10.5546875" style="137" bestFit="1" customWidth="1"/>
    <col min="9491" max="9726" width="8.5546875" style="137"/>
    <col min="9727" max="9727" width="38.109375" style="137" customWidth="1"/>
    <col min="9728" max="9728" width="23.44140625" style="137" bestFit="1" customWidth="1"/>
    <col min="9729" max="9730" width="9.109375" style="137" customWidth="1"/>
    <col min="9731" max="9731" width="11.109375" style="137" bestFit="1" customWidth="1"/>
    <col min="9732" max="9732" width="14.44140625" style="137" bestFit="1" customWidth="1"/>
    <col min="9733" max="9733" width="8.109375" style="137" customWidth="1"/>
    <col min="9734" max="9734" width="10.5546875" style="137" bestFit="1" customWidth="1"/>
    <col min="9735" max="9735" width="12.109375" style="137" bestFit="1" customWidth="1"/>
    <col min="9736" max="9736" width="9.109375" style="137" customWidth="1"/>
    <col min="9737" max="9737" width="10.5546875" style="137" bestFit="1" customWidth="1"/>
    <col min="9738" max="9738" width="12.109375" style="137" bestFit="1" customWidth="1"/>
    <col min="9739" max="9739" width="8" style="137" customWidth="1"/>
    <col min="9740" max="9740" width="10.5546875" style="137" bestFit="1" customWidth="1"/>
    <col min="9741" max="9741" width="12.109375" style="137" bestFit="1" customWidth="1"/>
    <col min="9742" max="9742" width="8.109375" style="137" bestFit="1" customWidth="1"/>
    <col min="9743" max="9743" width="10.5546875" style="137" bestFit="1" customWidth="1"/>
    <col min="9744" max="9744" width="12.109375" style="137" bestFit="1" customWidth="1"/>
    <col min="9745" max="9745" width="18.109375" style="137" bestFit="1" customWidth="1"/>
    <col min="9746" max="9746" width="10.5546875" style="137" bestFit="1" customWidth="1"/>
    <col min="9747" max="9982" width="8.5546875" style="137"/>
    <col min="9983" max="9983" width="38.109375" style="137" customWidth="1"/>
    <col min="9984" max="9984" width="23.44140625" style="137" bestFit="1" customWidth="1"/>
    <col min="9985" max="9986" width="9.109375" style="137" customWidth="1"/>
    <col min="9987" max="9987" width="11.109375" style="137" bestFit="1" customWidth="1"/>
    <col min="9988" max="9988" width="14.44140625" style="137" bestFit="1" customWidth="1"/>
    <col min="9989" max="9989" width="8.109375" style="137" customWidth="1"/>
    <col min="9990" max="9990" width="10.5546875" style="137" bestFit="1" customWidth="1"/>
    <col min="9991" max="9991" width="12.109375" style="137" bestFit="1" customWidth="1"/>
    <col min="9992" max="9992" width="9.109375" style="137" customWidth="1"/>
    <col min="9993" max="9993" width="10.5546875" style="137" bestFit="1" customWidth="1"/>
    <col min="9994" max="9994" width="12.109375" style="137" bestFit="1" customWidth="1"/>
    <col min="9995" max="9995" width="8" style="137" customWidth="1"/>
    <col min="9996" max="9996" width="10.5546875" style="137" bestFit="1" customWidth="1"/>
    <col min="9997" max="9997" width="12.109375" style="137" bestFit="1" customWidth="1"/>
    <col min="9998" max="9998" width="8.109375" style="137" bestFit="1" customWidth="1"/>
    <col min="9999" max="9999" width="10.5546875" style="137" bestFit="1" customWidth="1"/>
    <col min="10000" max="10000" width="12.109375" style="137" bestFit="1" customWidth="1"/>
    <col min="10001" max="10001" width="18.109375" style="137" bestFit="1" customWidth="1"/>
    <col min="10002" max="10002" width="10.5546875" style="137" bestFit="1" customWidth="1"/>
    <col min="10003" max="10238" width="8.5546875" style="137"/>
    <col min="10239" max="10239" width="38.109375" style="137" customWidth="1"/>
    <col min="10240" max="10240" width="23.44140625" style="137" bestFit="1" customWidth="1"/>
    <col min="10241" max="10242" width="9.109375" style="137" customWidth="1"/>
    <col min="10243" max="10243" width="11.109375" style="137" bestFit="1" customWidth="1"/>
    <col min="10244" max="10244" width="14.44140625" style="137" bestFit="1" customWidth="1"/>
    <col min="10245" max="10245" width="8.109375" style="137" customWidth="1"/>
    <col min="10246" max="10246" width="10.5546875" style="137" bestFit="1" customWidth="1"/>
    <col min="10247" max="10247" width="12.109375" style="137" bestFit="1" customWidth="1"/>
    <col min="10248" max="10248" width="9.109375" style="137" customWidth="1"/>
    <col min="10249" max="10249" width="10.5546875" style="137" bestFit="1" customWidth="1"/>
    <col min="10250" max="10250" width="12.109375" style="137" bestFit="1" customWidth="1"/>
    <col min="10251" max="10251" width="8" style="137" customWidth="1"/>
    <col min="10252" max="10252" width="10.5546875" style="137" bestFit="1" customWidth="1"/>
    <col min="10253" max="10253" width="12.109375" style="137" bestFit="1" customWidth="1"/>
    <col min="10254" max="10254" width="8.109375" style="137" bestFit="1" customWidth="1"/>
    <col min="10255" max="10255" width="10.5546875" style="137" bestFit="1" customWidth="1"/>
    <col min="10256" max="10256" width="12.109375" style="137" bestFit="1" customWidth="1"/>
    <col min="10257" max="10257" width="18.109375" style="137" bestFit="1" customWidth="1"/>
    <col min="10258" max="10258" width="10.5546875" style="137" bestFit="1" customWidth="1"/>
    <col min="10259" max="10494" width="8.5546875" style="137"/>
    <col min="10495" max="10495" width="38.109375" style="137" customWidth="1"/>
    <col min="10496" max="10496" width="23.44140625" style="137" bestFit="1" customWidth="1"/>
    <col min="10497" max="10498" width="9.109375" style="137" customWidth="1"/>
    <col min="10499" max="10499" width="11.109375" style="137" bestFit="1" customWidth="1"/>
    <col min="10500" max="10500" width="14.44140625" style="137" bestFit="1" customWidth="1"/>
    <col min="10501" max="10501" width="8.109375" style="137" customWidth="1"/>
    <col min="10502" max="10502" width="10.5546875" style="137" bestFit="1" customWidth="1"/>
    <col min="10503" max="10503" width="12.109375" style="137" bestFit="1" customWidth="1"/>
    <col min="10504" max="10504" width="9.109375" style="137" customWidth="1"/>
    <col min="10505" max="10505" width="10.5546875" style="137" bestFit="1" customWidth="1"/>
    <col min="10506" max="10506" width="12.109375" style="137" bestFit="1" customWidth="1"/>
    <col min="10507" max="10507" width="8" style="137" customWidth="1"/>
    <col min="10508" max="10508" width="10.5546875" style="137" bestFit="1" customWidth="1"/>
    <col min="10509" max="10509" width="12.109375" style="137" bestFit="1" customWidth="1"/>
    <col min="10510" max="10510" width="8.109375" style="137" bestFit="1" customWidth="1"/>
    <col min="10511" max="10511" width="10.5546875" style="137" bestFit="1" customWidth="1"/>
    <col min="10512" max="10512" width="12.109375" style="137" bestFit="1" customWidth="1"/>
    <col min="10513" max="10513" width="18.109375" style="137" bestFit="1" customWidth="1"/>
    <col min="10514" max="10514" width="10.5546875" style="137" bestFit="1" customWidth="1"/>
    <col min="10515" max="10750" width="8.5546875" style="137"/>
    <col min="10751" max="10751" width="38.109375" style="137" customWidth="1"/>
    <col min="10752" max="10752" width="23.44140625" style="137" bestFit="1" customWidth="1"/>
    <col min="10753" max="10754" width="9.109375" style="137" customWidth="1"/>
    <col min="10755" max="10755" width="11.109375" style="137" bestFit="1" customWidth="1"/>
    <col min="10756" max="10756" width="14.44140625" style="137" bestFit="1" customWidth="1"/>
    <col min="10757" max="10757" width="8.109375" style="137" customWidth="1"/>
    <col min="10758" max="10758" width="10.5546875" style="137" bestFit="1" customWidth="1"/>
    <col min="10759" max="10759" width="12.109375" style="137" bestFit="1" customWidth="1"/>
    <col min="10760" max="10760" width="9.109375" style="137" customWidth="1"/>
    <col min="10761" max="10761" width="10.5546875" style="137" bestFit="1" customWidth="1"/>
    <col min="10762" max="10762" width="12.109375" style="137" bestFit="1" customWidth="1"/>
    <col min="10763" max="10763" width="8" style="137" customWidth="1"/>
    <col min="10764" max="10764" width="10.5546875" style="137" bestFit="1" customWidth="1"/>
    <col min="10765" max="10765" width="12.109375" style="137" bestFit="1" customWidth="1"/>
    <col min="10766" max="10766" width="8.109375" style="137" bestFit="1" customWidth="1"/>
    <col min="10767" max="10767" width="10.5546875" style="137" bestFit="1" customWidth="1"/>
    <col min="10768" max="10768" width="12.109375" style="137" bestFit="1" customWidth="1"/>
    <col min="10769" max="10769" width="18.109375" style="137" bestFit="1" customWidth="1"/>
    <col min="10770" max="10770" width="10.5546875" style="137" bestFit="1" customWidth="1"/>
    <col min="10771" max="11006" width="8.5546875" style="137"/>
    <col min="11007" max="11007" width="38.109375" style="137" customWidth="1"/>
    <col min="11008" max="11008" width="23.44140625" style="137" bestFit="1" customWidth="1"/>
    <col min="11009" max="11010" width="9.109375" style="137" customWidth="1"/>
    <col min="11011" max="11011" width="11.109375" style="137" bestFit="1" customWidth="1"/>
    <col min="11012" max="11012" width="14.44140625" style="137" bestFit="1" customWidth="1"/>
    <col min="11013" max="11013" width="8.109375" style="137" customWidth="1"/>
    <col min="11014" max="11014" width="10.5546875" style="137" bestFit="1" customWidth="1"/>
    <col min="11015" max="11015" width="12.109375" style="137" bestFit="1" customWidth="1"/>
    <col min="11016" max="11016" width="9.109375" style="137" customWidth="1"/>
    <col min="11017" max="11017" width="10.5546875" style="137" bestFit="1" customWidth="1"/>
    <col min="11018" max="11018" width="12.109375" style="137" bestFit="1" customWidth="1"/>
    <col min="11019" max="11019" width="8" style="137" customWidth="1"/>
    <col min="11020" max="11020" width="10.5546875" style="137" bestFit="1" customWidth="1"/>
    <col min="11021" max="11021" width="12.109375" style="137" bestFit="1" customWidth="1"/>
    <col min="11022" max="11022" width="8.109375" style="137" bestFit="1" customWidth="1"/>
    <col min="11023" max="11023" width="10.5546875" style="137" bestFit="1" customWidth="1"/>
    <col min="11024" max="11024" width="12.109375" style="137" bestFit="1" customWidth="1"/>
    <col min="11025" max="11025" width="18.109375" style="137" bestFit="1" customWidth="1"/>
    <col min="11026" max="11026" width="10.5546875" style="137" bestFit="1" customWidth="1"/>
    <col min="11027" max="11262" width="8.5546875" style="137"/>
    <col min="11263" max="11263" width="38.109375" style="137" customWidth="1"/>
    <col min="11264" max="11264" width="23.44140625" style="137" bestFit="1" customWidth="1"/>
    <col min="11265" max="11266" width="9.109375" style="137" customWidth="1"/>
    <col min="11267" max="11267" width="11.109375" style="137" bestFit="1" customWidth="1"/>
    <col min="11268" max="11268" width="14.44140625" style="137" bestFit="1" customWidth="1"/>
    <col min="11269" max="11269" width="8.109375" style="137" customWidth="1"/>
    <col min="11270" max="11270" width="10.5546875" style="137" bestFit="1" customWidth="1"/>
    <col min="11271" max="11271" width="12.109375" style="137" bestFit="1" customWidth="1"/>
    <col min="11272" max="11272" width="9.109375" style="137" customWidth="1"/>
    <col min="11273" max="11273" width="10.5546875" style="137" bestFit="1" customWidth="1"/>
    <col min="11274" max="11274" width="12.109375" style="137" bestFit="1" customWidth="1"/>
    <col min="11275" max="11275" width="8" style="137" customWidth="1"/>
    <col min="11276" max="11276" width="10.5546875" style="137" bestFit="1" customWidth="1"/>
    <col min="11277" max="11277" width="12.109375" style="137" bestFit="1" customWidth="1"/>
    <col min="11278" max="11278" width="8.109375" style="137" bestFit="1" customWidth="1"/>
    <col min="11279" max="11279" width="10.5546875" style="137" bestFit="1" customWidth="1"/>
    <col min="11280" max="11280" width="12.109375" style="137" bestFit="1" customWidth="1"/>
    <col min="11281" max="11281" width="18.109375" style="137" bestFit="1" customWidth="1"/>
    <col min="11282" max="11282" width="10.5546875" style="137" bestFit="1" customWidth="1"/>
    <col min="11283" max="11518" width="8.5546875" style="137"/>
    <col min="11519" max="11519" width="38.109375" style="137" customWidth="1"/>
    <col min="11520" max="11520" width="23.44140625" style="137" bestFit="1" customWidth="1"/>
    <col min="11521" max="11522" width="9.109375" style="137" customWidth="1"/>
    <col min="11523" max="11523" width="11.109375" style="137" bestFit="1" customWidth="1"/>
    <col min="11524" max="11524" width="14.44140625" style="137" bestFit="1" customWidth="1"/>
    <col min="11525" max="11525" width="8.109375" style="137" customWidth="1"/>
    <col min="11526" max="11526" width="10.5546875" style="137" bestFit="1" customWidth="1"/>
    <col min="11527" max="11527" width="12.109375" style="137" bestFit="1" customWidth="1"/>
    <col min="11528" max="11528" width="9.109375" style="137" customWidth="1"/>
    <col min="11529" max="11529" width="10.5546875" style="137" bestFit="1" customWidth="1"/>
    <col min="11530" max="11530" width="12.109375" style="137" bestFit="1" customWidth="1"/>
    <col min="11531" max="11531" width="8" style="137" customWidth="1"/>
    <col min="11532" max="11532" width="10.5546875" style="137" bestFit="1" customWidth="1"/>
    <col min="11533" max="11533" width="12.109375" style="137" bestFit="1" customWidth="1"/>
    <col min="11534" max="11534" width="8.109375" style="137" bestFit="1" customWidth="1"/>
    <col min="11535" max="11535" width="10.5546875" style="137" bestFit="1" customWidth="1"/>
    <col min="11536" max="11536" width="12.109375" style="137" bestFit="1" customWidth="1"/>
    <col min="11537" max="11537" width="18.109375" style="137" bestFit="1" customWidth="1"/>
    <col min="11538" max="11538" width="10.5546875" style="137" bestFit="1" customWidth="1"/>
    <col min="11539" max="11774" width="8.5546875" style="137"/>
    <col min="11775" max="11775" width="38.109375" style="137" customWidth="1"/>
    <col min="11776" max="11776" width="23.44140625" style="137" bestFit="1" customWidth="1"/>
    <col min="11777" max="11778" width="9.109375" style="137" customWidth="1"/>
    <col min="11779" max="11779" width="11.109375" style="137" bestFit="1" customWidth="1"/>
    <col min="11780" max="11780" width="14.44140625" style="137" bestFit="1" customWidth="1"/>
    <col min="11781" max="11781" width="8.109375" style="137" customWidth="1"/>
    <col min="11782" max="11782" width="10.5546875" style="137" bestFit="1" customWidth="1"/>
    <col min="11783" max="11783" width="12.109375" style="137" bestFit="1" customWidth="1"/>
    <col min="11784" max="11784" width="9.109375" style="137" customWidth="1"/>
    <col min="11785" max="11785" width="10.5546875" style="137" bestFit="1" customWidth="1"/>
    <col min="11786" max="11786" width="12.109375" style="137" bestFit="1" customWidth="1"/>
    <col min="11787" max="11787" width="8" style="137" customWidth="1"/>
    <col min="11788" max="11788" width="10.5546875" style="137" bestFit="1" customWidth="1"/>
    <col min="11789" max="11789" width="12.109375" style="137" bestFit="1" customWidth="1"/>
    <col min="11790" max="11790" width="8.109375" style="137" bestFit="1" customWidth="1"/>
    <col min="11791" max="11791" width="10.5546875" style="137" bestFit="1" customWidth="1"/>
    <col min="11792" max="11792" width="12.109375" style="137" bestFit="1" customWidth="1"/>
    <col min="11793" max="11793" width="18.109375" style="137" bestFit="1" customWidth="1"/>
    <col min="11794" max="11794" width="10.5546875" style="137" bestFit="1" customWidth="1"/>
    <col min="11795" max="12030" width="8.5546875" style="137"/>
    <col min="12031" max="12031" width="38.109375" style="137" customWidth="1"/>
    <col min="12032" max="12032" width="23.44140625" style="137" bestFit="1" customWidth="1"/>
    <col min="12033" max="12034" width="9.109375" style="137" customWidth="1"/>
    <col min="12035" max="12035" width="11.109375" style="137" bestFit="1" customWidth="1"/>
    <col min="12036" max="12036" width="14.44140625" style="137" bestFit="1" customWidth="1"/>
    <col min="12037" max="12037" width="8.109375" style="137" customWidth="1"/>
    <col min="12038" max="12038" width="10.5546875" style="137" bestFit="1" customWidth="1"/>
    <col min="12039" max="12039" width="12.109375" style="137" bestFit="1" customWidth="1"/>
    <col min="12040" max="12040" width="9.109375" style="137" customWidth="1"/>
    <col min="12041" max="12041" width="10.5546875" style="137" bestFit="1" customWidth="1"/>
    <col min="12042" max="12042" width="12.109375" style="137" bestFit="1" customWidth="1"/>
    <col min="12043" max="12043" width="8" style="137" customWidth="1"/>
    <col min="12044" max="12044" width="10.5546875" style="137" bestFit="1" customWidth="1"/>
    <col min="12045" max="12045" width="12.109375" style="137" bestFit="1" customWidth="1"/>
    <col min="12046" max="12046" width="8.109375" style="137" bestFit="1" customWidth="1"/>
    <col min="12047" max="12047" width="10.5546875" style="137" bestFit="1" customWidth="1"/>
    <col min="12048" max="12048" width="12.109375" style="137" bestFit="1" customWidth="1"/>
    <col min="12049" max="12049" width="18.109375" style="137" bestFit="1" customWidth="1"/>
    <col min="12050" max="12050" width="10.5546875" style="137" bestFit="1" customWidth="1"/>
    <col min="12051" max="12286" width="8.5546875" style="137"/>
    <col min="12287" max="12287" width="38.109375" style="137" customWidth="1"/>
    <col min="12288" max="12288" width="23.44140625" style="137" bestFit="1" customWidth="1"/>
    <col min="12289" max="12290" width="9.109375" style="137" customWidth="1"/>
    <col min="12291" max="12291" width="11.109375" style="137" bestFit="1" customWidth="1"/>
    <col min="12292" max="12292" width="14.44140625" style="137" bestFit="1" customWidth="1"/>
    <col min="12293" max="12293" width="8.109375" style="137" customWidth="1"/>
    <col min="12294" max="12294" width="10.5546875" style="137" bestFit="1" customWidth="1"/>
    <col min="12295" max="12295" width="12.109375" style="137" bestFit="1" customWidth="1"/>
    <col min="12296" max="12296" width="9.109375" style="137" customWidth="1"/>
    <col min="12297" max="12297" width="10.5546875" style="137" bestFit="1" customWidth="1"/>
    <col min="12298" max="12298" width="12.109375" style="137" bestFit="1" customWidth="1"/>
    <col min="12299" max="12299" width="8" style="137" customWidth="1"/>
    <col min="12300" max="12300" width="10.5546875" style="137" bestFit="1" customWidth="1"/>
    <col min="12301" max="12301" width="12.109375" style="137" bestFit="1" customWidth="1"/>
    <col min="12302" max="12302" width="8.109375" style="137" bestFit="1" customWidth="1"/>
    <col min="12303" max="12303" width="10.5546875" style="137" bestFit="1" customWidth="1"/>
    <col min="12304" max="12304" width="12.109375" style="137" bestFit="1" customWidth="1"/>
    <col min="12305" max="12305" width="18.109375" style="137" bestFit="1" customWidth="1"/>
    <col min="12306" max="12306" width="10.5546875" style="137" bestFit="1" customWidth="1"/>
    <col min="12307" max="12542" width="8.5546875" style="137"/>
    <col min="12543" max="12543" width="38.109375" style="137" customWidth="1"/>
    <col min="12544" max="12544" width="23.44140625" style="137" bestFit="1" customWidth="1"/>
    <col min="12545" max="12546" width="9.109375" style="137" customWidth="1"/>
    <col min="12547" max="12547" width="11.109375" style="137" bestFit="1" customWidth="1"/>
    <col min="12548" max="12548" width="14.44140625" style="137" bestFit="1" customWidth="1"/>
    <col min="12549" max="12549" width="8.109375" style="137" customWidth="1"/>
    <col min="12550" max="12550" width="10.5546875" style="137" bestFit="1" customWidth="1"/>
    <col min="12551" max="12551" width="12.109375" style="137" bestFit="1" customWidth="1"/>
    <col min="12552" max="12552" width="9.109375" style="137" customWidth="1"/>
    <col min="12553" max="12553" width="10.5546875" style="137" bestFit="1" customWidth="1"/>
    <col min="12554" max="12554" width="12.109375" style="137" bestFit="1" customWidth="1"/>
    <col min="12555" max="12555" width="8" style="137" customWidth="1"/>
    <col min="12556" max="12556" width="10.5546875" style="137" bestFit="1" customWidth="1"/>
    <col min="12557" max="12557" width="12.109375" style="137" bestFit="1" customWidth="1"/>
    <col min="12558" max="12558" width="8.109375" style="137" bestFit="1" customWidth="1"/>
    <col min="12559" max="12559" width="10.5546875" style="137" bestFit="1" customWidth="1"/>
    <col min="12560" max="12560" width="12.109375" style="137" bestFit="1" customWidth="1"/>
    <col min="12561" max="12561" width="18.109375" style="137" bestFit="1" customWidth="1"/>
    <col min="12562" max="12562" width="10.5546875" style="137" bestFit="1" customWidth="1"/>
    <col min="12563" max="12798" width="8.5546875" style="137"/>
    <col min="12799" max="12799" width="38.109375" style="137" customWidth="1"/>
    <col min="12800" max="12800" width="23.44140625" style="137" bestFit="1" customWidth="1"/>
    <col min="12801" max="12802" width="9.109375" style="137" customWidth="1"/>
    <col min="12803" max="12803" width="11.109375" style="137" bestFit="1" customWidth="1"/>
    <col min="12804" max="12804" width="14.44140625" style="137" bestFit="1" customWidth="1"/>
    <col min="12805" max="12805" width="8.109375" style="137" customWidth="1"/>
    <col min="12806" max="12806" width="10.5546875" style="137" bestFit="1" customWidth="1"/>
    <col min="12807" max="12807" width="12.109375" style="137" bestFit="1" customWidth="1"/>
    <col min="12808" max="12808" width="9.109375" style="137" customWidth="1"/>
    <col min="12809" max="12809" width="10.5546875" style="137" bestFit="1" customWidth="1"/>
    <col min="12810" max="12810" width="12.109375" style="137" bestFit="1" customWidth="1"/>
    <col min="12811" max="12811" width="8" style="137" customWidth="1"/>
    <col min="12812" max="12812" width="10.5546875" style="137" bestFit="1" customWidth="1"/>
    <col min="12813" max="12813" width="12.109375" style="137" bestFit="1" customWidth="1"/>
    <col min="12814" max="12814" width="8.109375" style="137" bestFit="1" customWidth="1"/>
    <col min="12815" max="12815" width="10.5546875" style="137" bestFit="1" customWidth="1"/>
    <col min="12816" max="12816" width="12.109375" style="137" bestFit="1" customWidth="1"/>
    <col min="12817" max="12817" width="18.109375" style="137" bestFit="1" customWidth="1"/>
    <col min="12818" max="12818" width="10.5546875" style="137" bestFit="1" customWidth="1"/>
    <col min="12819" max="13054" width="8.5546875" style="137"/>
    <col min="13055" max="13055" width="38.109375" style="137" customWidth="1"/>
    <col min="13056" max="13056" width="23.44140625" style="137" bestFit="1" customWidth="1"/>
    <col min="13057" max="13058" width="9.109375" style="137" customWidth="1"/>
    <col min="13059" max="13059" width="11.109375" style="137" bestFit="1" customWidth="1"/>
    <col min="13060" max="13060" width="14.44140625" style="137" bestFit="1" customWidth="1"/>
    <col min="13061" max="13061" width="8.109375" style="137" customWidth="1"/>
    <col min="13062" max="13062" width="10.5546875" style="137" bestFit="1" customWidth="1"/>
    <col min="13063" max="13063" width="12.109375" style="137" bestFit="1" customWidth="1"/>
    <col min="13064" max="13064" width="9.109375" style="137" customWidth="1"/>
    <col min="13065" max="13065" width="10.5546875" style="137" bestFit="1" customWidth="1"/>
    <col min="13066" max="13066" width="12.109375" style="137" bestFit="1" customWidth="1"/>
    <col min="13067" max="13067" width="8" style="137" customWidth="1"/>
    <col min="13068" max="13068" width="10.5546875" style="137" bestFit="1" customWidth="1"/>
    <col min="13069" max="13069" width="12.109375" style="137" bestFit="1" customWidth="1"/>
    <col min="13070" max="13070" width="8.109375" style="137" bestFit="1" customWidth="1"/>
    <col min="13071" max="13071" width="10.5546875" style="137" bestFit="1" customWidth="1"/>
    <col min="13072" max="13072" width="12.109375" style="137" bestFit="1" customWidth="1"/>
    <col min="13073" max="13073" width="18.109375" style="137" bestFit="1" customWidth="1"/>
    <col min="13074" max="13074" width="10.5546875" style="137" bestFit="1" customWidth="1"/>
    <col min="13075" max="13310" width="8.5546875" style="137"/>
    <col min="13311" max="13311" width="38.109375" style="137" customWidth="1"/>
    <col min="13312" max="13312" width="23.44140625" style="137" bestFit="1" customWidth="1"/>
    <col min="13313" max="13314" width="9.109375" style="137" customWidth="1"/>
    <col min="13315" max="13315" width="11.109375" style="137" bestFit="1" customWidth="1"/>
    <col min="13316" max="13316" width="14.44140625" style="137" bestFit="1" customWidth="1"/>
    <col min="13317" max="13317" width="8.109375" style="137" customWidth="1"/>
    <col min="13318" max="13318" width="10.5546875" style="137" bestFit="1" customWidth="1"/>
    <col min="13319" max="13319" width="12.109375" style="137" bestFit="1" customWidth="1"/>
    <col min="13320" max="13320" width="9.109375" style="137" customWidth="1"/>
    <col min="13321" max="13321" width="10.5546875" style="137" bestFit="1" customWidth="1"/>
    <col min="13322" max="13322" width="12.109375" style="137" bestFit="1" customWidth="1"/>
    <col min="13323" max="13323" width="8" style="137" customWidth="1"/>
    <col min="13324" max="13324" width="10.5546875" style="137" bestFit="1" customWidth="1"/>
    <col min="13325" max="13325" width="12.109375" style="137" bestFit="1" customWidth="1"/>
    <col min="13326" max="13326" width="8.109375" style="137" bestFit="1" customWidth="1"/>
    <col min="13327" max="13327" width="10.5546875" style="137" bestFit="1" customWidth="1"/>
    <col min="13328" max="13328" width="12.109375" style="137" bestFit="1" customWidth="1"/>
    <col min="13329" max="13329" width="18.109375" style="137" bestFit="1" customWidth="1"/>
    <col min="13330" max="13330" width="10.5546875" style="137" bestFit="1" customWidth="1"/>
    <col min="13331" max="13566" width="8.5546875" style="137"/>
    <col min="13567" max="13567" width="38.109375" style="137" customWidth="1"/>
    <col min="13568" max="13568" width="23.44140625" style="137" bestFit="1" customWidth="1"/>
    <col min="13569" max="13570" width="9.109375" style="137" customWidth="1"/>
    <col min="13571" max="13571" width="11.109375" style="137" bestFit="1" customWidth="1"/>
    <col min="13572" max="13572" width="14.44140625" style="137" bestFit="1" customWidth="1"/>
    <col min="13573" max="13573" width="8.109375" style="137" customWidth="1"/>
    <col min="13574" max="13574" width="10.5546875" style="137" bestFit="1" customWidth="1"/>
    <col min="13575" max="13575" width="12.109375" style="137" bestFit="1" customWidth="1"/>
    <col min="13576" max="13576" width="9.109375" style="137" customWidth="1"/>
    <col min="13577" max="13577" width="10.5546875" style="137" bestFit="1" customWidth="1"/>
    <col min="13578" max="13578" width="12.109375" style="137" bestFit="1" customWidth="1"/>
    <col min="13579" max="13579" width="8" style="137" customWidth="1"/>
    <col min="13580" max="13580" width="10.5546875" style="137" bestFit="1" customWidth="1"/>
    <col min="13581" max="13581" width="12.109375" style="137" bestFit="1" customWidth="1"/>
    <col min="13582" max="13582" width="8.109375" style="137" bestFit="1" customWidth="1"/>
    <col min="13583" max="13583" width="10.5546875" style="137" bestFit="1" customWidth="1"/>
    <col min="13584" max="13584" width="12.109375" style="137" bestFit="1" customWidth="1"/>
    <col min="13585" max="13585" width="18.109375" style="137" bestFit="1" customWidth="1"/>
    <col min="13586" max="13586" width="10.5546875" style="137" bestFit="1" customWidth="1"/>
    <col min="13587" max="13822" width="8.5546875" style="137"/>
    <col min="13823" max="13823" width="38.109375" style="137" customWidth="1"/>
    <col min="13824" max="13824" width="23.44140625" style="137" bestFit="1" customWidth="1"/>
    <col min="13825" max="13826" width="9.109375" style="137" customWidth="1"/>
    <col min="13827" max="13827" width="11.109375" style="137" bestFit="1" customWidth="1"/>
    <col min="13828" max="13828" width="14.44140625" style="137" bestFit="1" customWidth="1"/>
    <col min="13829" max="13829" width="8.109375" style="137" customWidth="1"/>
    <col min="13830" max="13830" width="10.5546875" style="137" bestFit="1" customWidth="1"/>
    <col min="13831" max="13831" width="12.109375" style="137" bestFit="1" customWidth="1"/>
    <col min="13832" max="13832" width="9.109375" style="137" customWidth="1"/>
    <col min="13833" max="13833" width="10.5546875" style="137" bestFit="1" customWidth="1"/>
    <col min="13834" max="13834" width="12.109375" style="137" bestFit="1" customWidth="1"/>
    <col min="13835" max="13835" width="8" style="137" customWidth="1"/>
    <col min="13836" max="13836" width="10.5546875" style="137" bestFit="1" customWidth="1"/>
    <col min="13837" max="13837" width="12.109375" style="137" bestFit="1" customWidth="1"/>
    <col min="13838" max="13838" width="8.109375" style="137" bestFit="1" customWidth="1"/>
    <col min="13839" max="13839" width="10.5546875" style="137" bestFit="1" customWidth="1"/>
    <col min="13840" max="13840" width="12.109375" style="137" bestFit="1" customWidth="1"/>
    <col min="13841" max="13841" width="18.109375" style="137" bestFit="1" customWidth="1"/>
    <col min="13842" max="13842" width="10.5546875" style="137" bestFit="1" customWidth="1"/>
    <col min="13843" max="14078" width="8.5546875" style="137"/>
    <col min="14079" max="14079" width="38.109375" style="137" customWidth="1"/>
    <col min="14080" max="14080" width="23.44140625" style="137" bestFit="1" customWidth="1"/>
    <col min="14081" max="14082" width="9.109375" style="137" customWidth="1"/>
    <col min="14083" max="14083" width="11.109375" style="137" bestFit="1" customWidth="1"/>
    <col min="14084" max="14084" width="14.44140625" style="137" bestFit="1" customWidth="1"/>
    <col min="14085" max="14085" width="8.109375" style="137" customWidth="1"/>
    <col min="14086" max="14086" width="10.5546875" style="137" bestFit="1" customWidth="1"/>
    <col min="14087" max="14087" width="12.109375" style="137" bestFit="1" customWidth="1"/>
    <col min="14088" max="14088" width="9.109375" style="137" customWidth="1"/>
    <col min="14089" max="14089" width="10.5546875" style="137" bestFit="1" customWidth="1"/>
    <col min="14090" max="14090" width="12.109375" style="137" bestFit="1" customWidth="1"/>
    <col min="14091" max="14091" width="8" style="137" customWidth="1"/>
    <col min="14092" max="14092" width="10.5546875" style="137" bestFit="1" customWidth="1"/>
    <col min="14093" max="14093" width="12.109375" style="137" bestFit="1" customWidth="1"/>
    <col min="14094" max="14094" width="8.109375" style="137" bestFit="1" customWidth="1"/>
    <col min="14095" max="14095" width="10.5546875" style="137" bestFit="1" customWidth="1"/>
    <col min="14096" max="14096" width="12.109375" style="137" bestFit="1" customWidth="1"/>
    <col min="14097" max="14097" width="18.109375" style="137" bestFit="1" customWidth="1"/>
    <col min="14098" max="14098" width="10.5546875" style="137" bestFit="1" customWidth="1"/>
    <col min="14099" max="14334" width="8.5546875" style="137"/>
    <col min="14335" max="14335" width="38.109375" style="137" customWidth="1"/>
    <col min="14336" max="14336" width="23.44140625" style="137" bestFit="1" customWidth="1"/>
    <col min="14337" max="14338" width="9.109375" style="137" customWidth="1"/>
    <col min="14339" max="14339" width="11.109375" style="137" bestFit="1" customWidth="1"/>
    <col min="14340" max="14340" width="14.44140625" style="137" bestFit="1" customWidth="1"/>
    <col min="14341" max="14341" width="8.109375" style="137" customWidth="1"/>
    <col min="14342" max="14342" width="10.5546875" style="137" bestFit="1" customWidth="1"/>
    <col min="14343" max="14343" width="12.109375" style="137" bestFit="1" customWidth="1"/>
    <col min="14344" max="14344" width="9.109375" style="137" customWidth="1"/>
    <col min="14345" max="14345" width="10.5546875" style="137" bestFit="1" customWidth="1"/>
    <col min="14346" max="14346" width="12.109375" style="137" bestFit="1" customWidth="1"/>
    <col min="14347" max="14347" width="8" style="137" customWidth="1"/>
    <col min="14348" max="14348" width="10.5546875" style="137" bestFit="1" customWidth="1"/>
    <col min="14349" max="14349" width="12.109375" style="137" bestFit="1" customWidth="1"/>
    <col min="14350" max="14350" width="8.109375" style="137" bestFit="1" customWidth="1"/>
    <col min="14351" max="14351" width="10.5546875" style="137" bestFit="1" customWidth="1"/>
    <col min="14352" max="14352" width="12.109375" style="137" bestFit="1" customWidth="1"/>
    <col min="14353" max="14353" width="18.109375" style="137" bestFit="1" customWidth="1"/>
    <col min="14354" max="14354" width="10.5546875" style="137" bestFit="1" customWidth="1"/>
    <col min="14355" max="14590" width="8.5546875" style="137"/>
    <col min="14591" max="14591" width="38.109375" style="137" customWidth="1"/>
    <col min="14592" max="14592" width="23.44140625" style="137" bestFit="1" customWidth="1"/>
    <col min="14593" max="14594" width="9.109375" style="137" customWidth="1"/>
    <col min="14595" max="14595" width="11.109375" style="137" bestFit="1" customWidth="1"/>
    <col min="14596" max="14596" width="14.44140625" style="137" bestFit="1" customWidth="1"/>
    <col min="14597" max="14597" width="8.109375" style="137" customWidth="1"/>
    <col min="14598" max="14598" width="10.5546875" style="137" bestFit="1" customWidth="1"/>
    <col min="14599" max="14599" width="12.109375" style="137" bestFit="1" customWidth="1"/>
    <col min="14600" max="14600" width="9.109375" style="137" customWidth="1"/>
    <col min="14601" max="14601" width="10.5546875" style="137" bestFit="1" customWidth="1"/>
    <col min="14602" max="14602" width="12.109375" style="137" bestFit="1" customWidth="1"/>
    <col min="14603" max="14603" width="8" style="137" customWidth="1"/>
    <col min="14604" max="14604" width="10.5546875" style="137" bestFit="1" customWidth="1"/>
    <col min="14605" max="14605" width="12.109375" style="137" bestFit="1" customWidth="1"/>
    <col min="14606" max="14606" width="8.109375" style="137" bestFit="1" customWidth="1"/>
    <col min="14607" max="14607" width="10.5546875" style="137" bestFit="1" customWidth="1"/>
    <col min="14608" max="14608" width="12.109375" style="137" bestFit="1" customWidth="1"/>
    <col min="14609" max="14609" width="18.109375" style="137" bestFit="1" customWidth="1"/>
    <col min="14610" max="14610" width="10.5546875" style="137" bestFit="1" customWidth="1"/>
    <col min="14611" max="14846" width="8.5546875" style="137"/>
    <col min="14847" max="14847" width="38.109375" style="137" customWidth="1"/>
    <col min="14848" max="14848" width="23.44140625" style="137" bestFit="1" customWidth="1"/>
    <col min="14849" max="14850" width="9.109375" style="137" customWidth="1"/>
    <col min="14851" max="14851" width="11.109375" style="137" bestFit="1" customWidth="1"/>
    <col min="14852" max="14852" width="14.44140625" style="137" bestFit="1" customWidth="1"/>
    <col min="14853" max="14853" width="8.109375" style="137" customWidth="1"/>
    <col min="14854" max="14854" width="10.5546875" style="137" bestFit="1" customWidth="1"/>
    <col min="14855" max="14855" width="12.109375" style="137" bestFit="1" customWidth="1"/>
    <col min="14856" max="14856" width="9.109375" style="137" customWidth="1"/>
    <col min="14857" max="14857" width="10.5546875" style="137" bestFit="1" customWidth="1"/>
    <col min="14858" max="14858" width="12.109375" style="137" bestFit="1" customWidth="1"/>
    <col min="14859" max="14859" width="8" style="137" customWidth="1"/>
    <col min="14860" max="14860" width="10.5546875" style="137" bestFit="1" customWidth="1"/>
    <col min="14861" max="14861" width="12.109375" style="137" bestFit="1" customWidth="1"/>
    <col min="14862" max="14862" width="8.109375" style="137" bestFit="1" customWidth="1"/>
    <col min="14863" max="14863" width="10.5546875" style="137" bestFit="1" customWidth="1"/>
    <col min="14864" max="14864" width="12.109375" style="137" bestFit="1" customWidth="1"/>
    <col min="14865" max="14865" width="18.109375" style="137" bestFit="1" customWidth="1"/>
    <col min="14866" max="14866" width="10.5546875" style="137" bestFit="1" customWidth="1"/>
    <col min="14867" max="15102" width="8.5546875" style="137"/>
    <col min="15103" max="15103" width="38.109375" style="137" customWidth="1"/>
    <col min="15104" max="15104" width="23.44140625" style="137" bestFit="1" customWidth="1"/>
    <col min="15105" max="15106" width="9.109375" style="137" customWidth="1"/>
    <col min="15107" max="15107" width="11.109375" style="137" bestFit="1" customWidth="1"/>
    <col min="15108" max="15108" width="14.44140625" style="137" bestFit="1" customWidth="1"/>
    <col min="15109" max="15109" width="8.109375" style="137" customWidth="1"/>
    <col min="15110" max="15110" width="10.5546875" style="137" bestFit="1" customWidth="1"/>
    <col min="15111" max="15111" width="12.109375" style="137" bestFit="1" customWidth="1"/>
    <col min="15112" max="15112" width="9.109375" style="137" customWidth="1"/>
    <col min="15113" max="15113" width="10.5546875" style="137" bestFit="1" customWidth="1"/>
    <col min="15114" max="15114" width="12.109375" style="137" bestFit="1" customWidth="1"/>
    <col min="15115" max="15115" width="8" style="137" customWidth="1"/>
    <col min="15116" max="15116" width="10.5546875" style="137" bestFit="1" customWidth="1"/>
    <col min="15117" max="15117" width="12.109375" style="137" bestFit="1" customWidth="1"/>
    <col min="15118" max="15118" width="8.109375" style="137" bestFit="1" customWidth="1"/>
    <col min="15119" max="15119" width="10.5546875" style="137" bestFit="1" customWidth="1"/>
    <col min="15120" max="15120" width="12.109375" style="137" bestFit="1" customWidth="1"/>
    <col min="15121" max="15121" width="18.109375" style="137" bestFit="1" customWidth="1"/>
    <col min="15122" max="15122" width="10.5546875" style="137" bestFit="1" customWidth="1"/>
    <col min="15123" max="15358" width="8.5546875" style="137"/>
    <col min="15359" max="15359" width="38.109375" style="137" customWidth="1"/>
    <col min="15360" max="15360" width="23.44140625" style="137" bestFit="1" customWidth="1"/>
    <col min="15361" max="15362" width="9.109375" style="137" customWidth="1"/>
    <col min="15363" max="15363" width="11.109375" style="137" bestFit="1" customWidth="1"/>
    <col min="15364" max="15364" width="14.44140625" style="137" bestFit="1" customWidth="1"/>
    <col min="15365" max="15365" width="8.109375" style="137" customWidth="1"/>
    <col min="15366" max="15366" width="10.5546875" style="137" bestFit="1" customWidth="1"/>
    <col min="15367" max="15367" width="12.109375" style="137" bestFit="1" customWidth="1"/>
    <col min="15368" max="15368" width="9.109375" style="137" customWidth="1"/>
    <col min="15369" max="15369" width="10.5546875" style="137" bestFit="1" customWidth="1"/>
    <col min="15370" max="15370" width="12.109375" style="137" bestFit="1" customWidth="1"/>
    <col min="15371" max="15371" width="8" style="137" customWidth="1"/>
    <col min="15372" max="15372" width="10.5546875" style="137" bestFit="1" customWidth="1"/>
    <col min="15373" max="15373" width="12.109375" style="137" bestFit="1" customWidth="1"/>
    <col min="15374" max="15374" width="8.109375" style="137" bestFit="1" customWidth="1"/>
    <col min="15375" max="15375" width="10.5546875" style="137" bestFit="1" customWidth="1"/>
    <col min="15376" max="15376" width="12.109375" style="137" bestFit="1" customWidth="1"/>
    <col min="15377" max="15377" width="18.109375" style="137" bestFit="1" customWidth="1"/>
    <col min="15378" max="15378" width="10.5546875" style="137" bestFit="1" customWidth="1"/>
    <col min="15379" max="15614" width="8.5546875" style="137"/>
    <col min="15615" max="15615" width="38.109375" style="137" customWidth="1"/>
    <col min="15616" max="15616" width="23.44140625" style="137" bestFit="1" customWidth="1"/>
    <col min="15617" max="15618" width="9.109375" style="137" customWidth="1"/>
    <col min="15619" max="15619" width="11.109375" style="137" bestFit="1" customWidth="1"/>
    <col min="15620" max="15620" width="14.44140625" style="137" bestFit="1" customWidth="1"/>
    <col min="15621" max="15621" width="8.109375" style="137" customWidth="1"/>
    <col min="15622" max="15622" width="10.5546875" style="137" bestFit="1" customWidth="1"/>
    <col min="15623" max="15623" width="12.109375" style="137" bestFit="1" customWidth="1"/>
    <col min="15624" max="15624" width="9.109375" style="137" customWidth="1"/>
    <col min="15625" max="15625" width="10.5546875" style="137" bestFit="1" customWidth="1"/>
    <col min="15626" max="15626" width="12.109375" style="137" bestFit="1" customWidth="1"/>
    <col min="15627" max="15627" width="8" style="137" customWidth="1"/>
    <col min="15628" max="15628" width="10.5546875" style="137" bestFit="1" customWidth="1"/>
    <col min="15629" max="15629" width="12.109375" style="137" bestFit="1" customWidth="1"/>
    <col min="15630" max="15630" width="8.109375" style="137" bestFit="1" customWidth="1"/>
    <col min="15631" max="15631" width="10.5546875" style="137" bestFit="1" customWidth="1"/>
    <col min="15632" max="15632" width="12.109375" style="137" bestFit="1" customWidth="1"/>
    <col min="15633" max="15633" width="18.109375" style="137" bestFit="1" customWidth="1"/>
    <col min="15634" max="15634" width="10.5546875" style="137" bestFit="1" customWidth="1"/>
    <col min="15635" max="15870" width="8.5546875" style="137"/>
    <col min="15871" max="15871" width="38.109375" style="137" customWidth="1"/>
    <col min="15872" max="15872" width="23.44140625" style="137" bestFit="1" customWidth="1"/>
    <col min="15873" max="15874" width="9.109375" style="137" customWidth="1"/>
    <col min="15875" max="15875" width="11.109375" style="137" bestFit="1" customWidth="1"/>
    <col min="15876" max="15876" width="14.44140625" style="137" bestFit="1" customWidth="1"/>
    <col min="15877" max="15877" width="8.109375" style="137" customWidth="1"/>
    <col min="15878" max="15878" width="10.5546875" style="137" bestFit="1" customWidth="1"/>
    <col min="15879" max="15879" width="12.109375" style="137" bestFit="1" customWidth="1"/>
    <col min="15880" max="15880" width="9.109375" style="137" customWidth="1"/>
    <col min="15881" max="15881" width="10.5546875" style="137" bestFit="1" customWidth="1"/>
    <col min="15882" max="15882" width="12.109375" style="137" bestFit="1" customWidth="1"/>
    <col min="15883" max="15883" width="8" style="137" customWidth="1"/>
    <col min="15884" max="15884" width="10.5546875" style="137" bestFit="1" customWidth="1"/>
    <col min="15885" max="15885" width="12.109375" style="137" bestFit="1" customWidth="1"/>
    <col min="15886" max="15886" width="8.109375" style="137" bestFit="1" customWidth="1"/>
    <col min="15887" max="15887" width="10.5546875" style="137" bestFit="1" customWidth="1"/>
    <col min="15888" max="15888" width="12.109375" style="137" bestFit="1" customWidth="1"/>
    <col min="15889" max="15889" width="18.109375" style="137" bestFit="1" customWidth="1"/>
    <col min="15890" max="15890" width="10.5546875" style="137" bestFit="1" customWidth="1"/>
    <col min="15891" max="16126" width="8.5546875" style="137"/>
    <col min="16127" max="16127" width="38.109375" style="137" customWidth="1"/>
    <col min="16128" max="16128" width="23.44140625" style="137" bestFit="1" customWidth="1"/>
    <col min="16129" max="16130" width="9.109375" style="137" customWidth="1"/>
    <col min="16131" max="16131" width="11.109375" style="137" bestFit="1" customWidth="1"/>
    <col min="16132" max="16132" width="14.44140625" style="137" bestFit="1" customWidth="1"/>
    <col min="16133" max="16133" width="8.109375" style="137" customWidth="1"/>
    <col min="16134" max="16134" width="10.5546875" style="137" bestFit="1" customWidth="1"/>
    <col min="16135" max="16135" width="12.109375" style="137" bestFit="1" customWidth="1"/>
    <col min="16136" max="16136" width="9.109375" style="137" customWidth="1"/>
    <col min="16137" max="16137" width="10.5546875" style="137" bestFit="1" customWidth="1"/>
    <col min="16138" max="16138" width="12.109375" style="137" bestFit="1" customWidth="1"/>
    <col min="16139" max="16139" width="8" style="137" customWidth="1"/>
    <col min="16140" max="16140" width="10.5546875" style="137" bestFit="1" customWidth="1"/>
    <col min="16141" max="16141" width="12.109375" style="137" bestFit="1" customWidth="1"/>
    <col min="16142" max="16142" width="8.109375" style="137" bestFit="1" customWidth="1"/>
    <col min="16143" max="16143" width="10.5546875" style="137" bestFit="1" customWidth="1"/>
    <col min="16144" max="16144" width="12.109375" style="137" bestFit="1" customWidth="1"/>
    <col min="16145" max="16145" width="18.109375" style="137" bestFit="1" customWidth="1"/>
    <col min="16146" max="16146" width="10.5546875" style="137" bestFit="1" customWidth="1"/>
    <col min="16147" max="16374" width="8.5546875" style="137"/>
    <col min="16375" max="16384" width="8.5546875" style="137" customWidth="1"/>
  </cols>
  <sheetData>
    <row r="1" spans="1:27" ht="14.7" thickBot="1"/>
    <row r="2" spans="1:27" ht="24" customHeight="1">
      <c r="A2" s="889" t="s">
        <v>62</v>
      </c>
      <c r="B2" s="885" t="s">
        <v>63</v>
      </c>
      <c r="C2" s="882" t="s">
        <v>64</v>
      </c>
      <c r="D2" s="886"/>
      <c r="E2" s="886"/>
      <c r="F2" s="887"/>
      <c r="G2" s="882" t="s">
        <v>65</v>
      </c>
      <c r="H2" s="886"/>
      <c r="I2" s="886"/>
      <c r="J2" s="887"/>
      <c r="K2" s="882" t="s">
        <v>66</v>
      </c>
      <c r="L2" s="886"/>
      <c r="M2" s="886"/>
      <c r="N2" s="887"/>
      <c r="O2" s="882" t="s">
        <v>67</v>
      </c>
      <c r="P2" s="886"/>
      <c r="Q2" s="886"/>
      <c r="R2" s="887"/>
      <c r="S2" s="882" t="s">
        <v>68</v>
      </c>
      <c r="T2" s="886"/>
      <c r="U2" s="886"/>
      <c r="V2" s="887"/>
      <c r="W2" s="883" t="s">
        <v>69</v>
      </c>
    </row>
    <row r="3" spans="1:27" ht="48" customHeight="1">
      <c r="A3" s="890"/>
      <c r="B3" s="891"/>
      <c r="C3" s="144" t="s">
        <v>70</v>
      </c>
      <c r="D3" s="145" t="s">
        <v>71</v>
      </c>
      <c r="E3" s="146" t="s">
        <v>72</v>
      </c>
      <c r="F3" s="820" t="s">
        <v>69</v>
      </c>
      <c r="G3" s="144" t="s">
        <v>70</v>
      </c>
      <c r="H3" s="145" t="s">
        <v>71</v>
      </c>
      <c r="I3" s="147" t="s">
        <v>72</v>
      </c>
      <c r="J3" s="835" t="s">
        <v>69</v>
      </c>
      <c r="K3" s="144" t="s">
        <v>70</v>
      </c>
      <c r="L3" s="145" t="s">
        <v>71</v>
      </c>
      <c r="M3" s="146" t="s">
        <v>72</v>
      </c>
      <c r="N3" s="835" t="s">
        <v>69</v>
      </c>
      <c r="O3" s="144" t="s">
        <v>70</v>
      </c>
      <c r="P3" s="145" t="s">
        <v>71</v>
      </c>
      <c r="Q3" s="147" t="s">
        <v>72</v>
      </c>
      <c r="R3" s="835" t="s">
        <v>69</v>
      </c>
      <c r="S3" s="144" t="s">
        <v>70</v>
      </c>
      <c r="T3" s="145" t="s">
        <v>71</v>
      </c>
      <c r="U3" s="147" t="s">
        <v>72</v>
      </c>
      <c r="V3" s="835" t="s">
        <v>69</v>
      </c>
      <c r="W3" s="888"/>
    </row>
    <row r="4" spans="1:27" ht="20.399999999999999">
      <c r="A4" s="268" t="s">
        <v>73</v>
      </c>
      <c r="B4" s="148"/>
      <c r="C4" s="149"/>
      <c r="D4" s="150"/>
      <c r="E4" s="151"/>
      <c r="F4" s="821"/>
      <c r="G4" s="149"/>
      <c r="H4" s="150"/>
      <c r="I4" s="152"/>
      <c r="J4" s="836"/>
      <c r="K4" s="149"/>
      <c r="L4" s="150"/>
      <c r="M4" s="151"/>
      <c r="N4" s="836"/>
      <c r="O4" s="153"/>
      <c r="P4" s="150"/>
      <c r="Q4" s="152"/>
      <c r="R4" s="836"/>
      <c r="S4" s="153"/>
      <c r="T4" s="150"/>
      <c r="U4" s="152"/>
      <c r="V4" s="842"/>
      <c r="W4" s="836"/>
    </row>
    <row r="5" spans="1:27" s="162" customFormat="1" ht="15" customHeight="1" outlineLevel="1">
      <c r="A5" s="154" t="s">
        <v>47</v>
      </c>
      <c r="B5" s="155"/>
      <c r="C5" s="156"/>
      <c r="D5" s="157"/>
      <c r="E5" s="158"/>
      <c r="F5" s="822"/>
      <c r="G5" s="156"/>
      <c r="H5" s="157"/>
      <c r="I5" s="160"/>
      <c r="J5" s="837"/>
      <c r="K5" s="156"/>
      <c r="L5" s="157"/>
      <c r="M5" s="158"/>
      <c r="N5" s="837"/>
      <c r="O5" s="156"/>
      <c r="P5" s="157"/>
      <c r="Q5" s="160"/>
      <c r="R5" s="837"/>
      <c r="S5" s="156"/>
      <c r="T5" s="157"/>
      <c r="U5" s="160"/>
      <c r="V5" s="837"/>
      <c r="W5" s="843"/>
      <c r="X5" s="161"/>
      <c r="Y5" s="137"/>
      <c r="Z5" s="137"/>
      <c r="AA5" s="137"/>
    </row>
    <row r="6" spans="1:27" s="162" customFormat="1" ht="15.6" outlineLevel="1">
      <c r="A6" s="163" t="s">
        <v>74</v>
      </c>
      <c r="B6" s="164"/>
      <c r="C6" s="156"/>
      <c r="D6" s="157"/>
      <c r="E6" s="158"/>
      <c r="F6" s="822"/>
      <c r="G6" s="156"/>
      <c r="H6" s="157"/>
      <c r="I6" s="160"/>
      <c r="J6" s="837"/>
      <c r="K6" s="156"/>
      <c r="L6" s="157"/>
      <c r="M6" s="158"/>
      <c r="N6" s="837"/>
      <c r="O6" s="156"/>
      <c r="P6" s="157"/>
      <c r="Q6" s="160"/>
      <c r="R6" s="837"/>
      <c r="S6" s="156"/>
      <c r="T6" s="157"/>
      <c r="U6" s="160"/>
      <c r="V6" s="837"/>
      <c r="W6" s="843"/>
      <c r="X6" s="165"/>
      <c r="Y6" s="137"/>
      <c r="Z6" s="137"/>
      <c r="AA6" s="137"/>
    </row>
    <row r="7" spans="1:27" outlineLevel="1">
      <c r="A7" s="166" t="s">
        <v>75</v>
      </c>
      <c r="B7" s="181"/>
      <c r="D7" s="218"/>
      <c r="F7" s="823">
        <f>C7*D7*E7</f>
        <v>0</v>
      </c>
      <c r="H7" s="218"/>
      <c r="I7" s="140"/>
      <c r="J7" s="823">
        <f>G7*H7*I7</f>
        <v>0</v>
      </c>
      <c r="L7" s="218"/>
      <c r="N7" s="823">
        <f>K7*L7*M7</f>
        <v>0</v>
      </c>
      <c r="P7" s="218"/>
      <c r="Q7" s="140"/>
      <c r="R7" s="823">
        <f>O7*P7*Q7</f>
        <v>0</v>
      </c>
      <c r="T7" s="218"/>
      <c r="U7" s="140"/>
      <c r="V7" s="823">
        <f>S7*T7*U7</f>
        <v>0</v>
      </c>
      <c r="W7" s="838">
        <f t="shared" ref="W7" si="0">F7+J7+N7+R7+V7</f>
        <v>0</v>
      </c>
    </row>
    <row r="8" spans="1:27" ht="15" customHeight="1" outlineLevel="1">
      <c r="A8" s="175" t="s">
        <v>76</v>
      </c>
      <c r="B8" s="176"/>
      <c r="C8" s="177"/>
      <c r="D8" s="178"/>
      <c r="E8" s="179"/>
      <c r="F8" s="824">
        <f>SUM(F7:F7)</f>
        <v>0</v>
      </c>
      <c r="G8" s="177"/>
      <c r="H8" s="178"/>
      <c r="I8" s="180"/>
      <c r="J8" s="824">
        <f>SUM(J7:J7)</f>
        <v>0</v>
      </c>
      <c r="K8" s="177"/>
      <c r="L8" s="178"/>
      <c r="M8" s="179"/>
      <c r="N8" s="824">
        <f>SUM(N7:N7)</f>
        <v>0</v>
      </c>
      <c r="O8" s="177"/>
      <c r="P8" s="178"/>
      <c r="Q8" s="180"/>
      <c r="R8" s="824">
        <f>SUM(R7:R7)</f>
        <v>0</v>
      </c>
      <c r="S8" s="177"/>
      <c r="T8" s="178"/>
      <c r="U8" s="180"/>
      <c r="V8" s="824">
        <f>SUM(V7:V7)</f>
        <v>0</v>
      </c>
      <c r="W8" s="844">
        <f>+F8+J8+N8+R8+V8</f>
        <v>0</v>
      </c>
    </row>
    <row r="9" spans="1:27" ht="15" customHeight="1" outlineLevel="1">
      <c r="A9" s="163" t="s">
        <v>119</v>
      </c>
      <c r="B9" s="181"/>
      <c r="C9" s="182"/>
      <c r="D9" s="183"/>
      <c r="E9" s="184"/>
      <c r="F9" s="823"/>
      <c r="G9" s="182"/>
      <c r="H9" s="183"/>
      <c r="I9" s="185"/>
      <c r="J9" s="838"/>
      <c r="K9" s="182"/>
      <c r="L9" s="183"/>
      <c r="M9" s="184"/>
      <c r="N9" s="838"/>
      <c r="O9" s="182"/>
      <c r="P9" s="183"/>
      <c r="Q9" s="185"/>
      <c r="R9" s="838"/>
      <c r="S9" s="182"/>
      <c r="T9" s="183"/>
      <c r="U9" s="185"/>
      <c r="V9" s="838"/>
      <c r="W9" s="839"/>
      <c r="X9" s="165"/>
    </row>
    <row r="10" spans="1:27" ht="15" customHeight="1" outlineLevel="1">
      <c r="A10" s="166" t="str">
        <f>'Program Budget'!D12</f>
        <v>Key Personnel: Chief of Party</v>
      </c>
      <c r="B10" s="167" t="str">
        <f>'Program Budget'!F188</f>
        <v>Month</v>
      </c>
      <c r="C10" s="168">
        <f>'Program Budget'!H12</f>
        <v>9583.3333333333339</v>
      </c>
      <c r="D10" s="169">
        <f>'Program Budget'!G12</f>
        <v>11</v>
      </c>
      <c r="E10" s="170">
        <f>'Program Budget'!E188</f>
        <v>0.2</v>
      </c>
      <c r="F10" s="823">
        <f t="shared" ref="F10" si="1">C10*D10*E10</f>
        <v>21083.333333333336</v>
      </c>
      <c r="G10" s="168">
        <f t="shared" ref="G10" si="2">C10*1.05</f>
        <v>10062.500000000002</v>
      </c>
      <c r="H10" s="169">
        <f>'Program Budget'!K12</f>
        <v>12</v>
      </c>
      <c r="I10" s="172">
        <f>'Program Budget'!J188</f>
        <v>0.55000000000000004</v>
      </c>
      <c r="J10" s="823">
        <f t="shared" ref="J10" si="3">G10*H10*I10</f>
        <v>66412.500000000015</v>
      </c>
      <c r="K10" s="168">
        <f t="shared" ref="K10" si="4">G10*1.05</f>
        <v>10565.625000000002</v>
      </c>
      <c r="L10" s="169">
        <f>'Program Budget'!N12</f>
        <v>12</v>
      </c>
      <c r="M10" s="172">
        <f>'Program Budget'!M188</f>
        <v>0.55000000000000004</v>
      </c>
      <c r="N10" s="823">
        <f t="shared" ref="N10" si="5">K10*L10*M10</f>
        <v>69733.125000000015</v>
      </c>
      <c r="O10" s="168">
        <f t="shared" ref="O10" si="6">K10*1.05</f>
        <v>11093.906250000002</v>
      </c>
      <c r="P10" s="169">
        <f>'Program Budget'!Q12</f>
        <v>12</v>
      </c>
      <c r="Q10" s="172">
        <f>'Program Budget'!P188</f>
        <v>0.6</v>
      </c>
      <c r="R10" s="823">
        <f t="shared" ref="R10" si="7">O10*P10*Q10</f>
        <v>79876.125000000015</v>
      </c>
      <c r="S10" s="168">
        <f t="shared" ref="S10" si="8">O10*1.05</f>
        <v>11648.601562500002</v>
      </c>
      <c r="T10" s="169">
        <f>'Program Budget'!T12</f>
        <v>0</v>
      </c>
      <c r="U10" s="172">
        <f>'Program Budget'!S188</f>
        <v>0</v>
      </c>
      <c r="V10" s="823">
        <f t="shared" ref="V10" si="9">S10*T10*U10</f>
        <v>0</v>
      </c>
      <c r="W10" s="838">
        <f t="shared" ref="W10" si="10">F10+J10+N10+R10+V10</f>
        <v>237105.08333333337</v>
      </c>
      <c r="X10" s="173"/>
      <c r="Y10" s="161"/>
      <c r="Z10" s="174"/>
      <c r="AA10" s="174"/>
    </row>
    <row r="11" spans="1:27" ht="15" customHeight="1" outlineLevel="1">
      <c r="A11" s="166" t="str">
        <f>'Program Budget'!D13</f>
        <v>Technical Director</v>
      </c>
      <c r="B11" s="167" t="str">
        <f>'Program Budget'!F189</f>
        <v>Month</v>
      </c>
      <c r="C11" s="168">
        <f>'Program Budget'!H13</f>
        <v>3500</v>
      </c>
      <c r="D11" s="169">
        <f>'Program Budget'!G13</f>
        <v>9</v>
      </c>
      <c r="E11" s="170">
        <f>'Program Budget'!E189</f>
        <v>0.35</v>
      </c>
      <c r="F11" s="823">
        <f t="shared" ref="F11:F22" si="11">C11*D11*E11</f>
        <v>11025</v>
      </c>
      <c r="G11" s="168">
        <f t="shared" ref="G11:G22" si="12">C11*1.05</f>
        <v>3675</v>
      </c>
      <c r="H11" s="169">
        <f>'Program Budget'!K13</f>
        <v>12</v>
      </c>
      <c r="I11" s="172">
        <f>'Program Budget'!J189</f>
        <v>0.6</v>
      </c>
      <c r="J11" s="823">
        <f t="shared" ref="J11:J22" si="13">G11*H11*I11</f>
        <v>26460</v>
      </c>
      <c r="K11" s="168">
        <f t="shared" ref="K11:K22" si="14">G11*1.05</f>
        <v>3858.75</v>
      </c>
      <c r="L11" s="169">
        <f>'Program Budget'!N13</f>
        <v>12</v>
      </c>
      <c r="M11" s="172">
        <f>'Program Budget'!M189</f>
        <v>0.6</v>
      </c>
      <c r="N11" s="823">
        <f t="shared" ref="N11:N22" si="15">K11*L11*M11</f>
        <v>27783</v>
      </c>
      <c r="O11" s="168">
        <f t="shared" ref="O11:O22" si="16">K11*1.05</f>
        <v>4051.6875</v>
      </c>
      <c r="P11" s="169">
        <f>'Program Budget'!Q13</f>
        <v>12</v>
      </c>
      <c r="Q11" s="172">
        <f>'Program Budget'!P189</f>
        <v>0.6</v>
      </c>
      <c r="R11" s="823">
        <f t="shared" ref="R11:R22" si="17">O11*P11*Q11</f>
        <v>29172.149999999998</v>
      </c>
      <c r="S11" s="168">
        <f t="shared" ref="S11:S22" si="18">O11*1.05</f>
        <v>4254.2718750000004</v>
      </c>
      <c r="T11" s="169">
        <f>'Program Budget'!T13</f>
        <v>0</v>
      </c>
      <c r="U11" s="172">
        <f>'Program Budget'!S189</f>
        <v>0</v>
      </c>
      <c r="V11" s="823">
        <f t="shared" ref="V11:V22" si="19">S11*T11*U11</f>
        <v>0</v>
      </c>
      <c r="W11" s="838">
        <f t="shared" ref="W11:W22" si="20">F11+J11+N11+R11+V11</f>
        <v>94440.15</v>
      </c>
      <c r="X11" s="173"/>
      <c r="Y11" s="161"/>
      <c r="Z11" s="174"/>
      <c r="AA11" s="174"/>
    </row>
    <row r="12" spans="1:27" ht="15" customHeight="1" outlineLevel="1">
      <c r="A12" s="166" t="str">
        <f>'Program Budget'!D14</f>
        <v>Technical Lead - Activity 2 US Exports</v>
      </c>
      <c r="B12" s="167" t="str">
        <f>'Program Budget'!F190</f>
        <v>Month</v>
      </c>
      <c r="C12" s="168">
        <f>'Program Budget'!H14</f>
        <v>2833.3333333333335</v>
      </c>
      <c r="D12" s="169">
        <f>'Program Budget'!G14</f>
        <v>8</v>
      </c>
      <c r="E12" s="170">
        <f>'Program Budget'!E190</f>
        <v>0.8</v>
      </c>
      <c r="F12" s="823">
        <f t="shared" si="11"/>
        <v>18133.333333333336</v>
      </c>
      <c r="G12" s="168">
        <f t="shared" si="12"/>
        <v>2975.0000000000005</v>
      </c>
      <c r="H12" s="169">
        <f>'Program Budget'!K14</f>
        <v>12</v>
      </c>
      <c r="I12" s="172">
        <f>'Program Budget'!J190</f>
        <v>1</v>
      </c>
      <c r="J12" s="823">
        <f t="shared" si="13"/>
        <v>35700.000000000007</v>
      </c>
      <c r="K12" s="168">
        <f t="shared" si="14"/>
        <v>3123.7500000000005</v>
      </c>
      <c r="L12" s="169">
        <f>'Program Budget'!N14</f>
        <v>12</v>
      </c>
      <c r="M12" s="172">
        <f>'Program Budget'!M190</f>
        <v>1</v>
      </c>
      <c r="N12" s="823">
        <f t="shared" si="15"/>
        <v>37485.000000000007</v>
      </c>
      <c r="O12" s="168">
        <f t="shared" si="16"/>
        <v>3279.9375000000005</v>
      </c>
      <c r="P12" s="169">
        <f>'Program Budget'!Q14</f>
        <v>12</v>
      </c>
      <c r="Q12" s="172">
        <f>'Program Budget'!P190</f>
        <v>1</v>
      </c>
      <c r="R12" s="823">
        <f t="shared" si="17"/>
        <v>39359.250000000007</v>
      </c>
      <c r="S12" s="168">
        <f t="shared" si="18"/>
        <v>3443.9343750000007</v>
      </c>
      <c r="T12" s="169">
        <f>'Program Budget'!T14</f>
        <v>0</v>
      </c>
      <c r="U12" s="172">
        <f>'Program Budget'!S190</f>
        <v>0</v>
      </c>
      <c r="V12" s="823">
        <f t="shared" si="19"/>
        <v>0</v>
      </c>
      <c r="W12" s="838">
        <f t="shared" si="20"/>
        <v>130677.58333333334</v>
      </c>
      <c r="X12" s="173"/>
      <c r="Y12" s="161"/>
      <c r="Z12" s="174"/>
      <c r="AA12" s="174"/>
    </row>
    <row r="13" spans="1:27" ht="15" customHeight="1" outlineLevel="1">
      <c r="A13" s="166" t="str">
        <f>'Program Budget'!D15</f>
        <v>Technical Lead - Activity 2 Access to Finance Specialist</v>
      </c>
      <c r="B13" s="167" t="str">
        <f>'Program Budget'!F191</f>
        <v>Month</v>
      </c>
      <c r="C13" s="168">
        <f>'Program Budget'!H15</f>
        <v>2833.3333333333335</v>
      </c>
      <c r="D13" s="169">
        <f>'Program Budget'!G15</f>
        <v>8</v>
      </c>
      <c r="E13" s="170">
        <f>'Program Budget'!E191</f>
        <v>0.8</v>
      </c>
      <c r="F13" s="823">
        <f t="shared" si="11"/>
        <v>18133.333333333336</v>
      </c>
      <c r="G13" s="168">
        <f t="shared" si="12"/>
        <v>2975.0000000000005</v>
      </c>
      <c r="H13" s="169">
        <f>'Program Budget'!K15</f>
        <v>12</v>
      </c>
      <c r="I13" s="172">
        <f>'Program Budget'!J191</f>
        <v>1</v>
      </c>
      <c r="J13" s="823">
        <f t="shared" si="13"/>
        <v>35700.000000000007</v>
      </c>
      <c r="K13" s="168">
        <f t="shared" si="14"/>
        <v>3123.7500000000005</v>
      </c>
      <c r="L13" s="169">
        <f>'Program Budget'!N15</f>
        <v>12</v>
      </c>
      <c r="M13" s="172">
        <f>'Program Budget'!M191</f>
        <v>1</v>
      </c>
      <c r="N13" s="823">
        <f t="shared" si="15"/>
        <v>37485.000000000007</v>
      </c>
      <c r="O13" s="168">
        <f t="shared" si="16"/>
        <v>3279.9375000000005</v>
      </c>
      <c r="P13" s="169">
        <f>'Program Budget'!Q15</f>
        <v>12</v>
      </c>
      <c r="Q13" s="172">
        <f>'Program Budget'!P191</f>
        <v>1</v>
      </c>
      <c r="R13" s="823">
        <f t="shared" si="17"/>
        <v>39359.250000000007</v>
      </c>
      <c r="S13" s="168">
        <f t="shared" si="18"/>
        <v>3443.9343750000007</v>
      </c>
      <c r="T13" s="169">
        <f>'Program Budget'!T15</f>
        <v>0</v>
      </c>
      <c r="U13" s="172">
        <f>'Program Budget'!S191</f>
        <v>0</v>
      </c>
      <c r="V13" s="823">
        <f t="shared" si="19"/>
        <v>0</v>
      </c>
      <c r="W13" s="838">
        <f t="shared" si="20"/>
        <v>130677.58333333334</v>
      </c>
      <c r="X13" s="173"/>
      <c r="Y13" s="161"/>
      <c r="Z13" s="174"/>
      <c r="AA13" s="174"/>
    </row>
    <row r="14" spans="1:27" ht="15" customHeight="1" outlineLevel="1">
      <c r="A14" s="166" t="str">
        <f>'Program Budget'!D16</f>
        <v>Communications/Strategic Partnerships Manager</v>
      </c>
      <c r="B14" s="167" t="str">
        <f>'Program Budget'!F192</f>
        <v>Month</v>
      </c>
      <c r="C14" s="168">
        <f>'Program Budget'!H16</f>
        <v>2666.6666666666665</v>
      </c>
      <c r="D14" s="169">
        <f>'Program Budget'!G16</f>
        <v>8</v>
      </c>
      <c r="E14" s="170">
        <f>'Program Budget'!E192</f>
        <v>0.3</v>
      </c>
      <c r="F14" s="823">
        <f t="shared" si="11"/>
        <v>6399.9999999999991</v>
      </c>
      <c r="G14" s="168">
        <f t="shared" si="12"/>
        <v>2800</v>
      </c>
      <c r="H14" s="169">
        <f>'Program Budget'!K16</f>
        <v>12</v>
      </c>
      <c r="I14" s="172">
        <f>'Program Budget'!J192</f>
        <v>0.35</v>
      </c>
      <c r="J14" s="823">
        <f t="shared" si="13"/>
        <v>11760</v>
      </c>
      <c r="K14" s="168">
        <f t="shared" si="14"/>
        <v>2940</v>
      </c>
      <c r="L14" s="169">
        <f>'Program Budget'!N16</f>
        <v>12</v>
      </c>
      <c r="M14" s="172">
        <f>'Program Budget'!M192</f>
        <v>0.35</v>
      </c>
      <c r="N14" s="823">
        <f t="shared" si="15"/>
        <v>12348</v>
      </c>
      <c r="O14" s="168">
        <f t="shared" si="16"/>
        <v>3087</v>
      </c>
      <c r="P14" s="169">
        <f>'Program Budget'!Q16</f>
        <v>12</v>
      </c>
      <c r="Q14" s="172">
        <f>'Program Budget'!P192</f>
        <v>0.5</v>
      </c>
      <c r="R14" s="823">
        <f t="shared" si="17"/>
        <v>18522</v>
      </c>
      <c r="S14" s="168">
        <f t="shared" si="18"/>
        <v>3241.3500000000004</v>
      </c>
      <c r="T14" s="169">
        <f>'Program Budget'!T16</f>
        <v>0</v>
      </c>
      <c r="U14" s="172">
        <f>'Program Budget'!S192</f>
        <v>0</v>
      </c>
      <c r="V14" s="823">
        <f t="shared" si="19"/>
        <v>0</v>
      </c>
      <c r="W14" s="838">
        <f t="shared" si="20"/>
        <v>49030</v>
      </c>
      <c r="X14" s="173"/>
      <c r="Y14" s="161"/>
      <c r="Z14" s="174"/>
      <c r="AA14" s="174"/>
    </row>
    <row r="15" spans="1:27" ht="15" customHeight="1" outlineLevel="1">
      <c r="A15" s="166" t="str">
        <f>'Program Budget'!D17</f>
        <v xml:space="preserve">M&amp;E Director </v>
      </c>
      <c r="B15" s="167" t="str">
        <f>'Program Budget'!F193</f>
        <v>Month</v>
      </c>
      <c r="C15" s="168">
        <f>'Program Budget'!H17</f>
        <v>3500</v>
      </c>
      <c r="D15" s="169">
        <f>'Program Budget'!G17</f>
        <v>10</v>
      </c>
      <c r="E15" s="170">
        <f>'Program Budget'!E193</f>
        <v>0.25</v>
      </c>
      <c r="F15" s="823">
        <f t="shared" si="11"/>
        <v>8750</v>
      </c>
      <c r="G15" s="168">
        <f t="shared" si="12"/>
        <v>3675</v>
      </c>
      <c r="H15" s="169">
        <f>'Program Budget'!K17</f>
        <v>12</v>
      </c>
      <c r="I15" s="172">
        <f>'Program Budget'!J193</f>
        <v>0.45</v>
      </c>
      <c r="J15" s="823">
        <f t="shared" si="13"/>
        <v>19845</v>
      </c>
      <c r="K15" s="168">
        <f t="shared" si="14"/>
        <v>3858.75</v>
      </c>
      <c r="L15" s="169">
        <f>'Program Budget'!N17</f>
        <v>12</v>
      </c>
      <c r="M15" s="172">
        <f>'Program Budget'!M193</f>
        <v>0.45</v>
      </c>
      <c r="N15" s="823">
        <f t="shared" si="15"/>
        <v>20837.25</v>
      </c>
      <c r="O15" s="168">
        <f t="shared" si="16"/>
        <v>4051.6875</v>
      </c>
      <c r="P15" s="169">
        <f>'Program Budget'!Q17</f>
        <v>12</v>
      </c>
      <c r="Q15" s="172">
        <f>'Program Budget'!P193</f>
        <v>0.5</v>
      </c>
      <c r="R15" s="823">
        <f t="shared" si="17"/>
        <v>24310.125</v>
      </c>
      <c r="S15" s="168">
        <f t="shared" si="18"/>
        <v>4254.2718750000004</v>
      </c>
      <c r="T15" s="169">
        <f>'Program Budget'!T17</f>
        <v>0</v>
      </c>
      <c r="U15" s="172">
        <f>'Program Budget'!S193</f>
        <v>0</v>
      </c>
      <c r="V15" s="823">
        <f t="shared" si="19"/>
        <v>0</v>
      </c>
      <c r="W15" s="838">
        <f t="shared" si="20"/>
        <v>73742.375</v>
      </c>
      <c r="X15" s="173"/>
      <c r="Y15" s="161"/>
      <c r="Z15" s="174"/>
      <c r="AA15" s="174"/>
    </row>
    <row r="16" spans="1:27" ht="15" customHeight="1" outlineLevel="1">
      <c r="A16" s="166" t="str">
        <f>'Program Budget'!D18</f>
        <v>M&amp;E Specialist</v>
      </c>
      <c r="B16" s="167" t="str">
        <f>'Program Budget'!F194</f>
        <v>Month</v>
      </c>
      <c r="C16" s="168">
        <f>'Program Budget'!H18</f>
        <v>2000</v>
      </c>
      <c r="D16" s="169">
        <f>'Program Budget'!G18</f>
        <v>8</v>
      </c>
      <c r="E16" s="170">
        <f>'Program Budget'!E194</f>
        <v>0.3</v>
      </c>
      <c r="F16" s="823">
        <f t="shared" si="11"/>
        <v>4800</v>
      </c>
      <c r="G16" s="168">
        <f t="shared" si="12"/>
        <v>2100</v>
      </c>
      <c r="H16" s="169">
        <f>'Program Budget'!K18</f>
        <v>12</v>
      </c>
      <c r="I16" s="172">
        <f>'Program Budget'!J194</f>
        <v>0.45</v>
      </c>
      <c r="J16" s="823">
        <f t="shared" si="13"/>
        <v>11340</v>
      </c>
      <c r="K16" s="168">
        <f t="shared" si="14"/>
        <v>2205</v>
      </c>
      <c r="L16" s="169">
        <f>'Program Budget'!N18</f>
        <v>12</v>
      </c>
      <c r="M16" s="172">
        <f>'Program Budget'!M194</f>
        <v>0.45</v>
      </c>
      <c r="N16" s="823">
        <f t="shared" si="15"/>
        <v>11907</v>
      </c>
      <c r="O16" s="168">
        <f t="shared" si="16"/>
        <v>2315.25</v>
      </c>
      <c r="P16" s="169">
        <f>'Program Budget'!Q18</f>
        <v>12</v>
      </c>
      <c r="Q16" s="172">
        <f>'Program Budget'!P194</f>
        <v>0.5</v>
      </c>
      <c r="R16" s="823">
        <f t="shared" si="17"/>
        <v>13891.5</v>
      </c>
      <c r="S16" s="168">
        <f t="shared" si="18"/>
        <v>2431.0125000000003</v>
      </c>
      <c r="T16" s="169">
        <f>'Program Budget'!T18</f>
        <v>0</v>
      </c>
      <c r="U16" s="172">
        <f>'Program Budget'!S194</f>
        <v>0</v>
      </c>
      <c r="V16" s="823">
        <f t="shared" si="19"/>
        <v>0</v>
      </c>
      <c r="W16" s="838">
        <f t="shared" si="20"/>
        <v>41938.5</v>
      </c>
      <c r="X16" s="173"/>
      <c r="Y16" s="161"/>
      <c r="Z16" s="174"/>
      <c r="AA16" s="174"/>
    </row>
    <row r="17" spans="1:27" ht="15" customHeight="1" outlineLevel="1">
      <c r="A17" s="166" t="str">
        <f>'Program Budget'!D19</f>
        <v xml:space="preserve">Key Personnel: Finance &amp; Administration (F&amp;A) Director </v>
      </c>
      <c r="B17" s="167" t="str">
        <f>'Program Budget'!F195</f>
        <v>Month</v>
      </c>
      <c r="C17" s="168">
        <f>'Program Budget'!H19</f>
        <v>3500</v>
      </c>
      <c r="D17" s="169">
        <f>'Program Budget'!G19</f>
        <v>10</v>
      </c>
      <c r="E17" s="170">
        <f>'Program Budget'!E195</f>
        <v>0.25</v>
      </c>
      <c r="F17" s="823">
        <f t="shared" si="11"/>
        <v>8750</v>
      </c>
      <c r="G17" s="168">
        <f t="shared" si="12"/>
        <v>3675</v>
      </c>
      <c r="H17" s="169">
        <f>'Program Budget'!K19</f>
        <v>12</v>
      </c>
      <c r="I17" s="172">
        <f>'Program Budget'!J195</f>
        <v>0.35</v>
      </c>
      <c r="J17" s="823">
        <f t="shared" si="13"/>
        <v>15434.999999999998</v>
      </c>
      <c r="K17" s="168">
        <f t="shared" si="14"/>
        <v>3858.75</v>
      </c>
      <c r="L17" s="169">
        <f>'Program Budget'!N19</f>
        <v>12</v>
      </c>
      <c r="M17" s="172">
        <f>'Program Budget'!M195</f>
        <v>0.35</v>
      </c>
      <c r="N17" s="823">
        <f t="shared" si="15"/>
        <v>16206.749999999998</v>
      </c>
      <c r="O17" s="168">
        <f t="shared" si="16"/>
        <v>4051.6875</v>
      </c>
      <c r="P17" s="169">
        <f>'Program Budget'!Q19</f>
        <v>12</v>
      </c>
      <c r="Q17" s="172">
        <f>'Program Budget'!P195</f>
        <v>0.5</v>
      </c>
      <c r="R17" s="823">
        <f t="shared" si="17"/>
        <v>24310.125</v>
      </c>
      <c r="S17" s="168">
        <f t="shared" si="18"/>
        <v>4254.2718750000004</v>
      </c>
      <c r="T17" s="169">
        <f>'Program Budget'!T19</f>
        <v>0</v>
      </c>
      <c r="U17" s="172">
        <f>'Program Budget'!S195</f>
        <v>0</v>
      </c>
      <c r="V17" s="823">
        <f t="shared" si="19"/>
        <v>0</v>
      </c>
      <c r="W17" s="838">
        <f t="shared" si="20"/>
        <v>64701.875</v>
      </c>
      <c r="X17" s="173"/>
      <c r="Y17" s="161"/>
      <c r="Z17" s="174"/>
      <c r="AA17" s="174"/>
    </row>
    <row r="18" spans="1:27" ht="15" customHeight="1" outlineLevel="1">
      <c r="A18" s="166" t="str">
        <f>'Program Budget'!D20</f>
        <v xml:space="preserve">Accountant </v>
      </c>
      <c r="B18" s="167" t="str">
        <f>'Program Budget'!F196</f>
        <v>Month</v>
      </c>
      <c r="C18" s="168">
        <f>'Program Budget'!H20</f>
        <v>2000</v>
      </c>
      <c r="D18" s="169">
        <f>'Program Budget'!G20</f>
        <v>8</v>
      </c>
      <c r="E18" s="170">
        <f>'Program Budget'!E196</f>
        <v>0.3</v>
      </c>
      <c r="F18" s="823">
        <f t="shared" si="11"/>
        <v>4800</v>
      </c>
      <c r="G18" s="168">
        <f t="shared" si="12"/>
        <v>2100</v>
      </c>
      <c r="H18" s="169">
        <f>'Program Budget'!K20</f>
        <v>12</v>
      </c>
      <c r="I18" s="172">
        <f>'Program Budget'!J196</f>
        <v>0.5</v>
      </c>
      <c r="J18" s="823">
        <f t="shared" si="13"/>
        <v>12600</v>
      </c>
      <c r="K18" s="168">
        <f t="shared" si="14"/>
        <v>2205</v>
      </c>
      <c r="L18" s="169">
        <f>'Program Budget'!N20</f>
        <v>12</v>
      </c>
      <c r="M18" s="172">
        <f>'Program Budget'!M196</f>
        <v>0.5</v>
      </c>
      <c r="N18" s="823">
        <f t="shared" si="15"/>
        <v>13230</v>
      </c>
      <c r="O18" s="168">
        <f t="shared" si="16"/>
        <v>2315.25</v>
      </c>
      <c r="P18" s="169">
        <f>'Program Budget'!Q20</f>
        <v>12</v>
      </c>
      <c r="Q18" s="172">
        <f>'Program Budget'!P196</f>
        <v>0.55000000000000004</v>
      </c>
      <c r="R18" s="823">
        <f t="shared" si="17"/>
        <v>15280.650000000001</v>
      </c>
      <c r="S18" s="168">
        <f t="shared" si="18"/>
        <v>2431.0125000000003</v>
      </c>
      <c r="T18" s="169">
        <f>'Program Budget'!T20</f>
        <v>0</v>
      </c>
      <c r="U18" s="172">
        <f>'Program Budget'!S196</f>
        <v>0</v>
      </c>
      <c r="V18" s="823">
        <f t="shared" si="19"/>
        <v>0</v>
      </c>
      <c r="W18" s="838">
        <f t="shared" si="20"/>
        <v>45910.65</v>
      </c>
      <c r="X18" s="173"/>
      <c r="Y18" s="161"/>
      <c r="Z18" s="174"/>
      <c r="AA18" s="174"/>
    </row>
    <row r="19" spans="1:27" ht="15" customHeight="1" outlineLevel="1">
      <c r="A19" s="166" t="str">
        <f>'Program Budget'!D21</f>
        <v>Administration/ HR Manager</v>
      </c>
      <c r="B19" s="167" t="str">
        <f>'Program Budget'!F197</f>
        <v>Month</v>
      </c>
      <c r="C19" s="168">
        <f>'Program Budget'!H21</f>
        <v>2666.6666666666665</v>
      </c>
      <c r="D19" s="169">
        <f>'Program Budget'!G21</f>
        <v>10</v>
      </c>
      <c r="E19" s="170">
        <f>'Program Budget'!E197</f>
        <v>0.4</v>
      </c>
      <c r="F19" s="823">
        <f t="shared" si="11"/>
        <v>10666.666666666666</v>
      </c>
      <c r="G19" s="168">
        <f t="shared" si="12"/>
        <v>2800</v>
      </c>
      <c r="H19" s="169">
        <f>'Program Budget'!K21</f>
        <v>12</v>
      </c>
      <c r="I19" s="172">
        <f>'Program Budget'!J197</f>
        <v>0.45</v>
      </c>
      <c r="J19" s="823">
        <f t="shared" si="13"/>
        <v>15120</v>
      </c>
      <c r="K19" s="168">
        <f t="shared" si="14"/>
        <v>2940</v>
      </c>
      <c r="L19" s="169">
        <f>'Program Budget'!N21</f>
        <v>12</v>
      </c>
      <c r="M19" s="172">
        <f>'Program Budget'!M197</f>
        <v>0.45</v>
      </c>
      <c r="N19" s="823">
        <f t="shared" si="15"/>
        <v>15876</v>
      </c>
      <c r="O19" s="168">
        <f t="shared" si="16"/>
        <v>3087</v>
      </c>
      <c r="P19" s="169">
        <f>'Program Budget'!Q21</f>
        <v>12</v>
      </c>
      <c r="Q19" s="172">
        <f>'Program Budget'!P197</f>
        <v>0.55000000000000004</v>
      </c>
      <c r="R19" s="823">
        <f t="shared" si="17"/>
        <v>20374.2</v>
      </c>
      <c r="S19" s="168">
        <f t="shared" si="18"/>
        <v>3241.3500000000004</v>
      </c>
      <c r="T19" s="169">
        <f>'Program Budget'!T21</f>
        <v>0</v>
      </c>
      <c r="U19" s="172">
        <f>'Program Budget'!S197</f>
        <v>0</v>
      </c>
      <c r="V19" s="823">
        <f t="shared" si="19"/>
        <v>0</v>
      </c>
      <c r="W19" s="838">
        <f t="shared" si="20"/>
        <v>62036.866666666669</v>
      </c>
      <c r="X19" s="173"/>
      <c r="Y19" s="161"/>
      <c r="Z19" s="174"/>
      <c r="AA19" s="174"/>
    </row>
    <row r="20" spans="1:27" ht="15" customHeight="1" outlineLevel="1">
      <c r="A20" s="166" t="str">
        <f>'Program Budget'!D22</f>
        <v>Grants &amp; Contracts Manager</v>
      </c>
      <c r="B20" s="167" t="str">
        <f>'Program Budget'!F198</f>
        <v>Month</v>
      </c>
      <c r="C20" s="168">
        <f>'Program Budget'!H22</f>
        <v>2666.6666666666665</v>
      </c>
      <c r="D20" s="169">
        <f>'Program Budget'!G22</f>
        <v>9</v>
      </c>
      <c r="E20" s="170">
        <f>'Program Budget'!E198</f>
        <v>0.3</v>
      </c>
      <c r="F20" s="823">
        <f t="shared" si="11"/>
        <v>7200</v>
      </c>
      <c r="G20" s="168">
        <f t="shared" si="12"/>
        <v>2800</v>
      </c>
      <c r="H20" s="169">
        <f>'Program Budget'!K22</f>
        <v>12</v>
      </c>
      <c r="I20" s="172">
        <f>'Program Budget'!J198</f>
        <v>0.4</v>
      </c>
      <c r="J20" s="823">
        <f t="shared" si="13"/>
        <v>13440</v>
      </c>
      <c r="K20" s="168">
        <f t="shared" si="14"/>
        <v>2940</v>
      </c>
      <c r="L20" s="169">
        <f>'Program Budget'!N22</f>
        <v>12</v>
      </c>
      <c r="M20" s="172">
        <f>'Program Budget'!M198</f>
        <v>0.4</v>
      </c>
      <c r="N20" s="823">
        <f t="shared" si="15"/>
        <v>14112</v>
      </c>
      <c r="O20" s="168">
        <f t="shared" si="16"/>
        <v>3087</v>
      </c>
      <c r="P20" s="169">
        <f>'Program Budget'!Q22</f>
        <v>12</v>
      </c>
      <c r="Q20" s="172">
        <f>'Program Budget'!P198</f>
        <v>0.6</v>
      </c>
      <c r="R20" s="823">
        <f t="shared" si="17"/>
        <v>22226.399999999998</v>
      </c>
      <c r="S20" s="168">
        <f t="shared" si="18"/>
        <v>3241.3500000000004</v>
      </c>
      <c r="T20" s="169">
        <f>'Program Budget'!T22</f>
        <v>0</v>
      </c>
      <c r="U20" s="172">
        <f>'Program Budget'!S198</f>
        <v>0</v>
      </c>
      <c r="V20" s="823">
        <f t="shared" si="19"/>
        <v>0</v>
      </c>
      <c r="W20" s="838">
        <f t="shared" si="20"/>
        <v>56978.399999999994</v>
      </c>
      <c r="X20" s="173"/>
      <c r="Y20" s="161"/>
      <c r="Z20" s="174"/>
      <c r="AA20" s="174"/>
    </row>
    <row r="21" spans="1:27" ht="15" customHeight="1" outlineLevel="1">
      <c r="A21" s="166" t="str">
        <f>'Program Budget'!D23</f>
        <v>Compliance &amp; Procurement Specialist</v>
      </c>
      <c r="B21" s="167" t="str">
        <f>'Program Budget'!F199</f>
        <v>Month</v>
      </c>
      <c r="C21" s="168">
        <f>'Program Budget'!H23</f>
        <v>2000</v>
      </c>
      <c r="D21" s="169">
        <f>'Program Budget'!G23</f>
        <v>9</v>
      </c>
      <c r="E21" s="170">
        <f>'Program Budget'!E199</f>
        <v>0.3</v>
      </c>
      <c r="F21" s="823">
        <f t="shared" si="11"/>
        <v>5400</v>
      </c>
      <c r="G21" s="168">
        <f t="shared" si="12"/>
        <v>2100</v>
      </c>
      <c r="H21" s="169">
        <f>'Program Budget'!K23</f>
        <v>12</v>
      </c>
      <c r="I21" s="172">
        <f>'Program Budget'!J199</f>
        <v>0.4</v>
      </c>
      <c r="J21" s="823">
        <f t="shared" si="13"/>
        <v>10080</v>
      </c>
      <c r="K21" s="168">
        <f t="shared" si="14"/>
        <v>2205</v>
      </c>
      <c r="L21" s="169">
        <f>'Program Budget'!N23</f>
        <v>12</v>
      </c>
      <c r="M21" s="172">
        <f>'Program Budget'!M199</f>
        <v>0.4</v>
      </c>
      <c r="N21" s="823">
        <f t="shared" si="15"/>
        <v>10584</v>
      </c>
      <c r="O21" s="168">
        <f t="shared" si="16"/>
        <v>2315.25</v>
      </c>
      <c r="P21" s="169">
        <f>'Program Budget'!Q23</f>
        <v>12</v>
      </c>
      <c r="Q21" s="172">
        <f>'Program Budget'!P199</f>
        <v>0.6</v>
      </c>
      <c r="R21" s="823">
        <f t="shared" si="17"/>
        <v>16669.8</v>
      </c>
      <c r="S21" s="168">
        <f t="shared" si="18"/>
        <v>2431.0125000000003</v>
      </c>
      <c r="T21" s="169">
        <f>'Program Budget'!T23</f>
        <v>0</v>
      </c>
      <c r="U21" s="172">
        <f>'Program Budget'!S199</f>
        <v>0</v>
      </c>
      <c r="V21" s="823">
        <f t="shared" si="19"/>
        <v>0</v>
      </c>
      <c r="W21" s="838">
        <f t="shared" si="20"/>
        <v>42733.8</v>
      </c>
      <c r="X21" s="173"/>
      <c r="Y21" s="161"/>
      <c r="Z21" s="174"/>
      <c r="AA21" s="174"/>
    </row>
    <row r="22" spans="1:27" ht="15" customHeight="1" outlineLevel="1">
      <c r="A22" s="166" t="str">
        <f>'Program Budget'!D24</f>
        <v>Driver</v>
      </c>
      <c r="B22" s="167" t="str">
        <f>'Program Budget'!F200</f>
        <v>Month</v>
      </c>
      <c r="C22" s="168">
        <f>'Program Budget'!H24</f>
        <v>500</v>
      </c>
      <c r="D22" s="169">
        <f>'Program Budget'!G24</f>
        <v>7</v>
      </c>
      <c r="E22" s="170">
        <f>'Program Budget'!E200</f>
        <v>0.5</v>
      </c>
      <c r="F22" s="823">
        <f t="shared" si="11"/>
        <v>1750</v>
      </c>
      <c r="G22" s="168">
        <f t="shared" si="12"/>
        <v>525</v>
      </c>
      <c r="H22" s="169">
        <f>'Program Budget'!K24</f>
        <v>12</v>
      </c>
      <c r="I22" s="172">
        <f>'Program Budget'!J200</f>
        <v>0.5</v>
      </c>
      <c r="J22" s="823">
        <f t="shared" si="13"/>
        <v>3150</v>
      </c>
      <c r="K22" s="168">
        <f t="shared" si="14"/>
        <v>551.25</v>
      </c>
      <c r="L22" s="169">
        <f>'Program Budget'!N24</f>
        <v>12</v>
      </c>
      <c r="M22" s="172">
        <f>'Program Budget'!M200</f>
        <v>0.5</v>
      </c>
      <c r="N22" s="823">
        <f t="shared" si="15"/>
        <v>3307.5</v>
      </c>
      <c r="O22" s="168">
        <f t="shared" si="16"/>
        <v>578.8125</v>
      </c>
      <c r="P22" s="169">
        <f>'Program Budget'!Q24</f>
        <v>12</v>
      </c>
      <c r="Q22" s="172">
        <f>'Program Budget'!P200</f>
        <v>0.65</v>
      </c>
      <c r="R22" s="823">
        <f t="shared" si="17"/>
        <v>4514.7375000000002</v>
      </c>
      <c r="S22" s="168">
        <f t="shared" si="18"/>
        <v>607.75312500000007</v>
      </c>
      <c r="T22" s="169">
        <f>'Program Budget'!T24</f>
        <v>0</v>
      </c>
      <c r="U22" s="172">
        <f>'Program Budget'!S200</f>
        <v>0</v>
      </c>
      <c r="V22" s="823">
        <f t="shared" si="19"/>
        <v>0</v>
      </c>
      <c r="W22" s="838">
        <f t="shared" si="20"/>
        <v>12722.237499999999</v>
      </c>
      <c r="X22" s="173"/>
      <c r="Y22" s="161"/>
      <c r="Z22" s="174"/>
      <c r="AA22" s="174"/>
    </row>
    <row r="23" spans="1:27" ht="15" customHeight="1" outlineLevel="1">
      <c r="A23" s="175" t="s">
        <v>78</v>
      </c>
      <c r="B23" s="176"/>
      <c r="C23" s="177"/>
      <c r="D23" s="178"/>
      <c r="E23" s="179"/>
      <c r="F23" s="825">
        <f>SUM(F10:F22)</f>
        <v>126891.66666666667</v>
      </c>
      <c r="G23" s="177"/>
      <c r="H23" s="178"/>
      <c r="I23" s="180"/>
      <c r="J23" s="825">
        <f>SUM(J10:J22)</f>
        <v>277042.5</v>
      </c>
      <c r="K23" s="177"/>
      <c r="L23" s="178"/>
      <c r="M23" s="179"/>
      <c r="N23" s="825">
        <f>SUM(N10:N22)</f>
        <v>290894.625</v>
      </c>
      <c r="O23" s="177"/>
      <c r="P23" s="178"/>
      <c r="Q23" s="180"/>
      <c r="R23" s="825">
        <f>SUM(R10:R22)</f>
        <v>347866.31250000006</v>
      </c>
      <c r="S23" s="177"/>
      <c r="T23" s="178"/>
      <c r="U23" s="180"/>
      <c r="V23" s="825">
        <f>SUM(V11:V22)</f>
        <v>0</v>
      </c>
      <c r="W23" s="825">
        <f>SUM(W10:W22)</f>
        <v>1042695.104166667</v>
      </c>
    </row>
    <row r="24" spans="1:27" s="162" customFormat="1" ht="15.6" outlineLevel="1">
      <c r="A24" s="163" t="s">
        <v>79</v>
      </c>
      <c r="B24" s="164"/>
      <c r="C24" s="156"/>
      <c r="D24" s="157"/>
      <c r="E24" s="158"/>
      <c r="F24" s="822"/>
      <c r="G24" s="156"/>
      <c r="H24" s="157"/>
      <c r="I24" s="160"/>
      <c r="J24" s="837"/>
      <c r="K24" s="156"/>
      <c r="L24" s="157"/>
      <c r="M24" s="158"/>
      <c r="N24" s="837"/>
      <c r="O24" s="156"/>
      <c r="P24" s="157"/>
      <c r="Q24" s="160"/>
      <c r="R24" s="837"/>
      <c r="S24" s="156"/>
      <c r="T24" s="157"/>
      <c r="U24" s="160"/>
      <c r="V24" s="837"/>
      <c r="W24" s="843"/>
      <c r="X24" s="165"/>
      <c r="Y24" s="137"/>
      <c r="Z24" s="137"/>
      <c r="AA24" s="137"/>
    </row>
    <row r="25" spans="1:27" outlineLevel="1">
      <c r="A25" s="166" t="str">
        <f>'Program Budget'!D26</f>
        <v>Senior Vice President of Programs</v>
      </c>
      <c r="B25" s="167" t="str">
        <f>'Program Budget'!F202</f>
        <v>Month</v>
      </c>
      <c r="C25" s="168">
        <f>'Program Budget'!H202</f>
        <v>13500</v>
      </c>
      <c r="D25" s="169">
        <f>'Program Budget'!G202</f>
        <v>12</v>
      </c>
      <c r="E25" s="170">
        <f>'Program Budget'!E202</f>
        <v>0.01</v>
      </c>
      <c r="F25" s="823">
        <f>C25*D25*E25</f>
        <v>1620</v>
      </c>
      <c r="G25" s="168">
        <f>C25*1.05</f>
        <v>14175</v>
      </c>
      <c r="H25" s="169">
        <f>'Program Budget'!K202</f>
        <v>12</v>
      </c>
      <c r="I25" s="172">
        <f>'Program Budget'!J202</f>
        <v>0.01</v>
      </c>
      <c r="J25" s="823">
        <f>G25*H25*I25</f>
        <v>1701</v>
      </c>
      <c r="K25" s="168">
        <f>G25*1.05</f>
        <v>14883.75</v>
      </c>
      <c r="L25" s="169">
        <f>'Program Budget'!N202</f>
        <v>12</v>
      </c>
      <c r="M25" s="172">
        <f>'Program Budget'!M202</f>
        <v>0.01</v>
      </c>
      <c r="N25" s="823">
        <f>K25*L25*M25</f>
        <v>1786.05</v>
      </c>
      <c r="O25" s="168">
        <f>K25*1.05</f>
        <v>15627.9375</v>
      </c>
      <c r="P25" s="169">
        <f>'Program Budget'!Q202</f>
        <v>12</v>
      </c>
      <c r="Q25" s="172">
        <f>'Program Budget'!P202</f>
        <v>0.01</v>
      </c>
      <c r="R25" s="823">
        <f>O25*P25*Q25</f>
        <v>1875.3525</v>
      </c>
      <c r="S25" s="168">
        <f>O25*1.05</f>
        <v>16409.334375000002</v>
      </c>
      <c r="T25" s="169">
        <f>'Program Budget'!T202</f>
        <v>0</v>
      </c>
      <c r="U25" s="172">
        <f>'Program Budget'!S202</f>
        <v>0</v>
      </c>
      <c r="V25" s="823">
        <f>S25*T25*U25</f>
        <v>0</v>
      </c>
      <c r="W25" s="838">
        <f>F25+J25+N25+R25+V25</f>
        <v>6982.4025000000001</v>
      </c>
      <c r="X25" s="173"/>
      <c r="Y25" s="161"/>
      <c r="Z25" s="174"/>
      <c r="AA25" s="174"/>
    </row>
    <row r="26" spans="1:27" ht="15" customHeight="1" outlineLevel="1">
      <c r="A26" s="166" t="str">
        <f>'Program Budget'!D27</f>
        <v xml:space="preserve">Senior Program Director </v>
      </c>
      <c r="B26" s="167" t="str">
        <f>'Program Budget'!F203</f>
        <v>Month</v>
      </c>
      <c r="C26" s="168">
        <f>'Program Budget'!H203</f>
        <v>12500</v>
      </c>
      <c r="D26" s="169">
        <f>'Program Budget'!G203</f>
        <v>12</v>
      </c>
      <c r="E26" s="170">
        <f>'Program Budget'!E203</f>
        <v>0.05</v>
      </c>
      <c r="F26" s="823">
        <f t="shared" ref="F26" si="21">C26*D26*E26</f>
        <v>7500</v>
      </c>
      <c r="G26" s="168">
        <f t="shared" ref="G26" si="22">C26*1.05</f>
        <v>13125</v>
      </c>
      <c r="H26" s="169">
        <f>'Program Budget'!K203</f>
        <v>12</v>
      </c>
      <c r="I26" s="172">
        <f>'Program Budget'!J203</f>
        <v>0.1</v>
      </c>
      <c r="J26" s="823">
        <f t="shared" ref="J26" si="23">G26*H26*I26</f>
        <v>15750</v>
      </c>
      <c r="K26" s="168">
        <f t="shared" ref="K26" si="24">G26*1.05</f>
        <v>13781.25</v>
      </c>
      <c r="L26" s="169">
        <f>'Program Budget'!N203</f>
        <v>12</v>
      </c>
      <c r="M26" s="172">
        <f>'Program Budget'!M203</f>
        <v>0.1</v>
      </c>
      <c r="N26" s="823">
        <f t="shared" ref="N26" si="25">K26*L26*M26</f>
        <v>16537.5</v>
      </c>
      <c r="O26" s="168">
        <f t="shared" ref="O26" si="26">K26*1.05</f>
        <v>14470.3125</v>
      </c>
      <c r="P26" s="169">
        <f>'Program Budget'!Q203</f>
        <v>12</v>
      </c>
      <c r="Q26" s="172">
        <f>'Program Budget'!P203</f>
        <v>0.1</v>
      </c>
      <c r="R26" s="823">
        <f t="shared" ref="R26" si="27">O26*P26*Q26</f>
        <v>17364.375</v>
      </c>
      <c r="S26" s="168">
        <f t="shared" ref="S26" si="28">O26*1.05</f>
        <v>15193.828125</v>
      </c>
      <c r="T26" s="169">
        <f>'Program Budget'!T203</f>
        <v>0</v>
      </c>
      <c r="U26" s="172">
        <f>'Program Budget'!S203</f>
        <v>0</v>
      </c>
      <c r="V26" s="823">
        <f t="shared" ref="V26" si="29">S26*T26*U26</f>
        <v>0</v>
      </c>
      <c r="W26" s="838">
        <f t="shared" ref="W26" si="30">F26+J26+N26+R26+V26</f>
        <v>57151.875</v>
      </c>
      <c r="X26" s="173"/>
      <c r="Y26" s="161"/>
      <c r="Z26" s="174"/>
      <c r="AA26" s="174"/>
    </row>
    <row r="27" spans="1:27" ht="15" customHeight="1" outlineLevel="1">
      <c r="A27" s="166" t="str">
        <f>'Program Budget'!D28</f>
        <v>Associate Director</v>
      </c>
      <c r="B27" s="167" t="str">
        <f>'Program Budget'!F204</f>
        <v>Month</v>
      </c>
      <c r="C27" s="168">
        <f>'Program Budget'!H204</f>
        <v>7500</v>
      </c>
      <c r="D27" s="169">
        <f>'Program Budget'!G204</f>
        <v>12</v>
      </c>
      <c r="E27" s="170">
        <f>'Program Budget'!E204</f>
        <v>0.4</v>
      </c>
      <c r="F27" s="823">
        <f t="shared" ref="F27:F29" si="31">C27*D27*E27</f>
        <v>36000</v>
      </c>
      <c r="G27" s="168">
        <f t="shared" ref="G27:G29" si="32">C27*1.05</f>
        <v>7875</v>
      </c>
      <c r="H27" s="169">
        <f>'Program Budget'!K204</f>
        <v>12</v>
      </c>
      <c r="I27" s="172">
        <f>'Program Budget'!J204</f>
        <v>0.55000000000000004</v>
      </c>
      <c r="J27" s="823">
        <f t="shared" ref="J27:J29" si="33">G27*H27*I27</f>
        <v>51975.000000000007</v>
      </c>
      <c r="K27" s="168">
        <f t="shared" ref="K27:K29" si="34">G27*1.05</f>
        <v>8268.75</v>
      </c>
      <c r="L27" s="169">
        <f>'Program Budget'!N204</f>
        <v>12</v>
      </c>
      <c r="M27" s="172">
        <f>'Program Budget'!M204</f>
        <v>0.55000000000000004</v>
      </c>
      <c r="N27" s="823">
        <f t="shared" ref="N27:N29" si="35">K27*L27*M27</f>
        <v>54573.750000000007</v>
      </c>
      <c r="O27" s="168">
        <f t="shared" ref="O27:O29" si="36">K27*1.05</f>
        <v>8682.1875</v>
      </c>
      <c r="P27" s="169">
        <f>'Program Budget'!Q204</f>
        <v>12</v>
      </c>
      <c r="Q27" s="172">
        <f>'Program Budget'!P204</f>
        <v>0.55000000000000004</v>
      </c>
      <c r="R27" s="823">
        <f t="shared" ref="R27:R29" si="37">O27*P27*Q27</f>
        <v>57302.437500000007</v>
      </c>
      <c r="S27" s="168">
        <f t="shared" ref="S27:S29" si="38">O27*1.05</f>
        <v>9116.296875</v>
      </c>
      <c r="T27" s="169">
        <f>'Program Budget'!T204</f>
        <v>0</v>
      </c>
      <c r="U27" s="172">
        <f>'Program Budget'!S204</f>
        <v>0</v>
      </c>
      <c r="V27" s="823">
        <f t="shared" ref="V27:V29" si="39">S27*T27*U27</f>
        <v>0</v>
      </c>
      <c r="W27" s="838">
        <f t="shared" ref="W27:W29" si="40">F27+J27+N27+R27+V27</f>
        <v>199851.1875</v>
      </c>
      <c r="X27" s="173"/>
      <c r="Y27" s="161"/>
      <c r="Z27" s="174"/>
      <c r="AA27" s="174"/>
    </row>
    <row r="28" spans="1:27" ht="15" customHeight="1" outlineLevel="1">
      <c r="A28" s="166" t="str">
        <f>'Program Budget'!D29</f>
        <v>Compliance &amp; Contracts Director</v>
      </c>
      <c r="B28" s="167" t="str">
        <f>'Program Budget'!F205</f>
        <v>Month</v>
      </c>
      <c r="C28" s="168">
        <f>'Program Budget'!H205</f>
        <v>9166.6666666666661</v>
      </c>
      <c r="D28" s="169">
        <f>'Program Budget'!G205</f>
        <v>12</v>
      </c>
      <c r="E28" s="170">
        <f>'Program Budget'!E205</f>
        <v>0.05</v>
      </c>
      <c r="F28" s="823">
        <f t="shared" si="31"/>
        <v>5500</v>
      </c>
      <c r="G28" s="168">
        <f t="shared" si="32"/>
        <v>9625</v>
      </c>
      <c r="H28" s="169">
        <f>'Program Budget'!K205</f>
        <v>12</v>
      </c>
      <c r="I28" s="172">
        <f>'Program Budget'!J205</f>
        <v>0.1</v>
      </c>
      <c r="J28" s="823">
        <f t="shared" si="33"/>
        <v>11550</v>
      </c>
      <c r="K28" s="168">
        <f t="shared" si="34"/>
        <v>10106.25</v>
      </c>
      <c r="L28" s="169">
        <f>'Program Budget'!N205</f>
        <v>12</v>
      </c>
      <c r="M28" s="172">
        <f>'Program Budget'!M205</f>
        <v>0.1</v>
      </c>
      <c r="N28" s="823">
        <f t="shared" si="35"/>
        <v>12127.5</v>
      </c>
      <c r="O28" s="168">
        <f t="shared" si="36"/>
        <v>10611.5625</v>
      </c>
      <c r="P28" s="169">
        <f>'Program Budget'!Q205</f>
        <v>12</v>
      </c>
      <c r="Q28" s="172">
        <f>'Program Budget'!P205</f>
        <v>0.1</v>
      </c>
      <c r="R28" s="823">
        <f t="shared" si="37"/>
        <v>12733.875</v>
      </c>
      <c r="S28" s="168">
        <f t="shared" si="38"/>
        <v>11142.140625</v>
      </c>
      <c r="T28" s="169">
        <f>'Program Budget'!T205</f>
        <v>0</v>
      </c>
      <c r="U28" s="172">
        <f>'Program Budget'!S205</f>
        <v>0</v>
      </c>
      <c r="V28" s="823">
        <f t="shared" si="39"/>
        <v>0</v>
      </c>
      <c r="W28" s="838">
        <f t="shared" si="40"/>
        <v>41911.375</v>
      </c>
      <c r="X28" s="173"/>
      <c r="Y28" s="161"/>
      <c r="Z28" s="174"/>
      <c r="AA28" s="174"/>
    </row>
    <row r="29" spans="1:27" ht="15" customHeight="1" outlineLevel="1">
      <c r="A29" s="166" t="str">
        <f>'Program Budget'!D30</f>
        <v>Finance, HR, &amp; Administration Home Office Support</v>
      </c>
      <c r="B29" s="167" t="str">
        <f>'Program Budget'!F206</f>
        <v>Month</v>
      </c>
      <c r="C29" s="168">
        <f>'Program Budget'!H206</f>
        <v>7500</v>
      </c>
      <c r="D29" s="169">
        <f>'Program Budget'!G206</f>
        <v>12</v>
      </c>
      <c r="E29" s="170">
        <f>'Program Budget'!E206</f>
        <v>0.2</v>
      </c>
      <c r="F29" s="823">
        <f t="shared" si="31"/>
        <v>18000</v>
      </c>
      <c r="G29" s="168">
        <f t="shared" si="32"/>
        <v>7875</v>
      </c>
      <c r="H29" s="169">
        <f>'Program Budget'!K206</f>
        <v>12</v>
      </c>
      <c r="I29" s="172">
        <f>'Program Budget'!J206</f>
        <v>0.35</v>
      </c>
      <c r="J29" s="823">
        <f t="shared" si="33"/>
        <v>33075</v>
      </c>
      <c r="K29" s="168">
        <f t="shared" si="34"/>
        <v>8268.75</v>
      </c>
      <c r="L29" s="169">
        <f>'Program Budget'!N206</f>
        <v>12</v>
      </c>
      <c r="M29" s="172">
        <f>'Program Budget'!M206</f>
        <v>0.35</v>
      </c>
      <c r="N29" s="823">
        <f t="shared" si="35"/>
        <v>34728.75</v>
      </c>
      <c r="O29" s="168">
        <f t="shared" si="36"/>
        <v>8682.1875</v>
      </c>
      <c r="P29" s="169">
        <f>'Program Budget'!Q206</f>
        <v>12</v>
      </c>
      <c r="Q29" s="172">
        <f>'Program Budget'!P206</f>
        <v>0.35</v>
      </c>
      <c r="R29" s="823">
        <f t="shared" si="37"/>
        <v>36465.1875</v>
      </c>
      <c r="S29" s="168">
        <f t="shared" si="38"/>
        <v>9116.296875</v>
      </c>
      <c r="T29" s="169">
        <f>'Program Budget'!T206</f>
        <v>0</v>
      </c>
      <c r="U29" s="172">
        <f>'Program Budget'!S206</f>
        <v>0</v>
      </c>
      <c r="V29" s="823">
        <f t="shared" si="39"/>
        <v>0</v>
      </c>
      <c r="W29" s="838">
        <f t="shared" si="40"/>
        <v>122268.9375</v>
      </c>
      <c r="X29" s="173"/>
      <c r="Y29" s="161"/>
      <c r="Z29" s="174"/>
      <c r="AA29" s="174"/>
    </row>
    <row r="30" spans="1:27" ht="15" customHeight="1" outlineLevel="1">
      <c r="A30" s="175" t="s">
        <v>80</v>
      </c>
      <c r="B30" s="176"/>
      <c r="C30" s="177"/>
      <c r="D30" s="178"/>
      <c r="E30" s="179"/>
      <c r="F30" s="824">
        <f>SUM(F24:F29)</f>
        <v>68620</v>
      </c>
      <c r="G30" s="177"/>
      <c r="H30" s="178"/>
      <c r="I30" s="180"/>
      <c r="J30" s="824">
        <f>SUM(J24:J29)</f>
        <v>114051</v>
      </c>
      <c r="K30" s="177"/>
      <c r="L30" s="178"/>
      <c r="M30" s="179"/>
      <c r="N30" s="824">
        <f>SUM(N24:N29)</f>
        <v>119753.55</v>
      </c>
      <c r="O30" s="177"/>
      <c r="P30" s="178"/>
      <c r="Q30" s="180"/>
      <c r="R30" s="824">
        <f>SUM(R24:R29)</f>
        <v>125741.22750000001</v>
      </c>
      <c r="S30" s="177"/>
      <c r="T30" s="178"/>
      <c r="U30" s="180"/>
      <c r="V30" s="824">
        <f>SUM(V24:V29)</f>
        <v>0</v>
      </c>
      <c r="W30" s="824">
        <f>SUM(W24:W29)</f>
        <v>428165.77749999997</v>
      </c>
    </row>
    <row r="31" spans="1:27" s="162" customFormat="1" ht="15" customHeight="1" outlineLevel="1">
      <c r="A31" s="186"/>
      <c r="B31" s="181"/>
      <c r="C31" s="182"/>
      <c r="D31" s="183"/>
      <c r="E31" s="140"/>
      <c r="F31" s="823"/>
      <c r="G31" s="182"/>
      <c r="H31" s="183"/>
      <c r="I31" s="180"/>
      <c r="J31" s="823"/>
      <c r="K31" s="182"/>
      <c r="L31" s="183"/>
      <c r="M31" s="140"/>
      <c r="N31" s="823"/>
      <c r="O31" s="182"/>
      <c r="P31" s="183"/>
      <c r="Q31" s="140"/>
      <c r="R31" s="823"/>
      <c r="S31" s="182"/>
      <c r="T31" s="183"/>
      <c r="U31" s="140"/>
      <c r="V31" s="823"/>
      <c r="W31" s="845"/>
      <c r="X31" s="137"/>
      <c r="Y31" s="137"/>
      <c r="Z31" s="137"/>
      <c r="AA31" s="137"/>
    </row>
    <row r="32" spans="1:27" s="195" customFormat="1" ht="15" customHeight="1">
      <c r="A32" s="187" t="s">
        <v>81</v>
      </c>
      <c r="B32" s="188"/>
      <c r="C32" s="189"/>
      <c r="D32" s="190"/>
      <c r="E32" s="191"/>
      <c r="F32" s="826">
        <f>F23+F8+F30</f>
        <v>195511.66666666669</v>
      </c>
      <c r="G32" s="189"/>
      <c r="H32" s="190"/>
      <c r="I32" s="192"/>
      <c r="J32" s="826">
        <f>J23+J8+J30</f>
        <v>391093.5</v>
      </c>
      <c r="K32" s="189"/>
      <c r="L32" s="190"/>
      <c r="M32" s="191"/>
      <c r="N32" s="826">
        <f>N23+N8+N30</f>
        <v>410648.17499999999</v>
      </c>
      <c r="O32" s="189"/>
      <c r="P32" s="190"/>
      <c r="Q32" s="192"/>
      <c r="R32" s="826">
        <f>R23+R8+R30</f>
        <v>473607.54000000004</v>
      </c>
      <c r="S32" s="189"/>
      <c r="T32" s="190"/>
      <c r="U32" s="192"/>
      <c r="V32" s="826">
        <f>V23+V8+V30</f>
        <v>0</v>
      </c>
      <c r="W32" s="826">
        <f>W23+W8+W30</f>
        <v>1470860.8816666668</v>
      </c>
      <c r="X32" s="193"/>
      <c r="Y32" s="193"/>
      <c r="Z32" s="193"/>
      <c r="AA32" s="193"/>
    </row>
    <row r="33" spans="1:27" s="162" customFormat="1" ht="15" customHeight="1" outlineLevel="1">
      <c r="A33" s="163" t="s">
        <v>120</v>
      </c>
      <c r="B33" s="164"/>
      <c r="C33" s="156"/>
      <c r="D33" s="157"/>
      <c r="E33" s="158"/>
      <c r="F33" s="822"/>
      <c r="G33" s="156"/>
      <c r="H33" s="157"/>
      <c r="I33" s="160"/>
      <c r="J33" s="837"/>
      <c r="K33" s="156"/>
      <c r="L33" s="157"/>
      <c r="M33" s="158"/>
      <c r="N33" s="837"/>
      <c r="O33" s="156"/>
      <c r="P33" s="157"/>
      <c r="Q33" s="160"/>
      <c r="R33" s="837"/>
      <c r="S33" s="156"/>
      <c r="T33" s="157"/>
      <c r="U33" s="160"/>
      <c r="V33" s="837"/>
      <c r="W33" s="843"/>
      <c r="X33" s="137"/>
      <c r="Y33" s="137"/>
      <c r="Z33" s="137"/>
      <c r="AA33" s="137"/>
    </row>
    <row r="34" spans="1:27" s="162" customFormat="1" ht="15" customHeight="1" outlineLevel="1">
      <c r="A34" s="196" t="s">
        <v>74</v>
      </c>
      <c r="B34" s="181" t="str">
        <f>'Program Budget'!F210</f>
        <v>%</v>
      </c>
      <c r="C34" s="275">
        <f>F8</f>
        <v>0</v>
      </c>
      <c r="D34" s="183">
        <v>1</v>
      </c>
      <c r="E34" s="140">
        <v>0</v>
      </c>
      <c r="F34" s="823">
        <f>C34*D34*E34</f>
        <v>0</v>
      </c>
      <c r="G34" s="275">
        <f>J8</f>
        <v>0</v>
      </c>
      <c r="H34" s="183">
        <v>1</v>
      </c>
      <c r="I34" s="140">
        <f>E34</f>
        <v>0</v>
      </c>
      <c r="J34" s="823">
        <f t="shared" ref="J34:J36" si="41">G34*H34*I34</f>
        <v>0</v>
      </c>
      <c r="K34" s="275">
        <f>N8</f>
        <v>0</v>
      </c>
      <c r="L34" s="183">
        <v>1</v>
      </c>
      <c r="M34" s="140">
        <f>E34</f>
        <v>0</v>
      </c>
      <c r="N34" s="823">
        <f t="shared" ref="N34:N36" si="42">K34*L34*M34</f>
        <v>0</v>
      </c>
      <c r="O34" s="275">
        <f>R8</f>
        <v>0</v>
      </c>
      <c r="P34" s="183">
        <v>1</v>
      </c>
      <c r="Q34" s="140">
        <f>E34</f>
        <v>0</v>
      </c>
      <c r="R34" s="823">
        <f t="shared" ref="R34:R36" si="43">O34*P34*Q34</f>
        <v>0</v>
      </c>
      <c r="S34" s="275">
        <f>V8</f>
        <v>0</v>
      </c>
      <c r="T34" s="183">
        <v>1</v>
      </c>
      <c r="U34" s="140">
        <f>E34</f>
        <v>0</v>
      </c>
      <c r="V34" s="823">
        <f t="shared" ref="V34:V36" si="44">S34*T34*U34</f>
        <v>0</v>
      </c>
      <c r="W34" s="838">
        <f t="shared" ref="W34:W36" si="45">F34+J34+N34+R34+V34</f>
        <v>0</v>
      </c>
      <c r="X34" s="137"/>
      <c r="Y34" s="137"/>
      <c r="Z34" s="137"/>
      <c r="AA34" s="137"/>
    </row>
    <row r="35" spans="1:27" s="162" customFormat="1" ht="15" customHeight="1" outlineLevel="1">
      <c r="A35" s="196" t="s">
        <v>121</v>
      </c>
      <c r="B35" s="819" t="str">
        <f>'Program Budget'!F210</f>
        <v>%</v>
      </c>
      <c r="C35" s="275">
        <f>F23</f>
        <v>126891.66666666667</v>
      </c>
      <c r="D35" s="183">
        <v>1</v>
      </c>
      <c r="E35" s="140">
        <f>'Program Budget'!H210</f>
        <v>0.29599999999999999</v>
      </c>
      <c r="F35" s="823">
        <f>C35*D35*E35</f>
        <v>37559.933333333334</v>
      </c>
      <c r="G35" s="275">
        <f>J23</f>
        <v>277042.5</v>
      </c>
      <c r="H35" s="183">
        <v>1</v>
      </c>
      <c r="I35" s="140">
        <f t="shared" ref="I35:I36" si="46">E35</f>
        <v>0.29599999999999999</v>
      </c>
      <c r="J35" s="823">
        <f t="shared" si="41"/>
        <v>82004.58</v>
      </c>
      <c r="K35" s="275">
        <f>N23</f>
        <v>290894.625</v>
      </c>
      <c r="L35" s="183">
        <v>1</v>
      </c>
      <c r="M35" s="140">
        <f t="shared" ref="M35:M36" si="47">E35</f>
        <v>0.29599999999999999</v>
      </c>
      <c r="N35" s="823">
        <f t="shared" si="42"/>
        <v>86104.808999999994</v>
      </c>
      <c r="O35" s="275">
        <f>R23</f>
        <v>347866.31250000006</v>
      </c>
      <c r="P35" s="183">
        <v>1</v>
      </c>
      <c r="Q35" s="140">
        <f t="shared" ref="Q35:Q36" si="48">E35</f>
        <v>0.29599999999999999</v>
      </c>
      <c r="R35" s="823">
        <f t="shared" si="43"/>
        <v>102968.42850000001</v>
      </c>
      <c r="S35" s="275">
        <f>V23</f>
        <v>0</v>
      </c>
      <c r="T35" s="183">
        <v>1</v>
      </c>
      <c r="U35" s="140">
        <v>0</v>
      </c>
      <c r="V35" s="823">
        <f t="shared" si="44"/>
        <v>0</v>
      </c>
      <c r="W35" s="838">
        <f t="shared" si="45"/>
        <v>308637.75083333335</v>
      </c>
      <c r="X35" s="137"/>
      <c r="Y35" s="137"/>
      <c r="Z35" s="137"/>
      <c r="AA35" s="137"/>
    </row>
    <row r="36" spans="1:27" s="162" customFormat="1" ht="15" customHeight="1" outlineLevel="1">
      <c r="A36" s="198" t="s">
        <v>83</v>
      </c>
      <c r="B36" s="819" t="str">
        <f>'Program Budget'!F211</f>
        <v>%</v>
      </c>
      <c r="C36" s="276">
        <f>F30</f>
        <v>68620</v>
      </c>
      <c r="D36" s="201">
        <v>1</v>
      </c>
      <c r="E36" s="140">
        <f>'Program Budget'!H211</f>
        <v>0.23469999999999999</v>
      </c>
      <c r="F36" s="827">
        <f>C36*D36*E36</f>
        <v>16105.114</v>
      </c>
      <c r="G36" s="276">
        <f>J30</f>
        <v>114051</v>
      </c>
      <c r="H36" s="201">
        <v>1</v>
      </c>
      <c r="I36" s="140">
        <f t="shared" si="46"/>
        <v>0.23469999999999999</v>
      </c>
      <c r="J36" s="827">
        <f t="shared" si="41"/>
        <v>26767.769700000001</v>
      </c>
      <c r="K36" s="276">
        <f>N30</f>
        <v>119753.55</v>
      </c>
      <c r="L36" s="201">
        <v>1</v>
      </c>
      <c r="M36" s="140">
        <f t="shared" si="47"/>
        <v>0.23469999999999999</v>
      </c>
      <c r="N36" s="827">
        <f t="shared" si="42"/>
        <v>28106.158185</v>
      </c>
      <c r="O36" s="276">
        <f>R30</f>
        <v>125741.22750000001</v>
      </c>
      <c r="P36" s="201">
        <v>1</v>
      </c>
      <c r="Q36" s="140">
        <f t="shared" si="48"/>
        <v>0.23469999999999999</v>
      </c>
      <c r="R36" s="827">
        <f t="shared" si="43"/>
        <v>29511.466094250001</v>
      </c>
      <c r="S36" s="276">
        <f>V30</f>
        <v>0</v>
      </c>
      <c r="T36" s="201">
        <v>1</v>
      </c>
      <c r="U36" s="140">
        <v>0</v>
      </c>
      <c r="V36" s="827">
        <f t="shared" si="44"/>
        <v>0</v>
      </c>
      <c r="W36" s="847">
        <f t="shared" si="45"/>
        <v>100490.50797925</v>
      </c>
      <c r="X36" s="137"/>
      <c r="Y36" s="137"/>
      <c r="Z36" s="137"/>
      <c r="AA36" s="137"/>
    </row>
    <row r="37" spans="1:27" ht="15" customHeight="1" outlineLevel="1">
      <c r="A37" s="175" t="s">
        <v>84</v>
      </c>
      <c r="B37" s="176"/>
      <c r="C37" s="177"/>
      <c r="D37" s="178"/>
      <c r="E37" s="179"/>
      <c r="F37" s="824">
        <f>+SUM(F34:F36)</f>
        <v>53665.047333333336</v>
      </c>
      <c r="G37" s="177"/>
      <c r="H37" s="178"/>
      <c r="I37" s="180"/>
      <c r="J37" s="824">
        <f>+SUM(J34:J36)</f>
        <v>108772.34970000001</v>
      </c>
      <c r="K37" s="177"/>
      <c r="L37" s="178"/>
      <c r="M37" s="179"/>
      <c r="N37" s="824">
        <f>+SUM(N34:N36)</f>
        <v>114210.96718499999</v>
      </c>
      <c r="O37" s="177"/>
      <c r="P37" s="178"/>
      <c r="Q37" s="180"/>
      <c r="R37" s="824">
        <f>+SUM(R34:R36)</f>
        <v>132479.89459425001</v>
      </c>
      <c r="S37" s="177"/>
      <c r="T37" s="178"/>
      <c r="U37" s="180"/>
      <c r="V37" s="824">
        <f>+SUM(V34:V36)</f>
        <v>0</v>
      </c>
      <c r="W37" s="844">
        <f>+F37+J37+N37+R37+V37</f>
        <v>409128.25881258334</v>
      </c>
    </row>
    <row r="38" spans="1:27" s="162" customFormat="1" ht="15" customHeight="1" outlineLevel="1">
      <c r="A38" s="163" t="s">
        <v>85</v>
      </c>
      <c r="B38" s="204"/>
      <c r="C38" s="182"/>
      <c r="D38" s="183"/>
      <c r="E38" s="140"/>
      <c r="F38" s="828"/>
      <c r="G38" s="182"/>
      <c r="H38" s="183"/>
      <c r="I38" s="141"/>
      <c r="J38" s="839"/>
      <c r="K38" s="182"/>
      <c r="L38" s="183"/>
      <c r="M38" s="140"/>
      <c r="N38" s="839"/>
      <c r="O38" s="182"/>
      <c r="P38" s="183"/>
      <c r="Q38" s="141"/>
      <c r="R38" s="839"/>
      <c r="S38" s="182"/>
      <c r="T38" s="183"/>
      <c r="U38" s="141"/>
      <c r="V38" s="839"/>
      <c r="W38" s="838">
        <f>+F38+J38+N38+R38+V38</f>
        <v>0</v>
      </c>
      <c r="X38" s="137"/>
      <c r="Y38" s="137"/>
      <c r="Z38" s="137"/>
      <c r="AA38" s="137"/>
    </row>
    <row r="39" spans="1:27" outlineLevel="1">
      <c r="A39" s="166" t="s">
        <v>75</v>
      </c>
      <c r="B39" s="181"/>
      <c r="D39" s="218"/>
      <c r="F39" s="823">
        <f>C39*D39*E39</f>
        <v>0</v>
      </c>
      <c r="H39" s="218"/>
      <c r="I39" s="140"/>
      <c r="J39" s="823">
        <f>G39*H39*I39</f>
        <v>0</v>
      </c>
      <c r="L39" s="218"/>
      <c r="N39" s="823">
        <f>K39*L39*M39</f>
        <v>0</v>
      </c>
      <c r="P39" s="218"/>
      <c r="Q39" s="140"/>
      <c r="R39" s="823">
        <f>O39*P39*Q39</f>
        <v>0</v>
      </c>
      <c r="T39" s="218"/>
      <c r="U39" s="140"/>
      <c r="V39" s="823">
        <f>S39*T39*U39</f>
        <v>0</v>
      </c>
      <c r="W39" s="838">
        <f t="shared" ref="W39" si="49">F39+J39+N39+R39+V39</f>
        <v>0</v>
      </c>
    </row>
    <row r="40" spans="1:27" ht="15" customHeight="1" outlineLevel="1">
      <c r="A40" s="175" t="s">
        <v>86</v>
      </c>
      <c r="B40" s="176"/>
      <c r="C40" s="177"/>
      <c r="D40" s="178"/>
      <c r="E40" s="179"/>
      <c r="F40" s="824">
        <f>SUM(F39:F39)</f>
        <v>0</v>
      </c>
      <c r="G40" s="177"/>
      <c r="H40" s="178"/>
      <c r="I40" s="180"/>
      <c r="J40" s="824">
        <f>SUM(J39:J39)</f>
        <v>0</v>
      </c>
      <c r="K40" s="177"/>
      <c r="L40" s="178"/>
      <c r="M40" s="179"/>
      <c r="N40" s="824">
        <f>SUM(N39:N39)</f>
        <v>0</v>
      </c>
      <c r="O40" s="177"/>
      <c r="P40" s="178"/>
      <c r="Q40" s="180"/>
      <c r="R40" s="824">
        <f>SUM(R39:R39)</f>
        <v>0</v>
      </c>
      <c r="S40" s="177"/>
      <c r="T40" s="178"/>
      <c r="U40" s="180"/>
      <c r="V40" s="824">
        <f>SUM(V39:V39)</f>
        <v>0</v>
      </c>
      <c r="W40" s="844">
        <f>F40+J40+N40+R40+V40</f>
        <v>0</v>
      </c>
    </row>
    <row r="41" spans="1:27" s="212" customFormat="1" ht="18.3" outlineLevel="1">
      <c r="A41" s="206" t="s">
        <v>87</v>
      </c>
      <c r="B41" s="207"/>
      <c r="C41" s="208"/>
      <c r="D41" s="209"/>
      <c r="E41" s="210"/>
      <c r="F41" s="829">
        <f>F40+F37</f>
        <v>53665.047333333336</v>
      </c>
      <c r="G41" s="208"/>
      <c r="H41" s="209"/>
      <c r="I41" s="211"/>
      <c r="J41" s="829">
        <f>J40+J37</f>
        <v>108772.34970000001</v>
      </c>
      <c r="K41" s="208"/>
      <c r="L41" s="209"/>
      <c r="M41" s="210"/>
      <c r="N41" s="829">
        <f>N40+N37</f>
        <v>114210.96718499999</v>
      </c>
      <c r="O41" s="208"/>
      <c r="P41" s="209"/>
      <c r="Q41" s="211"/>
      <c r="R41" s="829">
        <f>R40+R37</f>
        <v>132479.89459425001</v>
      </c>
      <c r="S41" s="208"/>
      <c r="T41" s="209"/>
      <c r="U41" s="211"/>
      <c r="V41" s="829">
        <f>V40+V37</f>
        <v>0</v>
      </c>
      <c r="W41" s="846">
        <f>+F41+J41+N41+R41+V41</f>
        <v>409128.25881258334</v>
      </c>
      <c r="X41" s="194"/>
      <c r="Y41" s="194"/>
      <c r="Z41" s="194"/>
      <c r="AA41" s="194"/>
    </row>
    <row r="42" spans="1:27" s="213" customFormat="1" ht="15.6" outlineLevel="1">
      <c r="A42" s="163" t="s">
        <v>88</v>
      </c>
      <c r="B42" s="164"/>
      <c r="C42" s="138"/>
      <c r="D42" s="139"/>
      <c r="E42" s="158"/>
      <c r="F42" s="823"/>
      <c r="G42" s="138"/>
      <c r="H42" s="139"/>
      <c r="I42" s="160"/>
      <c r="J42" s="823"/>
      <c r="K42" s="138"/>
      <c r="L42" s="139"/>
      <c r="M42" s="158"/>
      <c r="N42" s="823"/>
      <c r="O42" s="138"/>
      <c r="P42" s="139"/>
      <c r="Q42" s="160"/>
      <c r="R42" s="823"/>
      <c r="S42" s="138"/>
      <c r="T42" s="139"/>
      <c r="U42" s="160"/>
      <c r="V42" s="823"/>
      <c r="W42" s="838"/>
      <c r="X42" s="137"/>
      <c r="Y42" s="137"/>
      <c r="Z42" s="137"/>
      <c r="AA42" s="137"/>
    </row>
    <row r="43" spans="1:27" ht="27.75" customHeight="1" outlineLevel="1">
      <c r="A43" s="166" t="str">
        <f>'Program Budget'!D230</f>
        <v>Airfare - Roundtrip - USA to Nigeria - Buyer Conferences for American Farmers, Ranchers and Agricultural Professionals - 50% of Cost</v>
      </c>
      <c r="B43" s="167" t="str">
        <f>'Program Budget'!F227</f>
        <v>Trip</v>
      </c>
      <c r="C43" s="168">
        <f>'Program Budget'!H230</f>
        <v>900</v>
      </c>
      <c r="D43" s="169">
        <f>'Program Budget'!G230</f>
        <v>0</v>
      </c>
      <c r="E43" s="170">
        <v>1</v>
      </c>
      <c r="F43" s="823">
        <f>C43*D43*E43</f>
        <v>0</v>
      </c>
      <c r="G43" s="168">
        <f>C43*1.05</f>
        <v>945</v>
      </c>
      <c r="H43" s="169">
        <f>'Program Budget'!K230</f>
        <v>10</v>
      </c>
      <c r="I43" s="170">
        <v>1</v>
      </c>
      <c r="J43" s="823">
        <f>G43*H43*I43</f>
        <v>9450</v>
      </c>
      <c r="K43" s="168">
        <f>G43*1.05</f>
        <v>992.25</v>
      </c>
      <c r="L43" s="169">
        <f>'Program Budget'!N230</f>
        <v>10</v>
      </c>
      <c r="M43" s="170">
        <v>1</v>
      </c>
      <c r="N43" s="823">
        <f>K43*L43*M43</f>
        <v>9922.5</v>
      </c>
      <c r="O43" s="168">
        <f>K43*1.05</f>
        <v>1041.8625</v>
      </c>
      <c r="P43" s="169">
        <f>'Program Budget'!Q230</f>
        <v>0</v>
      </c>
      <c r="Q43" s="170">
        <v>1</v>
      </c>
      <c r="R43" s="823">
        <f>O43*P43*Q43</f>
        <v>0</v>
      </c>
      <c r="S43" s="168">
        <f>O43*1.05</f>
        <v>1093.9556250000001</v>
      </c>
      <c r="T43" s="169">
        <f>'Program Budget'!T230</f>
        <v>0</v>
      </c>
      <c r="U43" s="170">
        <v>0</v>
      </c>
      <c r="V43" s="823">
        <f>S43*T43*U43</f>
        <v>0</v>
      </c>
      <c r="W43" s="839">
        <f>F43+J43+N43+R43+V43</f>
        <v>19372.5</v>
      </c>
      <c r="X43" s="173"/>
      <c r="Y43" s="161"/>
      <c r="Z43" s="174"/>
      <c r="AA43" s="174"/>
    </row>
    <row r="44" spans="1:27" outlineLevel="1">
      <c r="A44" s="166" t="str">
        <f>'Program Budget'!D232</f>
        <v>Airfare - Roundtrip - USA to Nigeria - Trade Finance &amp; Export Consultant</v>
      </c>
      <c r="B44" s="167" t="str">
        <f>'Program Budget'!F232</f>
        <v>Trip</v>
      </c>
      <c r="C44" s="168">
        <f>'Program Budget'!H232</f>
        <v>1800</v>
      </c>
      <c r="D44" s="169">
        <f>'Program Budget'!G232</f>
        <v>1</v>
      </c>
      <c r="E44" s="170">
        <v>1</v>
      </c>
      <c r="F44" s="823">
        <f>C44*D44*E44</f>
        <v>1800</v>
      </c>
      <c r="G44" s="168">
        <f>C44*1.05</f>
        <v>1890</v>
      </c>
      <c r="H44" s="169">
        <f>'Program Budget'!K232</f>
        <v>2</v>
      </c>
      <c r="I44" s="170">
        <v>1</v>
      </c>
      <c r="J44" s="823">
        <f>G44*H44*I44</f>
        <v>3780</v>
      </c>
      <c r="K44" s="168">
        <f>G44*1.05</f>
        <v>1984.5</v>
      </c>
      <c r="L44" s="169">
        <f>'Program Budget'!N232</f>
        <v>2</v>
      </c>
      <c r="M44" s="170">
        <v>1</v>
      </c>
      <c r="N44" s="823">
        <f>K44*L44*M44</f>
        <v>3969</v>
      </c>
      <c r="O44" s="168">
        <f>K44*1.05</f>
        <v>2083.7249999999999</v>
      </c>
      <c r="P44" s="169">
        <f>'Program Budget'!Q232</f>
        <v>1</v>
      </c>
      <c r="Q44" s="170">
        <v>1</v>
      </c>
      <c r="R44" s="823">
        <f>O44*P44*Q44</f>
        <v>2083.7249999999999</v>
      </c>
      <c r="S44" s="168">
        <f>O44*1.05</f>
        <v>2187.9112500000001</v>
      </c>
      <c r="T44" s="169">
        <f>'Program Budget'!T232</f>
        <v>0</v>
      </c>
      <c r="U44" s="170">
        <v>0</v>
      </c>
      <c r="V44" s="823">
        <f>S44*T44*U44</f>
        <v>0</v>
      </c>
      <c r="W44" s="839">
        <f>F44+J44+N44+R44+V44</f>
        <v>11632.725</v>
      </c>
      <c r="X44" s="173"/>
      <c r="Y44" s="161"/>
      <c r="Z44" s="174"/>
      <c r="AA44" s="174"/>
    </row>
    <row r="45" spans="1:27" s="213" customFormat="1" ht="15.6" outlineLevel="1">
      <c r="A45" s="163" t="s">
        <v>89</v>
      </c>
      <c r="B45" s="164"/>
      <c r="C45" s="138"/>
      <c r="D45" s="139"/>
      <c r="E45" s="158"/>
      <c r="F45" s="823"/>
      <c r="G45" s="138"/>
      <c r="H45" s="139"/>
      <c r="I45" s="158"/>
      <c r="J45" s="823"/>
      <c r="K45" s="138"/>
      <c r="L45" s="139"/>
      <c r="M45" s="158"/>
      <c r="N45" s="823"/>
      <c r="O45" s="138"/>
      <c r="P45" s="139"/>
      <c r="Q45" s="158"/>
      <c r="R45" s="823"/>
      <c r="S45" s="138"/>
      <c r="T45" s="139"/>
      <c r="U45" s="158"/>
      <c r="V45" s="823"/>
      <c r="W45" s="839"/>
      <c r="X45" s="137"/>
      <c r="Y45" s="137"/>
      <c r="Z45" s="137"/>
      <c r="AA45" s="137"/>
    </row>
    <row r="46" spans="1:27" ht="15" customHeight="1" outlineLevel="1">
      <c r="A46" s="166" t="str">
        <f>'Program Budget'!D226</f>
        <v>Local Transportation (Taxis/Ubers)  for Project Implementation</v>
      </c>
      <c r="B46" s="167" t="str">
        <f>'Program Budget'!F226</f>
        <v>Month</v>
      </c>
      <c r="C46" s="168">
        <f>'Program Budget'!H226</f>
        <v>300</v>
      </c>
      <c r="D46" s="169">
        <f>'Program Budget'!G226</f>
        <v>6</v>
      </c>
      <c r="E46" s="170">
        <v>1</v>
      </c>
      <c r="F46" s="823">
        <f>C46*D46*E46</f>
        <v>1800</v>
      </c>
      <c r="G46" s="168">
        <f>C46*1.05</f>
        <v>315</v>
      </c>
      <c r="H46" s="169">
        <f>'Program Budget'!K226</f>
        <v>12</v>
      </c>
      <c r="I46" s="170">
        <v>1</v>
      </c>
      <c r="J46" s="823">
        <f>G46*H46*I46</f>
        <v>3780</v>
      </c>
      <c r="K46" s="168">
        <f>G46*1.05</f>
        <v>330.75</v>
      </c>
      <c r="L46" s="169">
        <f>'Program Budget'!N226</f>
        <v>12</v>
      </c>
      <c r="M46" s="170">
        <v>1</v>
      </c>
      <c r="N46" s="823">
        <f>K46*L46*M46</f>
        <v>3969</v>
      </c>
      <c r="O46" s="168">
        <f>K46*1.05</f>
        <v>347.28750000000002</v>
      </c>
      <c r="P46" s="169">
        <f>'Program Budget'!Q226</f>
        <v>12</v>
      </c>
      <c r="Q46" s="170">
        <v>1</v>
      </c>
      <c r="R46" s="823">
        <f>O46*P46*Q46</f>
        <v>4167.4500000000007</v>
      </c>
      <c r="S46" s="168">
        <f>O46*1.05</f>
        <v>364.65187500000002</v>
      </c>
      <c r="T46" s="169">
        <f>'Program Budget'!T226</f>
        <v>0</v>
      </c>
      <c r="U46" s="170">
        <v>0</v>
      </c>
      <c r="V46" s="823">
        <f>S46*T46*U46</f>
        <v>0</v>
      </c>
      <c r="W46" s="839">
        <f>F46+J46+N46+R46+V46</f>
        <v>13716.45</v>
      </c>
      <c r="X46" s="173"/>
      <c r="Y46" s="161"/>
      <c r="Z46" s="174"/>
      <c r="AA46" s="174"/>
    </row>
    <row r="47" spans="1:27" ht="15" customHeight="1" outlineLevel="1">
      <c r="A47" s="166" t="str">
        <f>'Program Budget'!D227</f>
        <v>Roundtrip Domestic Airfare - Lagos to Implementing Regions for Trainings on Activity 2</v>
      </c>
      <c r="B47" s="167" t="str">
        <f>'Program Budget'!F227</f>
        <v>Trip</v>
      </c>
      <c r="C47" s="168">
        <f>'Program Budget'!H227</f>
        <v>250</v>
      </c>
      <c r="D47" s="169">
        <f>'Program Budget'!G227</f>
        <v>12</v>
      </c>
      <c r="E47" s="170">
        <v>1</v>
      </c>
      <c r="F47" s="823">
        <f>C47*D47*E47</f>
        <v>3000</v>
      </c>
      <c r="G47" s="168">
        <f>C47*1.05</f>
        <v>262.5</v>
      </c>
      <c r="H47" s="169">
        <f>'Program Budget'!K227</f>
        <v>24</v>
      </c>
      <c r="I47" s="170">
        <v>1</v>
      </c>
      <c r="J47" s="823">
        <f>G47*H47*I47</f>
        <v>6300</v>
      </c>
      <c r="K47" s="168">
        <f>G47*1.05</f>
        <v>275.625</v>
      </c>
      <c r="L47" s="169">
        <f>'Program Budget'!N227</f>
        <v>24</v>
      </c>
      <c r="M47" s="170">
        <v>1</v>
      </c>
      <c r="N47" s="823">
        <f>K47*L47*M47</f>
        <v>6615</v>
      </c>
      <c r="O47" s="168">
        <f>K47*1.05</f>
        <v>289.40625</v>
      </c>
      <c r="P47" s="169">
        <f>'Program Budget'!Q227</f>
        <v>24</v>
      </c>
      <c r="Q47" s="170">
        <v>1</v>
      </c>
      <c r="R47" s="823">
        <f>O47*P47*Q47</f>
        <v>6945.75</v>
      </c>
      <c r="S47" s="168">
        <f>O47*1.05</f>
        <v>303.87656250000003</v>
      </c>
      <c r="T47" s="169">
        <f>'Program Budget'!T227</f>
        <v>0</v>
      </c>
      <c r="U47" s="170">
        <v>0</v>
      </c>
      <c r="V47" s="823">
        <f>S47*T47*U47</f>
        <v>0</v>
      </c>
      <c r="W47" s="838">
        <f>F47+J47+N47+R47+V47</f>
        <v>22860.75</v>
      </c>
      <c r="X47" s="173"/>
      <c r="Y47" s="161"/>
      <c r="Z47" s="174"/>
      <c r="AA47" s="174"/>
    </row>
    <row r="48" spans="1:27" ht="15" customHeight="1" outlineLevel="1">
      <c r="A48" s="166" t="str">
        <f>'Program Budget'!D228</f>
        <v>Local Transportation (Car Rental, Taxis) for Trainings on Activity 2</v>
      </c>
      <c r="B48" s="167" t="str">
        <f>'Program Budget'!F228</f>
        <v>Trip</v>
      </c>
      <c r="C48" s="168">
        <f>'Program Budget'!H228</f>
        <v>30</v>
      </c>
      <c r="D48" s="169">
        <f>'Program Budget'!G228</f>
        <v>12</v>
      </c>
      <c r="E48" s="170">
        <v>1</v>
      </c>
      <c r="F48" s="823">
        <f>C48*D48*E48</f>
        <v>360</v>
      </c>
      <c r="G48" s="168">
        <f>C48*1.05</f>
        <v>31.5</v>
      </c>
      <c r="H48" s="169">
        <f>'Program Budget'!K228</f>
        <v>24</v>
      </c>
      <c r="I48" s="170">
        <v>1</v>
      </c>
      <c r="J48" s="823">
        <f>G48*H48*I48</f>
        <v>756</v>
      </c>
      <c r="K48" s="168">
        <f>G48*1.05</f>
        <v>33.075000000000003</v>
      </c>
      <c r="L48" s="169">
        <f>'Program Budget'!N228</f>
        <v>24</v>
      </c>
      <c r="M48" s="170">
        <v>1</v>
      </c>
      <c r="N48" s="823">
        <f>K48*L48*M48</f>
        <v>793.80000000000007</v>
      </c>
      <c r="O48" s="168">
        <f>K48*1.05</f>
        <v>34.728750000000005</v>
      </c>
      <c r="P48" s="169">
        <f>'Program Budget'!Q228</f>
        <v>24</v>
      </c>
      <c r="Q48" s="170">
        <v>1</v>
      </c>
      <c r="R48" s="823">
        <f>O48*P48*Q48</f>
        <v>833.49000000000012</v>
      </c>
      <c r="S48" s="168">
        <f>O48*1.05</f>
        <v>36.465187500000006</v>
      </c>
      <c r="T48" s="169">
        <f>'Program Budget'!T228</f>
        <v>0</v>
      </c>
      <c r="U48" s="170">
        <v>0</v>
      </c>
      <c r="V48" s="823">
        <f>S48*T48*U48</f>
        <v>0</v>
      </c>
      <c r="W48" s="838">
        <f>F48+J48+N48+R48+V48</f>
        <v>2743.2900000000004</v>
      </c>
      <c r="X48" s="173"/>
      <c r="Y48" s="161"/>
      <c r="Z48" s="174"/>
      <c r="AA48" s="174"/>
    </row>
    <row r="49" spans="1:27" ht="15" customHeight="1" outlineLevel="1">
      <c r="A49" s="166" t="str">
        <f>'Program Budget'!D234</f>
        <v>Ground Transportation – Trade Finance &amp; Export Consultant</v>
      </c>
      <c r="B49" s="167" t="str">
        <f>'Program Budget'!F234</f>
        <v>Trip</v>
      </c>
      <c r="C49" s="168">
        <f>'Program Budget'!H234</f>
        <v>150</v>
      </c>
      <c r="D49" s="169">
        <f>'Program Budget'!G234</f>
        <v>1</v>
      </c>
      <c r="E49" s="170">
        <v>1</v>
      </c>
      <c r="F49" s="823">
        <f>C49*D49*E49</f>
        <v>150</v>
      </c>
      <c r="G49" s="168">
        <f>C49*1.05</f>
        <v>157.5</v>
      </c>
      <c r="H49" s="169">
        <f>'Program Budget'!K234</f>
        <v>2</v>
      </c>
      <c r="I49" s="170">
        <v>1</v>
      </c>
      <c r="J49" s="823">
        <f>G49*H49*I49</f>
        <v>315</v>
      </c>
      <c r="K49" s="168">
        <f>G49*1.05</f>
        <v>165.375</v>
      </c>
      <c r="L49" s="169">
        <f>'Program Budget'!N234</f>
        <v>2</v>
      </c>
      <c r="M49" s="170">
        <v>1</v>
      </c>
      <c r="N49" s="823">
        <f>K49*L49*M49</f>
        <v>330.75</v>
      </c>
      <c r="O49" s="168">
        <f>K49*1.05</f>
        <v>173.64375000000001</v>
      </c>
      <c r="P49" s="169">
        <f>'Program Budget'!Q234</f>
        <v>1</v>
      </c>
      <c r="Q49" s="170">
        <v>1</v>
      </c>
      <c r="R49" s="823">
        <f>O49*P49*Q49</f>
        <v>173.64375000000001</v>
      </c>
      <c r="S49" s="168">
        <f>O49*1.05</f>
        <v>182.32593750000001</v>
      </c>
      <c r="T49" s="169">
        <f>'Program Budget'!T234</f>
        <v>0</v>
      </c>
      <c r="U49" s="170">
        <v>0</v>
      </c>
      <c r="V49" s="823">
        <f>S49*T49*U49</f>
        <v>0</v>
      </c>
      <c r="W49" s="838">
        <f>F49+J49+N49+R49+V49</f>
        <v>969.39374999999995</v>
      </c>
      <c r="X49" s="173"/>
      <c r="Y49" s="161"/>
      <c r="Z49" s="174"/>
      <c r="AA49" s="174"/>
    </row>
    <row r="50" spans="1:27" s="213" customFormat="1" ht="15.6" outlineLevel="1">
      <c r="A50" s="163" t="s">
        <v>90</v>
      </c>
      <c r="B50" s="181"/>
      <c r="C50" s="138"/>
      <c r="D50" s="139"/>
      <c r="E50" s="140"/>
      <c r="F50" s="823"/>
      <c r="G50" s="168"/>
      <c r="H50" s="139"/>
      <c r="I50" s="140"/>
      <c r="J50" s="823"/>
      <c r="K50" s="168"/>
      <c r="L50" s="139"/>
      <c r="M50" s="140"/>
      <c r="N50" s="823"/>
      <c r="O50" s="168"/>
      <c r="P50" s="139"/>
      <c r="Q50" s="140"/>
      <c r="R50" s="823"/>
      <c r="S50" s="168"/>
      <c r="T50" s="139"/>
      <c r="U50" s="140"/>
      <c r="V50" s="823"/>
      <c r="W50" s="839"/>
      <c r="X50" s="137"/>
      <c r="Y50" s="137"/>
      <c r="Z50" s="137"/>
      <c r="AA50" s="137"/>
    </row>
    <row r="51" spans="1:27" ht="15" customHeight="1" outlineLevel="1">
      <c r="A51" s="166" t="str">
        <f>'Program Budget'!D225</f>
        <v>Vehicle Fuel Expense (for Field Office Vehicle)</v>
      </c>
      <c r="B51" s="167" t="str">
        <f>'Program Budget'!F225</f>
        <v>Month</v>
      </c>
      <c r="C51" s="168">
        <f>'Program Budget'!H225</f>
        <v>60</v>
      </c>
      <c r="D51" s="169">
        <f>'Program Budget'!G225</f>
        <v>3</v>
      </c>
      <c r="E51" s="170">
        <v>1</v>
      </c>
      <c r="F51" s="823">
        <f t="shared" ref="F51:F57" si="50">C51*D51*E51</f>
        <v>180</v>
      </c>
      <c r="G51" s="168">
        <f>C51*1.05</f>
        <v>63</v>
      </c>
      <c r="H51" s="169">
        <f>'Program Budget'!K225</f>
        <v>12</v>
      </c>
      <c r="I51" s="170">
        <v>1</v>
      </c>
      <c r="J51" s="823">
        <f t="shared" ref="J51:J57" si="51">G51*H51*I51</f>
        <v>756</v>
      </c>
      <c r="K51" s="168">
        <f>G51*1.05</f>
        <v>66.150000000000006</v>
      </c>
      <c r="L51" s="169">
        <f>'Program Budget'!N225</f>
        <v>12</v>
      </c>
      <c r="M51" s="170">
        <v>1</v>
      </c>
      <c r="N51" s="823">
        <f t="shared" ref="N51:N57" si="52">K51*L51*M51</f>
        <v>793.80000000000007</v>
      </c>
      <c r="O51" s="168">
        <f>K51*1.05</f>
        <v>69.45750000000001</v>
      </c>
      <c r="P51" s="169">
        <f>'Program Budget'!Q225</f>
        <v>12</v>
      </c>
      <c r="Q51" s="170">
        <v>1</v>
      </c>
      <c r="R51" s="823">
        <f t="shared" ref="R51:R57" si="53">O51*P51*Q51</f>
        <v>833.49000000000012</v>
      </c>
      <c r="S51" s="168">
        <f>O51*1.05</f>
        <v>72.930375000000012</v>
      </c>
      <c r="T51" s="169">
        <f>'Program Budget'!T225</f>
        <v>0</v>
      </c>
      <c r="U51" s="170">
        <v>0</v>
      </c>
      <c r="V51" s="823">
        <f>S51*T51*U51</f>
        <v>0</v>
      </c>
      <c r="W51" s="839">
        <f>F51+J51+N51+R51+V51</f>
        <v>2563.2900000000004</v>
      </c>
      <c r="X51" s="173"/>
      <c r="Y51" s="161"/>
      <c r="Z51" s="174"/>
      <c r="AA51" s="174"/>
    </row>
    <row r="52" spans="1:27" s="213" customFormat="1" ht="15.6" outlineLevel="1">
      <c r="A52" s="163" t="s">
        <v>91</v>
      </c>
      <c r="B52" s="181"/>
      <c r="C52" s="138"/>
      <c r="D52" s="139"/>
      <c r="E52" s="140"/>
      <c r="F52" s="823">
        <f t="shared" si="50"/>
        <v>0</v>
      </c>
      <c r="G52" s="168"/>
      <c r="H52" s="139"/>
      <c r="I52" s="140"/>
      <c r="J52" s="823">
        <f t="shared" si="51"/>
        <v>0</v>
      </c>
      <c r="K52" s="168"/>
      <c r="L52" s="139"/>
      <c r="M52" s="140"/>
      <c r="N52" s="823">
        <f t="shared" si="52"/>
        <v>0</v>
      </c>
      <c r="O52" s="168"/>
      <c r="P52" s="139"/>
      <c r="Q52" s="140"/>
      <c r="R52" s="823">
        <f t="shared" si="53"/>
        <v>0</v>
      </c>
      <c r="S52" s="168"/>
      <c r="T52" s="139"/>
      <c r="U52" s="140"/>
      <c r="V52" s="823"/>
      <c r="W52" s="839"/>
      <c r="X52" s="137"/>
      <c r="Y52" s="137"/>
      <c r="Z52" s="137"/>
      <c r="AA52" s="137"/>
    </row>
    <row r="53" spans="1:27" ht="15" customHeight="1" outlineLevel="1">
      <c r="A53" s="166" t="str">
        <f>'Program Budget'!D229</f>
        <v>Lodging and M&amp;IE for Trainings on Activity 2</v>
      </c>
      <c r="B53" s="167" t="str">
        <f>'Program Budget'!F229</f>
        <v>Day</v>
      </c>
      <c r="C53" s="168">
        <f>'Program Budget'!H229</f>
        <v>145.5</v>
      </c>
      <c r="D53" s="169">
        <f>'Program Budget'!G229</f>
        <v>36</v>
      </c>
      <c r="E53" s="170">
        <v>1</v>
      </c>
      <c r="F53" s="823">
        <f t="shared" si="50"/>
        <v>5238</v>
      </c>
      <c r="G53" s="168">
        <f t="shared" ref="G53:G57" si="54">C53*1.05</f>
        <v>152.77500000000001</v>
      </c>
      <c r="H53" s="169">
        <f>'Program Budget'!K229</f>
        <v>72</v>
      </c>
      <c r="I53" s="170">
        <v>1</v>
      </c>
      <c r="J53" s="823">
        <f t="shared" si="51"/>
        <v>10999.800000000001</v>
      </c>
      <c r="K53" s="168">
        <f t="shared" ref="K53:K57" si="55">G53*1.05</f>
        <v>160.41375000000002</v>
      </c>
      <c r="L53" s="169">
        <f>'Program Budget'!N229</f>
        <v>72</v>
      </c>
      <c r="M53" s="170">
        <v>1</v>
      </c>
      <c r="N53" s="823">
        <f t="shared" si="52"/>
        <v>11549.79</v>
      </c>
      <c r="O53" s="168">
        <f t="shared" ref="O53:O57" si="56">K53*1.05</f>
        <v>168.43443750000003</v>
      </c>
      <c r="P53" s="169">
        <f>'Program Budget'!Q229</f>
        <v>72</v>
      </c>
      <c r="Q53" s="170">
        <v>1</v>
      </c>
      <c r="R53" s="823">
        <f t="shared" si="53"/>
        <v>12127.279500000002</v>
      </c>
      <c r="S53" s="168">
        <f t="shared" ref="S53:S57" si="57">O53*1.05</f>
        <v>176.85615937500003</v>
      </c>
      <c r="T53" s="169">
        <f>'Program Budget'!T229</f>
        <v>0</v>
      </c>
      <c r="U53" s="170">
        <v>0</v>
      </c>
      <c r="V53" s="823">
        <f t="shared" ref="V53:V57" si="58">S53*T53*U53</f>
        <v>0</v>
      </c>
      <c r="W53" s="839">
        <f t="shared" ref="W53:W57" si="59">F53+J53+N53+R53+V53</f>
        <v>39914.869500000008</v>
      </c>
      <c r="X53" s="173"/>
      <c r="Y53" s="161"/>
      <c r="Z53" s="174"/>
      <c r="AA53" s="174"/>
    </row>
    <row r="54" spans="1:27" ht="15" customHeight="1" outlineLevel="1">
      <c r="A54" s="166" t="str">
        <f>'Program Budget'!D231</f>
        <v>Lodging and M&amp;IE - Buyer Conferences for American Farmers, Ranchers and Agricultural Professionals - 50% of Cost</v>
      </c>
      <c r="B54" s="167" t="str">
        <f>'Program Budget'!F231</f>
        <v>Day</v>
      </c>
      <c r="C54" s="168">
        <f>'Program Budget'!H231</f>
        <v>155.25</v>
      </c>
      <c r="D54" s="169">
        <f>'Program Budget'!G231</f>
        <v>0</v>
      </c>
      <c r="E54" s="170">
        <v>1</v>
      </c>
      <c r="F54" s="823">
        <f t="shared" si="50"/>
        <v>0</v>
      </c>
      <c r="G54" s="168">
        <f t="shared" si="54"/>
        <v>163.01250000000002</v>
      </c>
      <c r="H54" s="169">
        <f>'Program Budget'!K231</f>
        <v>70</v>
      </c>
      <c r="I54" s="170">
        <v>1</v>
      </c>
      <c r="J54" s="823">
        <f t="shared" si="51"/>
        <v>11410.875000000002</v>
      </c>
      <c r="K54" s="168">
        <f t="shared" si="55"/>
        <v>171.16312500000004</v>
      </c>
      <c r="L54" s="169">
        <f>'Program Budget'!N231</f>
        <v>70</v>
      </c>
      <c r="M54" s="170">
        <v>1</v>
      </c>
      <c r="N54" s="823">
        <f t="shared" si="52"/>
        <v>11981.418750000003</v>
      </c>
      <c r="O54" s="168">
        <f t="shared" si="56"/>
        <v>179.72128125000003</v>
      </c>
      <c r="P54" s="169">
        <f>'Program Budget'!Q231</f>
        <v>0</v>
      </c>
      <c r="Q54" s="170">
        <v>1</v>
      </c>
      <c r="R54" s="823">
        <f t="shared" si="53"/>
        <v>0</v>
      </c>
      <c r="S54" s="168">
        <f t="shared" si="57"/>
        <v>188.70734531250005</v>
      </c>
      <c r="T54" s="169">
        <f>'Program Budget'!T231</f>
        <v>0</v>
      </c>
      <c r="U54" s="170">
        <v>0</v>
      </c>
      <c r="V54" s="823">
        <f t="shared" si="58"/>
        <v>0</v>
      </c>
      <c r="W54" s="839">
        <f t="shared" si="59"/>
        <v>23392.293750000004</v>
      </c>
      <c r="X54" s="173"/>
      <c r="Y54" s="161"/>
      <c r="Z54" s="174"/>
      <c r="AA54" s="174"/>
    </row>
    <row r="55" spans="1:27" ht="15" customHeight="1" outlineLevel="1">
      <c r="A55" s="166" t="str">
        <f>'Program Budget'!D233</f>
        <v>Lodging and M&amp;IE - Trade Finance &amp; Export Consultant</v>
      </c>
      <c r="B55" s="167" t="str">
        <f>'Program Budget'!F233</f>
        <v>Day</v>
      </c>
      <c r="C55" s="168">
        <f>'Program Budget'!H233</f>
        <v>310.5</v>
      </c>
      <c r="D55" s="169">
        <f>'Program Budget'!G233</f>
        <v>7</v>
      </c>
      <c r="E55" s="170">
        <v>1</v>
      </c>
      <c r="F55" s="823">
        <f t="shared" si="50"/>
        <v>2173.5</v>
      </c>
      <c r="G55" s="168">
        <f t="shared" si="54"/>
        <v>326.02500000000003</v>
      </c>
      <c r="H55" s="169">
        <f>'Program Budget'!K233</f>
        <v>14</v>
      </c>
      <c r="I55" s="170">
        <v>1</v>
      </c>
      <c r="J55" s="823">
        <f t="shared" si="51"/>
        <v>4564.3500000000004</v>
      </c>
      <c r="K55" s="168">
        <f t="shared" si="55"/>
        <v>342.32625000000007</v>
      </c>
      <c r="L55" s="169">
        <f>'Program Budget'!N233</f>
        <v>14</v>
      </c>
      <c r="M55" s="170">
        <v>1</v>
      </c>
      <c r="N55" s="823">
        <f t="shared" si="52"/>
        <v>4792.567500000001</v>
      </c>
      <c r="O55" s="168">
        <f t="shared" si="56"/>
        <v>359.44256250000007</v>
      </c>
      <c r="P55" s="169">
        <f>'Program Budget'!Q233</f>
        <v>7</v>
      </c>
      <c r="Q55" s="170">
        <v>1</v>
      </c>
      <c r="R55" s="823">
        <f t="shared" si="53"/>
        <v>2516.0979375000006</v>
      </c>
      <c r="S55" s="168">
        <f t="shared" si="57"/>
        <v>377.41469062500011</v>
      </c>
      <c r="T55" s="169">
        <f>'Program Budget'!T233</f>
        <v>0</v>
      </c>
      <c r="U55" s="170">
        <v>0</v>
      </c>
      <c r="V55" s="823">
        <f t="shared" si="58"/>
        <v>0</v>
      </c>
      <c r="W55" s="839">
        <f t="shared" si="59"/>
        <v>14046.515437500002</v>
      </c>
      <c r="X55" s="173"/>
      <c r="Y55" s="161"/>
      <c r="Z55" s="174"/>
      <c r="AA55" s="174"/>
    </row>
    <row r="56" spans="1:27" ht="15" customHeight="1" outlineLevel="1">
      <c r="A56" s="166" t="str">
        <f>'Program Budget'!D235</f>
        <v>Other Travel Related Expenses &amp; Visa – Trade Finance &amp; Export Consultant</v>
      </c>
      <c r="B56" s="167" t="str">
        <f>'Program Budget'!F235</f>
        <v>Trip</v>
      </c>
      <c r="C56" s="168">
        <f>'Program Budget'!H235</f>
        <v>150</v>
      </c>
      <c r="D56" s="169">
        <f>'Program Budget'!G235</f>
        <v>1</v>
      </c>
      <c r="E56" s="170">
        <v>1</v>
      </c>
      <c r="F56" s="823">
        <f t="shared" si="50"/>
        <v>150</v>
      </c>
      <c r="G56" s="168">
        <f t="shared" si="54"/>
        <v>157.5</v>
      </c>
      <c r="H56" s="169">
        <f>'Program Budget'!K235</f>
        <v>2</v>
      </c>
      <c r="I56" s="170">
        <v>1</v>
      </c>
      <c r="J56" s="823">
        <f t="shared" si="51"/>
        <v>315</v>
      </c>
      <c r="K56" s="168">
        <f t="shared" si="55"/>
        <v>165.375</v>
      </c>
      <c r="L56" s="169">
        <f>'Program Budget'!N235</f>
        <v>2</v>
      </c>
      <c r="M56" s="170">
        <v>1</v>
      </c>
      <c r="N56" s="823">
        <f t="shared" si="52"/>
        <v>330.75</v>
      </c>
      <c r="O56" s="168">
        <f t="shared" si="56"/>
        <v>173.64375000000001</v>
      </c>
      <c r="P56" s="169">
        <f>'Program Budget'!Q235</f>
        <v>1</v>
      </c>
      <c r="Q56" s="170">
        <v>1</v>
      </c>
      <c r="R56" s="823">
        <f t="shared" si="53"/>
        <v>173.64375000000001</v>
      </c>
      <c r="S56" s="168">
        <f t="shared" si="57"/>
        <v>182.32593750000001</v>
      </c>
      <c r="T56" s="169">
        <f>'Program Budget'!T235</f>
        <v>0</v>
      </c>
      <c r="U56" s="170">
        <v>0</v>
      </c>
      <c r="V56" s="823">
        <f t="shared" si="58"/>
        <v>0</v>
      </c>
      <c r="W56" s="839">
        <f t="shared" si="59"/>
        <v>969.39374999999995</v>
      </c>
      <c r="X56" s="173"/>
      <c r="Y56" s="161"/>
      <c r="Z56" s="174"/>
      <c r="AA56" s="174"/>
    </row>
    <row r="57" spans="1:27" ht="15" customHeight="1" outlineLevel="1">
      <c r="A57" s="166" t="str">
        <f>'Program Budget'!D236</f>
        <v>Visa Cost - Trade Finance &amp; Expert Consultant</v>
      </c>
      <c r="B57" s="167" t="str">
        <f>'Program Budget'!F236</f>
        <v>Trip</v>
      </c>
      <c r="C57" s="168">
        <f>'Program Budget'!H236</f>
        <v>160</v>
      </c>
      <c r="D57" s="169">
        <f>'Program Budget'!G236</f>
        <v>1</v>
      </c>
      <c r="E57" s="170">
        <v>1</v>
      </c>
      <c r="F57" s="823">
        <f t="shared" si="50"/>
        <v>160</v>
      </c>
      <c r="G57" s="168">
        <f t="shared" si="54"/>
        <v>168</v>
      </c>
      <c r="H57" s="169">
        <f>'Program Budget'!K236</f>
        <v>2</v>
      </c>
      <c r="I57" s="170">
        <v>1</v>
      </c>
      <c r="J57" s="823">
        <f t="shared" si="51"/>
        <v>336</v>
      </c>
      <c r="K57" s="168">
        <f t="shared" si="55"/>
        <v>176.4</v>
      </c>
      <c r="L57" s="169">
        <f>'Program Budget'!N236</f>
        <v>2</v>
      </c>
      <c r="M57" s="170">
        <v>1</v>
      </c>
      <c r="N57" s="823">
        <f t="shared" si="52"/>
        <v>352.8</v>
      </c>
      <c r="O57" s="168">
        <f t="shared" si="56"/>
        <v>185.22000000000003</v>
      </c>
      <c r="P57" s="169">
        <f>'Program Budget'!Q236</f>
        <v>1</v>
      </c>
      <c r="Q57" s="170">
        <v>1</v>
      </c>
      <c r="R57" s="823">
        <f t="shared" si="53"/>
        <v>185.22000000000003</v>
      </c>
      <c r="S57" s="168">
        <f t="shared" si="57"/>
        <v>194.48100000000002</v>
      </c>
      <c r="T57" s="169">
        <f>'Program Budget'!T236</f>
        <v>0</v>
      </c>
      <c r="U57" s="170">
        <v>0</v>
      </c>
      <c r="V57" s="823">
        <f t="shared" si="58"/>
        <v>0</v>
      </c>
      <c r="W57" s="839">
        <f t="shared" si="59"/>
        <v>1034.02</v>
      </c>
      <c r="X57" s="173"/>
      <c r="Y57" s="161"/>
      <c r="Z57" s="174"/>
      <c r="AA57" s="174"/>
    </row>
    <row r="58" spans="1:27" outlineLevel="1">
      <c r="A58" s="269"/>
      <c r="B58" s="181"/>
      <c r="F58" s="823"/>
      <c r="J58" s="823"/>
      <c r="N58" s="823"/>
      <c r="R58" s="823"/>
      <c r="V58" s="823"/>
      <c r="W58" s="838"/>
    </row>
    <row r="59" spans="1:27" ht="18.3">
      <c r="A59" s="214" t="s">
        <v>92</v>
      </c>
      <c r="B59" s="188"/>
      <c r="C59" s="189"/>
      <c r="D59" s="215"/>
      <c r="E59" s="216"/>
      <c r="F59" s="826">
        <f>SUM(F42:F58)</f>
        <v>15011.5</v>
      </c>
      <c r="G59" s="189"/>
      <c r="H59" s="215"/>
      <c r="I59" s="192"/>
      <c r="J59" s="826">
        <f>SUM(J42:J58)</f>
        <v>52763.025000000001</v>
      </c>
      <c r="K59" s="189"/>
      <c r="L59" s="215"/>
      <c r="M59" s="216"/>
      <c r="N59" s="826">
        <f>SUM(N42:N58)</f>
        <v>55401.176250000004</v>
      </c>
      <c r="O59" s="189"/>
      <c r="P59" s="215"/>
      <c r="Q59" s="192"/>
      <c r="R59" s="826">
        <f>SUM(R42:R58)</f>
        <v>30039.789937500002</v>
      </c>
      <c r="S59" s="189"/>
      <c r="T59" s="215"/>
      <c r="U59" s="192"/>
      <c r="V59" s="826">
        <f>SUM(V42:V58)</f>
        <v>0</v>
      </c>
      <c r="W59" s="826">
        <f>SUM(W42:W58)</f>
        <v>153215.49118749998</v>
      </c>
      <c r="X59" s="143"/>
      <c r="Y59" s="143"/>
      <c r="Z59" s="143"/>
      <c r="AA59" s="143"/>
    </row>
    <row r="60" spans="1:27" ht="15.6" outlineLevel="1">
      <c r="A60" s="163" t="s">
        <v>30</v>
      </c>
      <c r="B60" s="217"/>
      <c r="D60" s="218"/>
      <c r="E60" s="219"/>
      <c r="F60" s="828"/>
      <c r="H60" s="218"/>
      <c r="I60" s="220"/>
      <c r="J60" s="839"/>
      <c r="L60" s="218"/>
      <c r="M60" s="219"/>
      <c r="N60" s="839"/>
      <c r="P60" s="218"/>
      <c r="Q60" s="220"/>
      <c r="R60" s="839"/>
      <c r="T60" s="218"/>
      <c r="U60" s="220"/>
      <c r="V60" s="839"/>
      <c r="W60" s="838"/>
    </row>
    <row r="61" spans="1:27" ht="15.6" outlineLevel="1">
      <c r="A61" s="221" t="str">
        <f>'Program Budget'!D215</f>
        <v>Contracts for Trade Finance Capacity Building for American Producers and Cooperators (Nigerian)</v>
      </c>
      <c r="B61" s="167" t="str">
        <f>'Program Budget'!F215</f>
        <v>Lumpsum</v>
      </c>
      <c r="C61" s="168">
        <f>'Program Budget'!H215</f>
        <v>67000</v>
      </c>
      <c r="D61" s="169">
        <f>'Program Budget'!G215</f>
        <v>0.5</v>
      </c>
      <c r="E61" s="170">
        <v>1</v>
      </c>
      <c r="F61" s="823">
        <f>C61*D61*E61</f>
        <v>33500</v>
      </c>
      <c r="G61" s="168">
        <f>C61</f>
        <v>67000</v>
      </c>
      <c r="H61" s="169">
        <f>'Program Budget'!K215</f>
        <v>1</v>
      </c>
      <c r="I61" s="170">
        <v>1</v>
      </c>
      <c r="J61" s="823">
        <f>G61*H61*I61</f>
        <v>67000</v>
      </c>
      <c r="K61" s="168">
        <f>G61</f>
        <v>67000</v>
      </c>
      <c r="L61" s="169">
        <f>'Program Budget'!N215</f>
        <v>1</v>
      </c>
      <c r="M61" s="170">
        <v>1</v>
      </c>
      <c r="N61" s="823">
        <f>K61*L61*M61</f>
        <v>67000</v>
      </c>
      <c r="O61" s="168">
        <f>K61</f>
        <v>67000</v>
      </c>
      <c r="P61" s="169">
        <f>'Program Budget'!Q215</f>
        <v>0.5</v>
      </c>
      <c r="Q61" s="170">
        <v>1</v>
      </c>
      <c r="R61" s="823">
        <f>O61*P61*Q61</f>
        <v>33500</v>
      </c>
      <c r="S61" s="168">
        <f>O61</f>
        <v>67000</v>
      </c>
      <c r="T61" s="169">
        <f>'Program Budget'!T215</f>
        <v>0</v>
      </c>
      <c r="U61" s="170">
        <v>0</v>
      </c>
      <c r="V61" s="823">
        <f>S61*T61*U61</f>
        <v>0</v>
      </c>
      <c r="W61" s="838">
        <f>F61+J61+N61+R61+V61</f>
        <v>201000</v>
      </c>
    </row>
    <row r="62" spans="1:27" ht="15.6" outlineLevel="1">
      <c r="A62" s="221" t="str">
        <f>'Program Budget'!D216</f>
        <v>Expert Consultant on Trade Finance &amp; Exports (US based)</v>
      </c>
      <c r="B62" s="167" t="str">
        <f>'Program Budget'!F216</f>
        <v>Day</v>
      </c>
      <c r="C62" s="168">
        <f>'Program Budget'!H216</f>
        <v>620</v>
      </c>
      <c r="D62" s="169">
        <f>'Program Budget'!G216</f>
        <v>40</v>
      </c>
      <c r="E62" s="170">
        <v>1</v>
      </c>
      <c r="F62" s="823">
        <f>C62*D62*E62</f>
        <v>24800</v>
      </c>
      <c r="G62" s="168">
        <f>C62</f>
        <v>620</v>
      </c>
      <c r="H62" s="169">
        <f>'Program Budget'!K216</f>
        <v>45</v>
      </c>
      <c r="I62" s="170">
        <v>1</v>
      </c>
      <c r="J62" s="823">
        <f>G62*H62*I62</f>
        <v>27900</v>
      </c>
      <c r="K62" s="168">
        <f>G62</f>
        <v>620</v>
      </c>
      <c r="L62" s="169">
        <f>'Program Budget'!N216</f>
        <v>45</v>
      </c>
      <c r="M62" s="170">
        <v>1</v>
      </c>
      <c r="N62" s="823">
        <f>K62*L62*M62</f>
        <v>27900</v>
      </c>
      <c r="O62" s="168">
        <f>K62</f>
        <v>620</v>
      </c>
      <c r="P62" s="169">
        <f>'Program Budget'!Q216</f>
        <v>37</v>
      </c>
      <c r="Q62" s="170">
        <v>1</v>
      </c>
      <c r="R62" s="823">
        <f>O62*P62*Q62</f>
        <v>22940</v>
      </c>
      <c r="S62" s="168">
        <f>O62</f>
        <v>620</v>
      </c>
      <c r="T62" s="169">
        <f>'Program Budget'!T216</f>
        <v>0</v>
      </c>
      <c r="U62" s="170">
        <v>0</v>
      </c>
      <c r="V62" s="823">
        <f>S62*T62*U62</f>
        <v>0</v>
      </c>
      <c r="W62" s="838">
        <f>F62+J62+N62+R62+V62</f>
        <v>103540</v>
      </c>
    </row>
    <row r="63" spans="1:27" ht="15.6" outlineLevel="1">
      <c r="A63" s="221" t="str">
        <f>'Program Budget'!D217</f>
        <v>Security Services, Risk Assessments, &amp; Security Assessment</v>
      </c>
      <c r="B63" s="167" t="str">
        <f>'Program Budget'!F217</f>
        <v>Year</v>
      </c>
      <c r="C63" s="168">
        <f>'Program Budget'!H217</f>
        <v>2000</v>
      </c>
      <c r="D63" s="169">
        <f>'Program Budget'!G217</f>
        <v>1</v>
      </c>
      <c r="E63" s="170">
        <v>1</v>
      </c>
      <c r="F63" s="823">
        <f t="shared" ref="F63" si="60">C63*D63*E63</f>
        <v>2000</v>
      </c>
      <c r="G63" s="168">
        <f t="shared" ref="G63" si="61">C63</f>
        <v>2000</v>
      </c>
      <c r="H63" s="169">
        <f>'Program Budget'!K217</f>
        <v>1</v>
      </c>
      <c r="I63" s="170">
        <v>1</v>
      </c>
      <c r="J63" s="823">
        <f t="shared" ref="J63" si="62">G63*H63*I63</f>
        <v>2000</v>
      </c>
      <c r="K63" s="168">
        <f t="shared" ref="K63" si="63">G63</f>
        <v>2000</v>
      </c>
      <c r="L63" s="169">
        <f>'Program Budget'!N217</f>
        <v>1</v>
      </c>
      <c r="M63" s="170">
        <v>1</v>
      </c>
      <c r="N63" s="823">
        <f t="shared" ref="N63" si="64">K63*L63*M63</f>
        <v>2000</v>
      </c>
      <c r="O63" s="168">
        <f t="shared" ref="O63" si="65">K63</f>
        <v>2000</v>
      </c>
      <c r="P63" s="169">
        <f>'Program Budget'!Q217</f>
        <v>1</v>
      </c>
      <c r="Q63" s="170">
        <v>1</v>
      </c>
      <c r="R63" s="823">
        <f t="shared" ref="R63" si="66">O63*P63*Q63</f>
        <v>2000</v>
      </c>
      <c r="S63" s="168">
        <f t="shared" ref="S63" si="67">O63</f>
        <v>2000</v>
      </c>
      <c r="T63" s="169">
        <f>'Program Budget'!T217</f>
        <v>0</v>
      </c>
      <c r="U63" s="170">
        <v>0</v>
      </c>
      <c r="V63" s="823">
        <f t="shared" ref="V63" si="68">S63*T63*U63</f>
        <v>0</v>
      </c>
      <c r="W63" s="838">
        <f t="shared" ref="W63" si="69">F63+J63+N63+R63+V63</f>
        <v>8000</v>
      </c>
    </row>
    <row r="64" spans="1:27" ht="15.6" outlineLevel="1">
      <c r="A64" s="221"/>
      <c r="B64" s="167"/>
      <c r="C64" s="168"/>
      <c r="D64" s="169"/>
      <c r="E64" s="170"/>
      <c r="F64" s="823"/>
      <c r="G64" s="168"/>
      <c r="H64" s="169"/>
      <c r="I64" s="170"/>
      <c r="J64" s="823"/>
      <c r="K64" s="168"/>
      <c r="L64" s="169"/>
      <c r="M64" s="170"/>
      <c r="N64" s="823"/>
      <c r="O64" s="168"/>
      <c r="P64" s="169"/>
      <c r="Q64" s="170"/>
      <c r="R64" s="823"/>
      <c r="S64" s="168"/>
      <c r="T64" s="169"/>
      <c r="U64" s="170"/>
      <c r="V64" s="823"/>
      <c r="W64" s="838"/>
    </row>
    <row r="65" spans="1:23" ht="18.3" outlineLevel="1">
      <c r="A65" s="214" t="s">
        <v>93</v>
      </c>
      <c r="B65" s="188"/>
      <c r="C65" s="189"/>
      <c r="D65" s="215"/>
      <c r="E65" s="216"/>
      <c r="F65" s="826">
        <f>SUM(F61:F64)</f>
        <v>60300</v>
      </c>
      <c r="G65" s="189"/>
      <c r="H65" s="215"/>
      <c r="I65" s="192"/>
      <c r="J65" s="826">
        <f>SUM(J61:J64)</f>
        <v>96900</v>
      </c>
      <c r="K65" s="189"/>
      <c r="L65" s="215"/>
      <c r="M65" s="216"/>
      <c r="N65" s="826">
        <f>SUM(N61:N64)</f>
        <v>96900</v>
      </c>
      <c r="O65" s="189"/>
      <c r="P65" s="215"/>
      <c r="Q65" s="192"/>
      <c r="R65" s="826">
        <f>SUM(R61:R64)</f>
        <v>58440</v>
      </c>
      <c r="S65" s="189"/>
      <c r="T65" s="215"/>
      <c r="U65" s="192"/>
      <c r="V65" s="826">
        <f>SUM(V61:V64)</f>
        <v>0</v>
      </c>
      <c r="W65" s="826">
        <f>SUM(W61:W64)</f>
        <v>312540</v>
      </c>
    </row>
    <row r="66" spans="1:23" ht="15.6" outlineLevel="1">
      <c r="A66" s="163" t="s">
        <v>94</v>
      </c>
      <c r="B66" s="224"/>
      <c r="D66" s="218"/>
      <c r="F66" s="823"/>
      <c r="H66" s="218"/>
      <c r="J66" s="838"/>
      <c r="L66" s="218"/>
      <c r="N66" s="838"/>
      <c r="P66" s="218"/>
      <c r="R66" s="838"/>
      <c r="T66" s="218"/>
      <c r="V66" s="838"/>
      <c r="W66" s="838"/>
    </row>
    <row r="67" spans="1:23" outlineLevel="1">
      <c r="A67" s="166" t="s">
        <v>75</v>
      </c>
      <c r="B67" s="181"/>
      <c r="D67" s="225"/>
      <c r="F67" s="823">
        <f>C67*D67*E67</f>
        <v>0</v>
      </c>
      <c r="H67" s="225"/>
      <c r="I67" s="140"/>
      <c r="J67" s="823">
        <f t="shared" ref="J67" si="70">G67*H67*I67</f>
        <v>0</v>
      </c>
      <c r="L67" s="225"/>
      <c r="N67" s="823">
        <f t="shared" ref="N67" si="71">K67*L67*M67</f>
        <v>0</v>
      </c>
      <c r="P67" s="225"/>
      <c r="Q67" s="140"/>
      <c r="R67" s="823">
        <f t="shared" ref="R67" si="72">O67*P67*Q67</f>
        <v>0</v>
      </c>
      <c r="T67" s="225"/>
      <c r="U67" s="140"/>
      <c r="V67" s="823">
        <f t="shared" ref="V67" si="73">S67*T67*U67</f>
        <v>0</v>
      </c>
      <c r="W67" s="838">
        <f t="shared" ref="W67" si="74">F67+J67+N67+R67+V67</f>
        <v>0</v>
      </c>
    </row>
    <row r="68" spans="1:23" ht="18.3" outlineLevel="1">
      <c r="A68" s="214" t="s">
        <v>95</v>
      </c>
      <c r="B68" s="188"/>
      <c r="C68" s="189"/>
      <c r="D68" s="215"/>
      <c r="E68" s="216"/>
      <c r="F68" s="826">
        <f>SUM(F67:F67)</f>
        <v>0</v>
      </c>
      <c r="G68" s="189"/>
      <c r="H68" s="215"/>
      <c r="I68" s="192"/>
      <c r="J68" s="826">
        <f>SUM(J67:J67)</f>
        <v>0</v>
      </c>
      <c r="K68" s="189"/>
      <c r="L68" s="215"/>
      <c r="M68" s="216"/>
      <c r="N68" s="826">
        <f>SUM(N67:N67)</f>
        <v>0</v>
      </c>
      <c r="O68" s="189"/>
      <c r="P68" s="215"/>
      <c r="Q68" s="192"/>
      <c r="R68" s="826">
        <f>SUM(R67:R67)</f>
        <v>0</v>
      </c>
      <c r="S68" s="189"/>
      <c r="T68" s="215"/>
      <c r="U68" s="192"/>
      <c r="V68" s="826">
        <f>SUM(V67:V67)</f>
        <v>0</v>
      </c>
      <c r="W68" s="846">
        <f>+F68+J68+N68+R68+V68</f>
        <v>0</v>
      </c>
    </row>
    <row r="69" spans="1:23" ht="15.6" outlineLevel="1">
      <c r="A69" s="163" t="s">
        <v>32</v>
      </c>
      <c r="B69" s="181"/>
      <c r="D69" s="218"/>
      <c r="F69" s="823"/>
      <c r="H69" s="218"/>
      <c r="I69" s="140"/>
      <c r="J69" s="823"/>
      <c r="L69" s="218"/>
      <c r="N69" s="823"/>
      <c r="P69" s="218"/>
      <c r="Q69" s="140"/>
      <c r="R69" s="823"/>
      <c r="T69" s="218"/>
      <c r="U69" s="140"/>
      <c r="V69" s="823"/>
      <c r="W69" s="838"/>
    </row>
    <row r="70" spans="1:23" outlineLevel="1">
      <c r="A70" s="166" t="s">
        <v>75</v>
      </c>
      <c r="B70" s="181"/>
      <c r="D70" s="225"/>
      <c r="F70" s="823">
        <f>C70*D70*E70</f>
        <v>0</v>
      </c>
      <c r="H70" s="225"/>
      <c r="I70" s="140"/>
      <c r="J70" s="823">
        <f t="shared" ref="J70" si="75">G70*H70*I70</f>
        <v>0</v>
      </c>
      <c r="L70" s="225"/>
      <c r="N70" s="823">
        <f t="shared" ref="N70" si="76">K70*L70*M70</f>
        <v>0</v>
      </c>
      <c r="P70" s="225"/>
      <c r="Q70" s="140"/>
      <c r="R70" s="823">
        <f t="shared" ref="R70" si="77">O70*P70*Q70</f>
        <v>0</v>
      </c>
      <c r="T70" s="225"/>
      <c r="U70" s="140"/>
      <c r="V70" s="823">
        <f t="shared" ref="V70" si="78">S70*T70*U70</f>
        <v>0</v>
      </c>
      <c r="W70" s="838">
        <f t="shared" ref="W70" si="79">F70+J70+N70+R70+V70</f>
        <v>0</v>
      </c>
    </row>
    <row r="71" spans="1:23" ht="18.3" outlineLevel="1">
      <c r="A71" s="214" t="s">
        <v>98</v>
      </c>
      <c r="B71" s="188"/>
      <c r="C71" s="189"/>
      <c r="D71" s="215"/>
      <c r="E71" s="216"/>
      <c r="F71" s="826">
        <f>SUM(F67:F67)</f>
        <v>0</v>
      </c>
      <c r="G71" s="189"/>
      <c r="H71" s="215"/>
      <c r="I71" s="192"/>
      <c r="J71" s="826">
        <f>SUM(J67:J67)</f>
        <v>0</v>
      </c>
      <c r="K71" s="189"/>
      <c r="L71" s="215"/>
      <c r="M71" s="216"/>
      <c r="N71" s="826">
        <f>SUM(N67:N67)</f>
        <v>0</v>
      </c>
      <c r="O71" s="189"/>
      <c r="P71" s="215"/>
      <c r="Q71" s="192"/>
      <c r="R71" s="826">
        <f>SUM(R67:R67)</f>
        <v>0</v>
      </c>
      <c r="S71" s="189"/>
      <c r="T71" s="215"/>
      <c r="U71" s="192"/>
      <c r="V71" s="826">
        <f>SUM(V67:V67)</f>
        <v>0</v>
      </c>
      <c r="W71" s="846">
        <f>+F71+J71+N71+R71+V71</f>
        <v>0</v>
      </c>
    </row>
    <row r="72" spans="1:23" ht="15.6" outlineLevel="1">
      <c r="A72" s="163" t="s">
        <v>33</v>
      </c>
      <c r="B72" s="217"/>
      <c r="D72" s="218"/>
      <c r="E72" s="219"/>
      <c r="F72" s="828"/>
      <c r="H72" s="218"/>
      <c r="I72" s="220"/>
      <c r="J72" s="839"/>
      <c r="L72" s="218"/>
      <c r="M72" s="219"/>
      <c r="N72" s="839"/>
      <c r="P72" s="218"/>
      <c r="Q72" s="220"/>
      <c r="R72" s="839"/>
      <c r="T72" s="218"/>
      <c r="U72" s="220"/>
      <c r="V72" s="839"/>
      <c r="W72" s="838"/>
    </row>
    <row r="73" spans="1:23" ht="15.6" outlineLevel="1">
      <c r="A73" s="221" t="str">
        <f>'Program Budget'!D221</f>
        <v>Webinar Platform (Zoom) for Trainings</v>
      </c>
      <c r="B73" s="167" t="str">
        <f>'Program Budget'!F221</f>
        <v>Month</v>
      </c>
      <c r="C73" s="168">
        <f>'Program Budget'!H221</f>
        <v>340</v>
      </c>
      <c r="D73" s="169">
        <f>'Program Budget'!G221</f>
        <v>6</v>
      </c>
      <c r="E73" s="170">
        <v>1</v>
      </c>
      <c r="F73" s="823">
        <f t="shared" ref="F73" si="80">C73*D73*E73</f>
        <v>2040</v>
      </c>
      <c r="G73" s="168">
        <f>C73*1.05</f>
        <v>357</v>
      </c>
      <c r="H73" s="169">
        <f>'Program Budget'!K221</f>
        <v>12</v>
      </c>
      <c r="I73" s="170">
        <v>1</v>
      </c>
      <c r="J73" s="823">
        <f t="shared" ref="J73" si="81">G73*H73*I73</f>
        <v>4284</v>
      </c>
      <c r="K73" s="168">
        <f>G73*1.05</f>
        <v>374.85</v>
      </c>
      <c r="L73" s="169">
        <f>'Program Budget'!N221</f>
        <v>12</v>
      </c>
      <c r="M73" s="170">
        <v>1</v>
      </c>
      <c r="N73" s="823">
        <f t="shared" ref="N73" si="82">K73*L73*M73</f>
        <v>4498.2000000000007</v>
      </c>
      <c r="O73" s="168">
        <f>K73*1.05</f>
        <v>393.59250000000003</v>
      </c>
      <c r="P73" s="169">
        <f>'Program Budget'!Q221</f>
        <v>12</v>
      </c>
      <c r="Q73" s="170">
        <v>1</v>
      </c>
      <c r="R73" s="823">
        <f t="shared" ref="R73" si="83">O73*P73*Q73</f>
        <v>4723.1100000000006</v>
      </c>
      <c r="S73" s="168">
        <f>O73*1.05</f>
        <v>413.27212500000007</v>
      </c>
      <c r="T73" s="169">
        <f>'Program Budget'!T221</f>
        <v>0</v>
      </c>
      <c r="U73" s="170">
        <v>0</v>
      </c>
      <c r="V73" s="823">
        <f t="shared" ref="V73" si="84">S73*T73*U73</f>
        <v>0</v>
      </c>
      <c r="W73" s="838">
        <f t="shared" ref="W73" si="85">F73+J73+N73+R73+V73</f>
        <v>15545.310000000001</v>
      </c>
    </row>
    <row r="74" spans="1:23" outlineLevel="1">
      <c r="A74" s="166"/>
      <c r="B74" s="181"/>
      <c r="D74" s="225"/>
      <c r="F74" s="823"/>
      <c r="H74" s="225"/>
      <c r="I74" s="140"/>
      <c r="J74" s="823"/>
      <c r="L74" s="225"/>
      <c r="N74" s="823"/>
      <c r="P74" s="225"/>
      <c r="Q74" s="140"/>
      <c r="R74" s="823"/>
      <c r="T74" s="225"/>
      <c r="U74" s="140"/>
      <c r="V74" s="823"/>
      <c r="W74" s="838"/>
    </row>
    <row r="75" spans="1:23" ht="18.3" outlineLevel="1">
      <c r="A75" s="214" t="s">
        <v>99</v>
      </c>
      <c r="B75" s="188"/>
      <c r="C75" s="189"/>
      <c r="D75" s="215"/>
      <c r="E75" s="216"/>
      <c r="F75" s="826">
        <f>SUM(F73:F74)</f>
        <v>2040</v>
      </c>
      <c r="G75" s="189"/>
      <c r="H75" s="215"/>
      <c r="I75" s="192"/>
      <c r="J75" s="826">
        <f>SUM(J73:J74)</f>
        <v>4284</v>
      </c>
      <c r="K75" s="189"/>
      <c r="L75" s="215"/>
      <c r="M75" s="216"/>
      <c r="N75" s="826">
        <f>SUM(N73:N74)</f>
        <v>4498.2000000000007</v>
      </c>
      <c r="O75" s="189"/>
      <c r="P75" s="215"/>
      <c r="Q75" s="192"/>
      <c r="R75" s="826">
        <f>SUM(R73:R74)</f>
        <v>4723.1100000000006</v>
      </c>
      <c r="S75" s="189"/>
      <c r="T75" s="215"/>
      <c r="U75" s="192"/>
      <c r="V75" s="826">
        <f>SUM(V73:V74)</f>
        <v>0</v>
      </c>
      <c r="W75" s="826">
        <f>SUM(W73:W74)</f>
        <v>15545.310000000001</v>
      </c>
    </row>
    <row r="76" spans="1:23" ht="15.6" outlineLevel="1">
      <c r="A76" s="226" t="s">
        <v>100</v>
      </c>
      <c r="B76" s="181"/>
      <c r="C76" s="227"/>
      <c r="D76" s="228"/>
      <c r="F76" s="828"/>
      <c r="G76" s="227"/>
      <c r="H76" s="228"/>
      <c r="J76" s="839"/>
      <c r="K76" s="227"/>
      <c r="L76" s="228"/>
      <c r="N76" s="839"/>
      <c r="O76" s="227"/>
      <c r="P76" s="228"/>
      <c r="R76" s="839"/>
      <c r="S76" s="227"/>
      <c r="T76" s="228"/>
      <c r="V76" s="839"/>
      <c r="W76" s="838"/>
    </row>
    <row r="77" spans="1:23" ht="15.6" outlineLevel="1">
      <c r="A77" s="163" t="s">
        <v>123</v>
      </c>
      <c r="B77" s="181"/>
      <c r="C77" s="227"/>
      <c r="D77" s="228"/>
      <c r="F77" s="823"/>
      <c r="G77" s="227"/>
      <c r="H77" s="228"/>
      <c r="I77" s="140"/>
      <c r="J77" s="823"/>
      <c r="K77" s="227"/>
      <c r="L77" s="228"/>
      <c r="N77" s="823"/>
      <c r="O77" s="227"/>
      <c r="P77" s="228"/>
      <c r="Q77" s="140"/>
      <c r="R77" s="823"/>
      <c r="S77" s="227"/>
      <c r="T77" s="228"/>
      <c r="U77" s="140"/>
      <c r="V77" s="823"/>
      <c r="W77" s="838"/>
    </row>
    <row r="78" spans="1:23" ht="15.6" outlineLevel="1">
      <c r="A78" s="221" t="str">
        <f>'Program Budget'!D241</f>
        <v>Subrecipient: None</v>
      </c>
      <c r="B78" s="167" t="str">
        <f>'Program Budget'!F241</f>
        <v>Subaward</v>
      </c>
      <c r="C78" s="168">
        <f>'Program Budget'!I241</f>
        <v>0</v>
      </c>
      <c r="D78" s="169">
        <f>'Program Budget'!G241</f>
        <v>0</v>
      </c>
      <c r="E78" s="170">
        <v>1</v>
      </c>
      <c r="F78" s="823">
        <f t="shared" ref="F78" si="86">C78*D78*E78</f>
        <v>0</v>
      </c>
      <c r="G78" s="168">
        <f>'Program Budget'!L241</f>
        <v>0</v>
      </c>
      <c r="H78" s="169">
        <f>'Program Budget'!K241</f>
        <v>0</v>
      </c>
      <c r="I78" s="170">
        <v>1</v>
      </c>
      <c r="J78" s="823">
        <f t="shared" ref="J78" si="87">G78*H78*I78</f>
        <v>0</v>
      </c>
      <c r="K78" s="168">
        <f>'Program Budget'!O241</f>
        <v>0</v>
      </c>
      <c r="L78" s="169">
        <f>'Program Budget'!N241</f>
        <v>0</v>
      </c>
      <c r="M78" s="170">
        <v>1</v>
      </c>
      <c r="N78" s="823">
        <f t="shared" ref="N78" si="88">K78*L78*M78</f>
        <v>0</v>
      </c>
      <c r="O78" s="168">
        <f>'Program Budget'!R241</f>
        <v>0</v>
      </c>
      <c r="P78" s="169">
        <f>'Program Budget'!Q241</f>
        <v>0</v>
      </c>
      <c r="Q78" s="170">
        <v>1</v>
      </c>
      <c r="R78" s="823">
        <f t="shared" ref="R78" si="89">O78*P78*Q78</f>
        <v>0</v>
      </c>
      <c r="S78" s="168">
        <f>'Program Budget'!U241</f>
        <v>0</v>
      </c>
      <c r="T78" s="169">
        <f>'Program Budget'!T241</f>
        <v>0</v>
      </c>
      <c r="U78" s="170">
        <v>0</v>
      </c>
      <c r="V78" s="823">
        <f t="shared" ref="V78" si="90">S78*T78*U78</f>
        <v>0</v>
      </c>
      <c r="W78" s="838">
        <f t="shared" ref="W78" si="91">F78+J78+N78+R78+V78</f>
        <v>0</v>
      </c>
    </row>
    <row r="79" spans="1:23" ht="15.6" outlineLevel="1">
      <c r="A79" s="163" t="str">
        <f>'Program Budget'!D242</f>
        <v>Trainings &amp; Meetings</v>
      </c>
      <c r="B79" s="167"/>
      <c r="C79" s="168"/>
      <c r="D79" s="169"/>
      <c r="E79" s="170"/>
      <c r="F79" s="823"/>
      <c r="G79" s="168"/>
      <c r="H79" s="169"/>
      <c r="I79" s="170"/>
      <c r="J79" s="823"/>
      <c r="K79" s="168"/>
      <c r="L79" s="169"/>
      <c r="M79" s="170"/>
      <c r="N79" s="823"/>
      <c r="O79" s="168"/>
      <c r="P79" s="169"/>
      <c r="Q79" s="170"/>
      <c r="R79" s="823"/>
      <c r="S79" s="168"/>
      <c r="T79" s="169"/>
      <c r="U79" s="170"/>
      <c r="V79" s="823"/>
      <c r="W79" s="838"/>
    </row>
    <row r="80" spans="1:23" ht="15.6" outlineLevel="1">
      <c r="A80" s="221" t="str">
        <f>'Program Budget'!D243</f>
        <v>One-Day Workshops for Nigerian Banks and Importers on FAS Programs</v>
      </c>
      <c r="B80" s="167" t="str">
        <f>'Program Budget'!F243</f>
        <v>Workshop</v>
      </c>
      <c r="C80" s="168">
        <f>'Program Budget'!H243</f>
        <v>1719</v>
      </c>
      <c r="D80" s="169">
        <f>'Program Budget'!G243</f>
        <v>2</v>
      </c>
      <c r="E80" s="170">
        <v>1</v>
      </c>
      <c r="F80" s="823">
        <f t="shared" ref="F80:F89" si="92">C80*D80*E80</f>
        <v>3438</v>
      </c>
      <c r="G80" s="168">
        <f t="shared" ref="G80:G89" si="93">C80</f>
        <v>1719</v>
      </c>
      <c r="H80" s="169">
        <f>'Program Budget'!K243</f>
        <v>0</v>
      </c>
      <c r="I80" s="170">
        <v>1</v>
      </c>
      <c r="J80" s="823">
        <f t="shared" ref="J80:J89" si="94">G80*H80*I80</f>
        <v>0</v>
      </c>
      <c r="K80" s="168">
        <f t="shared" ref="K80:K89" si="95">G80</f>
        <v>1719</v>
      </c>
      <c r="L80" s="169">
        <f>'Program Budget'!N243</f>
        <v>0</v>
      </c>
      <c r="M80" s="170">
        <v>1</v>
      </c>
      <c r="N80" s="823">
        <f t="shared" ref="N80:N89" si="96">K80*L80*M80</f>
        <v>0</v>
      </c>
      <c r="O80" s="168">
        <f t="shared" ref="O80:O89" si="97">K80</f>
        <v>1719</v>
      </c>
      <c r="P80" s="169">
        <f>'Program Budget'!Q243</f>
        <v>0</v>
      </c>
      <c r="Q80" s="170">
        <v>1</v>
      </c>
      <c r="R80" s="823">
        <f t="shared" ref="R80:R89" si="98">O80*P80*Q80</f>
        <v>0</v>
      </c>
      <c r="S80" s="168">
        <f t="shared" ref="S80:S89" si="99">O80</f>
        <v>1719</v>
      </c>
      <c r="T80" s="169">
        <f>'Program Budget'!T243</f>
        <v>0</v>
      </c>
      <c r="U80" s="170">
        <v>0</v>
      </c>
      <c r="V80" s="823">
        <f t="shared" ref="V80:V89" si="100">S80*T80*U80</f>
        <v>0</v>
      </c>
      <c r="W80" s="838">
        <f t="shared" ref="W80:W89" si="101">F80+J80+N80+R80+V80</f>
        <v>3438</v>
      </c>
    </row>
    <row r="81" spans="1:23" ht="15.6" outlineLevel="1">
      <c r="A81" s="221" t="str">
        <f>'Program Budget'!D244</f>
        <v>One-Day Workshops for Nigerian Banks and Importers on Foreign Currency Risk</v>
      </c>
      <c r="B81" s="167" t="str">
        <f>'Program Budget'!F244</f>
        <v>Workshop</v>
      </c>
      <c r="C81" s="168">
        <f>'Program Budget'!H244</f>
        <v>1719</v>
      </c>
      <c r="D81" s="169">
        <f>'Program Budget'!G244</f>
        <v>0</v>
      </c>
      <c r="E81" s="170">
        <v>1</v>
      </c>
      <c r="F81" s="823">
        <f t="shared" ref="F81:F83" si="102">C81*D81*E81</f>
        <v>0</v>
      </c>
      <c r="G81" s="168">
        <f t="shared" ref="G81:G83" si="103">C81</f>
        <v>1719</v>
      </c>
      <c r="H81" s="169">
        <f>'Program Budget'!K244</f>
        <v>1</v>
      </c>
      <c r="I81" s="170">
        <v>1</v>
      </c>
      <c r="J81" s="823">
        <f t="shared" ref="J81:J83" si="104">G81*H81*I81</f>
        <v>1719</v>
      </c>
      <c r="K81" s="168">
        <f t="shared" ref="K81:K83" si="105">G81</f>
        <v>1719</v>
      </c>
      <c r="L81" s="169">
        <f>'Program Budget'!N244</f>
        <v>1</v>
      </c>
      <c r="M81" s="170">
        <v>1</v>
      </c>
      <c r="N81" s="823">
        <f t="shared" ref="N81:N83" si="106">K81*L81*M81</f>
        <v>1719</v>
      </c>
      <c r="O81" s="168">
        <f t="shared" ref="O81:O83" si="107">K81</f>
        <v>1719</v>
      </c>
      <c r="P81" s="169">
        <f>'Program Budget'!Q244</f>
        <v>0</v>
      </c>
      <c r="Q81" s="170">
        <v>1</v>
      </c>
      <c r="R81" s="823">
        <f t="shared" ref="R81:R83" si="108">O81*P81*Q81</f>
        <v>0</v>
      </c>
      <c r="S81" s="168">
        <f t="shared" ref="S81:S83" si="109">O81</f>
        <v>1719</v>
      </c>
      <c r="T81" s="169">
        <f>'Program Budget'!T244</f>
        <v>0</v>
      </c>
      <c r="U81" s="170">
        <v>0</v>
      </c>
      <c r="V81" s="823">
        <f t="shared" ref="V81:V83" si="110">S81*T81*U81</f>
        <v>0</v>
      </c>
      <c r="W81" s="838">
        <f t="shared" ref="W81:W83" si="111">F81+J81+N81+R81+V81</f>
        <v>3438</v>
      </c>
    </row>
    <row r="82" spans="1:23" ht="15.6" outlineLevel="1">
      <c r="A82" s="221" t="str">
        <f>'Program Budget'!D245</f>
        <v>Three-Day Buyers Conferences</v>
      </c>
      <c r="B82" s="167" t="str">
        <f>'Program Budget'!F245</f>
        <v>Conference</v>
      </c>
      <c r="C82" s="168">
        <f>'Program Budget'!H245</f>
        <v>75000</v>
      </c>
      <c r="D82" s="169">
        <f>'Program Budget'!G245</f>
        <v>0</v>
      </c>
      <c r="E82" s="170">
        <v>1</v>
      </c>
      <c r="F82" s="823">
        <f t="shared" si="102"/>
        <v>0</v>
      </c>
      <c r="G82" s="168">
        <f t="shared" si="103"/>
        <v>75000</v>
      </c>
      <c r="H82" s="169">
        <f>'Program Budget'!K245</f>
        <v>1</v>
      </c>
      <c r="I82" s="170">
        <v>1</v>
      </c>
      <c r="J82" s="823">
        <f t="shared" si="104"/>
        <v>75000</v>
      </c>
      <c r="K82" s="168">
        <f t="shared" si="105"/>
        <v>75000</v>
      </c>
      <c r="L82" s="169">
        <f>'Program Budget'!N245</f>
        <v>1</v>
      </c>
      <c r="M82" s="170">
        <v>1</v>
      </c>
      <c r="N82" s="823">
        <f t="shared" si="106"/>
        <v>75000</v>
      </c>
      <c r="O82" s="168">
        <f t="shared" si="107"/>
        <v>75000</v>
      </c>
      <c r="P82" s="169">
        <f>'Program Budget'!Q245</f>
        <v>0</v>
      </c>
      <c r="Q82" s="170">
        <v>1</v>
      </c>
      <c r="R82" s="823">
        <f t="shared" si="108"/>
        <v>0</v>
      </c>
      <c r="S82" s="168">
        <f t="shared" si="109"/>
        <v>75000</v>
      </c>
      <c r="T82" s="169">
        <f>'Program Budget'!T245</f>
        <v>0</v>
      </c>
      <c r="U82" s="170">
        <v>0</v>
      </c>
      <c r="V82" s="823">
        <f t="shared" si="110"/>
        <v>0</v>
      </c>
      <c r="W82" s="838">
        <f t="shared" si="111"/>
        <v>150000</v>
      </c>
    </row>
    <row r="83" spans="1:23" ht="15.6" outlineLevel="1">
      <c r="A83" s="221" t="str">
        <f>'Program Budget'!D246</f>
        <v>One-Day Workshop for Institutions, Ministries and Private Sector - Identify &amp; Prioritize Financing Solutions</v>
      </c>
      <c r="B83" s="167" t="str">
        <f>'Program Budget'!F246</f>
        <v>Workshop</v>
      </c>
      <c r="C83" s="168">
        <f>'Program Budget'!H246</f>
        <v>1824</v>
      </c>
      <c r="D83" s="169">
        <f>'Program Budget'!G246</f>
        <v>1</v>
      </c>
      <c r="E83" s="170">
        <v>1</v>
      </c>
      <c r="F83" s="823">
        <f t="shared" si="102"/>
        <v>1824</v>
      </c>
      <c r="G83" s="168">
        <f t="shared" si="103"/>
        <v>1824</v>
      </c>
      <c r="H83" s="169">
        <f>'Program Budget'!K246</f>
        <v>0</v>
      </c>
      <c r="I83" s="170">
        <v>1</v>
      </c>
      <c r="J83" s="823">
        <f t="shared" si="104"/>
        <v>0</v>
      </c>
      <c r="K83" s="168">
        <f t="shared" si="105"/>
        <v>1824</v>
      </c>
      <c r="L83" s="169">
        <f>'Program Budget'!N246</f>
        <v>0</v>
      </c>
      <c r="M83" s="170">
        <v>1</v>
      </c>
      <c r="N83" s="823">
        <f t="shared" si="106"/>
        <v>0</v>
      </c>
      <c r="O83" s="168">
        <f t="shared" si="107"/>
        <v>1824</v>
      </c>
      <c r="P83" s="169">
        <f>'Program Budget'!Q246</f>
        <v>0</v>
      </c>
      <c r="Q83" s="170">
        <v>1</v>
      </c>
      <c r="R83" s="823">
        <f t="shared" si="108"/>
        <v>0</v>
      </c>
      <c r="S83" s="168">
        <f t="shared" si="109"/>
        <v>1824</v>
      </c>
      <c r="T83" s="169">
        <f>'Program Budget'!T246</f>
        <v>0</v>
      </c>
      <c r="U83" s="170">
        <v>0</v>
      </c>
      <c r="V83" s="823">
        <f t="shared" si="110"/>
        <v>0</v>
      </c>
      <c r="W83" s="838">
        <f t="shared" si="111"/>
        <v>1824</v>
      </c>
    </row>
    <row r="84" spans="1:23" ht="15.6" outlineLevel="1">
      <c r="A84" s="221" t="str">
        <f>'Program Budget'!D247</f>
        <v>Ongoing Technical Assistance for Access to Local Trade Finance</v>
      </c>
      <c r="B84" s="167" t="str">
        <f>'Program Budget'!F247</f>
        <v>Training</v>
      </c>
      <c r="C84" s="168">
        <f>'Program Budget'!H247</f>
        <v>757</v>
      </c>
      <c r="D84" s="169">
        <f>'Program Budget'!G247</f>
        <v>0</v>
      </c>
      <c r="E84" s="170">
        <v>1</v>
      </c>
      <c r="F84" s="823">
        <f t="shared" ref="F84" si="112">C84*D84*E84</f>
        <v>0</v>
      </c>
      <c r="G84" s="168">
        <f t="shared" ref="G84" si="113">C84</f>
        <v>757</v>
      </c>
      <c r="H84" s="169">
        <f>'Program Budget'!K247</f>
        <v>11</v>
      </c>
      <c r="I84" s="170">
        <v>1</v>
      </c>
      <c r="J84" s="823">
        <f t="shared" ref="J84" si="114">G84*H84*I84</f>
        <v>8327</v>
      </c>
      <c r="K84" s="168">
        <f t="shared" ref="K84" si="115">G84</f>
        <v>757</v>
      </c>
      <c r="L84" s="169">
        <f>'Program Budget'!N247</f>
        <v>12</v>
      </c>
      <c r="M84" s="170">
        <v>1</v>
      </c>
      <c r="N84" s="823">
        <f t="shared" ref="N84" si="116">K84*L84*M84</f>
        <v>9084</v>
      </c>
      <c r="O84" s="168">
        <f t="shared" ref="O84" si="117">K84</f>
        <v>757</v>
      </c>
      <c r="P84" s="169">
        <f>'Program Budget'!Q247</f>
        <v>0</v>
      </c>
      <c r="Q84" s="170">
        <v>1</v>
      </c>
      <c r="R84" s="823">
        <f t="shared" ref="R84" si="118">O84*P84*Q84</f>
        <v>0</v>
      </c>
      <c r="S84" s="168">
        <f t="shared" ref="S84" si="119">O84</f>
        <v>757</v>
      </c>
      <c r="T84" s="169">
        <f>'Program Budget'!T247</f>
        <v>0</v>
      </c>
      <c r="U84" s="170">
        <v>0</v>
      </c>
      <c r="V84" s="823">
        <f t="shared" ref="V84" si="120">S84*T84*U84</f>
        <v>0</v>
      </c>
      <c r="W84" s="838">
        <f t="shared" ref="W84" si="121">F84+J84+N84+R84+V84</f>
        <v>17411</v>
      </c>
    </row>
    <row r="85" spans="1:23" ht="15.6" outlineLevel="1">
      <c r="A85" s="163" t="str">
        <f>'Program Budget'!D248</f>
        <v>Grants</v>
      </c>
      <c r="B85" s="167"/>
      <c r="C85" s="168"/>
      <c r="D85" s="169"/>
      <c r="E85" s="170"/>
      <c r="F85" s="823"/>
      <c r="G85" s="168"/>
      <c r="H85" s="169"/>
      <c r="I85" s="170"/>
      <c r="J85" s="823"/>
      <c r="K85" s="168"/>
      <c r="L85" s="169"/>
      <c r="M85" s="170"/>
      <c r="N85" s="823"/>
      <c r="O85" s="168"/>
      <c r="P85" s="169"/>
      <c r="Q85" s="170"/>
      <c r="R85" s="823"/>
      <c r="S85" s="168"/>
      <c r="T85" s="169"/>
      <c r="U85" s="170"/>
      <c r="V85" s="823"/>
      <c r="W85" s="838"/>
    </row>
    <row r="86" spans="1:23" ht="15.6" outlineLevel="1">
      <c r="A86" s="221" t="str">
        <f>'Program Budget'!D249</f>
        <v>Co-Investment Agribusiness Grants</v>
      </c>
      <c r="B86" s="167" t="str">
        <f>'Program Budget'!F249</f>
        <v>Lumpsum</v>
      </c>
      <c r="C86" s="168">
        <f>'Program Budget'!H249</f>
        <v>1300000</v>
      </c>
      <c r="D86" s="169">
        <f>'Program Budget'!G249</f>
        <v>0</v>
      </c>
      <c r="E86" s="170">
        <v>1</v>
      </c>
      <c r="F86" s="823">
        <f t="shared" si="92"/>
        <v>0</v>
      </c>
      <c r="G86" s="168">
        <f t="shared" si="93"/>
        <v>1300000</v>
      </c>
      <c r="H86" s="169">
        <f>'Program Budget'!K249</f>
        <v>0.25</v>
      </c>
      <c r="I86" s="170">
        <v>1</v>
      </c>
      <c r="J86" s="823">
        <f t="shared" si="94"/>
        <v>325000</v>
      </c>
      <c r="K86" s="168">
        <f t="shared" si="95"/>
        <v>1300000</v>
      </c>
      <c r="L86" s="169">
        <f>'Program Budget'!N249</f>
        <v>0.5</v>
      </c>
      <c r="M86" s="170">
        <v>1</v>
      </c>
      <c r="N86" s="823">
        <f t="shared" si="96"/>
        <v>650000</v>
      </c>
      <c r="O86" s="168">
        <f t="shared" si="97"/>
        <v>1300000</v>
      </c>
      <c r="P86" s="169">
        <f>'Program Budget'!Q249</f>
        <v>0.25</v>
      </c>
      <c r="Q86" s="170">
        <v>1</v>
      </c>
      <c r="R86" s="823">
        <f t="shared" si="98"/>
        <v>325000</v>
      </c>
      <c r="S86" s="168">
        <f t="shared" si="99"/>
        <v>1300000</v>
      </c>
      <c r="T86" s="169">
        <f>'Program Budget'!T249</f>
        <v>0</v>
      </c>
      <c r="U86" s="170">
        <v>0</v>
      </c>
      <c r="V86" s="823">
        <f t="shared" si="100"/>
        <v>0</v>
      </c>
      <c r="W86" s="838">
        <f t="shared" si="101"/>
        <v>1300000</v>
      </c>
    </row>
    <row r="87" spans="1:23" ht="15.6" outlineLevel="1">
      <c r="A87" s="221" t="str">
        <f>'Program Budget'!D250</f>
        <v>Small Grants to Producers &amp; Processors</v>
      </c>
      <c r="B87" s="167" t="str">
        <f>'Program Budget'!F250</f>
        <v>Grants</v>
      </c>
      <c r="C87" s="168">
        <f>'Program Budget'!H250</f>
        <v>13000</v>
      </c>
      <c r="D87" s="169">
        <f>'Program Budget'!G250</f>
        <v>0</v>
      </c>
      <c r="E87" s="170">
        <v>1</v>
      </c>
      <c r="F87" s="823">
        <f t="shared" ref="F87" si="122">C87*D87*E87</f>
        <v>0</v>
      </c>
      <c r="G87" s="168">
        <f t="shared" ref="G87" si="123">C87</f>
        <v>13000</v>
      </c>
      <c r="H87" s="169">
        <f>'Program Budget'!K250</f>
        <v>17</v>
      </c>
      <c r="I87" s="170">
        <v>1</v>
      </c>
      <c r="J87" s="823">
        <f t="shared" ref="J87" si="124">G87*H87*I87</f>
        <v>221000</v>
      </c>
      <c r="K87" s="168">
        <f t="shared" ref="K87" si="125">G87</f>
        <v>13000</v>
      </c>
      <c r="L87" s="169">
        <f>'Program Budget'!N250</f>
        <v>17</v>
      </c>
      <c r="M87" s="170">
        <v>1</v>
      </c>
      <c r="N87" s="823">
        <f t="shared" ref="N87" si="126">K87*L87*M87</f>
        <v>221000</v>
      </c>
      <c r="O87" s="168">
        <f t="shared" ref="O87" si="127">K87</f>
        <v>13000</v>
      </c>
      <c r="P87" s="169">
        <f>'Program Budget'!Q250</f>
        <v>0</v>
      </c>
      <c r="Q87" s="170">
        <v>1</v>
      </c>
      <c r="R87" s="823">
        <f t="shared" ref="R87" si="128">O87*P87*Q87</f>
        <v>0</v>
      </c>
      <c r="S87" s="168">
        <f t="shared" ref="S87" si="129">O87</f>
        <v>13000</v>
      </c>
      <c r="T87" s="169">
        <f>'Program Budget'!T250</f>
        <v>0</v>
      </c>
      <c r="U87" s="170">
        <v>0</v>
      </c>
      <c r="V87" s="823">
        <f t="shared" ref="V87" si="130">S87*T87*U87</f>
        <v>0</v>
      </c>
      <c r="W87" s="838">
        <f t="shared" ref="W87" si="131">F87+J87+N87+R87+V87</f>
        <v>442000</v>
      </c>
    </row>
    <row r="88" spans="1:23" ht="15.6" outlineLevel="1">
      <c r="A88" s="163" t="str">
        <f>'Program Budget'!D251</f>
        <v>Communications</v>
      </c>
      <c r="B88" s="167"/>
      <c r="C88" s="168"/>
      <c r="D88" s="169"/>
      <c r="E88" s="170"/>
      <c r="F88" s="823"/>
      <c r="G88" s="168"/>
      <c r="H88" s="169"/>
      <c r="I88" s="170"/>
      <c r="J88" s="823"/>
      <c r="K88" s="168"/>
      <c r="L88" s="169"/>
      <c r="M88" s="170"/>
      <c r="N88" s="823"/>
      <c r="O88" s="168"/>
      <c r="P88" s="169"/>
      <c r="Q88" s="170"/>
      <c r="R88" s="823"/>
      <c r="S88" s="168"/>
      <c r="T88" s="169"/>
      <c r="U88" s="170"/>
      <c r="V88" s="823"/>
      <c r="W88" s="838"/>
    </row>
    <row r="89" spans="1:23" ht="15.6" outlineLevel="1">
      <c r="A89" s="221" t="str">
        <f>'Program Budget'!D252</f>
        <v>Communications Cost to Release RFP on Co-Investment Agribusiness Grants</v>
      </c>
      <c r="B89" s="167" t="str">
        <f>'Program Budget'!F252</f>
        <v>Year</v>
      </c>
      <c r="C89" s="168">
        <f>'Program Budget'!H252</f>
        <v>1000</v>
      </c>
      <c r="D89" s="169">
        <f>'Program Budget'!G252</f>
        <v>0</v>
      </c>
      <c r="E89" s="170">
        <v>1</v>
      </c>
      <c r="F89" s="823">
        <f t="shared" si="92"/>
        <v>0</v>
      </c>
      <c r="G89" s="168">
        <f t="shared" si="93"/>
        <v>1000</v>
      </c>
      <c r="H89" s="169">
        <f>'Program Budget'!K252</f>
        <v>1</v>
      </c>
      <c r="I89" s="170">
        <v>1</v>
      </c>
      <c r="J89" s="823">
        <f t="shared" si="94"/>
        <v>1000</v>
      </c>
      <c r="K89" s="168">
        <f t="shared" si="95"/>
        <v>1000</v>
      </c>
      <c r="L89" s="169">
        <f>'Program Budget'!N252</f>
        <v>1</v>
      </c>
      <c r="M89" s="170">
        <v>1</v>
      </c>
      <c r="N89" s="823">
        <f t="shared" si="96"/>
        <v>1000</v>
      </c>
      <c r="O89" s="168">
        <f t="shared" si="97"/>
        <v>1000</v>
      </c>
      <c r="P89" s="169">
        <f>'Program Budget'!Q252</f>
        <v>1</v>
      </c>
      <c r="Q89" s="170">
        <v>1</v>
      </c>
      <c r="R89" s="823">
        <f t="shared" si="98"/>
        <v>1000</v>
      </c>
      <c r="S89" s="168">
        <f t="shared" si="99"/>
        <v>1000</v>
      </c>
      <c r="T89" s="169">
        <f>'Program Budget'!T252</f>
        <v>0</v>
      </c>
      <c r="U89" s="170">
        <v>0</v>
      </c>
      <c r="V89" s="823">
        <f t="shared" si="100"/>
        <v>0</v>
      </c>
      <c r="W89" s="838">
        <f t="shared" si="101"/>
        <v>3000</v>
      </c>
    </row>
    <row r="90" spans="1:23" ht="15.6" outlineLevel="1">
      <c r="A90" s="231"/>
      <c r="B90" s="199"/>
      <c r="C90" s="229"/>
      <c r="D90" s="230"/>
      <c r="E90" s="202"/>
      <c r="F90" s="827"/>
      <c r="G90" s="229"/>
      <c r="H90" s="230"/>
      <c r="I90" s="202"/>
      <c r="J90" s="827"/>
      <c r="K90" s="229"/>
      <c r="L90" s="230"/>
      <c r="M90" s="202"/>
      <c r="N90" s="827"/>
      <c r="O90" s="229"/>
      <c r="P90" s="230"/>
      <c r="Q90" s="202"/>
      <c r="R90" s="827"/>
      <c r="S90" s="229"/>
      <c r="T90" s="230"/>
      <c r="U90" s="202"/>
      <c r="V90" s="827"/>
      <c r="W90" s="838"/>
    </row>
    <row r="91" spans="1:23" ht="18.3" outlineLevel="1">
      <c r="A91" s="232" t="s">
        <v>107</v>
      </c>
      <c r="B91" s="188"/>
      <c r="C91" s="208"/>
      <c r="D91" s="209"/>
      <c r="E91" s="233"/>
      <c r="F91" s="829">
        <f>SUM(F77:F90)</f>
        <v>5262</v>
      </c>
      <c r="G91" s="208"/>
      <c r="H91" s="209"/>
      <c r="I91" s="211"/>
      <c r="J91" s="829">
        <f>SUM(J77:J90)</f>
        <v>632046</v>
      </c>
      <c r="K91" s="208"/>
      <c r="L91" s="209"/>
      <c r="M91" s="233"/>
      <c r="N91" s="829">
        <f>SUM(N77:N90)</f>
        <v>957803</v>
      </c>
      <c r="O91" s="208"/>
      <c r="P91" s="209"/>
      <c r="Q91" s="211"/>
      <c r="R91" s="829">
        <f>SUM(R77:R90)</f>
        <v>326000</v>
      </c>
      <c r="S91" s="208"/>
      <c r="T91" s="209"/>
      <c r="U91" s="211"/>
      <c r="V91" s="829">
        <f>SUM(V77:V90)</f>
        <v>0</v>
      </c>
      <c r="W91" s="846">
        <f>+F91+J91+N91+R91+V91</f>
        <v>1921111</v>
      </c>
    </row>
    <row r="92" spans="1:23" ht="15.6" outlineLevel="1">
      <c r="A92" s="234"/>
      <c r="B92" s="197"/>
      <c r="C92" s="227"/>
      <c r="D92" s="228"/>
      <c r="F92" s="823"/>
      <c r="G92" s="227"/>
      <c r="H92" s="228"/>
      <c r="J92" s="838"/>
      <c r="K92" s="227"/>
      <c r="L92" s="228"/>
      <c r="N92" s="838"/>
      <c r="O92" s="227"/>
      <c r="P92" s="228"/>
      <c r="R92" s="838"/>
      <c r="S92" s="227"/>
      <c r="T92" s="228"/>
      <c r="V92" s="838"/>
      <c r="W92" s="838"/>
    </row>
    <row r="93" spans="1:23" ht="18.3" outlineLevel="1">
      <c r="A93" s="235" t="s">
        <v>108</v>
      </c>
      <c r="B93" s="236"/>
      <c r="C93" s="237"/>
      <c r="D93" s="238"/>
      <c r="E93" s="239"/>
      <c r="F93" s="830">
        <f>F32+F41+F59+F71+F75+F65+F91</f>
        <v>331790.21400000004</v>
      </c>
      <c r="G93" s="237"/>
      <c r="H93" s="238"/>
      <c r="I93" s="240"/>
      <c r="J93" s="830">
        <f>J32+J41+J59+J71+J75+J65+J91</f>
        <v>1285858.8747</v>
      </c>
      <c r="K93" s="237"/>
      <c r="L93" s="238"/>
      <c r="M93" s="239"/>
      <c r="N93" s="830">
        <f>N32+N41+N59+N71+N75+N65+N91</f>
        <v>1639461.518435</v>
      </c>
      <c r="O93" s="237"/>
      <c r="P93" s="238"/>
      <c r="Q93" s="240"/>
      <c r="R93" s="830">
        <f>R32+R41+R59+R71+R75+R65+R91</f>
        <v>1025290.3345317501</v>
      </c>
      <c r="S93" s="237"/>
      <c r="T93" s="238"/>
      <c r="U93" s="240"/>
      <c r="V93" s="830">
        <f>V32+V41+V59+V71+V75+V65+V91</f>
        <v>0</v>
      </c>
      <c r="W93" s="830">
        <f>W32+W41+W59+W71+W75+W65+W91</f>
        <v>4282400.9416667502</v>
      </c>
    </row>
    <row r="94" spans="1:23">
      <c r="A94" s="273"/>
      <c r="B94" s="197"/>
      <c r="C94" s="227"/>
      <c r="D94" s="228"/>
      <c r="F94" s="823"/>
      <c r="G94" s="227"/>
      <c r="H94" s="228"/>
      <c r="J94" s="838"/>
      <c r="K94" s="227"/>
      <c r="L94" s="228"/>
      <c r="N94" s="838"/>
      <c r="O94" s="227"/>
      <c r="P94" s="228"/>
      <c r="R94" s="838"/>
      <c r="S94" s="227"/>
      <c r="T94" s="228"/>
      <c r="V94" s="838"/>
      <c r="W94" s="838"/>
    </row>
    <row r="95" spans="1:23" ht="20.399999999999999">
      <c r="A95" s="241" t="s">
        <v>53</v>
      </c>
      <c r="B95" s="242"/>
      <c r="C95" s="243"/>
      <c r="D95" s="243"/>
      <c r="E95" s="243"/>
      <c r="F95" s="831"/>
      <c r="G95" s="243"/>
      <c r="H95" s="243"/>
      <c r="I95" s="243"/>
      <c r="J95" s="831"/>
      <c r="K95" s="243"/>
      <c r="L95" s="243"/>
      <c r="M95" s="243"/>
      <c r="N95" s="831"/>
      <c r="O95" s="243"/>
      <c r="P95" s="243"/>
      <c r="Q95" s="243"/>
      <c r="R95" s="831"/>
      <c r="S95" s="243"/>
      <c r="T95" s="243"/>
      <c r="U95" s="243"/>
      <c r="V95" s="831"/>
      <c r="W95" s="849"/>
    </row>
    <row r="96" spans="1:23" ht="15" customHeight="1">
      <c r="A96" s="244" t="s">
        <v>54</v>
      </c>
      <c r="B96" s="280" t="s">
        <v>109</v>
      </c>
      <c r="C96" s="168">
        <v>0</v>
      </c>
      <c r="D96" s="169">
        <v>0</v>
      </c>
      <c r="E96" s="170">
        <v>0.15</v>
      </c>
      <c r="F96" s="823">
        <f>C96*D96*E96</f>
        <v>0</v>
      </c>
      <c r="G96" s="168">
        <v>0</v>
      </c>
      <c r="H96" s="169">
        <v>0</v>
      </c>
      <c r="I96" s="170">
        <f>E96</f>
        <v>0.15</v>
      </c>
      <c r="J96" s="823">
        <f>G96*H96*I96</f>
        <v>0</v>
      </c>
      <c r="K96" s="168">
        <v>0</v>
      </c>
      <c r="L96" s="169">
        <v>0</v>
      </c>
      <c r="M96" s="170">
        <f>I96</f>
        <v>0.15</v>
      </c>
      <c r="N96" s="823">
        <f>K96*L96*M96</f>
        <v>0</v>
      </c>
      <c r="O96" s="168">
        <v>0</v>
      </c>
      <c r="P96" s="169">
        <v>0</v>
      </c>
      <c r="Q96" s="170">
        <f>M96</f>
        <v>0.15</v>
      </c>
      <c r="R96" s="823">
        <f>O96*P96*Q96</f>
        <v>0</v>
      </c>
      <c r="S96" s="168">
        <v>0</v>
      </c>
      <c r="T96" s="169">
        <v>0</v>
      </c>
      <c r="U96" s="170">
        <v>0</v>
      </c>
      <c r="V96" s="823">
        <f>S96*T96*U96</f>
        <v>0</v>
      </c>
      <c r="W96" s="838">
        <f>F96+J96+N96+R96+V96</f>
        <v>0</v>
      </c>
    </row>
    <row r="97" spans="1:23" ht="15" customHeight="1">
      <c r="A97" s="244" t="s">
        <v>110</v>
      </c>
      <c r="B97" s="280" t="s">
        <v>109</v>
      </c>
      <c r="C97" s="438">
        <f>F93-F78</f>
        <v>331790.21400000004</v>
      </c>
      <c r="D97" s="169">
        <v>1</v>
      </c>
      <c r="E97" s="170">
        <v>0.15</v>
      </c>
      <c r="F97" s="823">
        <f>C97*D97*E97</f>
        <v>49768.532100000004</v>
      </c>
      <c r="G97" s="438">
        <f>J93-J78</f>
        <v>1285858.8747</v>
      </c>
      <c r="H97" s="169">
        <v>1</v>
      </c>
      <c r="I97" s="170">
        <f>E97</f>
        <v>0.15</v>
      </c>
      <c r="J97" s="823">
        <f>G97*H97*I97</f>
        <v>192878.83120499999</v>
      </c>
      <c r="K97" s="438">
        <f>N93-N78</f>
        <v>1639461.518435</v>
      </c>
      <c r="L97" s="169">
        <v>1</v>
      </c>
      <c r="M97" s="170">
        <f>I97</f>
        <v>0.15</v>
      </c>
      <c r="N97" s="823">
        <f>K97*L97*M97</f>
        <v>245919.22776524999</v>
      </c>
      <c r="O97" s="438">
        <f>R93-R78</f>
        <v>1025290.3345317501</v>
      </c>
      <c r="P97" s="169">
        <v>1</v>
      </c>
      <c r="Q97" s="170">
        <f>M97</f>
        <v>0.15</v>
      </c>
      <c r="R97" s="823">
        <f>O97*P97*Q97</f>
        <v>153793.5501797625</v>
      </c>
      <c r="S97" s="438">
        <f>V93-V78</f>
        <v>0</v>
      </c>
      <c r="T97" s="169">
        <v>1</v>
      </c>
      <c r="U97" s="170">
        <v>0</v>
      </c>
      <c r="V97" s="823">
        <f>S97*T97*U97</f>
        <v>0</v>
      </c>
      <c r="W97" s="838">
        <f>F97+J97+N97+R97+V97</f>
        <v>642360.14125001256</v>
      </c>
    </row>
    <row r="98" spans="1:23" ht="15" customHeight="1">
      <c r="A98" s="244" t="s">
        <v>111</v>
      </c>
      <c r="B98" s="280" t="s">
        <v>109</v>
      </c>
      <c r="C98" s="438">
        <f>F78</f>
        <v>0</v>
      </c>
      <c r="D98" s="169">
        <v>1</v>
      </c>
      <c r="E98" s="170">
        <v>7.0000000000000007E-2</v>
      </c>
      <c r="F98" s="823">
        <f>C98*D98*E98</f>
        <v>0</v>
      </c>
      <c r="G98" s="438">
        <f>J78</f>
        <v>0</v>
      </c>
      <c r="H98" s="169">
        <v>1</v>
      </c>
      <c r="I98" s="170">
        <f>E98</f>
        <v>7.0000000000000007E-2</v>
      </c>
      <c r="J98" s="823">
        <f>G98*H98*I98</f>
        <v>0</v>
      </c>
      <c r="K98" s="438">
        <f>N78</f>
        <v>0</v>
      </c>
      <c r="L98" s="169">
        <v>1</v>
      </c>
      <c r="M98" s="170">
        <f>I98</f>
        <v>7.0000000000000007E-2</v>
      </c>
      <c r="N98" s="823">
        <f>K98*L98*M98</f>
        <v>0</v>
      </c>
      <c r="O98" s="438">
        <f>R78</f>
        <v>0</v>
      </c>
      <c r="P98" s="169">
        <v>1</v>
      </c>
      <c r="Q98" s="170">
        <f>M98</f>
        <v>7.0000000000000007E-2</v>
      </c>
      <c r="R98" s="823">
        <f>O98*P98*Q98</f>
        <v>0</v>
      </c>
      <c r="S98" s="438">
        <f>V78</f>
        <v>0</v>
      </c>
      <c r="T98" s="169">
        <v>1</v>
      </c>
      <c r="U98" s="170">
        <v>0</v>
      </c>
      <c r="V98" s="823">
        <f>S98*T98*U98</f>
        <v>0</v>
      </c>
      <c r="W98" s="838">
        <f>F98+J98+N98+R98+V98</f>
        <v>0</v>
      </c>
    </row>
    <row r="99" spans="1:23" ht="15" customHeight="1">
      <c r="A99" s="439"/>
      <c r="B99" s="280"/>
      <c r="C99" s="438"/>
      <c r="D99" s="169"/>
      <c r="E99" s="170"/>
      <c r="F99" s="823"/>
      <c r="G99" s="438"/>
      <c r="H99" s="169"/>
      <c r="I99" s="170"/>
      <c r="J99" s="823"/>
      <c r="K99" s="438"/>
      <c r="L99" s="169"/>
      <c r="M99" s="170"/>
      <c r="N99" s="823"/>
      <c r="O99" s="438"/>
      <c r="P99" s="169"/>
      <c r="Q99" s="170"/>
      <c r="R99" s="823"/>
      <c r="S99" s="438"/>
      <c r="T99" s="169"/>
      <c r="U99" s="170"/>
      <c r="V99" s="823"/>
      <c r="W99" s="838"/>
    </row>
    <row r="100" spans="1:23" ht="18.3">
      <c r="A100" s="235" t="s">
        <v>112</v>
      </c>
      <c r="B100" s="236"/>
      <c r="C100" s="237"/>
      <c r="D100" s="238"/>
      <c r="E100" s="239"/>
      <c r="F100" s="830">
        <f>SUM(F96:F98)</f>
        <v>49768.532100000004</v>
      </c>
      <c r="G100" s="237"/>
      <c r="H100" s="238"/>
      <c r="I100" s="240"/>
      <c r="J100" s="830">
        <f>SUM(J96:J98)</f>
        <v>192878.83120499999</v>
      </c>
      <c r="K100" s="237"/>
      <c r="L100" s="238"/>
      <c r="M100" s="239"/>
      <c r="N100" s="830">
        <f>SUM(N96:N98)</f>
        <v>245919.22776524999</v>
      </c>
      <c r="O100" s="237"/>
      <c r="P100" s="238"/>
      <c r="Q100" s="240"/>
      <c r="R100" s="830">
        <f>SUM(R96:R98)</f>
        <v>153793.5501797625</v>
      </c>
      <c r="S100" s="237"/>
      <c r="T100" s="238"/>
      <c r="U100" s="240"/>
      <c r="V100" s="830">
        <f>SUM(V96:V98)</f>
        <v>0</v>
      </c>
      <c r="W100" s="830">
        <f>SUM(W96:W98)</f>
        <v>642360.14125001256</v>
      </c>
    </row>
    <row r="101" spans="1:23">
      <c r="A101" s="171"/>
      <c r="B101" s="197"/>
      <c r="C101" s="222"/>
      <c r="D101" s="246"/>
      <c r="E101" s="247"/>
      <c r="F101" s="823"/>
      <c r="G101" s="222"/>
      <c r="H101" s="246"/>
      <c r="I101" s="172"/>
      <c r="J101" s="823"/>
      <c r="K101" s="222"/>
      <c r="L101" s="246"/>
      <c r="M101" s="247"/>
      <c r="N101" s="823"/>
      <c r="O101" s="222"/>
      <c r="P101" s="246"/>
      <c r="Q101" s="172"/>
      <c r="R101" s="823"/>
      <c r="S101" s="222"/>
      <c r="T101" s="246"/>
      <c r="U101" s="172"/>
      <c r="V101" s="823"/>
      <c r="W101" s="838"/>
    </row>
    <row r="102" spans="1:23" ht="18.3">
      <c r="A102" s="252" t="s">
        <v>113</v>
      </c>
      <c r="B102" s="253"/>
      <c r="C102" s="254"/>
      <c r="D102" s="255"/>
      <c r="E102" s="256"/>
      <c r="F102" s="832">
        <f>F93+F100</f>
        <v>381558.74610000005</v>
      </c>
      <c r="G102" s="254"/>
      <c r="H102" s="255"/>
      <c r="I102" s="257"/>
      <c r="J102" s="832">
        <f>J93+J100</f>
        <v>1478737.705905</v>
      </c>
      <c r="K102" s="254"/>
      <c r="L102" s="255"/>
      <c r="M102" s="256"/>
      <c r="N102" s="832">
        <f>N93+N100</f>
        <v>1885380.74620025</v>
      </c>
      <c r="O102" s="254"/>
      <c r="P102" s="255"/>
      <c r="Q102" s="257"/>
      <c r="R102" s="832">
        <f>R93+R100</f>
        <v>1179083.8847115126</v>
      </c>
      <c r="S102" s="254"/>
      <c r="T102" s="255"/>
      <c r="U102" s="257"/>
      <c r="V102" s="832">
        <f>V93+V100</f>
        <v>0</v>
      </c>
      <c r="W102" s="850">
        <f t="shared" ref="W102:W107" si="132">F102+J102+N102+R102+V102</f>
        <v>4924761.0829167627</v>
      </c>
    </row>
    <row r="103" spans="1:23" ht="15.6">
      <c r="A103" s="258" t="str">
        <f>'Program Budget'!D256</f>
        <v>Co-Investment Agribusiness Grants (Matching)</v>
      </c>
      <c r="B103" s="259" t="str">
        <f>'Program Budget'!F256</f>
        <v>Lumpsum</v>
      </c>
      <c r="C103" s="200">
        <f>'Program Budget'!H256</f>
        <v>260000</v>
      </c>
      <c r="D103" s="260">
        <f>'Program Budget'!G256</f>
        <v>0</v>
      </c>
      <c r="E103" s="202">
        <v>1</v>
      </c>
      <c r="F103" s="827">
        <f t="shared" ref="F103" si="133">C103*D103*E103</f>
        <v>0</v>
      </c>
      <c r="G103" s="200">
        <f>C103</f>
        <v>260000</v>
      </c>
      <c r="H103" s="260">
        <f>'Program Budget'!K256</f>
        <v>0.25</v>
      </c>
      <c r="I103" s="202">
        <v>1</v>
      </c>
      <c r="J103" s="827">
        <f t="shared" ref="J103" si="134">G103*H103*I103</f>
        <v>65000</v>
      </c>
      <c r="K103" s="200">
        <f>G103</f>
        <v>260000</v>
      </c>
      <c r="L103" s="260">
        <f>'Program Budget'!N256</f>
        <v>0.5</v>
      </c>
      <c r="M103" s="202">
        <v>1</v>
      </c>
      <c r="N103" s="827">
        <f t="shared" ref="N103" si="135">K103*L103*M103</f>
        <v>130000</v>
      </c>
      <c r="O103" s="200">
        <f>K103</f>
        <v>260000</v>
      </c>
      <c r="P103" s="260">
        <f>'Program Budget'!Q256</f>
        <v>0.25</v>
      </c>
      <c r="Q103" s="202">
        <v>1</v>
      </c>
      <c r="R103" s="827">
        <f t="shared" ref="R103" si="136">O103*P103*Q103</f>
        <v>65000</v>
      </c>
      <c r="S103" s="200">
        <f>O103</f>
        <v>260000</v>
      </c>
      <c r="T103" s="260">
        <f>'Program Budget'!T256</f>
        <v>0</v>
      </c>
      <c r="U103" s="202">
        <v>1</v>
      </c>
      <c r="V103" s="827">
        <f t="shared" ref="V103" si="137">S103*T103*U103</f>
        <v>0</v>
      </c>
      <c r="W103" s="845">
        <f t="shared" si="132"/>
        <v>260000</v>
      </c>
    </row>
    <row r="104" spans="1:23" ht="15.6">
      <c r="A104" s="258" t="str">
        <f>'Program Budget'!D257</f>
        <v>Airfare - Roundtrip - USA to Nigeria - Buyer Conferences for American Farmers, Ranchers and Agricultural Professionals - 50% of Cost</v>
      </c>
      <c r="B104" s="259" t="str">
        <f>'Program Budget'!F257</f>
        <v>Trip</v>
      </c>
      <c r="C104" s="200">
        <f>'Program Budget'!H257</f>
        <v>900</v>
      </c>
      <c r="D104" s="260">
        <f>'Program Budget'!G257</f>
        <v>0</v>
      </c>
      <c r="E104" s="202">
        <v>1</v>
      </c>
      <c r="F104" s="827">
        <f t="shared" ref="F104:F107" si="138">C104*D104*E104</f>
        <v>0</v>
      </c>
      <c r="G104" s="200">
        <f>C104*1.05</f>
        <v>945</v>
      </c>
      <c r="H104" s="260">
        <f>'Program Budget'!K257</f>
        <v>10</v>
      </c>
      <c r="I104" s="202">
        <v>1</v>
      </c>
      <c r="J104" s="827">
        <f t="shared" ref="J104:J107" si="139">G104*H104*I104</f>
        <v>9450</v>
      </c>
      <c r="K104" s="200">
        <f>G104*1.05</f>
        <v>992.25</v>
      </c>
      <c r="L104" s="260">
        <f>'Program Budget'!N257</f>
        <v>10</v>
      </c>
      <c r="M104" s="202">
        <v>1</v>
      </c>
      <c r="N104" s="827">
        <f t="shared" ref="N104:N107" si="140">K104*L104*M104</f>
        <v>9922.5</v>
      </c>
      <c r="O104" s="200">
        <f t="shared" ref="O104:O107" si="141">K104*1.05</f>
        <v>1041.8625</v>
      </c>
      <c r="P104" s="260">
        <f>'Program Budget'!Q257</f>
        <v>0</v>
      </c>
      <c r="Q104" s="202">
        <v>1</v>
      </c>
      <c r="R104" s="827">
        <f t="shared" ref="R104:R107" si="142">O104*P104*Q104</f>
        <v>0</v>
      </c>
      <c r="S104" s="200">
        <f>O104*1.05</f>
        <v>1093.9556250000001</v>
      </c>
      <c r="T104" s="260">
        <f>'Program Budget'!T257</f>
        <v>0</v>
      </c>
      <c r="U104" s="202">
        <v>1</v>
      </c>
      <c r="V104" s="827">
        <f t="shared" ref="V104:V107" si="143">S104*T104*U104</f>
        <v>0</v>
      </c>
      <c r="W104" s="845">
        <f t="shared" si="132"/>
        <v>19372.5</v>
      </c>
    </row>
    <row r="105" spans="1:23" ht="15.6">
      <c r="A105" s="258" t="str">
        <f>'Program Budget'!D258</f>
        <v>Lodging and M&amp;IE - Buyer Conferences for American Farmers, Ranchers and Agricultural Professionals - 50% of Cost</v>
      </c>
      <c r="B105" s="259" t="str">
        <f>'Program Budget'!F258</f>
        <v>Day</v>
      </c>
      <c r="C105" s="200">
        <f>'Program Budget'!H258</f>
        <v>155.25</v>
      </c>
      <c r="D105" s="260">
        <f>'Program Budget'!G258</f>
        <v>0</v>
      </c>
      <c r="E105" s="202">
        <v>1</v>
      </c>
      <c r="F105" s="827">
        <f t="shared" si="138"/>
        <v>0</v>
      </c>
      <c r="G105" s="200">
        <f t="shared" ref="G105:G107" si="144">C105*1.05</f>
        <v>163.01250000000002</v>
      </c>
      <c r="H105" s="260">
        <f>'Program Budget'!K258</f>
        <v>70</v>
      </c>
      <c r="I105" s="202">
        <v>1</v>
      </c>
      <c r="J105" s="827">
        <f t="shared" si="139"/>
        <v>11410.875000000002</v>
      </c>
      <c r="K105" s="200">
        <f t="shared" ref="K105:K107" si="145">G105*1.05</f>
        <v>171.16312500000004</v>
      </c>
      <c r="L105" s="260">
        <f>'Program Budget'!N258</f>
        <v>70</v>
      </c>
      <c r="M105" s="202">
        <v>1</v>
      </c>
      <c r="N105" s="827">
        <f t="shared" si="140"/>
        <v>11981.418750000003</v>
      </c>
      <c r="O105" s="200">
        <f t="shared" si="141"/>
        <v>179.72128125000003</v>
      </c>
      <c r="P105" s="260">
        <f>'Program Budget'!Q258</f>
        <v>0</v>
      </c>
      <c r="Q105" s="202">
        <v>1</v>
      </c>
      <c r="R105" s="827">
        <f t="shared" si="142"/>
        <v>0</v>
      </c>
      <c r="S105" s="200">
        <f t="shared" ref="S105:S107" si="146">O105*1.05</f>
        <v>188.70734531250005</v>
      </c>
      <c r="T105" s="260">
        <f>'Program Budget'!T258</f>
        <v>0</v>
      </c>
      <c r="U105" s="202">
        <v>1</v>
      </c>
      <c r="V105" s="827">
        <f t="shared" si="143"/>
        <v>0</v>
      </c>
      <c r="W105" s="845">
        <f t="shared" si="132"/>
        <v>23392.293750000004</v>
      </c>
    </row>
    <row r="106" spans="1:23" ht="15.6">
      <c r="A106" s="258" t="str">
        <f>'Program Budget'!D259</f>
        <v>Ground Transportation –  Buyer Conferences for Nigerian Producers and Agricultural Professionals</v>
      </c>
      <c r="B106" s="259" t="str">
        <f>'Program Budget'!F259</f>
        <v>Day</v>
      </c>
      <c r="C106" s="200">
        <f>'Program Budget'!H259</f>
        <v>75</v>
      </c>
      <c r="D106" s="260">
        <f>'Program Budget'!G259</f>
        <v>0</v>
      </c>
      <c r="E106" s="202">
        <v>1</v>
      </c>
      <c r="F106" s="827">
        <f t="shared" si="138"/>
        <v>0</v>
      </c>
      <c r="G106" s="200">
        <f t="shared" si="144"/>
        <v>78.75</v>
      </c>
      <c r="H106" s="260">
        <f>'Program Budget'!K259</f>
        <v>10</v>
      </c>
      <c r="I106" s="202">
        <v>1</v>
      </c>
      <c r="J106" s="827">
        <f t="shared" si="139"/>
        <v>787.5</v>
      </c>
      <c r="K106" s="200">
        <f t="shared" si="145"/>
        <v>82.6875</v>
      </c>
      <c r="L106" s="260">
        <f>'Program Budget'!N259</f>
        <v>10</v>
      </c>
      <c r="M106" s="202">
        <v>1</v>
      </c>
      <c r="N106" s="827">
        <f t="shared" si="140"/>
        <v>826.875</v>
      </c>
      <c r="O106" s="200">
        <f t="shared" si="141"/>
        <v>86.821875000000006</v>
      </c>
      <c r="P106" s="260">
        <f>'Program Budget'!Q259</f>
        <v>0</v>
      </c>
      <c r="Q106" s="202">
        <v>1</v>
      </c>
      <c r="R106" s="827">
        <f t="shared" si="142"/>
        <v>0</v>
      </c>
      <c r="S106" s="200">
        <f t="shared" si="146"/>
        <v>91.162968750000005</v>
      </c>
      <c r="T106" s="260">
        <f>'Program Budget'!T259</f>
        <v>0</v>
      </c>
      <c r="U106" s="202">
        <v>1</v>
      </c>
      <c r="V106" s="827">
        <f t="shared" si="143"/>
        <v>0</v>
      </c>
      <c r="W106" s="845">
        <f t="shared" si="132"/>
        <v>1614.375</v>
      </c>
    </row>
    <row r="107" spans="1:23" ht="15.6">
      <c r="A107" s="258" t="str">
        <f>'Program Budget'!D260</f>
        <v>Visa Cost for Buyer Conferences for Nigerian Producers and Agricultural Professionals</v>
      </c>
      <c r="B107" s="259" t="str">
        <f>'Program Budget'!F260</f>
        <v>Trip</v>
      </c>
      <c r="C107" s="200">
        <f>'Program Budget'!H260</f>
        <v>155</v>
      </c>
      <c r="D107" s="260">
        <f>'Program Budget'!G260</f>
        <v>0</v>
      </c>
      <c r="E107" s="202">
        <v>1</v>
      </c>
      <c r="F107" s="827">
        <f t="shared" si="138"/>
        <v>0</v>
      </c>
      <c r="G107" s="200">
        <f t="shared" si="144"/>
        <v>162.75</v>
      </c>
      <c r="H107" s="260">
        <f>'Program Budget'!K260</f>
        <v>10</v>
      </c>
      <c r="I107" s="202">
        <v>1</v>
      </c>
      <c r="J107" s="827">
        <f t="shared" si="139"/>
        <v>1627.5</v>
      </c>
      <c r="K107" s="200">
        <f t="shared" si="145"/>
        <v>170.88750000000002</v>
      </c>
      <c r="L107" s="260">
        <f>'Program Budget'!N260</f>
        <v>10</v>
      </c>
      <c r="M107" s="202">
        <v>1</v>
      </c>
      <c r="N107" s="827">
        <f t="shared" si="140"/>
        <v>1708.8750000000002</v>
      </c>
      <c r="O107" s="200">
        <f t="shared" si="141"/>
        <v>179.43187500000002</v>
      </c>
      <c r="P107" s="260">
        <f>'Program Budget'!Q260</f>
        <v>0</v>
      </c>
      <c r="Q107" s="202">
        <v>1</v>
      </c>
      <c r="R107" s="827">
        <f t="shared" si="142"/>
        <v>0</v>
      </c>
      <c r="S107" s="200">
        <f t="shared" si="146"/>
        <v>188.40346875000003</v>
      </c>
      <c r="T107" s="260">
        <f>'Program Budget'!T260</f>
        <v>0</v>
      </c>
      <c r="U107" s="202">
        <v>1</v>
      </c>
      <c r="V107" s="827">
        <f t="shared" si="143"/>
        <v>0</v>
      </c>
      <c r="W107" s="845">
        <f t="shared" si="132"/>
        <v>3336.375</v>
      </c>
    </row>
    <row r="108" spans="1:23" ht="18.3">
      <c r="A108" s="252" t="s">
        <v>114</v>
      </c>
      <c r="B108" s="253"/>
      <c r="C108" s="254"/>
      <c r="D108" s="255"/>
      <c r="E108" s="256"/>
      <c r="F108" s="832">
        <f>SUM(F102:F107)</f>
        <v>381558.74610000005</v>
      </c>
      <c r="G108" s="254"/>
      <c r="H108" s="255"/>
      <c r="I108" s="257"/>
      <c r="J108" s="832">
        <f>SUM(J102:J107)</f>
        <v>1567013.580905</v>
      </c>
      <c r="K108" s="254"/>
      <c r="L108" s="255"/>
      <c r="M108" s="256"/>
      <c r="N108" s="832">
        <f>SUM(N102:N107)</f>
        <v>2039820.4149502499</v>
      </c>
      <c r="O108" s="254"/>
      <c r="P108" s="255"/>
      <c r="Q108" s="257"/>
      <c r="R108" s="832">
        <f>SUM(R102:R107)</f>
        <v>1244083.8847115126</v>
      </c>
      <c r="S108" s="254"/>
      <c r="T108" s="255"/>
      <c r="U108" s="257"/>
      <c r="V108" s="832">
        <f>SUM(V102:V107)</f>
        <v>0</v>
      </c>
      <c r="W108" s="832">
        <f>SUM(W102:W107)</f>
        <v>5232476.6266667629</v>
      </c>
    </row>
    <row r="109" spans="1:23">
      <c r="A109" s="167"/>
      <c r="B109" s="167"/>
      <c r="W109" s="838"/>
    </row>
    <row r="110" spans="1:23" ht="15.6">
      <c r="A110" s="262" t="s">
        <v>115</v>
      </c>
      <c r="B110" s="263"/>
      <c r="C110" s="264"/>
      <c r="D110" s="265"/>
      <c r="E110" s="266"/>
      <c r="F110" s="834"/>
      <c r="G110" s="264"/>
      <c r="H110" s="265"/>
      <c r="I110" s="267"/>
      <c r="J110" s="841"/>
      <c r="K110" s="264"/>
      <c r="L110" s="265"/>
      <c r="M110" s="266"/>
      <c r="N110" s="841"/>
      <c r="O110" s="264"/>
      <c r="P110" s="265"/>
      <c r="Q110" s="267"/>
      <c r="R110" s="841"/>
      <c r="S110" s="264"/>
      <c r="T110" s="265"/>
      <c r="U110" s="267"/>
      <c r="V110" s="841"/>
      <c r="W110" s="841"/>
    </row>
  </sheetData>
  <mergeCells count="8">
    <mergeCell ref="S2:V2"/>
    <mergeCell ref="W2:W3"/>
    <mergeCell ref="A2:A3"/>
    <mergeCell ref="B2:B3"/>
    <mergeCell ref="C2:F2"/>
    <mergeCell ref="G2:J2"/>
    <mergeCell ref="K2:N2"/>
    <mergeCell ref="O2:R2"/>
  </mergeCells>
  <printOptions horizontalCentered="1"/>
  <pageMargins left="0.25" right="0.25" top="0.75" bottom="0.75" header="0.3" footer="0.3"/>
  <pageSetup scale="34" orientation="landscape" r:id="rId1"/>
  <headerFooter alignWithMargins="0"/>
  <rowBreaks count="1" manualBreakCount="1">
    <brk id="101" max="17" man="1"/>
  </row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7997A-A7B0-4E25-9A94-CA9453FD08F2}">
  <sheetPr>
    <tabColor theme="6" tint="0.39997558519241921"/>
    <pageSetUpPr fitToPage="1"/>
  </sheetPr>
  <dimension ref="A1:Z86"/>
  <sheetViews>
    <sheetView showOutlineSymbols="0" showWhiteSpace="0" zoomScale="70" zoomScaleNormal="70" workbookViewId="0">
      <pane xSplit="2" ySplit="3" topLeftCell="N62" activePane="bottomRight" state="frozen"/>
      <selection pane="topRight"/>
      <selection pane="bottomLeft"/>
      <selection pane="bottomRight" activeCell="W110" sqref="W110"/>
    </sheetView>
  </sheetViews>
  <sheetFormatPr defaultRowHeight="14.4" outlineLevelRow="1" outlineLevelCol="1"/>
  <cols>
    <col min="1" max="1" width="62.5546875" style="137" customWidth="1"/>
    <col min="2" max="2" width="16.44140625" style="137" bestFit="1" customWidth="1"/>
    <col min="3" max="3" width="12.44140625" style="138" bestFit="1" customWidth="1" outlineLevel="1"/>
    <col min="4" max="4" width="11.5546875" style="139" bestFit="1" customWidth="1" outlineLevel="1"/>
    <col min="5" max="5" width="12.5546875" style="140" bestFit="1" customWidth="1" outlineLevel="1"/>
    <col min="6" max="6" width="12.5546875" style="833" bestFit="1" customWidth="1"/>
    <col min="7" max="7" width="12.44140625" style="138" bestFit="1" customWidth="1" outlineLevel="1"/>
    <col min="8" max="8" width="11.5546875" style="139" bestFit="1" customWidth="1" outlineLevel="1"/>
    <col min="9" max="9" width="12.5546875" style="141" bestFit="1" customWidth="1" outlineLevel="1"/>
    <col min="10" max="10" width="12.5546875" style="840" bestFit="1" customWidth="1"/>
    <col min="11" max="11" width="12.44140625" style="138" bestFit="1" customWidth="1" outlineLevel="1"/>
    <col min="12" max="12" width="11.5546875" style="139" bestFit="1" customWidth="1" outlineLevel="1"/>
    <col min="13" max="13" width="12.5546875" style="140" bestFit="1" customWidth="1" outlineLevel="1"/>
    <col min="14" max="14" width="12.5546875" style="840" bestFit="1" customWidth="1"/>
    <col min="15" max="15" width="12.44140625" style="138" bestFit="1" customWidth="1" outlineLevel="1"/>
    <col min="16" max="16" width="11.5546875" style="139" bestFit="1" customWidth="1" outlineLevel="1"/>
    <col min="17" max="17" width="12.44140625" style="141" bestFit="1" customWidth="1" outlineLevel="1"/>
    <col min="18" max="18" width="11.5546875" style="840" bestFit="1" customWidth="1"/>
    <col min="19" max="19" width="11.44140625" style="138" bestFit="1" customWidth="1" outlineLevel="1"/>
    <col min="20" max="20" width="11.5546875" style="139" bestFit="1" customWidth="1" outlineLevel="1"/>
    <col min="21" max="21" width="12.44140625" style="141" bestFit="1" customWidth="1" outlineLevel="1"/>
    <col min="22" max="22" width="8.5546875" style="840" bestFit="1" customWidth="1"/>
    <col min="23" max="23" width="21" style="840" bestFit="1" customWidth="1"/>
    <col min="24" max="24" width="9" style="137" customWidth="1"/>
    <col min="25" max="25" width="8.5546875" style="137" customWidth="1"/>
    <col min="26" max="26" width="10.5546875" style="137" customWidth="1"/>
    <col min="27" max="241" width="8.5546875" style="137"/>
    <col min="242" max="242" width="38.109375" style="137" customWidth="1"/>
    <col min="243" max="243" width="23.44140625" style="137" bestFit="1" customWidth="1"/>
    <col min="244" max="245" width="9.109375" style="137" customWidth="1"/>
    <col min="246" max="246" width="11.109375" style="137" bestFit="1" customWidth="1"/>
    <col min="247" max="247" width="14.44140625" style="137" bestFit="1" customWidth="1"/>
    <col min="248" max="248" width="8.109375" style="137" customWidth="1"/>
    <col min="249" max="249" width="10.5546875" style="137" bestFit="1" customWidth="1"/>
    <col min="250" max="250" width="12.109375" style="137" bestFit="1" customWidth="1"/>
    <col min="251" max="251" width="9.109375" style="137" customWidth="1"/>
    <col min="252" max="252" width="10.5546875" style="137" bestFit="1" customWidth="1"/>
    <col min="253" max="253" width="12.109375" style="137" bestFit="1" customWidth="1"/>
    <col min="254" max="254" width="8" style="137" customWidth="1"/>
    <col min="255" max="255" width="10.5546875" style="137" bestFit="1" customWidth="1"/>
    <col min="256" max="256" width="12.109375" style="137" bestFit="1" customWidth="1"/>
    <col min="257" max="257" width="8.109375" style="137" bestFit="1" customWidth="1"/>
    <col min="258" max="258" width="10.5546875" style="137" bestFit="1" customWidth="1"/>
    <col min="259" max="259" width="12.109375" style="137" bestFit="1" customWidth="1"/>
    <col min="260" max="260" width="18.109375" style="137" bestFit="1" customWidth="1"/>
    <col min="261" max="261" width="10.5546875" style="137" bestFit="1" customWidth="1"/>
    <col min="262" max="497" width="8.5546875" style="137"/>
    <col min="498" max="498" width="38.109375" style="137" customWidth="1"/>
    <col min="499" max="499" width="23.44140625" style="137" bestFit="1" customWidth="1"/>
    <col min="500" max="501" width="9.109375" style="137" customWidth="1"/>
    <col min="502" max="502" width="11.109375" style="137" bestFit="1" customWidth="1"/>
    <col min="503" max="503" width="14.44140625" style="137" bestFit="1" customWidth="1"/>
    <col min="504" max="504" width="8.109375" style="137" customWidth="1"/>
    <col min="505" max="505" width="10.5546875" style="137" bestFit="1" customWidth="1"/>
    <col min="506" max="506" width="12.109375" style="137" bestFit="1" customWidth="1"/>
    <col min="507" max="507" width="9.109375" style="137" customWidth="1"/>
    <col min="508" max="508" width="10.5546875" style="137" bestFit="1" customWidth="1"/>
    <col min="509" max="509" width="12.109375" style="137" bestFit="1" customWidth="1"/>
    <col min="510" max="510" width="8" style="137" customWidth="1"/>
    <col min="511" max="511" width="10.5546875" style="137" bestFit="1" customWidth="1"/>
    <col min="512" max="512" width="12.109375" style="137" bestFit="1" customWidth="1"/>
    <col min="513" max="513" width="8.109375" style="137" bestFit="1" customWidth="1"/>
    <col min="514" max="514" width="10.5546875" style="137" bestFit="1" customWidth="1"/>
    <col min="515" max="515" width="12.109375" style="137" bestFit="1" customWidth="1"/>
    <col min="516" max="516" width="18.109375" style="137" bestFit="1" customWidth="1"/>
    <col min="517" max="517" width="10.5546875" style="137" bestFit="1" customWidth="1"/>
    <col min="518" max="753" width="8.5546875" style="137"/>
    <col min="754" max="754" width="38.109375" style="137" customWidth="1"/>
    <col min="755" max="755" width="23.44140625" style="137" bestFit="1" customWidth="1"/>
    <col min="756" max="757" width="9.109375" style="137" customWidth="1"/>
    <col min="758" max="758" width="11.109375" style="137" bestFit="1" customWidth="1"/>
    <col min="759" max="759" width="14.44140625" style="137" bestFit="1" customWidth="1"/>
    <col min="760" max="760" width="8.109375" style="137" customWidth="1"/>
    <col min="761" max="761" width="10.5546875" style="137" bestFit="1" customWidth="1"/>
    <col min="762" max="762" width="12.109375" style="137" bestFit="1" customWidth="1"/>
    <col min="763" max="763" width="9.109375" style="137" customWidth="1"/>
    <col min="764" max="764" width="10.5546875" style="137" bestFit="1" customWidth="1"/>
    <col min="765" max="765" width="12.109375" style="137" bestFit="1" customWidth="1"/>
    <col min="766" max="766" width="8" style="137" customWidth="1"/>
    <col min="767" max="767" width="10.5546875" style="137" bestFit="1" customWidth="1"/>
    <col min="768" max="768" width="12.109375" style="137" bestFit="1" customWidth="1"/>
    <col min="769" max="769" width="8.109375" style="137" bestFit="1" customWidth="1"/>
    <col min="770" max="770" width="10.5546875" style="137" bestFit="1" customWidth="1"/>
    <col min="771" max="771" width="12.109375" style="137" bestFit="1" customWidth="1"/>
    <col min="772" max="772" width="18.109375" style="137" bestFit="1" customWidth="1"/>
    <col min="773" max="773" width="10.5546875" style="137" bestFit="1" customWidth="1"/>
    <col min="774" max="1009" width="8.5546875" style="137"/>
    <col min="1010" max="1010" width="38.109375" style="137" customWidth="1"/>
    <col min="1011" max="1011" width="23.44140625" style="137" bestFit="1" customWidth="1"/>
    <col min="1012" max="1013" width="9.109375" style="137" customWidth="1"/>
    <col min="1014" max="1014" width="11.109375" style="137" bestFit="1" customWidth="1"/>
    <col min="1015" max="1015" width="14.44140625" style="137" bestFit="1" customWidth="1"/>
    <col min="1016" max="1016" width="8.109375" style="137" customWidth="1"/>
    <col min="1017" max="1017" width="10.5546875" style="137" bestFit="1" customWidth="1"/>
    <col min="1018" max="1018" width="12.109375" style="137" bestFit="1" customWidth="1"/>
    <col min="1019" max="1019" width="9.109375" style="137" customWidth="1"/>
    <col min="1020" max="1020" width="10.5546875" style="137" bestFit="1" customWidth="1"/>
    <col min="1021" max="1021" width="12.109375" style="137" bestFit="1" customWidth="1"/>
    <col min="1022" max="1022" width="8" style="137" customWidth="1"/>
    <col min="1023" max="1023" width="10.5546875" style="137" bestFit="1" customWidth="1"/>
    <col min="1024" max="1024" width="12.109375" style="137" bestFit="1" customWidth="1"/>
    <col min="1025" max="1025" width="8.109375" style="137" bestFit="1" customWidth="1"/>
    <col min="1026" max="1026" width="10.5546875" style="137" bestFit="1" customWidth="1"/>
    <col min="1027" max="1027" width="12.109375" style="137" bestFit="1" customWidth="1"/>
    <col min="1028" max="1028" width="18.109375" style="137" bestFit="1" customWidth="1"/>
    <col min="1029" max="1029" width="10.5546875" style="137" bestFit="1" customWidth="1"/>
    <col min="1030" max="1265" width="8.5546875" style="137"/>
    <col min="1266" max="1266" width="38.109375" style="137" customWidth="1"/>
    <col min="1267" max="1267" width="23.44140625" style="137" bestFit="1" customWidth="1"/>
    <col min="1268" max="1269" width="9.109375" style="137" customWidth="1"/>
    <col min="1270" max="1270" width="11.109375" style="137" bestFit="1" customWidth="1"/>
    <col min="1271" max="1271" width="14.44140625" style="137" bestFit="1" customWidth="1"/>
    <col min="1272" max="1272" width="8.109375" style="137" customWidth="1"/>
    <col min="1273" max="1273" width="10.5546875" style="137" bestFit="1" customWidth="1"/>
    <col min="1274" max="1274" width="12.109375" style="137" bestFit="1" customWidth="1"/>
    <col min="1275" max="1275" width="9.109375" style="137" customWidth="1"/>
    <col min="1276" max="1276" width="10.5546875" style="137" bestFit="1" customWidth="1"/>
    <col min="1277" max="1277" width="12.109375" style="137" bestFit="1" customWidth="1"/>
    <col min="1278" max="1278" width="8" style="137" customWidth="1"/>
    <col min="1279" max="1279" width="10.5546875" style="137" bestFit="1" customWidth="1"/>
    <col min="1280" max="1280" width="12.109375" style="137" bestFit="1" customWidth="1"/>
    <col min="1281" max="1281" width="8.109375" style="137" bestFit="1" customWidth="1"/>
    <col min="1282" max="1282" width="10.5546875" style="137" bestFit="1" customWidth="1"/>
    <col min="1283" max="1283" width="12.109375" style="137" bestFit="1" customWidth="1"/>
    <col min="1284" max="1284" width="18.109375" style="137" bestFit="1" customWidth="1"/>
    <col min="1285" max="1285" width="10.5546875" style="137" bestFit="1" customWidth="1"/>
    <col min="1286" max="1521" width="8.5546875" style="137"/>
    <col min="1522" max="1522" width="38.109375" style="137" customWidth="1"/>
    <col min="1523" max="1523" width="23.44140625" style="137" bestFit="1" customWidth="1"/>
    <col min="1524" max="1525" width="9.109375" style="137" customWidth="1"/>
    <col min="1526" max="1526" width="11.109375" style="137" bestFit="1" customWidth="1"/>
    <col min="1527" max="1527" width="14.44140625" style="137" bestFit="1" customWidth="1"/>
    <col min="1528" max="1528" width="8.109375" style="137" customWidth="1"/>
    <col min="1529" max="1529" width="10.5546875" style="137" bestFit="1" customWidth="1"/>
    <col min="1530" max="1530" width="12.109375" style="137" bestFit="1" customWidth="1"/>
    <col min="1531" max="1531" width="9.109375" style="137" customWidth="1"/>
    <col min="1532" max="1532" width="10.5546875" style="137" bestFit="1" customWidth="1"/>
    <col min="1533" max="1533" width="12.109375" style="137" bestFit="1" customWidth="1"/>
    <col min="1534" max="1534" width="8" style="137" customWidth="1"/>
    <col min="1535" max="1535" width="10.5546875" style="137" bestFit="1" customWidth="1"/>
    <col min="1536" max="1536" width="12.109375" style="137" bestFit="1" customWidth="1"/>
    <col min="1537" max="1537" width="8.109375" style="137" bestFit="1" customWidth="1"/>
    <col min="1538" max="1538" width="10.5546875" style="137" bestFit="1" customWidth="1"/>
    <col min="1539" max="1539" width="12.109375" style="137" bestFit="1" customWidth="1"/>
    <col min="1540" max="1540" width="18.109375" style="137" bestFit="1" customWidth="1"/>
    <col min="1541" max="1541" width="10.5546875" style="137" bestFit="1" customWidth="1"/>
    <col min="1542" max="1777" width="8.5546875" style="137"/>
    <col min="1778" max="1778" width="38.109375" style="137" customWidth="1"/>
    <col min="1779" max="1779" width="23.44140625" style="137" bestFit="1" customWidth="1"/>
    <col min="1780" max="1781" width="9.109375" style="137" customWidth="1"/>
    <col min="1782" max="1782" width="11.109375" style="137" bestFit="1" customWidth="1"/>
    <col min="1783" max="1783" width="14.44140625" style="137" bestFit="1" customWidth="1"/>
    <col min="1784" max="1784" width="8.109375" style="137" customWidth="1"/>
    <col min="1785" max="1785" width="10.5546875" style="137" bestFit="1" customWidth="1"/>
    <col min="1786" max="1786" width="12.109375" style="137" bestFit="1" customWidth="1"/>
    <col min="1787" max="1787" width="9.109375" style="137" customWidth="1"/>
    <col min="1788" max="1788" width="10.5546875" style="137" bestFit="1" customWidth="1"/>
    <col min="1789" max="1789" width="12.109375" style="137" bestFit="1" customWidth="1"/>
    <col min="1790" max="1790" width="8" style="137" customWidth="1"/>
    <col min="1791" max="1791" width="10.5546875" style="137" bestFit="1" customWidth="1"/>
    <col min="1792" max="1792" width="12.109375" style="137" bestFit="1" customWidth="1"/>
    <col min="1793" max="1793" width="8.109375" style="137" bestFit="1" customWidth="1"/>
    <col min="1794" max="1794" width="10.5546875" style="137" bestFit="1" customWidth="1"/>
    <col min="1795" max="1795" width="12.109375" style="137" bestFit="1" customWidth="1"/>
    <col min="1796" max="1796" width="18.109375" style="137" bestFit="1" customWidth="1"/>
    <col min="1797" max="1797" width="10.5546875" style="137" bestFit="1" customWidth="1"/>
    <col min="1798" max="2033" width="8.5546875" style="137"/>
    <col min="2034" max="2034" width="38.109375" style="137" customWidth="1"/>
    <col min="2035" max="2035" width="23.44140625" style="137" bestFit="1" customWidth="1"/>
    <col min="2036" max="2037" width="9.109375" style="137" customWidth="1"/>
    <col min="2038" max="2038" width="11.109375" style="137" bestFit="1" customWidth="1"/>
    <col min="2039" max="2039" width="14.44140625" style="137" bestFit="1" customWidth="1"/>
    <col min="2040" max="2040" width="8.109375" style="137" customWidth="1"/>
    <col min="2041" max="2041" width="10.5546875" style="137" bestFit="1" customWidth="1"/>
    <col min="2042" max="2042" width="12.109375" style="137" bestFit="1" customWidth="1"/>
    <col min="2043" max="2043" width="9.109375" style="137" customWidth="1"/>
    <col min="2044" max="2044" width="10.5546875" style="137" bestFit="1" customWidth="1"/>
    <col min="2045" max="2045" width="12.109375" style="137" bestFit="1" customWidth="1"/>
    <col min="2046" max="2046" width="8" style="137" customWidth="1"/>
    <col min="2047" max="2047" width="10.5546875" style="137" bestFit="1" customWidth="1"/>
    <col min="2048" max="2048" width="12.109375" style="137" bestFit="1" customWidth="1"/>
    <col min="2049" max="2049" width="8.109375" style="137" bestFit="1" customWidth="1"/>
    <col min="2050" max="2050" width="10.5546875" style="137" bestFit="1" customWidth="1"/>
    <col min="2051" max="2051" width="12.109375" style="137" bestFit="1" customWidth="1"/>
    <col min="2052" max="2052" width="18.109375" style="137" bestFit="1" customWidth="1"/>
    <col min="2053" max="2053" width="10.5546875" style="137" bestFit="1" customWidth="1"/>
    <col min="2054" max="2289" width="8.5546875" style="137"/>
    <col min="2290" max="2290" width="38.109375" style="137" customWidth="1"/>
    <col min="2291" max="2291" width="23.44140625" style="137" bestFit="1" customWidth="1"/>
    <col min="2292" max="2293" width="9.109375" style="137" customWidth="1"/>
    <col min="2294" max="2294" width="11.109375" style="137" bestFit="1" customWidth="1"/>
    <col min="2295" max="2295" width="14.44140625" style="137" bestFit="1" customWidth="1"/>
    <col min="2296" max="2296" width="8.109375" style="137" customWidth="1"/>
    <col min="2297" max="2297" width="10.5546875" style="137" bestFit="1" customWidth="1"/>
    <col min="2298" max="2298" width="12.109375" style="137" bestFit="1" customWidth="1"/>
    <col min="2299" max="2299" width="9.109375" style="137" customWidth="1"/>
    <col min="2300" max="2300" width="10.5546875" style="137" bestFit="1" customWidth="1"/>
    <col min="2301" max="2301" width="12.109375" style="137" bestFit="1" customWidth="1"/>
    <col min="2302" max="2302" width="8" style="137" customWidth="1"/>
    <col min="2303" max="2303" width="10.5546875" style="137" bestFit="1" customWidth="1"/>
    <col min="2304" max="2304" width="12.109375" style="137" bestFit="1" customWidth="1"/>
    <col min="2305" max="2305" width="8.109375" style="137" bestFit="1" customWidth="1"/>
    <col min="2306" max="2306" width="10.5546875" style="137" bestFit="1" customWidth="1"/>
    <col min="2307" max="2307" width="12.109375" style="137" bestFit="1" customWidth="1"/>
    <col min="2308" max="2308" width="18.109375" style="137" bestFit="1" customWidth="1"/>
    <col min="2309" max="2309" width="10.5546875" style="137" bestFit="1" customWidth="1"/>
    <col min="2310" max="2545" width="8.5546875" style="137"/>
    <col min="2546" max="2546" width="38.109375" style="137" customWidth="1"/>
    <col min="2547" max="2547" width="23.44140625" style="137" bestFit="1" customWidth="1"/>
    <col min="2548" max="2549" width="9.109375" style="137" customWidth="1"/>
    <col min="2550" max="2550" width="11.109375" style="137" bestFit="1" customWidth="1"/>
    <col min="2551" max="2551" width="14.44140625" style="137" bestFit="1" customWidth="1"/>
    <col min="2552" max="2552" width="8.109375" style="137" customWidth="1"/>
    <col min="2553" max="2553" width="10.5546875" style="137" bestFit="1" customWidth="1"/>
    <col min="2554" max="2554" width="12.109375" style="137" bestFit="1" customWidth="1"/>
    <col min="2555" max="2555" width="9.109375" style="137" customWidth="1"/>
    <col min="2556" max="2556" width="10.5546875" style="137" bestFit="1" customWidth="1"/>
    <col min="2557" max="2557" width="12.109375" style="137" bestFit="1" customWidth="1"/>
    <col min="2558" max="2558" width="8" style="137" customWidth="1"/>
    <col min="2559" max="2559" width="10.5546875" style="137" bestFit="1" customWidth="1"/>
    <col min="2560" max="2560" width="12.109375" style="137" bestFit="1" customWidth="1"/>
    <col min="2561" max="2561" width="8.109375" style="137" bestFit="1" customWidth="1"/>
    <col min="2562" max="2562" width="10.5546875" style="137" bestFit="1" customWidth="1"/>
    <col min="2563" max="2563" width="12.109375" style="137" bestFit="1" customWidth="1"/>
    <col min="2564" max="2564" width="18.109375" style="137" bestFit="1" customWidth="1"/>
    <col min="2565" max="2565" width="10.5546875" style="137" bestFit="1" customWidth="1"/>
    <col min="2566" max="2801" width="8.5546875" style="137"/>
    <col min="2802" max="2802" width="38.109375" style="137" customWidth="1"/>
    <col min="2803" max="2803" width="23.44140625" style="137" bestFit="1" customWidth="1"/>
    <col min="2804" max="2805" width="9.109375" style="137" customWidth="1"/>
    <col min="2806" max="2806" width="11.109375" style="137" bestFit="1" customWidth="1"/>
    <col min="2807" max="2807" width="14.44140625" style="137" bestFit="1" customWidth="1"/>
    <col min="2808" max="2808" width="8.109375" style="137" customWidth="1"/>
    <col min="2809" max="2809" width="10.5546875" style="137" bestFit="1" customWidth="1"/>
    <col min="2810" max="2810" width="12.109375" style="137" bestFit="1" customWidth="1"/>
    <col min="2811" max="2811" width="9.109375" style="137" customWidth="1"/>
    <col min="2812" max="2812" width="10.5546875" style="137" bestFit="1" customWidth="1"/>
    <col min="2813" max="2813" width="12.109375" style="137" bestFit="1" customWidth="1"/>
    <col min="2814" max="2814" width="8" style="137" customWidth="1"/>
    <col min="2815" max="2815" width="10.5546875" style="137" bestFit="1" customWidth="1"/>
    <col min="2816" max="2816" width="12.109375" style="137" bestFit="1" customWidth="1"/>
    <col min="2817" max="2817" width="8.109375" style="137" bestFit="1" customWidth="1"/>
    <col min="2818" max="2818" width="10.5546875" style="137" bestFit="1" customWidth="1"/>
    <col min="2819" max="2819" width="12.109375" style="137" bestFit="1" customWidth="1"/>
    <col min="2820" max="2820" width="18.109375" style="137" bestFit="1" customWidth="1"/>
    <col min="2821" max="2821" width="10.5546875" style="137" bestFit="1" customWidth="1"/>
    <col min="2822" max="3057" width="8.5546875" style="137"/>
    <col min="3058" max="3058" width="38.109375" style="137" customWidth="1"/>
    <col min="3059" max="3059" width="23.44140625" style="137" bestFit="1" customWidth="1"/>
    <col min="3060" max="3061" width="9.109375" style="137" customWidth="1"/>
    <col min="3062" max="3062" width="11.109375" style="137" bestFit="1" customWidth="1"/>
    <col min="3063" max="3063" width="14.44140625" style="137" bestFit="1" customWidth="1"/>
    <col min="3064" max="3064" width="8.109375" style="137" customWidth="1"/>
    <col min="3065" max="3065" width="10.5546875" style="137" bestFit="1" customWidth="1"/>
    <col min="3066" max="3066" width="12.109375" style="137" bestFit="1" customWidth="1"/>
    <col min="3067" max="3067" width="9.109375" style="137" customWidth="1"/>
    <col min="3068" max="3068" width="10.5546875" style="137" bestFit="1" customWidth="1"/>
    <col min="3069" max="3069" width="12.109375" style="137" bestFit="1" customWidth="1"/>
    <col min="3070" max="3070" width="8" style="137" customWidth="1"/>
    <col min="3071" max="3071" width="10.5546875" style="137" bestFit="1" customWidth="1"/>
    <col min="3072" max="3072" width="12.109375" style="137" bestFit="1" customWidth="1"/>
    <col min="3073" max="3073" width="8.109375" style="137" bestFit="1" customWidth="1"/>
    <col min="3074" max="3074" width="10.5546875" style="137" bestFit="1" customWidth="1"/>
    <col min="3075" max="3075" width="12.109375" style="137" bestFit="1" customWidth="1"/>
    <col min="3076" max="3076" width="18.109375" style="137" bestFit="1" customWidth="1"/>
    <col min="3077" max="3077" width="10.5546875" style="137" bestFit="1" customWidth="1"/>
    <col min="3078" max="3313" width="8.5546875" style="137"/>
    <col min="3314" max="3314" width="38.109375" style="137" customWidth="1"/>
    <col min="3315" max="3315" width="23.44140625" style="137" bestFit="1" customWidth="1"/>
    <col min="3316" max="3317" width="9.109375" style="137" customWidth="1"/>
    <col min="3318" max="3318" width="11.109375" style="137" bestFit="1" customWidth="1"/>
    <col min="3319" max="3319" width="14.44140625" style="137" bestFit="1" customWidth="1"/>
    <col min="3320" max="3320" width="8.109375" style="137" customWidth="1"/>
    <col min="3321" max="3321" width="10.5546875" style="137" bestFit="1" customWidth="1"/>
    <col min="3322" max="3322" width="12.109375" style="137" bestFit="1" customWidth="1"/>
    <col min="3323" max="3323" width="9.109375" style="137" customWidth="1"/>
    <col min="3324" max="3324" width="10.5546875" style="137" bestFit="1" customWidth="1"/>
    <col min="3325" max="3325" width="12.109375" style="137" bestFit="1" customWidth="1"/>
    <col min="3326" max="3326" width="8" style="137" customWidth="1"/>
    <col min="3327" max="3327" width="10.5546875" style="137" bestFit="1" customWidth="1"/>
    <col min="3328" max="3328" width="12.109375" style="137" bestFit="1" customWidth="1"/>
    <col min="3329" max="3329" width="8.109375" style="137" bestFit="1" customWidth="1"/>
    <col min="3330" max="3330" width="10.5546875" style="137" bestFit="1" customWidth="1"/>
    <col min="3331" max="3331" width="12.109375" style="137" bestFit="1" customWidth="1"/>
    <col min="3332" max="3332" width="18.109375" style="137" bestFit="1" customWidth="1"/>
    <col min="3333" max="3333" width="10.5546875" style="137" bestFit="1" customWidth="1"/>
    <col min="3334" max="3569" width="8.5546875" style="137"/>
    <col min="3570" max="3570" width="38.109375" style="137" customWidth="1"/>
    <col min="3571" max="3571" width="23.44140625" style="137" bestFit="1" customWidth="1"/>
    <col min="3572" max="3573" width="9.109375" style="137" customWidth="1"/>
    <col min="3574" max="3574" width="11.109375" style="137" bestFit="1" customWidth="1"/>
    <col min="3575" max="3575" width="14.44140625" style="137" bestFit="1" customWidth="1"/>
    <col min="3576" max="3576" width="8.109375" style="137" customWidth="1"/>
    <col min="3577" max="3577" width="10.5546875" style="137" bestFit="1" customWidth="1"/>
    <col min="3578" max="3578" width="12.109375" style="137" bestFit="1" customWidth="1"/>
    <col min="3579" max="3579" width="9.109375" style="137" customWidth="1"/>
    <col min="3580" max="3580" width="10.5546875" style="137" bestFit="1" customWidth="1"/>
    <col min="3581" max="3581" width="12.109375" style="137" bestFit="1" customWidth="1"/>
    <col min="3582" max="3582" width="8" style="137" customWidth="1"/>
    <col min="3583" max="3583" width="10.5546875" style="137" bestFit="1" customWidth="1"/>
    <col min="3584" max="3584" width="12.109375" style="137" bestFit="1" customWidth="1"/>
    <col min="3585" max="3585" width="8.109375" style="137" bestFit="1" customWidth="1"/>
    <col min="3586" max="3586" width="10.5546875" style="137" bestFit="1" customWidth="1"/>
    <col min="3587" max="3587" width="12.109375" style="137" bestFit="1" customWidth="1"/>
    <col min="3588" max="3588" width="18.109375" style="137" bestFit="1" customWidth="1"/>
    <col min="3589" max="3589" width="10.5546875" style="137" bestFit="1" customWidth="1"/>
    <col min="3590" max="3825" width="8.5546875" style="137"/>
    <col min="3826" max="3826" width="38.109375" style="137" customWidth="1"/>
    <col min="3827" max="3827" width="23.44140625" style="137" bestFit="1" customWidth="1"/>
    <col min="3828" max="3829" width="9.109375" style="137" customWidth="1"/>
    <col min="3830" max="3830" width="11.109375" style="137" bestFit="1" customWidth="1"/>
    <col min="3831" max="3831" width="14.44140625" style="137" bestFit="1" customWidth="1"/>
    <col min="3832" max="3832" width="8.109375" style="137" customWidth="1"/>
    <col min="3833" max="3833" width="10.5546875" style="137" bestFit="1" customWidth="1"/>
    <col min="3834" max="3834" width="12.109375" style="137" bestFit="1" customWidth="1"/>
    <col min="3835" max="3835" width="9.109375" style="137" customWidth="1"/>
    <col min="3836" max="3836" width="10.5546875" style="137" bestFit="1" customWidth="1"/>
    <col min="3837" max="3837" width="12.109375" style="137" bestFit="1" customWidth="1"/>
    <col min="3838" max="3838" width="8" style="137" customWidth="1"/>
    <col min="3839" max="3839" width="10.5546875" style="137" bestFit="1" customWidth="1"/>
    <col min="3840" max="3840" width="12.109375" style="137" bestFit="1" customWidth="1"/>
    <col min="3841" max="3841" width="8.109375" style="137" bestFit="1" customWidth="1"/>
    <col min="3842" max="3842" width="10.5546875" style="137" bestFit="1" customWidth="1"/>
    <col min="3843" max="3843" width="12.109375" style="137" bestFit="1" customWidth="1"/>
    <col min="3844" max="3844" width="18.109375" style="137" bestFit="1" customWidth="1"/>
    <col min="3845" max="3845" width="10.5546875" style="137" bestFit="1" customWidth="1"/>
    <col min="3846" max="4081" width="8.5546875" style="137"/>
    <col min="4082" max="4082" width="38.109375" style="137" customWidth="1"/>
    <col min="4083" max="4083" width="23.44140625" style="137" bestFit="1" customWidth="1"/>
    <col min="4084" max="4085" width="9.109375" style="137" customWidth="1"/>
    <col min="4086" max="4086" width="11.109375" style="137" bestFit="1" customWidth="1"/>
    <col min="4087" max="4087" width="14.44140625" style="137" bestFit="1" customWidth="1"/>
    <col min="4088" max="4088" width="8.109375" style="137" customWidth="1"/>
    <col min="4089" max="4089" width="10.5546875" style="137" bestFit="1" customWidth="1"/>
    <col min="4090" max="4090" width="12.109375" style="137" bestFit="1" customWidth="1"/>
    <col min="4091" max="4091" width="9.109375" style="137" customWidth="1"/>
    <col min="4092" max="4092" width="10.5546875" style="137" bestFit="1" customWidth="1"/>
    <col min="4093" max="4093" width="12.109375" style="137" bestFit="1" customWidth="1"/>
    <col min="4094" max="4094" width="8" style="137" customWidth="1"/>
    <col min="4095" max="4095" width="10.5546875" style="137" bestFit="1" customWidth="1"/>
    <col min="4096" max="4096" width="12.109375" style="137" bestFit="1" customWidth="1"/>
    <col min="4097" max="4097" width="8.109375" style="137" bestFit="1" customWidth="1"/>
    <col min="4098" max="4098" width="10.5546875" style="137" bestFit="1" customWidth="1"/>
    <col min="4099" max="4099" width="12.109375" style="137" bestFit="1" customWidth="1"/>
    <col min="4100" max="4100" width="18.109375" style="137" bestFit="1" customWidth="1"/>
    <col min="4101" max="4101" width="10.5546875" style="137" bestFit="1" customWidth="1"/>
    <col min="4102" max="4337" width="8.5546875" style="137"/>
    <col min="4338" max="4338" width="38.109375" style="137" customWidth="1"/>
    <col min="4339" max="4339" width="23.44140625" style="137" bestFit="1" customWidth="1"/>
    <col min="4340" max="4341" width="9.109375" style="137" customWidth="1"/>
    <col min="4342" max="4342" width="11.109375" style="137" bestFit="1" customWidth="1"/>
    <col min="4343" max="4343" width="14.44140625" style="137" bestFit="1" customWidth="1"/>
    <col min="4344" max="4344" width="8.109375" style="137" customWidth="1"/>
    <col min="4345" max="4345" width="10.5546875" style="137" bestFit="1" customWidth="1"/>
    <col min="4346" max="4346" width="12.109375" style="137" bestFit="1" customWidth="1"/>
    <col min="4347" max="4347" width="9.109375" style="137" customWidth="1"/>
    <col min="4348" max="4348" width="10.5546875" style="137" bestFit="1" customWidth="1"/>
    <col min="4349" max="4349" width="12.109375" style="137" bestFit="1" customWidth="1"/>
    <col min="4350" max="4350" width="8" style="137" customWidth="1"/>
    <col min="4351" max="4351" width="10.5546875" style="137" bestFit="1" customWidth="1"/>
    <col min="4352" max="4352" width="12.109375" style="137" bestFit="1" customWidth="1"/>
    <col min="4353" max="4353" width="8.109375" style="137" bestFit="1" customWidth="1"/>
    <col min="4354" max="4354" width="10.5546875" style="137" bestFit="1" customWidth="1"/>
    <col min="4355" max="4355" width="12.109375" style="137" bestFit="1" customWidth="1"/>
    <col min="4356" max="4356" width="18.109375" style="137" bestFit="1" customWidth="1"/>
    <col min="4357" max="4357" width="10.5546875" style="137" bestFit="1" customWidth="1"/>
    <col min="4358" max="4593" width="8.5546875" style="137"/>
    <col min="4594" max="4594" width="38.109375" style="137" customWidth="1"/>
    <col min="4595" max="4595" width="23.44140625" style="137" bestFit="1" customWidth="1"/>
    <col min="4596" max="4597" width="9.109375" style="137" customWidth="1"/>
    <col min="4598" max="4598" width="11.109375" style="137" bestFit="1" customWidth="1"/>
    <col min="4599" max="4599" width="14.44140625" style="137" bestFit="1" customWidth="1"/>
    <col min="4600" max="4600" width="8.109375" style="137" customWidth="1"/>
    <col min="4601" max="4601" width="10.5546875" style="137" bestFit="1" customWidth="1"/>
    <col min="4602" max="4602" width="12.109375" style="137" bestFit="1" customWidth="1"/>
    <col min="4603" max="4603" width="9.109375" style="137" customWidth="1"/>
    <col min="4604" max="4604" width="10.5546875" style="137" bestFit="1" customWidth="1"/>
    <col min="4605" max="4605" width="12.109375" style="137" bestFit="1" customWidth="1"/>
    <col min="4606" max="4606" width="8" style="137" customWidth="1"/>
    <col min="4607" max="4607" width="10.5546875" style="137" bestFit="1" customWidth="1"/>
    <col min="4608" max="4608" width="12.109375" style="137" bestFit="1" customWidth="1"/>
    <col min="4609" max="4609" width="8.109375" style="137" bestFit="1" customWidth="1"/>
    <col min="4610" max="4610" width="10.5546875" style="137" bestFit="1" customWidth="1"/>
    <col min="4611" max="4611" width="12.109375" style="137" bestFit="1" customWidth="1"/>
    <col min="4612" max="4612" width="18.109375" style="137" bestFit="1" customWidth="1"/>
    <col min="4613" max="4613" width="10.5546875" style="137" bestFit="1" customWidth="1"/>
    <col min="4614" max="4849" width="8.5546875" style="137"/>
    <col min="4850" max="4850" width="38.109375" style="137" customWidth="1"/>
    <col min="4851" max="4851" width="23.44140625" style="137" bestFit="1" customWidth="1"/>
    <col min="4852" max="4853" width="9.109375" style="137" customWidth="1"/>
    <col min="4854" max="4854" width="11.109375" style="137" bestFit="1" customWidth="1"/>
    <col min="4855" max="4855" width="14.44140625" style="137" bestFit="1" customWidth="1"/>
    <col min="4856" max="4856" width="8.109375" style="137" customWidth="1"/>
    <col min="4857" max="4857" width="10.5546875" style="137" bestFit="1" customWidth="1"/>
    <col min="4858" max="4858" width="12.109375" style="137" bestFit="1" customWidth="1"/>
    <col min="4859" max="4859" width="9.109375" style="137" customWidth="1"/>
    <col min="4860" max="4860" width="10.5546875" style="137" bestFit="1" customWidth="1"/>
    <col min="4861" max="4861" width="12.109375" style="137" bestFit="1" customWidth="1"/>
    <col min="4862" max="4862" width="8" style="137" customWidth="1"/>
    <col min="4863" max="4863" width="10.5546875" style="137" bestFit="1" customWidth="1"/>
    <col min="4864" max="4864" width="12.109375" style="137" bestFit="1" customWidth="1"/>
    <col min="4865" max="4865" width="8.109375" style="137" bestFit="1" customWidth="1"/>
    <col min="4866" max="4866" width="10.5546875" style="137" bestFit="1" customWidth="1"/>
    <col min="4867" max="4867" width="12.109375" style="137" bestFit="1" customWidth="1"/>
    <col min="4868" max="4868" width="18.109375" style="137" bestFit="1" customWidth="1"/>
    <col min="4869" max="4869" width="10.5546875" style="137" bestFit="1" customWidth="1"/>
    <col min="4870" max="5105" width="8.5546875" style="137"/>
    <col min="5106" max="5106" width="38.109375" style="137" customWidth="1"/>
    <col min="5107" max="5107" width="23.44140625" style="137" bestFit="1" customWidth="1"/>
    <col min="5108" max="5109" width="9.109375" style="137" customWidth="1"/>
    <col min="5110" max="5110" width="11.109375" style="137" bestFit="1" customWidth="1"/>
    <col min="5111" max="5111" width="14.44140625" style="137" bestFit="1" customWidth="1"/>
    <col min="5112" max="5112" width="8.109375" style="137" customWidth="1"/>
    <col min="5113" max="5113" width="10.5546875" style="137" bestFit="1" customWidth="1"/>
    <col min="5114" max="5114" width="12.109375" style="137" bestFit="1" customWidth="1"/>
    <col min="5115" max="5115" width="9.109375" style="137" customWidth="1"/>
    <col min="5116" max="5116" width="10.5546875" style="137" bestFit="1" customWidth="1"/>
    <col min="5117" max="5117" width="12.109375" style="137" bestFit="1" customWidth="1"/>
    <col min="5118" max="5118" width="8" style="137" customWidth="1"/>
    <col min="5119" max="5119" width="10.5546875" style="137" bestFit="1" customWidth="1"/>
    <col min="5120" max="5120" width="12.109375" style="137" bestFit="1" customWidth="1"/>
    <col min="5121" max="5121" width="8.109375" style="137" bestFit="1" customWidth="1"/>
    <col min="5122" max="5122" width="10.5546875" style="137" bestFit="1" customWidth="1"/>
    <col min="5123" max="5123" width="12.109375" style="137" bestFit="1" customWidth="1"/>
    <col min="5124" max="5124" width="18.109375" style="137" bestFit="1" customWidth="1"/>
    <col min="5125" max="5125" width="10.5546875" style="137" bestFit="1" customWidth="1"/>
    <col min="5126" max="5361" width="8.5546875" style="137"/>
    <col min="5362" max="5362" width="38.109375" style="137" customWidth="1"/>
    <col min="5363" max="5363" width="23.44140625" style="137" bestFit="1" customWidth="1"/>
    <col min="5364" max="5365" width="9.109375" style="137" customWidth="1"/>
    <col min="5366" max="5366" width="11.109375" style="137" bestFit="1" customWidth="1"/>
    <col min="5367" max="5367" width="14.44140625" style="137" bestFit="1" customWidth="1"/>
    <col min="5368" max="5368" width="8.109375" style="137" customWidth="1"/>
    <col min="5369" max="5369" width="10.5546875" style="137" bestFit="1" customWidth="1"/>
    <col min="5370" max="5370" width="12.109375" style="137" bestFit="1" customWidth="1"/>
    <col min="5371" max="5371" width="9.109375" style="137" customWidth="1"/>
    <col min="5372" max="5372" width="10.5546875" style="137" bestFit="1" customWidth="1"/>
    <col min="5373" max="5373" width="12.109375" style="137" bestFit="1" customWidth="1"/>
    <col min="5374" max="5374" width="8" style="137" customWidth="1"/>
    <col min="5375" max="5375" width="10.5546875" style="137" bestFit="1" customWidth="1"/>
    <col min="5376" max="5376" width="12.109375" style="137" bestFit="1" customWidth="1"/>
    <col min="5377" max="5377" width="8.109375" style="137" bestFit="1" customWidth="1"/>
    <col min="5378" max="5378" width="10.5546875" style="137" bestFit="1" customWidth="1"/>
    <col min="5379" max="5379" width="12.109375" style="137" bestFit="1" customWidth="1"/>
    <col min="5380" max="5380" width="18.109375" style="137" bestFit="1" customWidth="1"/>
    <col min="5381" max="5381" width="10.5546875" style="137" bestFit="1" customWidth="1"/>
    <col min="5382" max="5617" width="8.5546875" style="137"/>
    <col min="5618" max="5618" width="38.109375" style="137" customWidth="1"/>
    <col min="5619" max="5619" width="23.44140625" style="137" bestFit="1" customWidth="1"/>
    <col min="5620" max="5621" width="9.109375" style="137" customWidth="1"/>
    <col min="5622" max="5622" width="11.109375" style="137" bestFit="1" customWidth="1"/>
    <col min="5623" max="5623" width="14.44140625" style="137" bestFit="1" customWidth="1"/>
    <col min="5624" max="5624" width="8.109375" style="137" customWidth="1"/>
    <col min="5625" max="5625" width="10.5546875" style="137" bestFit="1" customWidth="1"/>
    <col min="5626" max="5626" width="12.109375" style="137" bestFit="1" customWidth="1"/>
    <col min="5627" max="5627" width="9.109375" style="137" customWidth="1"/>
    <col min="5628" max="5628" width="10.5546875" style="137" bestFit="1" customWidth="1"/>
    <col min="5629" max="5629" width="12.109375" style="137" bestFit="1" customWidth="1"/>
    <col min="5630" max="5630" width="8" style="137" customWidth="1"/>
    <col min="5631" max="5631" width="10.5546875" style="137" bestFit="1" customWidth="1"/>
    <col min="5632" max="5632" width="12.109375" style="137" bestFit="1" customWidth="1"/>
    <col min="5633" max="5633" width="8.109375" style="137" bestFit="1" customWidth="1"/>
    <col min="5634" max="5634" width="10.5546875" style="137" bestFit="1" customWidth="1"/>
    <col min="5635" max="5635" width="12.109375" style="137" bestFit="1" customWidth="1"/>
    <col min="5636" max="5636" width="18.109375" style="137" bestFit="1" customWidth="1"/>
    <col min="5637" max="5637" width="10.5546875" style="137" bestFit="1" customWidth="1"/>
    <col min="5638" max="5873" width="8.5546875" style="137"/>
    <col min="5874" max="5874" width="38.109375" style="137" customWidth="1"/>
    <col min="5875" max="5875" width="23.44140625" style="137" bestFit="1" customWidth="1"/>
    <col min="5876" max="5877" width="9.109375" style="137" customWidth="1"/>
    <col min="5878" max="5878" width="11.109375" style="137" bestFit="1" customWidth="1"/>
    <col min="5879" max="5879" width="14.44140625" style="137" bestFit="1" customWidth="1"/>
    <col min="5880" max="5880" width="8.109375" style="137" customWidth="1"/>
    <col min="5881" max="5881" width="10.5546875" style="137" bestFit="1" customWidth="1"/>
    <col min="5882" max="5882" width="12.109375" style="137" bestFit="1" customWidth="1"/>
    <col min="5883" max="5883" width="9.109375" style="137" customWidth="1"/>
    <col min="5884" max="5884" width="10.5546875" style="137" bestFit="1" customWidth="1"/>
    <col min="5885" max="5885" width="12.109375" style="137" bestFit="1" customWidth="1"/>
    <col min="5886" max="5886" width="8" style="137" customWidth="1"/>
    <col min="5887" max="5887" width="10.5546875" style="137" bestFit="1" customWidth="1"/>
    <col min="5888" max="5888" width="12.109375" style="137" bestFit="1" customWidth="1"/>
    <col min="5889" max="5889" width="8.109375" style="137" bestFit="1" customWidth="1"/>
    <col min="5890" max="5890" width="10.5546875" style="137" bestFit="1" customWidth="1"/>
    <col min="5891" max="5891" width="12.109375" style="137" bestFit="1" customWidth="1"/>
    <col min="5892" max="5892" width="18.109375" style="137" bestFit="1" customWidth="1"/>
    <col min="5893" max="5893" width="10.5546875" style="137" bestFit="1" customWidth="1"/>
    <col min="5894" max="6129" width="8.5546875" style="137"/>
    <col min="6130" max="6130" width="38.109375" style="137" customWidth="1"/>
    <col min="6131" max="6131" width="23.44140625" style="137" bestFit="1" customWidth="1"/>
    <col min="6132" max="6133" width="9.109375" style="137" customWidth="1"/>
    <col min="6134" max="6134" width="11.109375" style="137" bestFit="1" customWidth="1"/>
    <col min="6135" max="6135" width="14.44140625" style="137" bestFit="1" customWidth="1"/>
    <col min="6136" max="6136" width="8.109375" style="137" customWidth="1"/>
    <col min="6137" max="6137" width="10.5546875" style="137" bestFit="1" customWidth="1"/>
    <col min="6138" max="6138" width="12.109375" style="137" bestFit="1" customWidth="1"/>
    <col min="6139" max="6139" width="9.109375" style="137" customWidth="1"/>
    <col min="6140" max="6140" width="10.5546875" style="137" bestFit="1" customWidth="1"/>
    <col min="6141" max="6141" width="12.109375" style="137" bestFit="1" customWidth="1"/>
    <col min="6142" max="6142" width="8" style="137" customWidth="1"/>
    <col min="6143" max="6143" width="10.5546875" style="137" bestFit="1" customWidth="1"/>
    <col min="6144" max="6144" width="12.109375" style="137" bestFit="1" customWidth="1"/>
    <col min="6145" max="6145" width="8.109375" style="137" bestFit="1" customWidth="1"/>
    <col min="6146" max="6146" width="10.5546875" style="137" bestFit="1" customWidth="1"/>
    <col min="6147" max="6147" width="12.109375" style="137" bestFit="1" customWidth="1"/>
    <col min="6148" max="6148" width="18.109375" style="137" bestFit="1" customWidth="1"/>
    <col min="6149" max="6149" width="10.5546875" style="137" bestFit="1" customWidth="1"/>
    <col min="6150" max="6385" width="8.5546875" style="137"/>
    <col min="6386" max="6386" width="38.109375" style="137" customWidth="1"/>
    <col min="6387" max="6387" width="23.44140625" style="137" bestFit="1" customWidth="1"/>
    <col min="6388" max="6389" width="9.109375" style="137" customWidth="1"/>
    <col min="6390" max="6390" width="11.109375" style="137" bestFit="1" customWidth="1"/>
    <col min="6391" max="6391" width="14.44140625" style="137" bestFit="1" customWidth="1"/>
    <col min="6392" max="6392" width="8.109375" style="137" customWidth="1"/>
    <col min="6393" max="6393" width="10.5546875" style="137" bestFit="1" customWidth="1"/>
    <col min="6394" max="6394" width="12.109375" style="137" bestFit="1" customWidth="1"/>
    <col min="6395" max="6395" width="9.109375" style="137" customWidth="1"/>
    <col min="6396" max="6396" width="10.5546875" style="137" bestFit="1" customWidth="1"/>
    <col min="6397" max="6397" width="12.109375" style="137" bestFit="1" customWidth="1"/>
    <col min="6398" max="6398" width="8" style="137" customWidth="1"/>
    <col min="6399" max="6399" width="10.5546875" style="137" bestFit="1" customWidth="1"/>
    <col min="6400" max="6400" width="12.109375" style="137" bestFit="1" customWidth="1"/>
    <col min="6401" max="6401" width="8.109375" style="137" bestFit="1" customWidth="1"/>
    <col min="6402" max="6402" width="10.5546875" style="137" bestFit="1" customWidth="1"/>
    <col min="6403" max="6403" width="12.109375" style="137" bestFit="1" customWidth="1"/>
    <col min="6404" max="6404" width="18.109375" style="137" bestFit="1" customWidth="1"/>
    <col min="6405" max="6405" width="10.5546875" style="137" bestFit="1" customWidth="1"/>
    <col min="6406" max="6641" width="8.5546875" style="137"/>
    <col min="6642" max="6642" width="38.109375" style="137" customWidth="1"/>
    <col min="6643" max="6643" width="23.44140625" style="137" bestFit="1" customWidth="1"/>
    <col min="6644" max="6645" width="9.109375" style="137" customWidth="1"/>
    <col min="6646" max="6646" width="11.109375" style="137" bestFit="1" customWidth="1"/>
    <col min="6647" max="6647" width="14.44140625" style="137" bestFit="1" customWidth="1"/>
    <col min="6648" max="6648" width="8.109375" style="137" customWidth="1"/>
    <col min="6649" max="6649" width="10.5546875" style="137" bestFit="1" customWidth="1"/>
    <col min="6650" max="6650" width="12.109375" style="137" bestFit="1" customWidth="1"/>
    <col min="6651" max="6651" width="9.109375" style="137" customWidth="1"/>
    <col min="6652" max="6652" width="10.5546875" style="137" bestFit="1" customWidth="1"/>
    <col min="6653" max="6653" width="12.109375" style="137" bestFit="1" customWidth="1"/>
    <col min="6654" max="6654" width="8" style="137" customWidth="1"/>
    <col min="6655" max="6655" width="10.5546875" style="137" bestFit="1" customWidth="1"/>
    <col min="6656" max="6656" width="12.109375" style="137" bestFit="1" customWidth="1"/>
    <col min="6657" max="6657" width="8.109375" style="137" bestFit="1" customWidth="1"/>
    <col min="6658" max="6658" width="10.5546875" style="137" bestFit="1" customWidth="1"/>
    <col min="6659" max="6659" width="12.109375" style="137" bestFit="1" customWidth="1"/>
    <col min="6660" max="6660" width="18.109375" style="137" bestFit="1" customWidth="1"/>
    <col min="6661" max="6661" width="10.5546875" style="137" bestFit="1" customWidth="1"/>
    <col min="6662" max="6897" width="8.5546875" style="137"/>
    <col min="6898" max="6898" width="38.109375" style="137" customWidth="1"/>
    <col min="6899" max="6899" width="23.44140625" style="137" bestFit="1" customWidth="1"/>
    <col min="6900" max="6901" width="9.109375" style="137" customWidth="1"/>
    <col min="6902" max="6902" width="11.109375" style="137" bestFit="1" customWidth="1"/>
    <col min="6903" max="6903" width="14.44140625" style="137" bestFit="1" customWidth="1"/>
    <col min="6904" max="6904" width="8.109375" style="137" customWidth="1"/>
    <col min="6905" max="6905" width="10.5546875" style="137" bestFit="1" customWidth="1"/>
    <col min="6906" max="6906" width="12.109375" style="137" bestFit="1" customWidth="1"/>
    <col min="6907" max="6907" width="9.109375" style="137" customWidth="1"/>
    <col min="6908" max="6908" width="10.5546875" style="137" bestFit="1" customWidth="1"/>
    <col min="6909" max="6909" width="12.109375" style="137" bestFit="1" customWidth="1"/>
    <col min="6910" max="6910" width="8" style="137" customWidth="1"/>
    <col min="6911" max="6911" width="10.5546875" style="137" bestFit="1" customWidth="1"/>
    <col min="6912" max="6912" width="12.109375" style="137" bestFit="1" customWidth="1"/>
    <col min="6913" max="6913" width="8.109375" style="137" bestFit="1" customWidth="1"/>
    <col min="6914" max="6914" width="10.5546875" style="137" bestFit="1" customWidth="1"/>
    <col min="6915" max="6915" width="12.109375" style="137" bestFit="1" customWidth="1"/>
    <col min="6916" max="6916" width="18.109375" style="137" bestFit="1" customWidth="1"/>
    <col min="6917" max="6917" width="10.5546875" style="137" bestFit="1" customWidth="1"/>
    <col min="6918" max="7153" width="8.5546875" style="137"/>
    <col min="7154" max="7154" width="38.109375" style="137" customWidth="1"/>
    <col min="7155" max="7155" width="23.44140625" style="137" bestFit="1" customWidth="1"/>
    <col min="7156" max="7157" width="9.109375" style="137" customWidth="1"/>
    <col min="7158" max="7158" width="11.109375" style="137" bestFit="1" customWidth="1"/>
    <col min="7159" max="7159" width="14.44140625" style="137" bestFit="1" customWidth="1"/>
    <col min="7160" max="7160" width="8.109375" style="137" customWidth="1"/>
    <col min="7161" max="7161" width="10.5546875" style="137" bestFit="1" customWidth="1"/>
    <col min="7162" max="7162" width="12.109375" style="137" bestFit="1" customWidth="1"/>
    <col min="7163" max="7163" width="9.109375" style="137" customWidth="1"/>
    <col min="7164" max="7164" width="10.5546875" style="137" bestFit="1" customWidth="1"/>
    <col min="7165" max="7165" width="12.109375" style="137" bestFit="1" customWidth="1"/>
    <col min="7166" max="7166" width="8" style="137" customWidth="1"/>
    <col min="7167" max="7167" width="10.5546875" style="137" bestFit="1" customWidth="1"/>
    <col min="7168" max="7168" width="12.109375" style="137" bestFit="1" customWidth="1"/>
    <col min="7169" max="7169" width="8.109375" style="137" bestFit="1" customWidth="1"/>
    <col min="7170" max="7170" width="10.5546875" style="137" bestFit="1" customWidth="1"/>
    <col min="7171" max="7171" width="12.109375" style="137" bestFit="1" customWidth="1"/>
    <col min="7172" max="7172" width="18.109375" style="137" bestFit="1" customWidth="1"/>
    <col min="7173" max="7173" width="10.5546875" style="137" bestFit="1" customWidth="1"/>
    <col min="7174" max="7409" width="8.5546875" style="137"/>
    <col min="7410" max="7410" width="38.109375" style="137" customWidth="1"/>
    <col min="7411" max="7411" width="23.44140625" style="137" bestFit="1" customWidth="1"/>
    <col min="7412" max="7413" width="9.109375" style="137" customWidth="1"/>
    <col min="7414" max="7414" width="11.109375" style="137" bestFit="1" customWidth="1"/>
    <col min="7415" max="7415" width="14.44140625" style="137" bestFit="1" customWidth="1"/>
    <col min="7416" max="7416" width="8.109375" style="137" customWidth="1"/>
    <col min="7417" max="7417" width="10.5546875" style="137" bestFit="1" customWidth="1"/>
    <col min="7418" max="7418" width="12.109375" style="137" bestFit="1" customWidth="1"/>
    <col min="7419" max="7419" width="9.109375" style="137" customWidth="1"/>
    <col min="7420" max="7420" width="10.5546875" style="137" bestFit="1" customWidth="1"/>
    <col min="7421" max="7421" width="12.109375" style="137" bestFit="1" customWidth="1"/>
    <col min="7422" max="7422" width="8" style="137" customWidth="1"/>
    <col min="7423" max="7423" width="10.5546875" style="137" bestFit="1" customWidth="1"/>
    <col min="7424" max="7424" width="12.109375" style="137" bestFit="1" customWidth="1"/>
    <col min="7425" max="7425" width="8.109375" style="137" bestFit="1" customWidth="1"/>
    <col min="7426" max="7426" width="10.5546875" style="137" bestFit="1" customWidth="1"/>
    <col min="7427" max="7427" width="12.109375" style="137" bestFit="1" customWidth="1"/>
    <col min="7428" max="7428" width="18.109375" style="137" bestFit="1" customWidth="1"/>
    <col min="7429" max="7429" width="10.5546875" style="137" bestFit="1" customWidth="1"/>
    <col min="7430" max="7665" width="8.5546875" style="137"/>
    <col min="7666" max="7666" width="38.109375" style="137" customWidth="1"/>
    <col min="7667" max="7667" width="23.44140625" style="137" bestFit="1" customWidth="1"/>
    <col min="7668" max="7669" width="9.109375" style="137" customWidth="1"/>
    <col min="7670" max="7670" width="11.109375" style="137" bestFit="1" customWidth="1"/>
    <col min="7671" max="7671" width="14.44140625" style="137" bestFit="1" customWidth="1"/>
    <col min="7672" max="7672" width="8.109375" style="137" customWidth="1"/>
    <col min="7673" max="7673" width="10.5546875" style="137" bestFit="1" customWidth="1"/>
    <col min="7674" max="7674" width="12.109375" style="137" bestFit="1" customWidth="1"/>
    <col min="7675" max="7675" width="9.109375" style="137" customWidth="1"/>
    <col min="7676" max="7676" width="10.5546875" style="137" bestFit="1" customWidth="1"/>
    <col min="7677" max="7677" width="12.109375" style="137" bestFit="1" customWidth="1"/>
    <col min="7678" max="7678" width="8" style="137" customWidth="1"/>
    <col min="7679" max="7679" width="10.5546875" style="137" bestFit="1" customWidth="1"/>
    <col min="7680" max="7680" width="12.109375" style="137" bestFit="1" customWidth="1"/>
    <col min="7681" max="7681" width="8.109375" style="137" bestFit="1" customWidth="1"/>
    <col min="7682" max="7682" width="10.5546875" style="137" bestFit="1" customWidth="1"/>
    <col min="7683" max="7683" width="12.109375" style="137" bestFit="1" customWidth="1"/>
    <col min="7684" max="7684" width="18.109375" style="137" bestFit="1" customWidth="1"/>
    <col min="7685" max="7685" width="10.5546875" style="137" bestFit="1" customWidth="1"/>
    <col min="7686" max="7921" width="8.5546875" style="137"/>
    <col min="7922" max="7922" width="38.109375" style="137" customWidth="1"/>
    <col min="7923" max="7923" width="23.44140625" style="137" bestFit="1" customWidth="1"/>
    <col min="7924" max="7925" width="9.109375" style="137" customWidth="1"/>
    <col min="7926" max="7926" width="11.109375" style="137" bestFit="1" customWidth="1"/>
    <col min="7927" max="7927" width="14.44140625" style="137" bestFit="1" customWidth="1"/>
    <col min="7928" max="7928" width="8.109375" style="137" customWidth="1"/>
    <col min="7929" max="7929" width="10.5546875" style="137" bestFit="1" customWidth="1"/>
    <col min="7930" max="7930" width="12.109375" style="137" bestFit="1" customWidth="1"/>
    <col min="7931" max="7931" width="9.109375" style="137" customWidth="1"/>
    <col min="7932" max="7932" width="10.5546875" style="137" bestFit="1" customWidth="1"/>
    <col min="7933" max="7933" width="12.109375" style="137" bestFit="1" customWidth="1"/>
    <col min="7934" max="7934" width="8" style="137" customWidth="1"/>
    <col min="7935" max="7935" width="10.5546875" style="137" bestFit="1" customWidth="1"/>
    <col min="7936" max="7936" width="12.109375" style="137" bestFit="1" customWidth="1"/>
    <col min="7937" max="7937" width="8.109375" style="137" bestFit="1" customWidth="1"/>
    <col min="7938" max="7938" width="10.5546875" style="137" bestFit="1" customWidth="1"/>
    <col min="7939" max="7939" width="12.109375" style="137" bestFit="1" customWidth="1"/>
    <col min="7940" max="7940" width="18.109375" style="137" bestFit="1" customWidth="1"/>
    <col min="7941" max="7941" width="10.5546875" style="137" bestFit="1" customWidth="1"/>
    <col min="7942" max="8177" width="8.5546875" style="137"/>
    <col min="8178" max="8178" width="38.109375" style="137" customWidth="1"/>
    <col min="8179" max="8179" width="23.44140625" style="137" bestFit="1" customWidth="1"/>
    <col min="8180" max="8181" width="9.109375" style="137" customWidth="1"/>
    <col min="8182" max="8182" width="11.109375" style="137" bestFit="1" customWidth="1"/>
    <col min="8183" max="8183" width="14.44140625" style="137" bestFit="1" customWidth="1"/>
    <col min="8184" max="8184" width="8.109375" style="137" customWidth="1"/>
    <col min="8185" max="8185" width="10.5546875" style="137" bestFit="1" customWidth="1"/>
    <col min="8186" max="8186" width="12.109375" style="137" bestFit="1" customWidth="1"/>
    <col min="8187" max="8187" width="9.109375" style="137" customWidth="1"/>
    <col min="8188" max="8188" width="10.5546875" style="137" bestFit="1" customWidth="1"/>
    <col min="8189" max="8189" width="12.109375" style="137" bestFit="1" customWidth="1"/>
    <col min="8190" max="8190" width="8" style="137" customWidth="1"/>
    <col min="8191" max="8191" width="10.5546875" style="137" bestFit="1" customWidth="1"/>
    <col min="8192" max="8192" width="12.109375" style="137" bestFit="1" customWidth="1"/>
    <col min="8193" max="8193" width="8.109375" style="137" bestFit="1" customWidth="1"/>
    <col min="8194" max="8194" width="10.5546875" style="137" bestFit="1" customWidth="1"/>
    <col min="8195" max="8195" width="12.109375" style="137" bestFit="1" customWidth="1"/>
    <col min="8196" max="8196" width="18.109375" style="137" bestFit="1" customWidth="1"/>
    <col min="8197" max="8197" width="10.5546875" style="137" bestFit="1" customWidth="1"/>
    <col min="8198" max="8433" width="8.5546875" style="137"/>
    <col min="8434" max="8434" width="38.109375" style="137" customWidth="1"/>
    <col min="8435" max="8435" width="23.44140625" style="137" bestFit="1" customWidth="1"/>
    <col min="8436" max="8437" width="9.109375" style="137" customWidth="1"/>
    <col min="8438" max="8438" width="11.109375" style="137" bestFit="1" customWidth="1"/>
    <col min="8439" max="8439" width="14.44140625" style="137" bestFit="1" customWidth="1"/>
    <col min="8440" max="8440" width="8.109375" style="137" customWidth="1"/>
    <col min="8441" max="8441" width="10.5546875" style="137" bestFit="1" customWidth="1"/>
    <col min="8442" max="8442" width="12.109375" style="137" bestFit="1" customWidth="1"/>
    <col min="8443" max="8443" width="9.109375" style="137" customWidth="1"/>
    <col min="8444" max="8444" width="10.5546875" style="137" bestFit="1" customWidth="1"/>
    <col min="8445" max="8445" width="12.109375" style="137" bestFit="1" customWidth="1"/>
    <col min="8446" max="8446" width="8" style="137" customWidth="1"/>
    <col min="8447" max="8447" width="10.5546875" style="137" bestFit="1" customWidth="1"/>
    <col min="8448" max="8448" width="12.109375" style="137" bestFit="1" customWidth="1"/>
    <col min="8449" max="8449" width="8.109375" style="137" bestFit="1" customWidth="1"/>
    <col min="8450" max="8450" width="10.5546875" style="137" bestFit="1" customWidth="1"/>
    <col min="8451" max="8451" width="12.109375" style="137" bestFit="1" customWidth="1"/>
    <col min="8452" max="8452" width="18.109375" style="137" bestFit="1" customWidth="1"/>
    <col min="8453" max="8453" width="10.5546875" style="137" bestFit="1" customWidth="1"/>
    <col min="8454" max="8689" width="8.5546875" style="137"/>
    <col min="8690" max="8690" width="38.109375" style="137" customWidth="1"/>
    <col min="8691" max="8691" width="23.44140625" style="137" bestFit="1" customWidth="1"/>
    <col min="8692" max="8693" width="9.109375" style="137" customWidth="1"/>
    <col min="8694" max="8694" width="11.109375" style="137" bestFit="1" customWidth="1"/>
    <col min="8695" max="8695" width="14.44140625" style="137" bestFit="1" customWidth="1"/>
    <col min="8696" max="8696" width="8.109375" style="137" customWidth="1"/>
    <col min="8697" max="8697" width="10.5546875" style="137" bestFit="1" customWidth="1"/>
    <col min="8698" max="8698" width="12.109375" style="137" bestFit="1" customWidth="1"/>
    <col min="8699" max="8699" width="9.109375" style="137" customWidth="1"/>
    <col min="8700" max="8700" width="10.5546875" style="137" bestFit="1" customWidth="1"/>
    <col min="8701" max="8701" width="12.109375" style="137" bestFit="1" customWidth="1"/>
    <col min="8702" max="8702" width="8" style="137" customWidth="1"/>
    <col min="8703" max="8703" width="10.5546875" style="137" bestFit="1" customWidth="1"/>
    <col min="8704" max="8704" width="12.109375" style="137" bestFit="1" customWidth="1"/>
    <col min="8705" max="8705" width="8.109375" style="137" bestFit="1" customWidth="1"/>
    <col min="8706" max="8706" width="10.5546875" style="137" bestFit="1" customWidth="1"/>
    <col min="8707" max="8707" width="12.109375" style="137" bestFit="1" customWidth="1"/>
    <col min="8708" max="8708" width="18.109375" style="137" bestFit="1" customWidth="1"/>
    <col min="8709" max="8709" width="10.5546875" style="137" bestFit="1" customWidth="1"/>
    <col min="8710" max="8945" width="8.5546875" style="137"/>
    <col min="8946" max="8946" width="38.109375" style="137" customWidth="1"/>
    <col min="8947" max="8947" width="23.44140625" style="137" bestFit="1" customWidth="1"/>
    <col min="8948" max="8949" width="9.109375" style="137" customWidth="1"/>
    <col min="8950" max="8950" width="11.109375" style="137" bestFit="1" customWidth="1"/>
    <col min="8951" max="8951" width="14.44140625" style="137" bestFit="1" customWidth="1"/>
    <col min="8952" max="8952" width="8.109375" style="137" customWidth="1"/>
    <col min="8953" max="8953" width="10.5546875" style="137" bestFit="1" customWidth="1"/>
    <col min="8954" max="8954" width="12.109375" style="137" bestFit="1" customWidth="1"/>
    <col min="8955" max="8955" width="9.109375" style="137" customWidth="1"/>
    <col min="8956" max="8956" width="10.5546875" style="137" bestFit="1" customWidth="1"/>
    <col min="8957" max="8957" width="12.109375" style="137" bestFit="1" customWidth="1"/>
    <col min="8958" max="8958" width="8" style="137" customWidth="1"/>
    <col min="8959" max="8959" width="10.5546875" style="137" bestFit="1" customWidth="1"/>
    <col min="8960" max="8960" width="12.109375" style="137" bestFit="1" customWidth="1"/>
    <col min="8961" max="8961" width="8.109375" style="137" bestFit="1" customWidth="1"/>
    <col min="8962" max="8962" width="10.5546875" style="137" bestFit="1" customWidth="1"/>
    <col min="8963" max="8963" width="12.109375" style="137" bestFit="1" customWidth="1"/>
    <col min="8964" max="8964" width="18.109375" style="137" bestFit="1" customWidth="1"/>
    <col min="8965" max="8965" width="10.5546875" style="137" bestFit="1" customWidth="1"/>
    <col min="8966" max="9201" width="8.5546875" style="137"/>
    <col min="9202" max="9202" width="38.109375" style="137" customWidth="1"/>
    <col min="9203" max="9203" width="23.44140625" style="137" bestFit="1" customWidth="1"/>
    <col min="9204" max="9205" width="9.109375" style="137" customWidth="1"/>
    <col min="9206" max="9206" width="11.109375" style="137" bestFit="1" customWidth="1"/>
    <col min="9207" max="9207" width="14.44140625" style="137" bestFit="1" customWidth="1"/>
    <col min="9208" max="9208" width="8.109375" style="137" customWidth="1"/>
    <col min="9209" max="9209" width="10.5546875" style="137" bestFit="1" customWidth="1"/>
    <col min="9210" max="9210" width="12.109375" style="137" bestFit="1" customWidth="1"/>
    <col min="9211" max="9211" width="9.109375" style="137" customWidth="1"/>
    <col min="9212" max="9212" width="10.5546875" style="137" bestFit="1" customWidth="1"/>
    <col min="9213" max="9213" width="12.109375" style="137" bestFit="1" customWidth="1"/>
    <col min="9214" max="9214" width="8" style="137" customWidth="1"/>
    <col min="9215" max="9215" width="10.5546875" style="137" bestFit="1" customWidth="1"/>
    <col min="9216" max="9216" width="12.109375" style="137" bestFit="1" customWidth="1"/>
    <col min="9217" max="9217" width="8.109375" style="137" bestFit="1" customWidth="1"/>
    <col min="9218" max="9218" width="10.5546875" style="137" bestFit="1" customWidth="1"/>
    <col min="9219" max="9219" width="12.109375" style="137" bestFit="1" customWidth="1"/>
    <col min="9220" max="9220" width="18.109375" style="137" bestFit="1" customWidth="1"/>
    <col min="9221" max="9221" width="10.5546875" style="137" bestFit="1" customWidth="1"/>
    <col min="9222" max="9457" width="8.5546875" style="137"/>
    <col min="9458" max="9458" width="38.109375" style="137" customWidth="1"/>
    <col min="9459" max="9459" width="23.44140625" style="137" bestFit="1" customWidth="1"/>
    <col min="9460" max="9461" width="9.109375" style="137" customWidth="1"/>
    <col min="9462" max="9462" width="11.109375" style="137" bestFit="1" customWidth="1"/>
    <col min="9463" max="9463" width="14.44140625" style="137" bestFit="1" customWidth="1"/>
    <col min="9464" max="9464" width="8.109375" style="137" customWidth="1"/>
    <col min="9465" max="9465" width="10.5546875" style="137" bestFit="1" customWidth="1"/>
    <col min="9466" max="9466" width="12.109375" style="137" bestFit="1" customWidth="1"/>
    <col min="9467" max="9467" width="9.109375" style="137" customWidth="1"/>
    <col min="9468" max="9468" width="10.5546875" style="137" bestFit="1" customWidth="1"/>
    <col min="9469" max="9469" width="12.109375" style="137" bestFit="1" customWidth="1"/>
    <col min="9470" max="9470" width="8" style="137" customWidth="1"/>
    <col min="9471" max="9471" width="10.5546875" style="137" bestFit="1" customWidth="1"/>
    <col min="9472" max="9472" width="12.109375" style="137" bestFit="1" customWidth="1"/>
    <col min="9473" max="9473" width="8.109375" style="137" bestFit="1" customWidth="1"/>
    <col min="9474" max="9474" width="10.5546875" style="137" bestFit="1" customWidth="1"/>
    <col min="9475" max="9475" width="12.109375" style="137" bestFit="1" customWidth="1"/>
    <col min="9476" max="9476" width="18.109375" style="137" bestFit="1" customWidth="1"/>
    <col min="9477" max="9477" width="10.5546875" style="137" bestFit="1" customWidth="1"/>
    <col min="9478" max="9713" width="8.5546875" style="137"/>
    <col min="9714" max="9714" width="38.109375" style="137" customWidth="1"/>
    <col min="9715" max="9715" width="23.44140625" style="137" bestFit="1" customWidth="1"/>
    <col min="9716" max="9717" width="9.109375" style="137" customWidth="1"/>
    <col min="9718" max="9718" width="11.109375" style="137" bestFit="1" customWidth="1"/>
    <col min="9719" max="9719" width="14.44140625" style="137" bestFit="1" customWidth="1"/>
    <col min="9720" max="9720" width="8.109375" style="137" customWidth="1"/>
    <col min="9721" max="9721" width="10.5546875" style="137" bestFit="1" customWidth="1"/>
    <col min="9722" max="9722" width="12.109375" style="137" bestFit="1" customWidth="1"/>
    <col min="9723" max="9723" width="9.109375" style="137" customWidth="1"/>
    <col min="9724" max="9724" width="10.5546875" style="137" bestFit="1" customWidth="1"/>
    <col min="9725" max="9725" width="12.109375" style="137" bestFit="1" customWidth="1"/>
    <col min="9726" max="9726" width="8" style="137" customWidth="1"/>
    <col min="9727" max="9727" width="10.5546875" style="137" bestFit="1" customWidth="1"/>
    <col min="9728" max="9728" width="12.109375" style="137" bestFit="1" customWidth="1"/>
    <col min="9729" max="9729" width="8.109375" style="137" bestFit="1" customWidth="1"/>
    <col min="9730" max="9730" width="10.5546875" style="137" bestFit="1" customWidth="1"/>
    <col min="9731" max="9731" width="12.109375" style="137" bestFit="1" customWidth="1"/>
    <col min="9732" max="9732" width="18.109375" style="137" bestFit="1" customWidth="1"/>
    <col min="9733" max="9733" width="10.5546875" style="137" bestFit="1" customWidth="1"/>
    <col min="9734" max="9969" width="8.5546875" style="137"/>
    <col min="9970" max="9970" width="38.109375" style="137" customWidth="1"/>
    <col min="9971" max="9971" width="23.44140625" style="137" bestFit="1" customWidth="1"/>
    <col min="9972" max="9973" width="9.109375" style="137" customWidth="1"/>
    <col min="9974" max="9974" width="11.109375" style="137" bestFit="1" customWidth="1"/>
    <col min="9975" max="9975" width="14.44140625" style="137" bestFit="1" customWidth="1"/>
    <col min="9976" max="9976" width="8.109375" style="137" customWidth="1"/>
    <col min="9977" max="9977" width="10.5546875" style="137" bestFit="1" customWidth="1"/>
    <col min="9978" max="9978" width="12.109375" style="137" bestFit="1" customWidth="1"/>
    <col min="9979" max="9979" width="9.109375" style="137" customWidth="1"/>
    <col min="9980" max="9980" width="10.5546875" style="137" bestFit="1" customWidth="1"/>
    <col min="9981" max="9981" width="12.109375" style="137" bestFit="1" customWidth="1"/>
    <col min="9982" max="9982" width="8" style="137" customWidth="1"/>
    <col min="9983" max="9983" width="10.5546875" style="137" bestFit="1" customWidth="1"/>
    <col min="9984" max="9984" width="12.109375" style="137" bestFit="1" customWidth="1"/>
    <col min="9985" max="9985" width="8.109375" style="137" bestFit="1" customWidth="1"/>
    <col min="9986" max="9986" width="10.5546875" style="137" bestFit="1" customWidth="1"/>
    <col min="9987" max="9987" width="12.109375" style="137" bestFit="1" customWidth="1"/>
    <col min="9988" max="9988" width="18.109375" style="137" bestFit="1" customWidth="1"/>
    <col min="9989" max="9989" width="10.5546875" style="137" bestFit="1" customWidth="1"/>
    <col min="9990" max="10225" width="8.5546875" style="137"/>
    <col min="10226" max="10226" width="38.109375" style="137" customWidth="1"/>
    <col min="10227" max="10227" width="23.44140625" style="137" bestFit="1" customWidth="1"/>
    <col min="10228" max="10229" width="9.109375" style="137" customWidth="1"/>
    <col min="10230" max="10230" width="11.109375" style="137" bestFit="1" customWidth="1"/>
    <col min="10231" max="10231" width="14.44140625" style="137" bestFit="1" customWidth="1"/>
    <col min="10232" max="10232" width="8.109375" style="137" customWidth="1"/>
    <col min="10233" max="10233" width="10.5546875" style="137" bestFit="1" customWidth="1"/>
    <col min="10234" max="10234" width="12.109375" style="137" bestFit="1" customWidth="1"/>
    <col min="10235" max="10235" width="9.109375" style="137" customWidth="1"/>
    <col min="10236" max="10236" width="10.5546875" style="137" bestFit="1" customWidth="1"/>
    <col min="10237" max="10237" width="12.109375" style="137" bestFit="1" customWidth="1"/>
    <col min="10238" max="10238" width="8" style="137" customWidth="1"/>
    <col min="10239" max="10239" width="10.5546875" style="137" bestFit="1" customWidth="1"/>
    <col min="10240" max="10240" width="12.109375" style="137" bestFit="1" customWidth="1"/>
    <col min="10241" max="10241" width="8.109375" style="137" bestFit="1" customWidth="1"/>
    <col min="10242" max="10242" width="10.5546875" style="137" bestFit="1" customWidth="1"/>
    <col min="10243" max="10243" width="12.109375" style="137" bestFit="1" customWidth="1"/>
    <col min="10244" max="10244" width="18.109375" style="137" bestFit="1" customWidth="1"/>
    <col min="10245" max="10245" width="10.5546875" style="137" bestFit="1" customWidth="1"/>
    <col min="10246" max="10481" width="8.5546875" style="137"/>
    <col min="10482" max="10482" width="38.109375" style="137" customWidth="1"/>
    <col min="10483" max="10483" width="23.44140625" style="137" bestFit="1" customWidth="1"/>
    <col min="10484" max="10485" width="9.109375" style="137" customWidth="1"/>
    <col min="10486" max="10486" width="11.109375" style="137" bestFit="1" customWidth="1"/>
    <col min="10487" max="10487" width="14.44140625" style="137" bestFit="1" customWidth="1"/>
    <col min="10488" max="10488" width="8.109375" style="137" customWidth="1"/>
    <col min="10489" max="10489" width="10.5546875" style="137" bestFit="1" customWidth="1"/>
    <col min="10490" max="10490" width="12.109375" style="137" bestFit="1" customWidth="1"/>
    <col min="10491" max="10491" width="9.109375" style="137" customWidth="1"/>
    <col min="10492" max="10492" width="10.5546875" style="137" bestFit="1" customWidth="1"/>
    <col min="10493" max="10493" width="12.109375" style="137" bestFit="1" customWidth="1"/>
    <col min="10494" max="10494" width="8" style="137" customWidth="1"/>
    <col min="10495" max="10495" width="10.5546875" style="137" bestFit="1" customWidth="1"/>
    <col min="10496" max="10496" width="12.109375" style="137" bestFit="1" customWidth="1"/>
    <col min="10497" max="10497" width="8.109375" style="137" bestFit="1" customWidth="1"/>
    <col min="10498" max="10498" width="10.5546875" style="137" bestFit="1" customWidth="1"/>
    <col min="10499" max="10499" width="12.109375" style="137" bestFit="1" customWidth="1"/>
    <col min="10500" max="10500" width="18.109375" style="137" bestFit="1" customWidth="1"/>
    <col min="10501" max="10501" width="10.5546875" style="137" bestFit="1" customWidth="1"/>
    <col min="10502" max="10737" width="8.5546875" style="137"/>
    <col min="10738" max="10738" width="38.109375" style="137" customWidth="1"/>
    <col min="10739" max="10739" width="23.44140625" style="137" bestFit="1" customWidth="1"/>
    <col min="10740" max="10741" width="9.109375" style="137" customWidth="1"/>
    <col min="10742" max="10742" width="11.109375" style="137" bestFit="1" customWidth="1"/>
    <col min="10743" max="10743" width="14.44140625" style="137" bestFit="1" customWidth="1"/>
    <col min="10744" max="10744" width="8.109375" style="137" customWidth="1"/>
    <col min="10745" max="10745" width="10.5546875" style="137" bestFit="1" customWidth="1"/>
    <col min="10746" max="10746" width="12.109375" style="137" bestFit="1" customWidth="1"/>
    <col min="10747" max="10747" width="9.109375" style="137" customWidth="1"/>
    <col min="10748" max="10748" width="10.5546875" style="137" bestFit="1" customWidth="1"/>
    <col min="10749" max="10749" width="12.109375" style="137" bestFit="1" customWidth="1"/>
    <col min="10750" max="10750" width="8" style="137" customWidth="1"/>
    <col min="10751" max="10751" width="10.5546875" style="137" bestFit="1" customWidth="1"/>
    <col min="10752" max="10752" width="12.109375" style="137" bestFit="1" customWidth="1"/>
    <col min="10753" max="10753" width="8.109375" style="137" bestFit="1" customWidth="1"/>
    <col min="10754" max="10754" width="10.5546875" style="137" bestFit="1" customWidth="1"/>
    <col min="10755" max="10755" width="12.109375" style="137" bestFit="1" customWidth="1"/>
    <col min="10756" max="10756" width="18.109375" style="137" bestFit="1" customWidth="1"/>
    <col min="10757" max="10757" width="10.5546875" style="137" bestFit="1" customWidth="1"/>
    <col min="10758" max="10993" width="8.5546875" style="137"/>
    <col min="10994" max="10994" width="38.109375" style="137" customWidth="1"/>
    <col min="10995" max="10995" width="23.44140625" style="137" bestFit="1" customWidth="1"/>
    <col min="10996" max="10997" width="9.109375" style="137" customWidth="1"/>
    <col min="10998" max="10998" width="11.109375" style="137" bestFit="1" customWidth="1"/>
    <col min="10999" max="10999" width="14.44140625" style="137" bestFit="1" customWidth="1"/>
    <col min="11000" max="11000" width="8.109375" style="137" customWidth="1"/>
    <col min="11001" max="11001" width="10.5546875" style="137" bestFit="1" customWidth="1"/>
    <col min="11002" max="11002" width="12.109375" style="137" bestFit="1" customWidth="1"/>
    <col min="11003" max="11003" width="9.109375" style="137" customWidth="1"/>
    <col min="11004" max="11004" width="10.5546875" style="137" bestFit="1" customWidth="1"/>
    <col min="11005" max="11005" width="12.109375" style="137" bestFit="1" customWidth="1"/>
    <col min="11006" max="11006" width="8" style="137" customWidth="1"/>
    <col min="11007" max="11007" width="10.5546875" style="137" bestFit="1" customWidth="1"/>
    <col min="11008" max="11008" width="12.109375" style="137" bestFit="1" customWidth="1"/>
    <col min="11009" max="11009" width="8.109375" style="137" bestFit="1" customWidth="1"/>
    <col min="11010" max="11010" width="10.5546875" style="137" bestFit="1" customWidth="1"/>
    <col min="11011" max="11011" width="12.109375" style="137" bestFit="1" customWidth="1"/>
    <col min="11012" max="11012" width="18.109375" style="137" bestFit="1" customWidth="1"/>
    <col min="11013" max="11013" width="10.5546875" style="137" bestFit="1" customWidth="1"/>
    <col min="11014" max="11249" width="8.5546875" style="137"/>
    <col min="11250" max="11250" width="38.109375" style="137" customWidth="1"/>
    <col min="11251" max="11251" width="23.44140625" style="137" bestFit="1" customWidth="1"/>
    <col min="11252" max="11253" width="9.109375" style="137" customWidth="1"/>
    <col min="11254" max="11254" width="11.109375" style="137" bestFit="1" customWidth="1"/>
    <col min="11255" max="11255" width="14.44140625" style="137" bestFit="1" customWidth="1"/>
    <col min="11256" max="11256" width="8.109375" style="137" customWidth="1"/>
    <col min="11257" max="11257" width="10.5546875" style="137" bestFit="1" customWidth="1"/>
    <col min="11258" max="11258" width="12.109375" style="137" bestFit="1" customWidth="1"/>
    <col min="11259" max="11259" width="9.109375" style="137" customWidth="1"/>
    <col min="11260" max="11260" width="10.5546875" style="137" bestFit="1" customWidth="1"/>
    <col min="11261" max="11261" width="12.109375" style="137" bestFit="1" customWidth="1"/>
    <col min="11262" max="11262" width="8" style="137" customWidth="1"/>
    <col min="11263" max="11263" width="10.5546875" style="137" bestFit="1" customWidth="1"/>
    <col min="11264" max="11264" width="12.109375" style="137" bestFit="1" customWidth="1"/>
    <col min="11265" max="11265" width="8.109375" style="137" bestFit="1" customWidth="1"/>
    <col min="11266" max="11266" width="10.5546875" style="137" bestFit="1" customWidth="1"/>
    <col min="11267" max="11267" width="12.109375" style="137" bestFit="1" customWidth="1"/>
    <col min="11268" max="11268" width="18.109375" style="137" bestFit="1" customWidth="1"/>
    <col min="11269" max="11269" width="10.5546875" style="137" bestFit="1" customWidth="1"/>
    <col min="11270" max="11505" width="8.5546875" style="137"/>
    <col min="11506" max="11506" width="38.109375" style="137" customWidth="1"/>
    <col min="11507" max="11507" width="23.44140625" style="137" bestFit="1" customWidth="1"/>
    <col min="11508" max="11509" width="9.109375" style="137" customWidth="1"/>
    <col min="11510" max="11510" width="11.109375" style="137" bestFit="1" customWidth="1"/>
    <col min="11511" max="11511" width="14.44140625" style="137" bestFit="1" customWidth="1"/>
    <col min="11512" max="11512" width="8.109375" style="137" customWidth="1"/>
    <col min="11513" max="11513" width="10.5546875" style="137" bestFit="1" customWidth="1"/>
    <col min="11514" max="11514" width="12.109375" style="137" bestFit="1" customWidth="1"/>
    <col min="11515" max="11515" width="9.109375" style="137" customWidth="1"/>
    <col min="11516" max="11516" width="10.5546875" style="137" bestFit="1" customWidth="1"/>
    <col min="11517" max="11517" width="12.109375" style="137" bestFit="1" customWidth="1"/>
    <col min="11518" max="11518" width="8" style="137" customWidth="1"/>
    <col min="11519" max="11519" width="10.5546875" style="137" bestFit="1" customWidth="1"/>
    <col min="11520" max="11520" width="12.109375" style="137" bestFit="1" customWidth="1"/>
    <col min="11521" max="11521" width="8.109375" style="137" bestFit="1" customWidth="1"/>
    <col min="11522" max="11522" width="10.5546875" style="137" bestFit="1" customWidth="1"/>
    <col min="11523" max="11523" width="12.109375" style="137" bestFit="1" customWidth="1"/>
    <col min="11524" max="11524" width="18.109375" style="137" bestFit="1" customWidth="1"/>
    <col min="11525" max="11525" width="10.5546875" style="137" bestFit="1" customWidth="1"/>
    <col min="11526" max="11761" width="8.5546875" style="137"/>
    <col min="11762" max="11762" width="38.109375" style="137" customWidth="1"/>
    <col min="11763" max="11763" width="23.44140625" style="137" bestFit="1" customWidth="1"/>
    <col min="11764" max="11765" width="9.109375" style="137" customWidth="1"/>
    <col min="11766" max="11766" width="11.109375" style="137" bestFit="1" customWidth="1"/>
    <col min="11767" max="11767" width="14.44140625" style="137" bestFit="1" customWidth="1"/>
    <col min="11768" max="11768" width="8.109375" style="137" customWidth="1"/>
    <col min="11769" max="11769" width="10.5546875" style="137" bestFit="1" customWidth="1"/>
    <col min="11770" max="11770" width="12.109375" style="137" bestFit="1" customWidth="1"/>
    <col min="11771" max="11771" width="9.109375" style="137" customWidth="1"/>
    <col min="11772" max="11772" width="10.5546875" style="137" bestFit="1" customWidth="1"/>
    <col min="11773" max="11773" width="12.109375" style="137" bestFit="1" customWidth="1"/>
    <col min="11774" max="11774" width="8" style="137" customWidth="1"/>
    <col min="11775" max="11775" width="10.5546875" style="137" bestFit="1" customWidth="1"/>
    <col min="11776" max="11776" width="12.109375" style="137" bestFit="1" customWidth="1"/>
    <col min="11777" max="11777" width="8.109375" style="137" bestFit="1" customWidth="1"/>
    <col min="11778" max="11778" width="10.5546875" style="137" bestFit="1" customWidth="1"/>
    <col min="11779" max="11779" width="12.109375" style="137" bestFit="1" customWidth="1"/>
    <col min="11780" max="11780" width="18.109375" style="137" bestFit="1" customWidth="1"/>
    <col min="11781" max="11781" width="10.5546875" style="137" bestFit="1" customWidth="1"/>
    <col min="11782" max="12017" width="8.5546875" style="137"/>
    <col min="12018" max="12018" width="38.109375" style="137" customWidth="1"/>
    <col min="12019" max="12019" width="23.44140625" style="137" bestFit="1" customWidth="1"/>
    <col min="12020" max="12021" width="9.109375" style="137" customWidth="1"/>
    <col min="12022" max="12022" width="11.109375" style="137" bestFit="1" customWidth="1"/>
    <col min="12023" max="12023" width="14.44140625" style="137" bestFit="1" customWidth="1"/>
    <col min="12024" max="12024" width="8.109375" style="137" customWidth="1"/>
    <col min="12025" max="12025" width="10.5546875" style="137" bestFit="1" customWidth="1"/>
    <col min="12026" max="12026" width="12.109375" style="137" bestFit="1" customWidth="1"/>
    <col min="12027" max="12027" width="9.109375" style="137" customWidth="1"/>
    <col min="12028" max="12028" width="10.5546875" style="137" bestFit="1" customWidth="1"/>
    <col min="12029" max="12029" width="12.109375" style="137" bestFit="1" customWidth="1"/>
    <col min="12030" max="12030" width="8" style="137" customWidth="1"/>
    <col min="12031" max="12031" width="10.5546875" style="137" bestFit="1" customWidth="1"/>
    <col min="12032" max="12032" width="12.109375" style="137" bestFit="1" customWidth="1"/>
    <col min="12033" max="12033" width="8.109375" style="137" bestFit="1" customWidth="1"/>
    <col min="12034" max="12034" width="10.5546875" style="137" bestFit="1" customWidth="1"/>
    <col min="12035" max="12035" width="12.109375" style="137" bestFit="1" customWidth="1"/>
    <col min="12036" max="12036" width="18.109375" style="137" bestFit="1" customWidth="1"/>
    <col min="12037" max="12037" width="10.5546875" style="137" bestFit="1" customWidth="1"/>
    <col min="12038" max="12273" width="8.5546875" style="137"/>
    <col min="12274" max="12274" width="38.109375" style="137" customWidth="1"/>
    <col min="12275" max="12275" width="23.44140625" style="137" bestFit="1" customWidth="1"/>
    <col min="12276" max="12277" width="9.109375" style="137" customWidth="1"/>
    <col min="12278" max="12278" width="11.109375" style="137" bestFit="1" customWidth="1"/>
    <col min="12279" max="12279" width="14.44140625" style="137" bestFit="1" customWidth="1"/>
    <col min="12280" max="12280" width="8.109375" style="137" customWidth="1"/>
    <col min="12281" max="12281" width="10.5546875" style="137" bestFit="1" customWidth="1"/>
    <col min="12282" max="12282" width="12.109375" style="137" bestFit="1" customWidth="1"/>
    <col min="12283" max="12283" width="9.109375" style="137" customWidth="1"/>
    <col min="12284" max="12284" width="10.5546875" style="137" bestFit="1" customWidth="1"/>
    <col min="12285" max="12285" width="12.109375" style="137" bestFit="1" customWidth="1"/>
    <col min="12286" max="12286" width="8" style="137" customWidth="1"/>
    <col min="12287" max="12287" width="10.5546875" style="137" bestFit="1" customWidth="1"/>
    <col min="12288" max="12288" width="12.109375" style="137" bestFit="1" customWidth="1"/>
    <col min="12289" max="12289" width="8.109375" style="137" bestFit="1" customWidth="1"/>
    <col min="12290" max="12290" width="10.5546875" style="137" bestFit="1" customWidth="1"/>
    <col min="12291" max="12291" width="12.109375" style="137" bestFit="1" customWidth="1"/>
    <col min="12292" max="12292" width="18.109375" style="137" bestFit="1" customWidth="1"/>
    <col min="12293" max="12293" width="10.5546875" style="137" bestFit="1" customWidth="1"/>
    <col min="12294" max="12529" width="8.5546875" style="137"/>
    <col min="12530" max="12530" width="38.109375" style="137" customWidth="1"/>
    <col min="12531" max="12531" width="23.44140625" style="137" bestFit="1" customWidth="1"/>
    <col min="12532" max="12533" width="9.109375" style="137" customWidth="1"/>
    <col min="12534" max="12534" width="11.109375" style="137" bestFit="1" customWidth="1"/>
    <col min="12535" max="12535" width="14.44140625" style="137" bestFit="1" customWidth="1"/>
    <col min="12536" max="12536" width="8.109375" style="137" customWidth="1"/>
    <col min="12537" max="12537" width="10.5546875" style="137" bestFit="1" customWidth="1"/>
    <col min="12538" max="12538" width="12.109375" style="137" bestFit="1" customWidth="1"/>
    <col min="12539" max="12539" width="9.109375" style="137" customWidth="1"/>
    <col min="12540" max="12540" width="10.5546875" style="137" bestFit="1" customWidth="1"/>
    <col min="12541" max="12541" width="12.109375" style="137" bestFit="1" customWidth="1"/>
    <col min="12542" max="12542" width="8" style="137" customWidth="1"/>
    <col min="12543" max="12543" width="10.5546875" style="137" bestFit="1" customWidth="1"/>
    <col min="12544" max="12544" width="12.109375" style="137" bestFit="1" customWidth="1"/>
    <col min="12545" max="12545" width="8.109375" style="137" bestFit="1" customWidth="1"/>
    <col min="12546" max="12546" width="10.5546875" style="137" bestFit="1" customWidth="1"/>
    <col min="12547" max="12547" width="12.109375" style="137" bestFit="1" customWidth="1"/>
    <col min="12548" max="12548" width="18.109375" style="137" bestFit="1" customWidth="1"/>
    <col min="12549" max="12549" width="10.5546875" style="137" bestFit="1" customWidth="1"/>
    <col min="12550" max="12785" width="8.5546875" style="137"/>
    <col min="12786" max="12786" width="38.109375" style="137" customWidth="1"/>
    <col min="12787" max="12787" width="23.44140625" style="137" bestFit="1" customWidth="1"/>
    <col min="12788" max="12789" width="9.109375" style="137" customWidth="1"/>
    <col min="12790" max="12790" width="11.109375" style="137" bestFit="1" customWidth="1"/>
    <col min="12791" max="12791" width="14.44140625" style="137" bestFit="1" customWidth="1"/>
    <col min="12792" max="12792" width="8.109375" style="137" customWidth="1"/>
    <col min="12793" max="12793" width="10.5546875" style="137" bestFit="1" customWidth="1"/>
    <col min="12794" max="12794" width="12.109375" style="137" bestFit="1" customWidth="1"/>
    <col min="12795" max="12795" width="9.109375" style="137" customWidth="1"/>
    <col min="12796" max="12796" width="10.5546875" style="137" bestFit="1" customWidth="1"/>
    <col min="12797" max="12797" width="12.109375" style="137" bestFit="1" customWidth="1"/>
    <col min="12798" max="12798" width="8" style="137" customWidth="1"/>
    <col min="12799" max="12799" width="10.5546875" style="137" bestFit="1" customWidth="1"/>
    <col min="12800" max="12800" width="12.109375" style="137" bestFit="1" customWidth="1"/>
    <col min="12801" max="12801" width="8.109375" style="137" bestFit="1" customWidth="1"/>
    <col min="12802" max="12802" width="10.5546875" style="137" bestFit="1" customWidth="1"/>
    <col min="12803" max="12803" width="12.109375" style="137" bestFit="1" customWidth="1"/>
    <col min="12804" max="12804" width="18.109375" style="137" bestFit="1" customWidth="1"/>
    <col min="12805" max="12805" width="10.5546875" style="137" bestFit="1" customWidth="1"/>
    <col min="12806" max="13041" width="8.5546875" style="137"/>
    <col min="13042" max="13042" width="38.109375" style="137" customWidth="1"/>
    <col min="13043" max="13043" width="23.44140625" style="137" bestFit="1" customWidth="1"/>
    <col min="13044" max="13045" width="9.109375" style="137" customWidth="1"/>
    <col min="13046" max="13046" width="11.109375" style="137" bestFit="1" customWidth="1"/>
    <col min="13047" max="13047" width="14.44140625" style="137" bestFit="1" customWidth="1"/>
    <col min="13048" max="13048" width="8.109375" style="137" customWidth="1"/>
    <col min="13049" max="13049" width="10.5546875" style="137" bestFit="1" customWidth="1"/>
    <col min="13050" max="13050" width="12.109375" style="137" bestFit="1" customWidth="1"/>
    <col min="13051" max="13051" width="9.109375" style="137" customWidth="1"/>
    <col min="13052" max="13052" width="10.5546875" style="137" bestFit="1" customWidth="1"/>
    <col min="13053" max="13053" width="12.109375" style="137" bestFit="1" customWidth="1"/>
    <col min="13054" max="13054" width="8" style="137" customWidth="1"/>
    <col min="13055" max="13055" width="10.5546875" style="137" bestFit="1" customWidth="1"/>
    <col min="13056" max="13056" width="12.109375" style="137" bestFit="1" customWidth="1"/>
    <col min="13057" max="13057" width="8.109375" style="137" bestFit="1" customWidth="1"/>
    <col min="13058" max="13058" width="10.5546875" style="137" bestFit="1" customWidth="1"/>
    <col min="13059" max="13059" width="12.109375" style="137" bestFit="1" customWidth="1"/>
    <col min="13060" max="13060" width="18.109375" style="137" bestFit="1" customWidth="1"/>
    <col min="13061" max="13061" width="10.5546875" style="137" bestFit="1" customWidth="1"/>
    <col min="13062" max="13297" width="8.5546875" style="137"/>
    <col min="13298" max="13298" width="38.109375" style="137" customWidth="1"/>
    <col min="13299" max="13299" width="23.44140625" style="137" bestFit="1" customWidth="1"/>
    <col min="13300" max="13301" width="9.109375" style="137" customWidth="1"/>
    <col min="13302" max="13302" width="11.109375" style="137" bestFit="1" customWidth="1"/>
    <col min="13303" max="13303" width="14.44140625" style="137" bestFit="1" customWidth="1"/>
    <col min="13304" max="13304" width="8.109375" style="137" customWidth="1"/>
    <col min="13305" max="13305" width="10.5546875" style="137" bestFit="1" customWidth="1"/>
    <col min="13306" max="13306" width="12.109375" style="137" bestFit="1" customWidth="1"/>
    <col min="13307" max="13307" width="9.109375" style="137" customWidth="1"/>
    <col min="13308" max="13308" width="10.5546875" style="137" bestFit="1" customWidth="1"/>
    <col min="13309" max="13309" width="12.109375" style="137" bestFit="1" customWidth="1"/>
    <col min="13310" max="13310" width="8" style="137" customWidth="1"/>
    <col min="13311" max="13311" width="10.5546875" style="137" bestFit="1" customWidth="1"/>
    <col min="13312" max="13312" width="12.109375" style="137" bestFit="1" customWidth="1"/>
    <col min="13313" max="13313" width="8.109375" style="137" bestFit="1" customWidth="1"/>
    <col min="13314" max="13314" width="10.5546875" style="137" bestFit="1" customWidth="1"/>
    <col min="13315" max="13315" width="12.109375" style="137" bestFit="1" customWidth="1"/>
    <col min="13316" max="13316" width="18.109375" style="137" bestFit="1" customWidth="1"/>
    <col min="13317" max="13317" width="10.5546875" style="137" bestFit="1" customWidth="1"/>
    <col min="13318" max="13553" width="8.5546875" style="137"/>
    <col min="13554" max="13554" width="38.109375" style="137" customWidth="1"/>
    <col min="13555" max="13555" width="23.44140625" style="137" bestFit="1" customWidth="1"/>
    <col min="13556" max="13557" width="9.109375" style="137" customWidth="1"/>
    <col min="13558" max="13558" width="11.109375" style="137" bestFit="1" customWidth="1"/>
    <col min="13559" max="13559" width="14.44140625" style="137" bestFit="1" customWidth="1"/>
    <col min="13560" max="13560" width="8.109375" style="137" customWidth="1"/>
    <col min="13561" max="13561" width="10.5546875" style="137" bestFit="1" customWidth="1"/>
    <col min="13562" max="13562" width="12.109375" style="137" bestFit="1" customWidth="1"/>
    <col min="13563" max="13563" width="9.109375" style="137" customWidth="1"/>
    <col min="13564" max="13564" width="10.5546875" style="137" bestFit="1" customWidth="1"/>
    <col min="13565" max="13565" width="12.109375" style="137" bestFit="1" customWidth="1"/>
    <col min="13566" max="13566" width="8" style="137" customWidth="1"/>
    <col min="13567" max="13567" width="10.5546875" style="137" bestFit="1" customWidth="1"/>
    <col min="13568" max="13568" width="12.109375" style="137" bestFit="1" customWidth="1"/>
    <col min="13569" max="13569" width="8.109375" style="137" bestFit="1" customWidth="1"/>
    <col min="13570" max="13570" width="10.5546875" style="137" bestFit="1" customWidth="1"/>
    <col min="13571" max="13571" width="12.109375" style="137" bestFit="1" customWidth="1"/>
    <col min="13572" max="13572" width="18.109375" style="137" bestFit="1" customWidth="1"/>
    <col min="13573" max="13573" width="10.5546875" style="137" bestFit="1" customWidth="1"/>
    <col min="13574" max="13809" width="8.5546875" style="137"/>
    <col min="13810" max="13810" width="38.109375" style="137" customWidth="1"/>
    <col min="13811" max="13811" width="23.44140625" style="137" bestFit="1" customWidth="1"/>
    <col min="13812" max="13813" width="9.109375" style="137" customWidth="1"/>
    <col min="13814" max="13814" width="11.109375" style="137" bestFit="1" customWidth="1"/>
    <col min="13815" max="13815" width="14.44140625" style="137" bestFit="1" customWidth="1"/>
    <col min="13816" max="13816" width="8.109375" style="137" customWidth="1"/>
    <col min="13817" max="13817" width="10.5546875" style="137" bestFit="1" customWidth="1"/>
    <col min="13818" max="13818" width="12.109375" style="137" bestFit="1" customWidth="1"/>
    <col min="13819" max="13819" width="9.109375" style="137" customWidth="1"/>
    <col min="13820" max="13820" width="10.5546875" style="137" bestFit="1" customWidth="1"/>
    <col min="13821" max="13821" width="12.109375" style="137" bestFit="1" customWidth="1"/>
    <col min="13822" max="13822" width="8" style="137" customWidth="1"/>
    <col min="13823" max="13823" width="10.5546875" style="137" bestFit="1" customWidth="1"/>
    <col min="13824" max="13824" width="12.109375" style="137" bestFit="1" customWidth="1"/>
    <col min="13825" max="13825" width="8.109375" style="137" bestFit="1" customWidth="1"/>
    <col min="13826" max="13826" width="10.5546875" style="137" bestFit="1" customWidth="1"/>
    <col min="13827" max="13827" width="12.109375" style="137" bestFit="1" customWidth="1"/>
    <col min="13828" max="13828" width="18.109375" style="137" bestFit="1" customWidth="1"/>
    <col min="13829" max="13829" width="10.5546875" style="137" bestFit="1" customWidth="1"/>
    <col min="13830" max="14065" width="8.5546875" style="137"/>
    <col min="14066" max="14066" width="38.109375" style="137" customWidth="1"/>
    <col min="14067" max="14067" width="23.44140625" style="137" bestFit="1" customWidth="1"/>
    <col min="14068" max="14069" width="9.109375" style="137" customWidth="1"/>
    <col min="14070" max="14070" width="11.109375" style="137" bestFit="1" customWidth="1"/>
    <col min="14071" max="14071" width="14.44140625" style="137" bestFit="1" customWidth="1"/>
    <col min="14072" max="14072" width="8.109375" style="137" customWidth="1"/>
    <col min="14073" max="14073" width="10.5546875" style="137" bestFit="1" customWidth="1"/>
    <col min="14074" max="14074" width="12.109375" style="137" bestFit="1" customWidth="1"/>
    <col min="14075" max="14075" width="9.109375" style="137" customWidth="1"/>
    <col min="14076" max="14076" width="10.5546875" style="137" bestFit="1" customWidth="1"/>
    <col min="14077" max="14077" width="12.109375" style="137" bestFit="1" customWidth="1"/>
    <col min="14078" max="14078" width="8" style="137" customWidth="1"/>
    <col min="14079" max="14079" width="10.5546875" style="137" bestFit="1" customWidth="1"/>
    <col min="14080" max="14080" width="12.109375" style="137" bestFit="1" customWidth="1"/>
    <col min="14081" max="14081" width="8.109375" style="137" bestFit="1" customWidth="1"/>
    <col min="14082" max="14082" width="10.5546875" style="137" bestFit="1" customWidth="1"/>
    <col min="14083" max="14083" width="12.109375" style="137" bestFit="1" customWidth="1"/>
    <col min="14084" max="14084" width="18.109375" style="137" bestFit="1" customWidth="1"/>
    <col min="14085" max="14085" width="10.5546875" style="137" bestFit="1" customWidth="1"/>
    <col min="14086" max="14321" width="8.5546875" style="137"/>
    <col min="14322" max="14322" width="38.109375" style="137" customWidth="1"/>
    <col min="14323" max="14323" width="23.44140625" style="137" bestFit="1" customWidth="1"/>
    <col min="14324" max="14325" width="9.109375" style="137" customWidth="1"/>
    <col min="14326" max="14326" width="11.109375" style="137" bestFit="1" customWidth="1"/>
    <col min="14327" max="14327" width="14.44140625" style="137" bestFit="1" customWidth="1"/>
    <col min="14328" max="14328" width="8.109375" style="137" customWidth="1"/>
    <col min="14329" max="14329" width="10.5546875" style="137" bestFit="1" customWidth="1"/>
    <col min="14330" max="14330" width="12.109375" style="137" bestFit="1" customWidth="1"/>
    <col min="14331" max="14331" width="9.109375" style="137" customWidth="1"/>
    <col min="14332" max="14332" width="10.5546875" style="137" bestFit="1" customWidth="1"/>
    <col min="14333" max="14333" width="12.109375" style="137" bestFit="1" customWidth="1"/>
    <col min="14334" max="14334" width="8" style="137" customWidth="1"/>
    <col min="14335" max="14335" width="10.5546875" style="137" bestFit="1" customWidth="1"/>
    <col min="14336" max="14336" width="12.109375" style="137" bestFit="1" customWidth="1"/>
    <col min="14337" max="14337" width="8.109375" style="137" bestFit="1" customWidth="1"/>
    <col min="14338" max="14338" width="10.5546875" style="137" bestFit="1" customWidth="1"/>
    <col min="14339" max="14339" width="12.109375" style="137" bestFit="1" customWidth="1"/>
    <col min="14340" max="14340" width="18.109375" style="137" bestFit="1" customWidth="1"/>
    <col min="14341" max="14341" width="10.5546875" style="137" bestFit="1" customWidth="1"/>
    <col min="14342" max="14577" width="8.5546875" style="137"/>
    <col min="14578" max="14578" width="38.109375" style="137" customWidth="1"/>
    <col min="14579" max="14579" width="23.44140625" style="137" bestFit="1" customWidth="1"/>
    <col min="14580" max="14581" width="9.109375" style="137" customWidth="1"/>
    <col min="14582" max="14582" width="11.109375" style="137" bestFit="1" customWidth="1"/>
    <col min="14583" max="14583" width="14.44140625" style="137" bestFit="1" customWidth="1"/>
    <col min="14584" max="14584" width="8.109375" style="137" customWidth="1"/>
    <col min="14585" max="14585" width="10.5546875" style="137" bestFit="1" customWidth="1"/>
    <col min="14586" max="14586" width="12.109375" style="137" bestFit="1" customWidth="1"/>
    <col min="14587" max="14587" width="9.109375" style="137" customWidth="1"/>
    <col min="14588" max="14588" width="10.5546875" style="137" bestFit="1" customWidth="1"/>
    <col min="14589" max="14589" width="12.109375" style="137" bestFit="1" customWidth="1"/>
    <col min="14590" max="14590" width="8" style="137" customWidth="1"/>
    <col min="14591" max="14591" width="10.5546875" style="137" bestFit="1" customWidth="1"/>
    <col min="14592" max="14592" width="12.109375" style="137" bestFit="1" customWidth="1"/>
    <col min="14593" max="14593" width="8.109375" style="137" bestFit="1" customWidth="1"/>
    <col min="14594" max="14594" width="10.5546875" style="137" bestFit="1" customWidth="1"/>
    <col min="14595" max="14595" width="12.109375" style="137" bestFit="1" customWidth="1"/>
    <col min="14596" max="14596" width="18.109375" style="137" bestFit="1" customWidth="1"/>
    <col min="14597" max="14597" width="10.5546875" style="137" bestFit="1" customWidth="1"/>
    <col min="14598" max="14833" width="8.5546875" style="137"/>
    <col min="14834" max="14834" width="38.109375" style="137" customWidth="1"/>
    <col min="14835" max="14835" width="23.44140625" style="137" bestFit="1" customWidth="1"/>
    <col min="14836" max="14837" width="9.109375" style="137" customWidth="1"/>
    <col min="14838" max="14838" width="11.109375" style="137" bestFit="1" customWidth="1"/>
    <col min="14839" max="14839" width="14.44140625" style="137" bestFit="1" customWidth="1"/>
    <col min="14840" max="14840" width="8.109375" style="137" customWidth="1"/>
    <col min="14841" max="14841" width="10.5546875" style="137" bestFit="1" customWidth="1"/>
    <col min="14842" max="14842" width="12.109375" style="137" bestFit="1" customWidth="1"/>
    <col min="14843" max="14843" width="9.109375" style="137" customWidth="1"/>
    <col min="14844" max="14844" width="10.5546875" style="137" bestFit="1" customWidth="1"/>
    <col min="14845" max="14845" width="12.109375" style="137" bestFit="1" customWidth="1"/>
    <col min="14846" max="14846" width="8" style="137" customWidth="1"/>
    <col min="14847" max="14847" width="10.5546875" style="137" bestFit="1" customWidth="1"/>
    <col min="14848" max="14848" width="12.109375" style="137" bestFit="1" customWidth="1"/>
    <col min="14849" max="14849" width="8.109375" style="137" bestFit="1" customWidth="1"/>
    <col min="14850" max="14850" width="10.5546875" style="137" bestFit="1" customWidth="1"/>
    <col min="14851" max="14851" width="12.109375" style="137" bestFit="1" customWidth="1"/>
    <col min="14852" max="14852" width="18.109375" style="137" bestFit="1" customWidth="1"/>
    <col min="14853" max="14853" width="10.5546875" style="137" bestFit="1" customWidth="1"/>
    <col min="14854" max="15089" width="8.5546875" style="137"/>
    <col min="15090" max="15090" width="38.109375" style="137" customWidth="1"/>
    <col min="15091" max="15091" width="23.44140625" style="137" bestFit="1" customWidth="1"/>
    <col min="15092" max="15093" width="9.109375" style="137" customWidth="1"/>
    <col min="15094" max="15094" width="11.109375" style="137" bestFit="1" customWidth="1"/>
    <col min="15095" max="15095" width="14.44140625" style="137" bestFit="1" customWidth="1"/>
    <col min="15096" max="15096" width="8.109375" style="137" customWidth="1"/>
    <col min="15097" max="15097" width="10.5546875" style="137" bestFit="1" customWidth="1"/>
    <col min="15098" max="15098" width="12.109375" style="137" bestFit="1" customWidth="1"/>
    <col min="15099" max="15099" width="9.109375" style="137" customWidth="1"/>
    <col min="15100" max="15100" width="10.5546875" style="137" bestFit="1" customWidth="1"/>
    <col min="15101" max="15101" width="12.109375" style="137" bestFit="1" customWidth="1"/>
    <col min="15102" max="15102" width="8" style="137" customWidth="1"/>
    <col min="15103" max="15103" width="10.5546875" style="137" bestFit="1" customWidth="1"/>
    <col min="15104" max="15104" width="12.109375" style="137" bestFit="1" customWidth="1"/>
    <col min="15105" max="15105" width="8.109375" style="137" bestFit="1" customWidth="1"/>
    <col min="15106" max="15106" width="10.5546875" style="137" bestFit="1" customWidth="1"/>
    <col min="15107" max="15107" width="12.109375" style="137" bestFit="1" customWidth="1"/>
    <col min="15108" max="15108" width="18.109375" style="137" bestFit="1" customWidth="1"/>
    <col min="15109" max="15109" width="10.5546875" style="137" bestFit="1" customWidth="1"/>
    <col min="15110" max="15345" width="8.5546875" style="137"/>
    <col min="15346" max="15346" width="38.109375" style="137" customWidth="1"/>
    <col min="15347" max="15347" width="23.44140625" style="137" bestFit="1" customWidth="1"/>
    <col min="15348" max="15349" width="9.109375" style="137" customWidth="1"/>
    <col min="15350" max="15350" width="11.109375" style="137" bestFit="1" customWidth="1"/>
    <col min="15351" max="15351" width="14.44140625" style="137" bestFit="1" customWidth="1"/>
    <col min="15352" max="15352" width="8.109375" style="137" customWidth="1"/>
    <col min="15353" max="15353" width="10.5546875" style="137" bestFit="1" customWidth="1"/>
    <col min="15354" max="15354" width="12.109375" style="137" bestFit="1" customWidth="1"/>
    <col min="15355" max="15355" width="9.109375" style="137" customWidth="1"/>
    <col min="15356" max="15356" width="10.5546875" style="137" bestFit="1" customWidth="1"/>
    <col min="15357" max="15357" width="12.109375" style="137" bestFit="1" customWidth="1"/>
    <col min="15358" max="15358" width="8" style="137" customWidth="1"/>
    <col min="15359" max="15359" width="10.5546875" style="137" bestFit="1" customWidth="1"/>
    <col min="15360" max="15360" width="12.109375" style="137" bestFit="1" customWidth="1"/>
    <col min="15361" max="15361" width="8.109375" style="137" bestFit="1" customWidth="1"/>
    <col min="15362" max="15362" width="10.5546875" style="137" bestFit="1" customWidth="1"/>
    <col min="15363" max="15363" width="12.109375" style="137" bestFit="1" customWidth="1"/>
    <col min="15364" max="15364" width="18.109375" style="137" bestFit="1" customWidth="1"/>
    <col min="15365" max="15365" width="10.5546875" style="137" bestFit="1" customWidth="1"/>
    <col min="15366" max="15601" width="8.5546875" style="137"/>
    <col min="15602" max="15602" width="38.109375" style="137" customWidth="1"/>
    <col min="15603" max="15603" width="23.44140625" style="137" bestFit="1" customWidth="1"/>
    <col min="15604" max="15605" width="9.109375" style="137" customWidth="1"/>
    <col min="15606" max="15606" width="11.109375" style="137" bestFit="1" customWidth="1"/>
    <col min="15607" max="15607" width="14.44140625" style="137" bestFit="1" customWidth="1"/>
    <col min="15608" max="15608" width="8.109375" style="137" customWidth="1"/>
    <col min="15609" max="15609" width="10.5546875" style="137" bestFit="1" customWidth="1"/>
    <col min="15610" max="15610" width="12.109375" style="137" bestFit="1" customWidth="1"/>
    <col min="15611" max="15611" width="9.109375" style="137" customWidth="1"/>
    <col min="15612" max="15612" width="10.5546875" style="137" bestFit="1" customWidth="1"/>
    <col min="15613" max="15613" width="12.109375" style="137" bestFit="1" customWidth="1"/>
    <col min="15614" max="15614" width="8" style="137" customWidth="1"/>
    <col min="15615" max="15615" width="10.5546875" style="137" bestFit="1" customWidth="1"/>
    <col min="15616" max="15616" width="12.109375" style="137" bestFit="1" customWidth="1"/>
    <col min="15617" max="15617" width="8.109375" style="137" bestFit="1" customWidth="1"/>
    <col min="15618" max="15618" width="10.5546875" style="137" bestFit="1" customWidth="1"/>
    <col min="15619" max="15619" width="12.109375" style="137" bestFit="1" customWidth="1"/>
    <col min="15620" max="15620" width="18.109375" style="137" bestFit="1" customWidth="1"/>
    <col min="15621" max="15621" width="10.5546875" style="137" bestFit="1" customWidth="1"/>
    <col min="15622" max="15857" width="8.5546875" style="137"/>
    <col min="15858" max="15858" width="38.109375" style="137" customWidth="1"/>
    <col min="15859" max="15859" width="23.44140625" style="137" bestFit="1" customWidth="1"/>
    <col min="15860" max="15861" width="9.109375" style="137" customWidth="1"/>
    <col min="15862" max="15862" width="11.109375" style="137" bestFit="1" customWidth="1"/>
    <col min="15863" max="15863" width="14.44140625" style="137" bestFit="1" customWidth="1"/>
    <col min="15864" max="15864" width="8.109375" style="137" customWidth="1"/>
    <col min="15865" max="15865" width="10.5546875" style="137" bestFit="1" customWidth="1"/>
    <col min="15866" max="15866" width="12.109375" style="137" bestFit="1" customWidth="1"/>
    <col min="15867" max="15867" width="9.109375" style="137" customWidth="1"/>
    <col min="15868" max="15868" width="10.5546875" style="137" bestFit="1" customWidth="1"/>
    <col min="15869" max="15869" width="12.109375" style="137" bestFit="1" customWidth="1"/>
    <col min="15870" max="15870" width="8" style="137" customWidth="1"/>
    <col min="15871" max="15871" width="10.5546875" style="137" bestFit="1" customWidth="1"/>
    <col min="15872" max="15872" width="12.109375" style="137" bestFit="1" customWidth="1"/>
    <col min="15873" max="15873" width="8.109375" style="137" bestFit="1" customWidth="1"/>
    <col min="15874" max="15874" width="10.5546875" style="137" bestFit="1" customWidth="1"/>
    <col min="15875" max="15875" width="12.109375" style="137" bestFit="1" customWidth="1"/>
    <col min="15876" max="15876" width="18.109375" style="137" bestFit="1" customWidth="1"/>
    <col min="15877" max="15877" width="10.5546875" style="137" bestFit="1" customWidth="1"/>
    <col min="15878" max="16113" width="8.5546875" style="137"/>
    <col min="16114" max="16114" width="38.109375" style="137" customWidth="1"/>
    <col min="16115" max="16115" width="23.44140625" style="137" bestFit="1" customWidth="1"/>
    <col min="16116" max="16117" width="9.109375" style="137" customWidth="1"/>
    <col min="16118" max="16118" width="11.109375" style="137" bestFit="1" customWidth="1"/>
    <col min="16119" max="16119" width="14.44140625" style="137" bestFit="1" customWidth="1"/>
    <col min="16120" max="16120" width="8.109375" style="137" customWidth="1"/>
    <col min="16121" max="16121" width="10.5546875" style="137" bestFit="1" customWidth="1"/>
    <col min="16122" max="16122" width="12.109375" style="137" bestFit="1" customWidth="1"/>
    <col min="16123" max="16123" width="9.109375" style="137" customWidth="1"/>
    <col min="16124" max="16124" width="10.5546875" style="137" bestFit="1" customWidth="1"/>
    <col min="16125" max="16125" width="12.109375" style="137" bestFit="1" customWidth="1"/>
    <col min="16126" max="16126" width="8" style="137" customWidth="1"/>
    <col min="16127" max="16127" width="10.5546875" style="137" bestFit="1" customWidth="1"/>
    <col min="16128" max="16128" width="12.109375" style="137" bestFit="1" customWidth="1"/>
    <col min="16129" max="16129" width="8.109375" style="137" bestFit="1" customWidth="1"/>
    <col min="16130" max="16130" width="10.5546875" style="137" bestFit="1" customWidth="1"/>
    <col min="16131" max="16131" width="12.109375" style="137" bestFit="1" customWidth="1"/>
    <col min="16132" max="16132" width="18.109375" style="137" bestFit="1" customWidth="1"/>
    <col min="16133" max="16133" width="10.5546875" style="137" bestFit="1" customWidth="1"/>
    <col min="16134" max="16361" width="8.5546875" style="137"/>
    <col min="16362" max="16384" width="8.5546875" style="137" customWidth="1"/>
  </cols>
  <sheetData>
    <row r="1" spans="1:26" ht="14.7" thickBot="1"/>
    <row r="2" spans="1:26" ht="24" customHeight="1">
      <c r="A2" s="889" t="s">
        <v>62</v>
      </c>
      <c r="B2" s="885" t="s">
        <v>63</v>
      </c>
      <c r="C2" s="882" t="s">
        <v>64</v>
      </c>
      <c r="D2" s="886"/>
      <c r="E2" s="886"/>
      <c r="F2" s="887"/>
      <c r="G2" s="882" t="s">
        <v>65</v>
      </c>
      <c r="H2" s="886"/>
      <c r="I2" s="886"/>
      <c r="J2" s="887"/>
      <c r="K2" s="882" t="s">
        <v>66</v>
      </c>
      <c r="L2" s="886"/>
      <c r="M2" s="886"/>
      <c r="N2" s="887"/>
      <c r="O2" s="882" t="s">
        <v>67</v>
      </c>
      <c r="P2" s="886"/>
      <c r="Q2" s="886"/>
      <c r="R2" s="887"/>
      <c r="S2" s="882" t="s">
        <v>68</v>
      </c>
      <c r="T2" s="886"/>
      <c r="U2" s="886"/>
      <c r="V2" s="887"/>
      <c r="W2" s="883" t="s">
        <v>69</v>
      </c>
    </row>
    <row r="3" spans="1:26" ht="48" customHeight="1">
      <c r="A3" s="890"/>
      <c r="B3" s="891"/>
      <c r="C3" s="144" t="s">
        <v>70</v>
      </c>
      <c r="D3" s="145" t="s">
        <v>71</v>
      </c>
      <c r="E3" s="146" t="s">
        <v>72</v>
      </c>
      <c r="F3" s="820" t="s">
        <v>69</v>
      </c>
      <c r="G3" s="144" t="s">
        <v>70</v>
      </c>
      <c r="H3" s="145" t="s">
        <v>71</v>
      </c>
      <c r="I3" s="147" t="s">
        <v>72</v>
      </c>
      <c r="J3" s="835" t="s">
        <v>69</v>
      </c>
      <c r="K3" s="144" t="s">
        <v>70</v>
      </c>
      <c r="L3" s="145" t="s">
        <v>71</v>
      </c>
      <c r="M3" s="146" t="s">
        <v>72</v>
      </c>
      <c r="N3" s="835" t="s">
        <v>69</v>
      </c>
      <c r="O3" s="144" t="s">
        <v>70</v>
      </c>
      <c r="P3" s="145" t="s">
        <v>71</v>
      </c>
      <c r="Q3" s="147" t="s">
        <v>72</v>
      </c>
      <c r="R3" s="835" t="s">
        <v>69</v>
      </c>
      <c r="S3" s="144" t="s">
        <v>70</v>
      </c>
      <c r="T3" s="145" t="s">
        <v>71</v>
      </c>
      <c r="U3" s="147" t="s">
        <v>72</v>
      </c>
      <c r="V3" s="835" t="s">
        <v>69</v>
      </c>
      <c r="W3" s="888"/>
    </row>
    <row r="4" spans="1:26" ht="20.399999999999999">
      <c r="A4" s="268" t="s">
        <v>73</v>
      </c>
      <c r="B4" s="148"/>
      <c r="C4" s="149"/>
      <c r="D4" s="150"/>
      <c r="E4" s="151"/>
      <c r="F4" s="821"/>
      <c r="G4" s="149"/>
      <c r="H4" s="150"/>
      <c r="I4" s="152"/>
      <c r="J4" s="836"/>
      <c r="K4" s="149"/>
      <c r="L4" s="150"/>
      <c r="M4" s="151"/>
      <c r="N4" s="836"/>
      <c r="O4" s="153"/>
      <c r="P4" s="150"/>
      <c r="Q4" s="152"/>
      <c r="R4" s="836"/>
      <c r="S4" s="153"/>
      <c r="T4" s="150"/>
      <c r="U4" s="152"/>
      <c r="V4" s="842"/>
      <c r="W4" s="836"/>
    </row>
    <row r="5" spans="1:26" s="162" customFormat="1" ht="15" customHeight="1" outlineLevel="1">
      <c r="A5" s="154" t="s">
        <v>27</v>
      </c>
      <c r="B5" s="155"/>
      <c r="C5" s="156"/>
      <c r="D5" s="157"/>
      <c r="E5" s="158"/>
      <c r="F5" s="822"/>
      <c r="G5" s="156"/>
      <c r="H5" s="157"/>
      <c r="I5" s="160"/>
      <c r="J5" s="837"/>
      <c r="K5" s="156"/>
      <c r="L5" s="157"/>
      <c r="M5" s="158"/>
      <c r="N5" s="837"/>
      <c r="O5" s="156"/>
      <c r="P5" s="157"/>
      <c r="Q5" s="160"/>
      <c r="R5" s="837"/>
      <c r="S5" s="156"/>
      <c r="T5" s="157"/>
      <c r="U5" s="160"/>
      <c r="V5" s="837"/>
      <c r="W5" s="843"/>
      <c r="X5" s="161"/>
      <c r="Y5" s="137"/>
      <c r="Z5" s="137"/>
    </row>
    <row r="6" spans="1:26" s="162" customFormat="1" ht="15.6" outlineLevel="1">
      <c r="A6" s="163" t="s">
        <v>74</v>
      </c>
      <c r="B6" s="164"/>
      <c r="C6" s="156"/>
      <c r="D6" s="157"/>
      <c r="E6" s="158"/>
      <c r="F6" s="822"/>
      <c r="G6" s="156"/>
      <c r="H6" s="157"/>
      <c r="I6" s="160"/>
      <c r="J6" s="837"/>
      <c r="K6" s="156"/>
      <c r="L6" s="157"/>
      <c r="M6" s="158"/>
      <c r="N6" s="837"/>
      <c r="O6" s="156"/>
      <c r="P6" s="157"/>
      <c r="Q6" s="160"/>
      <c r="R6" s="837"/>
      <c r="S6" s="156"/>
      <c r="T6" s="157"/>
      <c r="U6" s="160"/>
      <c r="V6" s="837"/>
      <c r="W6" s="843"/>
      <c r="X6" s="165"/>
      <c r="Y6" s="137"/>
      <c r="Z6" s="137"/>
    </row>
    <row r="7" spans="1:26" outlineLevel="1">
      <c r="A7" s="166" t="s">
        <v>75</v>
      </c>
      <c r="B7" s="181"/>
      <c r="D7" s="218"/>
      <c r="F7" s="823">
        <f>C7*D7*E7</f>
        <v>0</v>
      </c>
      <c r="H7" s="218"/>
      <c r="I7" s="140"/>
      <c r="J7" s="823">
        <f>G7*H7*I7</f>
        <v>0</v>
      </c>
      <c r="L7" s="218"/>
      <c r="N7" s="823">
        <f>K7*L7*M7</f>
        <v>0</v>
      </c>
      <c r="P7" s="218"/>
      <c r="Q7" s="140"/>
      <c r="R7" s="823">
        <f>O7*P7*Q7</f>
        <v>0</v>
      </c>
      <c r="T7" s="218"/>
      <c r="U7" s="140"/>
      <c r="V7" s="823">
        <f>S7*T7*U7</f>
        <v>0</v>
      </c>
      <c r="W7" s="838">
        <f t="shared" ref="W7" si="0">F7+J7+N7+R7+V7</f>
        <v>0</v>
      </c>
    </row>
    <row r="8" spans="1:26" ht="15" customHeight="1" outlineLevel="1">
      <c r="A8" s="175" t="s">
        <v>76</v>
      </c>
      <c r="B8" s="176"/>
      <c r="C8" s="177"/>
      <c r="D8" s="178"/>
      <c r="E8" s="179"/>
      <c r="F8" s="824">
        <f>SUM(F7:F7)</f>
        <v>0</v>
      </c>
      <c r="G8" s="177"/>
      <c r="H8" s="178"/>
      <c r="I8" s="180"/>
      <c r="J8" s="824">
        <f>SUM(J7:J7)</f>
        <v>0</v>
      </c>
      <c r="K8" s="177"/>
      <c r="L8" s="178"/>
      <c r="M8" s="179"/>
      <c r="N8" s="824">
        <f>SUM(N7:N7)</f>
        <v>0</v>
      </c>
      <c r="O8" s="177"/>
      <c r="P8" s="178"/>
      <c r="Q8" s="180"/>
      <c r="R8" s="824">
        <f>SUM(R7:R7)</f>
        <v>0</v>
      </c>
      <c r="S8" s="177"/>
      <c r="T8" s="178"/>
      <c r="U8" s="180"/>
      <c r="V8" s="824">
        <f>SUM(V7:V7)</f>
        <v>0</v>
      </c>
      <c r="W8" s="844">
        <f>+F8+J8+N8+R8+V8</f>
        <v>0</v>
      </c>
    </row>
    <row r="9" spans="1:26" ht="15" customHeight="1" outlineLevel="1">
      <c r="A9" s="163" t="s">
        <v>119</v>
      </c>
      <c r="B9" s="181"/>
      <c r="C9" s="182"/>
      <c r="D9" s="183"/>
      <c r="E9" s="184"/>
      <c r="F9" s="823"/>
      <c r="G9" s="182"/>
      <c r="H9" s="183"/>
      <c r="I9" s="185"/>
      <c r="J9" s="838"/>
      <c r="K9" s="182"/>
      <c r="L9" s="183"/>
      <c r="M9" s="184"/>
      <c r="N9" s="838"/>
      <c r="O9" s="182"/>
      <c r="P9" s="183"/>
      <c r="Q9" s="185"/>
      <c r="R9" s="838"/>
      <c r="S9" s="182"/>
      <c r="T9" s="183"/>
      <c r="U9" s="185"/>
      <c r="V9" s="838"/>
      <c r="W9" s="839"/>
      <c r="X9" s="165"/>
    </row>
    <row r="10" spans="1:26" ht="15" customHeight="1" outlineLevel="1">
      <c r="A10" s="166" t="str">
        <f>'Program Budget'!D12</f>
        <v>Key Personnel: Chief of Party</v>
      </c>
      <c r="B10" s="167" t="str">
        <f>'Program Budget'!F268</f>
        <v>Month</v>
      </c>
      <c r="C10" s="168">
        <f>'Program Budget'!H12</f>
        <v>9583.3333333333339</v>
      </c>
      <c r="D10" s="169">
        <f>'Program Budget'!G12</f>
        <v>11</v>
      </c>
      <c r="E10" s="170">
        <f>'Program Budget'!E268</f>
        <v>0.1</v>
      </c>
      <c r="F10" s="823">
        <f t="shared" ref="F10" si="1">C10*D10*E10</f>
        <v>10541.666666666668</v>
      </c>
      <c r="G10" s="168">
        <f t="shared" ref="G10" si="2">C10*1.05</f>
        <v>10062.500000000002</v>
      </c>
      <c r="H10" s="169">
        <f>'Program Budget'!K12</f>
        <v>12</v>
      </c>
      <c r="I10" s="172">
        <f>'Program Budget'!J268</f>
        <v>0.2</v>
      </c>
      <c r="J10" s="823">
        <f t="shared" ref="J10" si="3">G10*H10*I10</f>
        <v>24150.000000000007</v>
      </c>
      <c r="K10" s="168">
        <f t="shared" ref="K10" si="4">G10*1.05</f>
        <v>10565.625000000002</v>
      </c>
      <c r="L10" s="169">
        <f>'Program Budget'!N12</f>
        <v>12</v>
      </c>
      <c r="M10" s="172">
        <f>'Program Budget'!M268</f>
        <v>0.2</v>
      </c>
      <c r="N10" s="823">
        <f t="shared" ref="N10" si="5">K10*L10*M10</f>
        <v>25357.500000000007</v>
      </c>
      <c r="O10" s="168">
        <f t="shared" ref="O10" si="6">K10*1.05</f>
        <v>11093.906250000002</v>
      </c>
      <c r="P10" s="169">
        <f>'Program Budget'!Q12</f>
        <v>12</v>
      </c>
      <c r="Q10" s="172">
        <f>'Program Budget'!P268</f>
        <v>0.05</v>
      </c>
      <c r="R10" s="823">
        <f t="shared" ref="R10" si="7">O10*P10*Q10</f>
        <v>6656.3437500000018</v>
      </c>
      <c r="S10" s="168">
        <f t="shared" ref="S10" si="8">O10*1.05</f>
        <v>11648.601562500002</v>
      </c>
      <c r="T10" s="169">
        <f>'Program Budget'!T12</f>
        <v>0</v>
      </c>
      <c r="U10" s="172">
        <f>'Program Budget'!S268</f>
        <v>0</v>
      </c>
      <c r="V10" s="823">
        <f t="shared" ref="V10" si="9">S10*T10*U10</f>
        <v>0</v>
      </c>
      <c r="W10" s="838">
        <f t="shared" ref="W10" si="10">F10+J10+N10+R10+V10</f>
        <v>66705.510416666686</v>
      </c>
      <c r="X10" s="173"/>
      <c r="Y10" s="161"/>
      <c r="Z10" s="174"/>
    </row>
    <row r="11" spans="1:26" ht="15" customHeight="1" outlineLevel="1">
      <c r="A11" s="166" t="str">
        <f>'Program Budget'!D13</f>
        <v>Technical Director</v>
      </c>
      <c r="B11" s="167" t="str">
        <f>'Program Budget'!F269</f>
        <v>Month</v>
      </c>
      <c r="C11" s="168">
        <f>'Program Budget'!H13</f>
        <v>3500</v>
      </c>
      <c r="D11" s="169">
        <f>'Program Budget'!G13</f>
        <v>9</v>
      </c>
      <c r="E11" s="170">
        <f>'Program Budget'!E269</f>
        <v>0.15</v>
      </c>
      <c r="F11" s="823">
        <f t="shared" ref="F11:F22" si="11">C11*D11*E11</f>
        <v>4725</v>
      </c>
      <c r="G11" s="168">
        <f t="shared" ref="G11:G22" si="12">C11*1.05</f>
        <v>3675</v>
      </c>
      <c r="H11" s="169">
        <f>'Program Budget'!K13</f>
        <v>12</v>
      </c>
      <c r="I11" s="172">
        <f>'Program Budget'!J269</f>
        <v>0.2</v>
      </c>
      <c r="J11" s="823">
        <f t="shared" ref="J11:J22" si="13">G11*H11*I11</f>
        <v>8820</v>
      </c>
      <c r="K11" s="168">
        <f t="shared" ref="K11:K22" si="14">G11*1.05</f>
        <v>3858.75</v>
      </c>
      <c r="L11" s="169">
        <f>'Program Budget'!N13</f>
        <v>12</v>
      </c>
      <c r="M11" s="172">
        <f>'Program Budget'!M269</f>
        <v>0.2</v>
      </c>
      <c r="N11" s="823">
        <f t="shared" ref="N11:N22" si="15">K11*L11*M11</f>
        <v>9261</v>
      </c>
      <c r="O11" s="168">
        <f t="shared" ref="O11:O22" si="16">K11*1.05</f>
        <v>4051.6875</v>
      </c>
      <c r="P11" s="169">
        <f>'Program Budget'!Q13</f>
        <v>12</v>
      </c>
      <c r="Q11" s="172">
        <f>'Program Budget'!P269</f>
        <v>0.1</v>
      </c>
      <c r="R11" s="823">
        <f t="shared" ref="R11:R22" si="17">O11*P11*Q11</f>
        <v>4862.0250000000005</v>
      </c>
      <c r="S11" s="168">
        <f t="shared" ref="S11:S22" si="18">O11*1.05</f>
        <v>4254.2718750000004</v>
      </c>
      <c r="T11" s="169">
        <f>'Program Budget'!T13</f>
        <v>0</v>
      </c>
      <c r="U11" s="172">
        <f>'Program Budget'!S269</f>
        <v>0</v>
      </c>
      <c r="V11" s="823">
        <f t="shared" ref="V11:V22" si="19">S11*T11*U11</f>
        <v>0</v>
      </c>
      <c r="W11" s="838">
        <f t="shared" ref="W11:W22" si="20">F11+J11+N11+R11+V11</f>
        <v>27668.025000000001</v>
      </c>
      <c r="X11" s="173"/>
      <c r="Y11" s="161"/>
      <c r="Z11" s="174"/>
    </row>
    <row r="12" spans="1:26" ht="15" customHeight="1" outlineLevel="1">
      <c r="A12" s="166" t="str">
        <f>'Program Budget'!D14</f>
        <v>Technical Lead - Activity 2 US Exports</v>
      </c>
      <c r="B12" s="167" t="str">
        <f>'Program Budget'!F270</f>
        <v>Month</v>
      </c>
      <c r="C12" s="168">
        <f>'Program Budget'!H14</f>
        <v>2833.3333333333335</v>
      </c>
      <c r="D12" s="169">
        <f>'Program Budget'!G14</f>
        <v>8</v>
      </c>
      <c r="E12" s="170">
        <f>'Program Budget'!E270</f>
        <v>0</v>
      </c>
      <c r="F12" s="823">
        <f t="shared" si="11"/>
        <v>0</v>
      </c>
      <c r="G12" s="168">
        <f t="shared" si="12"/>
        <v>2975.0000000000005</v>
      </c>
      <c r="H12" s="169">
        <f>'Program Budget'!K14</f>
        <v>12</v>
      </c>
      <c r="I12" s="172">
        <f>'Program Budget'!J270</f>
        <v>0</v>
      </c>
      <c r="J12" s="823">
        <f t="shared" si="13"/>
        <v>0</v>
      </c>
      <c r="K12" s="168">
        <f t="shared" si="14"/>
        <v>3123.7500000000005</v>
      </c>
      <c r="L12" s="169">
        <f>'Program Budget'!N14</f>
        <v>12</v>
      </c>
      <c r="M12" s="172">
        <f>'Program Budget'!M270</f>
        <v>0</v>
      </c>
      <c r="N12" s="823">
        <f t="shared" si="15"/>
        <v>0</v>
      </c>
      <c r="O12" s="168">
        <f t="shared" si="16"/>
        <v>3279.9375000000005</v>
      </c>
      <c r="P12" s="169">
        <f>'Program Budget'!Q14</f>
        <v>12</v>
      </c>
      <c r="Q12" s="172">
        <f>'Program Budget'!P270</f>
        <v>0</v>
      </c>
      <c r="R12" s="823">
        <f t="shared" si="17"/>
        <v>0</v>
      </c>
      <c r="S12" s="168">
        <f t="shared" si="18"/>
        <v>3443.9343750000007</v>
      </c>
      <c r="T12" s="169">
        <f>'Program Budget'!T14</f>
        <v>0</v>
      </c>
      <c r="U12" s="172">
        <f>'Program Budget'!S270</f>
        <v>0</v>
      </c>
      <c r="V12" s="823">
        <f t="shared" si="19"/>
        <v>0</v>
      </c>
      <c r="W12" s="838">
        <f t="shared" si="20"/>
        <v>0</v>
      </c>
      <c r="X12" s="173"/>
      <c r="Y12" s="161"/>
      <c r="Z12" s="174"/>
    </row>
    <row r="13" spans="1:26" ht="15" customHeight="1" outlineLevel="1">
      <c r="A13" s="166" t="str">
        <f>'Program Budget'!D15</f>
        <v>Technical Lead - Activity 2 Access to Finance Specialist</v>
      </c>
      <c r="B13" s="167" t="str">
        <f>'Program Budget'!F271</f>
        <v>Month</v>
      </c>
      <c r="C13" s="168">
        <f>'Program Budget'!H15</f>
        <v>2833.3333333333335</v>
      </c>
      <c r="D13" s="169">
        <f>'Program Budget'!G15</f>
        <v>8</v>
      </c>
      <c r="E13" s="170">
        <f>'Program Budget'!E271</f>
        <v>0</v>
      </c>
      <c r="F13" s="823">
        <f t="shared" si="11"/>
        <v>0</v>
      </c>
      <c r="G13" s="168">
        <f t="shared" si="12"/>
        <v>2975.0000000000005</v>
      </c>
      <c r="H13" s="169">
        <f>'Program Budget'!K15</f>
        <v>12</v>
      </c>
      <c r="I13" s="172">
        <f>'Program Budget'!J271</f>
        <v>0</v>
      </c>
      <c r="J13" s="823">
        <f t="shared" si="13"/>
        <v>0</v>
      </c>
      <c r="K13" s="168">
        <f t="shared" si="14"/>
        <v>3123.7500000000005</v>
      </c>
      <c r="L13" s="169">
        <f>'Program Budget'!N15</f>
        <v>12</v>
      </c>
      <c r="M13" s="172">
        <f>'Program Budget'!M271</f>
        <v>0</v>
      </c>
      <c r="N13" s="823">
        <f t="shared" si="15"/>
        <v>0</v>
      </c>
      <c r="O13" s="168">
        <f t="shared" si="16"/>
        <v>3279.9375000000005</v>
      </c>
      <c r="P13" s="169">
        <f>'Program Budget'!Q15</f>
        <v>12</v>
      </c>
      <c r="Q13" s="172">
        <f>'Program Budget'!P271</f>
        <v>0</v>
      </c>
      <c r="R13" s="823">
        <f t="shared" si="17"/>
        <v>0</v>
      </c>
      <c r="S13" s="168">
        <f t="shared" si="18"/>
        <v>3443.9343750000007</v>
      </c>
      <c r="T13" s="169">
        <f>'Program Budget'!T15</f>
        <v>0</v>
      </c>
      <c r="U13" s="172">
        <f>'Program Budget'!S271</f>
        <v>0</v>
      </c>
      <c r="V13" s="823">
        <f t="shared" si="19"/>
        <v>0</v>
      </c>
      <c r="W13" s="838">
        <f t="shared" si="20"/>
        <v>0</v>
      </c>
      <c r="X13" s="173"/>
      <c r="Y13" s="161"/>
      <c r="Z13" s="174"/>
    </row>
    <row r="14" spans="1:26" ht="15" customHeight="1" outlineLevel="1">
      <c r="A14" s="166" t="str">
        <f>'Program Budget'!D16</f>
        <v>Communications/Strategic Partnerships Manager</v>
      </c>
      <c r="B14" s="167" t="str">
        <f>'Program Budget'!F272</f>
        <v>Month</v>
      </c>
      <c r="C14" s="168">
        <f>'Program Budget'!H16</f>
        <v>2666.6666666666665</v>
      </c>
      <c r="D14" s="169">
        <f>'Program Budget'!G16</f>
        <v>8</v>
      </c>
      <c r="E14" s="170">
        <f>'Program Budget'!E272</f>
        <v>0.2</v>
      </c>
      <c r="F14" s="823">
        <f t="shared" si="11"/>
        <v>4266.666666666667</v>
      </c>
      <c r="G14" s="168">
        <f t="shared" si="12"/>
        <v>2800</v>
      </c>
      <c r="H14" s="169">
        <f>'Program Budget'!K16</f>
        <v>12</v>
      </c>
      <c r="I14" s="172">
        <f>'Program Budget'!J272</f>
        <v>0.25</v>
      </c>
      <c r="J14" s="823">
        <f t="shared" si="13"/>
        <v>8400</v>
      </c>
      <c r="K14" s="168">
        <f t="shared" si="14"/>
        <v>2940</v>
      </c>
      <c r="L14" s="169">
        <f>'Program Budget'!N16</f>
        <v>12</v>
      </c>
      <c r="M14" s="172">
        <f>'Program Budget'!M272</f>
        <v>0.25</v>
      </c>
      <c r="N14" s="823">
        <f t="shared" si="15"/>
        <v>8820</v>
      </c>
      <c r="O14" s="168">
        <f t="shared" si="16"/>
        <v>3087</v>
      </c>
      <c r="P14" s="169">
        <f>'Program Budget'!Q16</f>
        <v>12</v>
      </c>
      <c r="Q14" s="172">
        <f>'Program Budget'!P272</f>
        <v>0</v>
      </c>
      <c r="R14" s="823">
        <f t="shared" si="17"/>
        <v>0</v>
      </c>
      <c r="S14" s="168">
        <f t="shared" si="18"/>
        <v>3241.3500000000004</v>
      </c>
      <c r="T14" s="169">
        <f>'Program Budget'!T16</f>
        <v>0</v>
      </c>
      <c r="U14" s="172">
        <f>'Program Budget'!S272</f>
        <v>0</v>
      </c>
      <c r="V14" s="823">
        <f t="shared" si="19"/>
        <v>0</v>
      </c>
      <c r="W14" s="838">
        <f t="shared" si="20"/>
        <v>21486.666666666668</v>
      </c>
      <c r="X14" s="173"/>
      <c r="Y14" s="161"/>
      <c r="Z14" s="174"/>
    </row>
    <row r="15" spans="1:26" ht="15" customHeight="1" outlineLevel="1">
      <c r="A15" s="166" t="str">
        <f>'Program Budget'!D17</f>
        <v xml:space="preserve">M&amp;E Director </v>
      </c>
      <c r="B15" s="167" t="str">
        <f>'Program Budget'!F273</f>
        <v>Month</v>
      </c>
      <c r="C15" s="168">
        <f>'Program Budget'!H17</f>
        <v>3500</v>
      </c>
      <c r="D15" s="169">
        <f>'Program Budget'!G17</f>
        <v>10</v>
      </c>
      <c r="E15" s="170">
        <f>'Program Budget'!E273</f>
        <v>0.2</v>
      </c>
      <c r="F15" s="823">
        <f t="shared" si="11"/>
        <v>7000</v>
      </c>
      <c r="G15" s="168">
        <f t="shared" si="12"/>
        <v>3675</v>
      </c>
      <c r="H15" s="169">
        <f>'Program Budget'!K17</f>
        <v>12</v>
      </c>
      <c r="I15" s="172">
        <f>'Program Budget'!J273</f>
        <v>0.25</v>
      </c>
      <c r="J15" s="823">
        <f t="shared" si="13"/>
        <v>11025</v>
      </c>
      <c r="K15" s="168">
        <f t="shared" si="14"/>
        <v>3858.75</v>
      </c>
      <c r="L15" s="169">
        <f>'Program Budget'!N17</f>
        <v>12</v>
      </c>
      <c r="M15" s="172">
        <f>'Program Budget'!M273</f>
        <v>0.25</v>
      </c>
      <c r="N15" s="823">
        <f t="shared" si="15"/>
        <v>11576.25</v>
      </c>
      <c r="O15" s="168">
        <f t="shared" si="16"/>
        <v>4051.6875</v>
      </c>
      <c r="P15" s="169">
        <f>'Program Budget'!Q17</f>
        <v>12</v>
      </c>
      <c r="Q15" s="172">
        <f>'Program Budget'!P273</f>
        <v>0.1</v>
      </c>
      <c r="R15" s="823">
        <f t="shared" si="17"/>
        <v>4862.0250000000005</v>
      </c>
      <c r="S15" s="168">
        <f t="shared" si="18"/>
        <v>4254.2718750000004</v>
      </c>
      <c r="T15" s="169">
        <f>'Program Budget'!T17</f>
        <v>0</v>
      </c>
      <c r="U15" s="172">
        <f>'Program Budget'!S273</f>
        <v>0</v>
      </c>
      <c r="V15" s="823">
        <f t="shared" si="19"/>
        <v>0</v>
      </c>
      <c r="W15" s="838">
        <f t="shared" si="20"/>
        <v>34463.275000000001</v>
      </c>
      <c r="X15" s="173"/>
      <c r="Y15" s="161"/>
      <c r="Z15" s="174"/>
    </row>
    <row r="16" spans="1:26" ht="15" customHeight="1" outlineLevel="1">
      <c r="A16" s="166" t="str">
        <f>'Program Budget'!D18</f>
        <v>M&amp;E Specialist</v>
      </c>
      <c r="B16" s="167" t="str">
        <f>'Program Budget'!F274</f>
        <v>Month</v>
      </c>
      <c r="C16" s="168">
        <f>'Program Budget'!H18</f>
        <v>2000</v>
      </c>
      <c r="D16" s="169">
        <f>'Program Budget'!G18</f>
        <v>8</v>
      </c>
      <c r="E16" s="170">
        <f>'Program Budget'!E274</f>
        <v>0.25</v>
      </c>
      <c r="F16" s="823">
        <f t="shared" si="11"/>
        <v>4000</v>
      </c>
      <c r="G16" s="168">
        <f t="shared" si="12"/>
        <v>2100</v>
      </c>
      <c r="H16" s="169">
        <f>'Program Budget'!K18</f>
        <v>12</v>
      </c>
      <c r="I16" s="172">
        <f>'Program Budget'!J274</f>
        <v>0.25</v>
      </c>
      <c r="J16" s="823">
        <f t="shared" si="13"/>
        <v>6300</v>
      </c>
      <c r="K16" s="168">
        <f t="shared" si="14"/>
        <v>2205</v>
      </c>
      <c r="L16" s="169">
        <f>'Program Budget'!N18</f>
        <v>12</v>
      </c>
      <c r="M16" s="172">
        <f>'Program Budget'!M274</f>
        <v>0.25</v>
      </c>
      <c r="N16" s="823">
        <f t="shared" si="15"/>
        <v>6615</v>
      </c>
      <c r="O16" s="168">
        <f t="shared" si="16"/>
        <v>2315.25</v>
      </c>
      <c r="P16" s="169">
        <f>'Program Budget'!Q18</f>
        <v>12</v>
      </c>
      <c r="Q16" s="172">
        <f>'Program Budget'!P274</f>
        <v>0.1</v>
      </c>
      <c r="R16" s="823">
        <f t="shared" si="17"/>
        <v>2778.3</v>
      </c>
      <c r="S16" s="168">
        <f t="shared" si="18"/>
        <v>2431.0125000000003</v>
      </c>
      <c r="T16" s="169">
        <f>'Program Budget'!T18</f>
        <v>0</v>
      </c>
      <c r="U16" s="172">
        <f>'Program Budget'!S274</f>
        <v>0</v>
      </c>
      <c r="V16" s="823">
        <f t="shared" si="19"/>
        <v>0</v>
      </c>
      <c r="W16" s="838">
        <f t="shared" si="20"/>
        <v>19693.3</v>
      </c>
      <c r="X16" s="173"/>
      <c r="Y16" s="161"/>
      <c r="Z16" s="174"/>
    </row>
    <row r="17" spans="1:26" ht="15" customHeight="1" outlineLevel="1">
      <c r="A17" s="166" t="str">
        <f>'Program Budget'!D19</f>
        <v xml:space="preserve">Key Personnel: Finance &amp; Administration (F&amp;A) Director </v>
      </c>
      <c r="B17" s="167" t="str">
        <f>'Program Budget'!F275</f>
        <v>Month</v>
      </c>
      <c r="C17" s="168">
        <f>'Program Budget'!H19</f>
        <v>3500</v>
      </c>
      <c r="D17" s="169">
        <f>'Program Budget'!G19</f>
        <v>10</v>
      </c>
      <c r="E17" s="170">
        <f>'Program Budget'!E275</f>
        <v>0.2</v>
      </c>
      <c r="F17" s="823">
        <f t="shared" si="11"/>
        <v>7000</v>
      </c>
      <c r="G17" s="168">
        <f t="shared" si="12"/>
        <v>3675</v>
      </c>
      <c r="H17" s="169">
        <f>'Program Budget'!K19</f>
        <v>12</v>
      </c>
      <c r="I17" s="172">
        <f>'Program Budget'!J275</f>
        <v>0.3</v>
      </c>
      <c r="J17" s="823">
        <f t="shared" si="13"/>
        <v>13230</v>
      </c>
      <c r="K17" s="168">
        <f t="shared" si="14"/>
        <v>3858.75</v>
      </c>
      <c r="L17" s="169">
        <f>'Program Budget'!N19</f>
        <v>12</v>
      </c>
      <c r="M17" s="172">
        <f>'Program Budget'!M275</f>
        <v>0.3</v>
      </c>
      <c r="N17" s="823">
        <f t="shared" si="15"/>
        <v>13891.5</v>
      </c>
      <c r="O17" s="168">
        <f t="shared" si="16"/>
        <v>4051.6875</v>
      </c>
      <c r="P17" s="169">
        <f>'Program Budget'!Q19</f>
        <v>12</v>
      </c>
      <c r="Q17" s="172">
        <f>'Program Budget'!P275</f>
        <v>0.05</v>
      </c>
      <c r="R17" s="823">
        <f t="shared" si="17"/>
        <v>2431.0125000000003</v>
      </c>
      <c r="S17" s="168">
        <f t="shared" si="18"/>
        <v>4254.2718750000004</v>
      </c>
      <c r="T17" s="169">
        <f>'Program Budget'!T19</f>
        <v>0</v>
      </c>
      <c r="U17" s="172">
        <f>'Program Budget'!S275</f>
        <v>0</v>
      </c>
      <c r="V17" s="823">
        <f t="shared" si="19"/>
        <v>0</v>
      </c>
      <c r="W17" s="838">
        <f t="shared" si="20"/>
        <v>36552.512499999997</v>
      </c>
      <c r="X17" s="173"/>
      <c r="Y17" s="161"/>
      <c r="Z17" s="174"/>
    </row>
    <row r="18" spans="1:26" ht="15" customHeight="1" outlineLevel="1">
      <c r="A18" s="166" t="str">
        <f>'Program Budget'!D20</f>
        <v xml:space="preserve">Accountant </v>
      </c>
      <c r="B18" s="167" t="str">
        <f>'Program Budget'!F276</f>
        <v>Month</v>
      </c>
      <c r="C18" s="168">
        <f>'Program Budget'!H20</f>
        <v>2000</v>
      </c>
      <c r="D18" s="169">
        <f>'Program Budget'!G20</f>
        <v>8</v>
      </c>
      <c r="E18" s="170">
        <f>'Program Budget'!E276</f>
        <v>0.25</v>
      </c>
      <c r="F18" s="823">
        <f t="shared" si="11"/>
        <v>4000</v>
      </c>
      <c r="G18" s="168">
        <f t="shared" si="12"/>
        <v>2100</v>
      </c>
      <c r="H18" s="169">
        <f>'Program Budget'!K20</f>
        <v>12</v>
      </c>
      <c r="I18" s="172">
        <f>'Program Budget'!J276</f>
        <v>0.25</v>
      </c>
      <c r="J18" s="823">
        <f t="shared" si="13"/>
        <v>6300</v>
      </c>
      <c r="K18" s="168">
        <f t="shared" si="14"/>
        <v>2205</v>
      </c>
      <c r="L18" s="169">
        <f>'Program Budget'!N20</f>
        <v>12</v>
      </c>
      <c r="M18" s="172">
        <f>'Program Budget'!M276</f>
        <v>0.25</v>
      </c>
      <c r="N18" s="823">
        <f t="shared" si="15"/>
        <v>6615</v>
      </c>
      <c r="O18" s="168">
        <f t="shared" si="16"/>
        <v>2315.25</v>
      </c>
      <c r="P18" s="169">
        <f>'Program Budget'!Q20</f>
        <v>12</v>
      </c>
      <c r="Q18" s="172">
        <f>'Program Budget'!P276</f>
        <v>0.05</v>
      </c>
      <c r="R18" s="823">
        <f t="shared" si="17"/>
        <v>1389.15</v>
      </c>
      <c r="S18" s="168">
        <f t="shared" si="18"/>
        <v>2431.0125000000003</v>
      </c>
      <c r="T18" s="169">
        <f>'Program Budget'!T20</f>
        <v>0</v>
      </c>
      <c r="U18" s="172">
        <f>'Program Budget'!S276</f>
        <v>0</v>
      </c>
      <c r="V18" s="823">
        <f t="shared" si="19"/>
        <v>0</v>
      </c>
      <c r="W18" s="838">
        <f t="shared" si="20"/>
        <v>18304.150000000001</v>
      </c>
      <c r="X18" s="173"/>
      <c r="Y18" s="161"/>
      <c r="Z18" s="174"/>
    </row>
    <row r="19" spans="1:26" ht="15" customHeight="1" outlineLevel="1">
      <c r="A19" s="166" t="str">
        <f>'Program Budget'!D21</f>
        <v>Administration/ HR Manager</v>
      </c>
      <c r="B19" s="167" t="str">
        <f>'Program Budget'!F277</f>
        <v>Month</v>
      </c>
      <c r="C19" s="168">
        <f>'Program Budget'!H21</f>
        <v>2666.6666666666665</v>
      </c>
      <c r="D19" s="169">
        <f>'Program Budget'!G21</f>
        <v>10</v>
      </c>
      <c r="E19" s="170">
        <f>'Program Budget'!E277</f>
        <v>0.1</v>
      </c>
      <c r="F19" s="823">
        <f t="shared" si="11"/>
        <v>2666.6666666666665</v>
      </c>
      <c r="G19" s="168">
        <f t="shared" si="12"/>
        <v>2800</v>
      </c>
      <c r="H19" s="169">
        <f>'Program Budget'!K21</f>
        <v>12</v>
      </c>
      <c r="I19" s="172">
        <f>'Program Budget'!J277</f>
        <v>0.25</v>
      </c>
      <c r="J19" s="823">
        <f t="shared" si="13"/>
        <v>8400</v>
      </c>
      <c r="K19" s="168">
        <f t="shared" si="14"/>
        <v>2940</v>
      </c>
      <c r="L19" s="169">
        <f>'Program Budget'!N21</f>
        <v>12</v>
      </c>
      <c r="M19" s="172">
        <f>'Program Budget'!M277</f>
        <v>0.25</v>
      </c>
      <c r="N19" s="823">
        <f t="shared" si="15"/>
        <v>8820</v>
      </c>
      <c r="O19" s="168">
        <f t="shared" si="16"/>
        <v>3087</v>
      </c>
      <c r="P19" s="169">
        <f>'Program Budget'!Q21</f>
        <v>12</v>
      </c>
      <c r="Q19" s="172">
        <f>'Program Budget'!P277</f>
        <v>0.05</v>
      </c>
      <c r="R19" s="823">
        <f t="shared" si="17"/>
        <v>1852.2</v>
      </c>
      <c r="S19" s="168">
        <f t="shared" si="18"/>
        <v>3241.3500000000004</v>
      </c>
      <c r="T19" s="169">
        <f>'Program Budget'!T21</f>
        <v>0</v>
      </c>
      <c r="U19" s="172">
        <f>'Program Budget'!S277</f>
        <v>0</v>
      </c>
      <c r="V19" s="823">
        <f t="shared" si="19"/>
        <v>0</v>
      </c>
      <c r="W19" s="838">
        <f t="shared" si="20"/>
        <v>21738.866666666665</v>
      </c>
      <c r="X19" s="173"/>
      <c r="Y19" s="161"/>
      <c r="Z19" s="174"/>
    </row>
    <row r="20" spans="1:26" ht="15" customHeight="1" outlineLevel="1">
      <c r="A20" s="166" t="str">
        <f>'Program Budget'!D22</f>
        <v>Grants &amp; Contracts Manager</v>
      </c>
      <c r="B20" s="167" t="str">
        <f>'Program Budget'!F278</f>
        <v>Month</v>
      </c>
      <c r="C20" s="168">
        <f>'Program Budget'!H22</f>
        <v>2666.6666666666665</v>
      </c>
      <c r="D20" s="169">
        <f>'Program Budget'!G22</f>
        <v>9</v>
      </c>
      <c r="E20" s="170">
        <f>'Program Budget'!E278</f>
        <v>0.21</v>
      </c>
      <c r="F20" s="823">
        <f t="shared" si="11"/>
        <v>5040</v>
      </c>
      <c r="G20" s="168">
        <f t="shared" si="12"/>
        <v>2800</v>
      </c>
      <c r="H20" s="169">
        <f>'Program Budget'!K22</f>
        <v>12</v>
      </c>
      <c r="I20" s="172">
        <f>'Program Budget'!J278</f>
        <v>0.3</v>
      </c>
      <c r="J20" s="823">
        <f t="shared" si="13"/>
        <v>10080</v>
      </c>
      <c r="K20" s="168">
        <f t="shared" si="14"/>
        <v>2940</v>
      </c>
      <c r="L20" s="169">
        <f>'Program Budget'!N22</f>
        <v>12</v>
      </c>
      <c r="M20" s="172">
        <f>'Program Budget'!M278</f>
        <v>0.3</v>
      </c>
      <c r="N20" s="823">
        <f t="shared" si="15"/>
        <v>10584</v>
      </c>
      <c r="O20" s="168">
        <f t="shared" si="16"/>
        <v>3087</v>
      </c>
      <c r="P20" s="169">
        <f>'Program Budget'!Q22</f>
        <v>12</v>
      </c>
      <c r="Q20" s="172">
        <f>'Program Budget'!P278</f>
        <v>0</v>
      </c>
      <c r="R20" s="823">
        <f t="shared" si="17"/>
        <v>0</v>
      </c>
      <c r="S20" s="168">
        <f t="shared" si="18"/>
        <v>3241.3500000000004</v>
      </c>
      <c r="T20" s="169">
        <f>'Program Budget'!T22</f>
        <v>0</v>
      </c>
      <c r="U20" s="172">
        <f>'Program Budget'!S278</f>
        <v>0</v>
      </c>
      <c r="V20" s="823">
        <f t="shared" si="19"/>
        <v>0</v>
      </c>
      <c r="W20" s="838">
        <f t="shared" si="20"/>
        <v>25704</v>
      </c>
      <c r="X20" s="173"/>
      <c r="Y20" s="161"/>
      <c r="Z20" s="174"/>
    </row>
    <row r="21" spans="1:26" ht="15" customHeight="1" outlineLevel="1">
      <c r="A21" s="166" t="str">
        <f>'Program Budget'!D23</f>
        <v>Compliance &amp; Procurement Specialist</v>
      </c>
      <c r="B21" s="167" t="str">
        <f>'Program Budget'!F279</f>
        <v>Month</v>
      </c>
      <c r="C21" s="168">
        <f>'Program Budget'!H23</f>
        <v>2000</v>
      </c>
      <c r="D21" s="169">
        <f>'Program Budget'!G23</f>
        <v>9</v>
      </c>
      <c r="E21" s="170">
        <f>'Program Budget'!E279</f>
        <v>0.21</v>
      </c>
      <c r="F21" s="823">
        <f t="shared" si="11"/>
        <v>3780</v>
      </c>
      <c r="G21" s="168">
        <f t="shared" si="12"/>
        <v>2100</v>
      </c>
      <c r="H21" s="169">
        <f>'Program Budget'!K23</f>
        <v>12</v>
      </c>
      <c r="I21" s="172">
        <f>'Program Budget'!J279</f>
        <v>0.3</v>
      </c>
      <c r="J21" s="823">
        <f t="shared" si="13"/>
        <v>7560</v>
      </c>
      <c r="K21" s="168">
        <f t="shared" si="14"/>
        <v>2205</v>
      </c>
      <c r="L21" s="169">
        <f>'Program Budget'!N23</f>
        <v>12</v>
      </c>
      <c r="M21" s="172">
        <f>'Program Budget'!M279</f>
        <v>0.3</v>
      </c>
      <c r="N21" s="823">
        <f t="shared" si="15"/>
        <v>7938</v>
      </c>
      <c r="O21" s="168">
        <f t="shared" si="16"/>
        <v>2315.25</v>
      </c>
      <c r="P21" s="169">
        <f>'Program Budget'!Q23</f>
        <v>12</v>
      </c>
      <c r="Q21" s="172">
        <f>'Program Budget'!P279</f>
        <v>0</v>
      </c>
      <c r="R21" s="823">
        <f t="shared" si="17"/>
        <v>0</v>
      </c>
      <c r="S21" s="168">
        <f t="shared" si="18"/>
        <v>2431.0125000000003</v>
      </c>
      <c r="T21" s="169">
        <f>'Program Budget'!T23</f>
        <v>0</v>
      </c>
      <c r="U21" s="172">
        <f>'Program Budget'!S279</f>
        <v>0</v>
      </c>
      <c r="V21" s="823">
        <f t="shared" si="19"/>
        <v>0</v>
      </c>
      <c r="W21" s="838">
        <f t="shared" si="20"/>
        <v>19278</v>
      </c>
      <c r="X21" s="173"/>
      <c r="Y21" s="161"/>
      <c r="Z21" s="174"/>
    </row>
    <row r="22" spans="1:26" ht="15" customHeight="1" outlineLevel="1">
      <c r="A22" s="166" t="str">
        <f>'Program Budget'!D24</f>
        <v>Driver</v>
      </c>
      <c r="B22" s="167" t="str">
        <f>'Program Budget'!F280</f>
        <v>Month</v>
      </c>
      <c r="C22" s="168">
        <f>'Program Budget'!H24</f>
        <v>500</v>
      </c>
      <c r="D22" s="169">
        <f>'Program Budget'!G24</f>
        <v>7</v>
      </c>
      <c r="E22" s="170">
        <f>'Program Budget'!E280</f>
        <v>0.25</v>
      </c>
      <c r="F22" s="823">
        <f t="shared" si="11"/>
        <v>875</v>
      </c>
      <c r="G22" s="168">
        <f t="shared" si="12"/>
        <v>525</v>
      </c>
      <c r="H22" s="169">
        <f>'Program Budget'!K24</f>
        <v>12</v>
      </c>
      <c r="I22" s="172">
        <f>'Program Budget'!J280</f>
        <v>0.25</v>
      </c>
      <c r="J22" s="823">
        <f t="shared" si="13"/>
        <v>1575</v>
      </c>
      <c r="K22" s="168">
        <f t="shared" si="14"/>
        <v>551.25</v>
      </c>
      <c r="L22" s="169">
        <f>'Program Budget'!N24</f>
        <v>12</v>
      </c>
      <c r="M22" s="172">
        <f>'Program Budget'!M280</f>
        <v>0.25</v>
      </c>
      <c r="N22" s="823">
        <f t="shared" si="15"/>
        <v>1653.75</v>
      </c>
      <c r="O22" s="168">
        <f t="shared" si="16"/>
        <v>578.8125</v>
      </c>
      <c r="P22" s="169">
        <f>'Program Budget'!Q24</f>
        <v>12</v>
      </c>
      <c r="Q22" s="172">
        <f>'Program Budget'!P280</f>
        <v>0</v>
      </c>
      <c r="R22" s="823">
        <f t="shared" si="17"/>
        <v>0</v>
      </c>
      <c r="S22" s="168">
        <f t="shared" si="18"/>
        <v>607.75312500000007</v>
      </c>
      <c r="T22" s="169">
        <f>'Program Budget'!T24</f>
        <v>0</v>
      </c>
      <c r="U22" s="172">
        <f>'Program Budget'!S280</f>
        <v>0</v>
      </c>
      <c r="V22" s="823">
        <f t="shared" si="19"/>
        <v>0</v>
      </c>
      <c r="W22" s="838">
        <f t="shared" si="20"/>
        <v>4103.75</v>
      </c>
      <c r="X22" s="173"/>
      <c r="Y22" s="161"/>
      <c r="Z22" s="174"/>
    </row>
    <row r="23" spans="1:26" ht="15" customHeight="1" outlineLevel="1">
      <c r="A23" s="175" t="s">
        <v>78</v>
      </c>
      <c r="B23" s="176"/>
      <c r="C23" s="177"/>
      <c r="D23" s="178"/>
      <c r="E23" s="179"/>
      <c r="F23" s="825">
        <f>SUM(F10:F22)</f>
        <v>53895</v>
      </c>
      <c r="G23" s="177"/>
      <c r="H23" s="178"/>
      <c r="I23" s="180"/>
      <c r="J23" s="825">
        <f>SUM(J10:J22)</f>
        <v>105840</v>
      </c>
      <c r="K23" s="177"/>
      <c r="L23" s="178"/>
      <c r="M23" s="179"/>
      <c r="N23" s="825">
        <f>SUM(N10:N22)</f>
        <v>111132</v>
      </c>
      <c r="O23" s="177"/>
      <c r="P23" s="178"/>
      <c r="Q23" s="180"/>
      <c r="R23" s="825">
        <f>SUM(R10:R22)</f>
        <v>24831.056250000005</v>
      </c>
      <c r="S23" s="177"/>
      <c r="T23" s="178"/>
      <c r="U23" s="180"/>
      <c r="V23" s="825">
        <f>SUM(V10:V22)</f>
        <v>0</v>
      </c>
      <c r="W23" s="825">
        <f>SUM(W10:W22)</f>
        <v>295698.05625000002</v>
      </c>
    </row>
    <row r="24" spans="1:26" s="162" customFormat="1" ht="15.6" outlineLevel="1">
      <c r="A24" s="163" t="s">
        <v>79</v>
      </c>
      <c r="B24" s="164"/>
      <c r="C24" s="156"/>
      <c r="D24" s="157"/>
      <c r="E24" s="158"/>
      <c r="F24" s="822"/>
      <c r="G24" s="156"/>
      <c r="H24" s="157"/>
      <c r="I24" s="160"/>
      <c r="J24" s="837"/>
      <c r="K24" s="156"/>
      <c r="L24" s="157"/>
      <c r="M24" s="158"/>
      <c r="N24" s="837"/>
      <c r="O24" s="156"/>
      <c r="P24" s="157"/>
      <c r="Q24" s="160"/>
      <c r="R24" s="837"/>
      <c r="S24" s="156"/>
      <c r="T24" s="157"/>
      <c r="U24" s="160"/>
      <c r="V24" s="837"/>
      <c r="W24" s="843"/>
      <c r="X24" s="165"/>
      <c r="Y24" s="137"/>
      <c r="Z24" s="137"/>
    </row>
    <row r="25" spans="1:26" outlineLevel="1">
      <c r="A25" s="166" t="str">
        <f>'Program Budget'!D26</f>
        <v>Senior Vice President of Programs</v>
      </c>
      <c r="B25" s="167" t="str">
        <f>'Program Budget'!F202</f>
        <v>Month</v>
      </c>
      <c r="C25" s="168">
        <f>'Program Budget'!H282</f>
        <v>13500</v>
      </c>
      <c r="D25" s="169">
        <f>'Program Budget'!G282</f>
        <v>12</v>
      </c>
      <c r="E25" s="170">
        <f>'Program Budget'!E282</f>
        <v>0.01</v>
      </c>
      <c r="F25" s="823">
        <f>C25*D25*E25</f>
        <v>1620</v>
      </c>
      <c r="G25" s="168">
        <f>C25*1.05</f>
        <v>14175</v>
      </c>
      <c r="H25" s="169">
        <f>'Program Budget'!K282</f>
        <v>12</v>
      </c>
      <c r="I25" s="172">
        <f>'Program Budget'!J282</f>
        <v>0.01</v>
      </c>
      <c r="J25" s="823">
        <f>G25*H25*I25</f>
        <v>1701</v>
      </c>
      <c r="K25" s="168">
        <f>G25*1.05</f>
        <v>14883.75</v>
      </c>
      <c r="L25" s="169">
        <f>'Program Budget'!N282</f>
        <v>12</v>
      </c>
      <c r="M25" s="172">
        <f>'Program Budget'!M282</f>
        <v>0.01</v>
      </c>
      <c r="N25" s="823">
        <f>K25*L25*M25</f>
        <v>1786.05</v>
      </c>
      <c r="O25" s="168">
        <f>K25*1.05</f>
        <v>15627.9375</v>
      </c>
      <c r="P25" s="169">
        <f>'Program Budget'!Q282</f>
        <v>12</v>
      </c>
      <c r="Q25" s="172">
        <f>'Program Budget'!P282</f>
        <v>0.01</v>
      </c>
      <c r="R25" s="823">
        <f>O25*P25*Q25</f>
        <v>1875.3525</v>
      </c>
      <c r="S25" s="168">
        <f>O25*1.05</f>
        <v>16409.334375000002</v>
      </c>
      <c r="T25" s="169">
        <f>'Program Budget'!T282</f>
        <v>0</v>
      </c>
      <c r="U25" s="172">
        <f>'Program Budget'!S282</f>
        <v>0</v>
      </c>
      <c r="V25" s="823">
        <f>S25*T25*U25</f>
        <v>0</v>
      </c>
      <c r="W25" s="838">
        <f>F25+J25+N25+R25+V25</f>
        <v>6982.4025000000001</v>
      </c>
      <c r="X25" s="173"/>
      <c r="Y25" s="161"/>
      <c r="Z25" s="174"/>
    </row>
    <row r="26" spans="1:26" ht="15" customHeight="1" outlineLevel="1">
      <c r="A26" s="166" t="str">
        <f>'Program Budget'!D27</f>
        <v xml:space="preserve">Senior Program Director </v>
      </c>
      <c r="B26" s="167" t="str">
        <f>'Program Budget'!F203</f>
        <v>Month</v>
      </c>
      <c r="C26" s="168">
        <f>'Program Budget'!H283</f>
        <v>12500</v>
      </c>
      <c r="D26" s="169">
        <f>'Program Budget'!G283</f>
        <v>12</v>
      </c>
      <c r="E26" s="170">
        <f>'Program Budget'!E283</f>
        <v>0.04</v>
      </c>
      <c r="F26" s="823">
        <f t="shared" ref="F26" si="21">C26*D26*E26</f>
        <v>6000</v>
      </c>
      <c r="G26" s="168">
        <f t="shared" ref="G26" si="22">C26*1.05</f>
        <v>13125</v>
      </c>
      <c r="H26" s="169">
        <f>'Program Budget'!K283</f>
        <v>12</v>
      </c>
      <c r="I26" s="172">
        <f>'Program Budget'!J283</f>
        <v>0.05</v>
      </c>
      <c r="J26" s="823">
        <f t="shared" ref="J26" si="23">G26*H26*I26</f>
        <v>7875</v>
      </c>
      <c r="K26" s="168">
        <f t="shared" ref="K26" si="24">G26*1.05</f>
        <v>13781.25</v>
      </c>
      <c r="L26" s="169">
        <f>'Program Budget'!N283</f>
        <v>12</v>
      </c>
      <c r="M26" s="172">
        <f>'Program Budget'!M283</f>
        <v>0.05</v>
      </c>
      <c r="N26" s="823">
        <f t="shared" ref="N26" si="25">K26*L26*M26</f>
        <v>8268.75</v>
      </c>
      <c r="O26" s="168">
        <f t="shared" ref="O26" si="26">K26*1.05</f>
        <v>14470.3125</v>
      </c>
      <c r="P26" s="169">
        <f>'Program Budget'!Q283</f>
        <v>12</v>
      </c>
      <c r="Q26" s="172">
        <f>'Program Budget'!P283</f>
        <v>0.05</v>
      </c>
      <c r="R26" s="823">
        <f t="shared" ref="R26" si="27">O26*P26*Q26</f>
        <v>8682.1875</v>
      </c>
      <c r="S26" s="168">
        <f t="shared" ref="S26" si="28">O26*1.05</f>
        <v>15193.828125</v>
      </c>
      <c r="T26" s="169">
        <f>'Program Budget'!T283</f>
        <v>0</v>
      </c>
      <c r="U26" s="172">
        <f>'Program Budget'!S283</f>
        <v>0</v>
      </c>
      <c r="V26" s="823">
        <f t="shared" ref="V26" si="29">S26*T26*U26</f>
        <v>0</v>
      </c>
      <c r="W26" s="838">
        <f t="shared" ref="W26" si="30">F26+J26+N26+R26+V26</f>
        <v>30825.9375</v>
      </c>
      <c r="X26" s="173"/>
      <c r="Y26" s="161"/>
      <c r="Z26" s="174"/>
    </row>
    <row r="27" spans="1:26" ht="15" customHeight="1" outlineLevel="1">
      <c r="A27" s="166" t="str">
        <f>'Program Budget'!D28</f>
        <v>Associate Director</v>
      </c>
      <c r="B27" s="167" t="str">
        <f>'Program Budget'!F204</f>
        <v>Month</v>
      </c>
      <c r="C27" s="168">
        <f>'Program Budget'!H284</f>
        <v>7500</v>
      </c>
      <c r="D27" s="169">
        <f>'Program Budget'!G284</f>
        <v>12</v>
      </c>
      <c r="E27" s="170">
        <f>'Program Budget'!E284</f>
        <v>0.05</v>
      </c>
      <c r="F27" s="823">
        <f t="shared" ref="F27:F29" si="31">C27*D27*E27</f>
        <v>4500</v>
      </c>
      <c r="G27" s="168">
        <f t="shared" ref="G27:G29" si="32">C27*1.05</f>
        <v>7875</v>
      </c>
      <c r="H27" s="169">
        <f>'Program Budget'!K284</f>
        <v>12</v>
      </c>
      <c r="I27" s="172">
        <f>'Program Budget'!J284</f>
        <v>0.2</v>
      </c>
      <c r="J27" s="823">
        <f t="shared" ref="J27:J29" si="33">G27*H27*I27</f>
        <v>18900</v>
      </c>
      <c r="K27" s="168">
        <f t="shared" ref="K27:K29" si="34">G27*1.05</f>
        <v>8268.75</v>
      </c>
      <c r="L27" s="169">
        <f>'Program Budget'!N284</f>
        <v>12</v>
      </c>
      <c r="M27" s="172">
        <f>'Program Budget'!M284</f>
        <v>0.2</v>
      </c>
      <c r="N27" s="823">
        <f t="shared" ref="N27:N29" si="35">K27*L27*M27</f>
        <v>19845</v>
      </c>
      <c r="O27" s="168">
        <f t="shared" ref="O27:O29" si="36">K27*1.05</f>
        <v>8682.1875</v>
      </c>
      <c r="P27" s="169">
        <f>'Program Budget'!Q284</f>
        <v>12</v>
      </c>
      <c r="Q27" s="172">
        <f>'Program Budget'!P284</f>
        <v>0.2</v>
      </c>
      <c r="R27" s="823">
        <f t="shared" ref="R27:R29" si="37">O27*P27*Q27</f>
        <v>20837.25</v>
      </c>
      <c r="S27" s="168">
        <f t="shared" ref="S27:S29" si="38">O27*1.05</f>
        <v>9116.296875</v>
      </c>
      <c r="T27" s="169">
        <f>'Program Budget'!T284</f>
        <v>0</v>
      </c>
      <c r="U27" s="172">
        <f>'Program Budget'!S284</f>
        <v>0</v>
      </c>
      <c r="V27" s="823">
        <f t="shared" ref="V27:V29" si="39">S27*T27*U27</f>
        <v>0</v>
      </c>
      <c r="W27" s="838">
        <f t="shared" ref="W27:W29" si="40">F27+J27+N27+R27+V27</f>
        <v>64082.25</v>
      </c>
      <c r="X27" s="173"/>
      <c r="Y27" s="161"/>
      <c r="Z27" s="174"/>
    </row>
    <row r="28" spans="1:26" ht="15" customHeight="1" outlineLevel="1">
      <c r="A28" s="166" t="str">
        <f>'Program Budget'!D29</f>
        <v>Compliance &amp; Contracts Director</v>
      </c>
      <c r="B28" s="167" t="str">
        <f>'Program Budget'!F205</f>
        <v>Month</v>
      </c>
      <c r="C28" s="168">
        <f>'Program Budget'!H285</f>
        <v>9166.6666666666661</v>
      </c>
      <c r="D28" s="169">
        <f>'Program Budget'!G285</f>
        <v>12</v>
      </c>
      <c r="E28" s="170">
        <f>'Program Budget'!E285</f>
        <v>0.04</v>
      </c>
      <c r="F28" s="823">
        <f t="shared" si="31"/>
        <v>4400</v>
      </c>
      <c r="G28" s="168">
        <f t="shared" si="32"/>
        <v>9625</v>
      </c>
      <c r="H28" s="169">
        <f>'Program Budget'!K285</f>
        <v>12</v>
      </c>
      <c r="I28" s="172">
        <f>'Program Budget'!J285</f>
        <v>0.05</v>
      </c>
      <c r="J28" s="823">
        <f t="shared" si="33"/>
        <v>5775</v>
      </c>
      <c r="K28" s="168">
        <f t="shared" si="34"/>
        <v>10106.25</v>
      </c>
      <c r="L28" s="169">
        <f>'Program Budget'!N285</f>
        <v>12</v>
      </c>
      <c r="M28" s="172">
        <f>'Program Budget'!M285</f>
        <v>0.05</v>
      </c>
      <c r="N28" s="823">
        <f t="shared" si="35"/>
        <v>6063.75</v>
      </c>
      <c r="O28" s="168">
        <f t="shared" si="36"/>
        <v>10611.5625</v>
      </c>
      <c r="P28" s="169">
        <f>'Program Budget'!Q285</f>
        <v>12</v>
      </c>
      <c r="Q28" s="172">
        <f>'Program Budget'!P285</f>
        <v>0.05</v>
      </c>
      <c r="R28" s="823">
        <f t="shared" si="37"/>
        <v>6366.9375</v>
      </c>
      <c r="S28" s="168">
        <f t="shared" si="38"/>
        <v>11142.140625</v>
      </c>
      <c r="T28" s="169">
        <f>'Program Budget'!T285</f>
        <v>0</v>
      </c>
      <c r="U28" s="172">
        <f>'Program Budget'!S285</f>
        <v>0</v>
      </c>
      <c r="V28" s="823">
        <f t="shared" si="39"/>
        <v>0</v>
      </c>
      <c r="W28" s="838">
        <f t="shared" si="40"/>
        <v>22605.6875</v>
      </c>
      <c r="X28" s="173"/>
      <c r="Y28" s="161"/>
      <c r="Z28" s="174"/>
    </row>
    <row r="29" spans="1:26" ht="15" customHeight="1" outlineLevel="1">
      <c r="A29" s="166" t="str">
        <f>'Program Budget'!D30</f>
        <v>Finance, HR, &amp; Administration Home Office Support</v>
      </c>
      <c r="B29" s="167" t="str">
        <f>'Program Budget'!F206</f>
        <v>Month</v>
      </c>
      <c r="C29" s="168">
        <f>'Program Budget'!H286</f>
        <v>7500</v>
      </c>
      <c r="D29" s="169">
        <f>'Program Budget'!G286</f>
        <v>12</v>
      </c>
      <c r="E29" s="170">
        <f>'Program Budget'!E286</f>
        <v>7.0000000000000007E-2</v>
      </c>
      <c r="F29" s="823">
        <f t="shared" si="31"/>
        <v>6300.0000000000009</v>
      </c>
      <c r="G29" s="168">
        <f t="shared" si="32"/>
        <v>7875</v>
      </c>
      <c r="H29" s="169">
        <f>'Program Budget'!K286</f>
        <v>12</v>
      </c>
      <c r="I29" s="172">
        <f>'Program Budget'!J286</f>
        <v>0.15</v>
      </c>
      <c r="J29" s="823">
        <f t="shared" si="33"/>
        <v>14175</v>
      </c>
      <c r="K29" s="168">
        <f t="shared" si="34"/>
        <v>8268.75</v>
      </c>
      <c r="L29" s="169">
        <f>'Program Budget'!N286</f>
        <v>12</v>
      </c>
      <c r="M29" s="172">
        <f>'Program Budget'!M286</f>
        <v>0.15</v>
      </c>
      <c r="N29" s="823">
        <f t="shared" si="35"/>
        <v>14883.75</v>
      </c>
      <c r="O29" s="168">
        <f t="shared" si="36"/>
        <v>8682.1875</v>
      </c>
      <c r="P29" s="169">
        <f>'Program Budget'!Q286</f>
        <v>12</v>
      </c>
      <c r="Q29" s="172">
        <f>'Program Budget'!P286</f>
        <v>0.15</v>
      </c>
      <c r="R29" s="823">
        <f t="shared" si="37"/>
        <v>15627.9375</v>
      </c>
      <c r="S29" s="168">
        <f t="shared" si="38"/>
        <v>9116.296875</v>
      </c>
      <c r="T29" s="169">
        <f>'Program Budget'!T286</f>
        <v>0</v>
      </c>
      <c r="U29" s="172">
        <f>'Program Budget'!S286</f>
        <v>0</v>
      </c>
      <c r="V29" s="823">
        <f t="shared" si="39"/>
        <v>0</v>
      </c>
      <c r="W29" s="838">
        <f t="shared" si="40"/>
        <v>50986.6875</v>
      </c>
      <c r="X29" s="173"/>
      <c r="Y29" s="161"/>
      <c r="Z29" s="174"/>
    </row>
    <row r="30" spans="1:26" ht="15" customHeight="1" outlineLevel="1">
      <c r="A30" s="175" t="s">
        <v>80</v>
      </c>
      <c r="B30" s="176"/>
      <c r="C30" s="177"/>
      <c r="D30" s="178"/>
      <c r="E30" s="179"/>
      <c r="F30" s="824">
        <f>SUM(F24:F29)</f>
        <v>22820</v>
      </c>
      <c r="G30" s="177"/>
      <c r="H30" s="178"/>
      <c r="I30" s="180"/>
      <c r="J30" s="824">
        <f>SUM(J24:J29)</f>
        <v>48426</v>
      </c>
      <c r="K30" s="177"/>
      <c r="L30" s="178"/>
      <c r="M30" s="179"/>
      <c r="N30" s="824">
        <f>SUM(N24:N29)</f>
        <v>50847.3</v>
      </c>
      <c r="O30" s="177"/>
      <c r="P30" s="178"/>
      <c r="Q30" s="180"/>
      <c r="R30" s="824">
        <f>SUM(R24:R29)</f>
        <v>53389.665000000001</v>
      </c>
      <c r="S30" s="177"/>
      <c r="T30" s="178"/>
      <c r="U30" s="180"/>
      <c r="V30" s="824">
        <f>SUM(V24:V29)</f>
        <v>0</v>
      </c>
      <c r="W30" s="824">
        <f>SUM(W24:W29)</f>
        <v>175482.965</v>
      </c>
    </row>
    <row r="31" spans="1:26" s="162" customFormat="1" ht="15" customHeight="1" outlineLevel="1">
      <c r="A31" s="186"/>
      <c r="B31" s="181"/>
      <c r="C31" s="182"/>
      <c r="D31" s="183"/>
      <c r="E31" s="140"/>
      <c r="F31" s="823"/>
      <c r="G31" s="182"/>
      <c r="H31" s="183"/>
      <c r="I31" s="140"/>
      <c r="J31" s="823"/>
      <c r="K31" s="182"/>
      <c r="L31" s="183"/>
      <c r="M31" s="140"/>
      <c r="N31" s="823"/>
      <c r="O31" s="182"/>
      <c r="P31" s="183"/>
      <c r="Q31" s="140"/>
      <c r="R31" s="823"/>
      <c r="S31" s="182"/>
      <c r="T31" s="183"/>
      <c r="U31" s="140"/>
      <c r="V31" s="823"/>
      <c r="W31" s="845"/>
      <c r="X31" s="137"/>
      <c r="Y31" s="137"/>
      <c r="Z31" s="137"/>
    </row>
    <row r="32" spans="1:26" s="195" customFormat="1" ht="15" customHeight="1">
      <c r="A32" s="187" t="s">
        <v>81</v>
      </c>
      <c r="B32" s="188"/>
      <c r="C32" s="189"/>
      <c r="D32" s="190"/>
      <c r="E32" s="191"/>
      <c r="F32" s="826">
        <f>F23+F8+F30</f>
        <v>76715</v>
      </c>
      <c r="G32" s="189"/>
      <c r="H32" s="190"/>
      <c r="I32" s="192"/>
      <c r="J32" s="826">
        <f>J23+J8+J30</f>
        <v>154266</v>
      </c>
      <c r="K32" s="189"/>
      <c r="L32" s="190"/>
      <c r="M32" s="191"/>
      <c r="N32" s="826">
        <f>N23+N8+N30</f>
        <v>161979.29999999999</v>
      </c>
      <c r="O32" s="189"/>
      <c r="P32" s="190"/>
      <c r="Q32" s="192"/>
      <c r="R32" s="826">
        <f>R23+R8+R30</f>
        <v>78220.721250000002</v>
      </c>
      <c r="S32" s="189"/>
      <c r="T32" s="190"/>
      <c r="U32" s="192"/>
      <c r="V32" s="826">
        <f>V23+V8+V30</f>
        <v>0</v>
      </c>
      <c r="W32" s="826">
        <f>W23+W8+W30</f>
        <v>471181.02124999999</v>
      </c>
      <c r="X32" s="193"/>
      <c r="Y32" s="193"/>
      <c r="Z32" s="193"/>
    </row>
    <row r="33" spans="1:26" s="162" customFormat="1" ht="15" customHeight="1" outlineLevel="1">
      <c r="A33" s="163" t="s">
        <v>120</v>
      </c>
      <c r="B33" s="164"/>
      <c r="C33" s="156"/>
      <c r="D33" s="157"/>
      <c r="E33" s="158"/>
      <c r="F33" s="822"/>
      <c r="G33" s="156"/>
      <c r="H33" s="157"/>
      <c r="I33" s="160"/>
      <c r="J33" s="837"/>
      <c r="K33" s="156"/>
      <c r="L33" s="157"/>
      <c r="M33" s="158"/>
      <c r="N33" s="837"/>
      <c r="O33" s="156"/>
      <c r="P33" s="157"/>
      <c r="Q33" s="160"/>
      <c r="R33" s="837"/>
      <c r="S33" s="156"/>
      <c r="T33" s="157"/>
      <c r="U33" s="160"/>
      <c r="V33" s="837"/>
      <c r="W33" s="843"/>
      <c r="X33" s="137"/>
      <c r="Y33" s="137"/>
      <c r="Z33" s="137"/>
    </row>
    <row r="34" spans="1:26" s="162" customFormat="1" ht="15" customHeight="1" outlineLevel="1">
      <c r="A34" s="196" t="s">
        <v>74</v>
      </c>
      <c r="B34" s="181" t="str">
        <f>'Program Budget'!F290</f>
        <v>%</v>
      </c>
      <c r="C34" s="275">
        <f>F8</f>
        <v>0</v>
      </c>
      <c r="D34" s="183">
        <v>1</v>
      </c>
      <c r="E34" s="140">
        <v>0</v>
      </c>
      <c r="F34" s="823">
        <f>C34*D34*E34</f>
        <v>0</v>
      </c>
      <c r="G34" s="275">
        <f>J8</f>
        <v>0</v>
      </c>
      <c r="H34" s="183">
        <v>1</v>
      </c>
      <c r="I34" s="140">
        <f>E34</f>
        <v>0</v>
      </c>
      <c r="J34" s="823">
        <f t="shared" ref="J34:J36" si="41">G34*H34*I34</f>
        <v>0</v>
      </c>
      <c r="K34" s="275">
        <f>N8</f>
        <v>0</v>
      </c>
      <c r="L34" s="183">
        <v>1</v>
      </c>
      <c r="M34" s="140">
        <f>E34</f>
        <v>0</v>
      </c>
      <c r="N34" s="823">
        <f t="shared" ref="N34:N36" si="42">K34*L34*M34</f>
        <v>0</v>
      </c>
      <c r="O34" s="275">
        <f>R8</f>
        <v>0</v>
      </c>
      <c r="P34" s="183">
        <v>1</v>
      </c>
      <c r="Q34" s="140">
        <f>E34</f>
        <v>0</v>
      </c>
      <c r="R34" s="823">
        <f t="shared" ref="R34:R36" si="43">O34*P34*Q34</f>
        <v>0</v>
      </c>
      <c r="S34" s="275">
        <f>V8</f>
        <v>0</v>
      </c>
      <c r="T34" s="183">
        <v>1</v>
      </c>
      <c r="U34" s="140">
        <f>E34</f>
        <v>0</v>
      </c>
      <c r="V34" s="823">
        <f t="shared" ref="V34:V36" si="44">S34*T34*U34</f>
        <v>0</v>
      </c>
      <c r="W34" s="838">
        <f t="shared" ref="W34:W36" si="45">F34+J34+N34+R34+V34</f>
        <v>0</v>
      </c>
      <c r="X34" s="137"/>
      <c r="Y34" s="137"/>
      <c r="Z34" s="137"/>
    </row>
    <row r="35" spans="1:26" s="162" customFormat="1" ht="15" customHeight="1" outlineLevel="1">
      <c r="A35" s="196" t="str">
        <f>'Program Budget'!D290</f>
        <v>Fringe Benefits CCN - Nigeria</v>
      </c>
      <c r="B35" s="181" t="str">
        <f>'Program Budget'!F291</f>
        <v>%</v>
      </c>
      <c r="C35" s="275">
        <f>F23</f>
        <v>53895</v>
      </c>
      <c r="D35" s="183">
        <v>1</v>
      </c>
      <c r="E35" s="140">
        <f>'Program Budget'!H290</f>
        <v>0.29599999999999999</v>
      </c>
      <c r="F35" s="823">
        <f>C35*D35*E35</f>
        <v>15952.92</v>
      </c>
      <c r="G35" s="275">
        <f>J23</f>
        <v>105840</v>
      </c>
      <c r="H35" s="183">
        <v>1</v>
      </c>
      <c r="I35" s="140">
        <f t="shared" ref="I35:I36" si="46">E35</f>
        <v>0.29599999999999999</v>
      </c>
      <c r="J35" s="823">
        <f t="shared" si="41"/>
        <v>31328.639999999999</v>
      </c>
      <c r="K35" s="275">
        <f>N23</f>
        <v>111132</v>
      </c>
      <c r="L35" s="183">
        <v>1</v>
      </c>
      <c r="M35" s="140">
        <f t="shared" ref="M35:M36" si="47">E35</f>
        <v>0.29599999999999999</v>
      </c>
      <c r="N35" s="823">
        <f t="shared" si="42"/>
        <v>32895.072</v>
      </c>
      <c r="O35" s="275">
        <f>R23</f>
        <v>24831.056250000005</v>
      </c>
      <c r="P35" s="183">
        <v>1</v>
      </c>
      <c r="Q35" s="140">
        <f t="shared" ref="Q35:Q36" si="48">E35</f>
        <v>0.29599999999999999</v>
      </c>
      <c r="R35" s="823">
        <f>O35*P35*Q35</f>
        <v>7349.992650000001</v>
      </c>
      <c r="S35" s="275">
        <f>V23</f>
        <v>0</v>
      </c>
      <c r="T35" s="183">
        <v>1</v>
      </c>
      <c r="U35" s="140">
        <v>0</v>
      </c>
      <c r="V35" s="823">
        <f t="shared" si="44"/>
        <v>0</v>
      </c>
      <c r="W35" s="838">
        <f t="shared" si="45"/>
        <v>87526.624649999998</v>
      </c>
      <c r="X35" s="137"/>
      <c r="Y35" s="137"/>
      <c r="Z35" s="137"/>
    </row>
    <row r="36" spans="1:26" s="162" customFormat="1" ht="15" customHeight="1" outlineLevel="1">
      <c r="A36" s="198" t="s">
        <v>83</v>
      </c>
      <c r="B36" s="181" t="str">
        <f>'Program Budget'!F291</f>
        <v>%</v>
      </c>
      <c r="C36" s="276">
        <f>F30</f>
        <v>22820</v>
      </c>
      <c r="D36" s="201">
        <v>1</v>
      </c>
      <c r="E36" s="140">
        <f>'Program Budget'!H291</f>
        <v>0.23469999999999999</v>
      </c>
      <c r="F36" s="827">
        <f>C36*D36*E36</f>
        <v>5355.8540000000003</v>
      </c>
      <c r="G36" s="276">
        <f>J30</f>
        <v>48426</v>
      </c>
      <c r="H36" s="201">
        <v>1</v>
      </c>
      <c r="I36" s="140">
        <f t="shared" si="46"/>
        <v>0.23469999999999999</v>
      </c>
      <c r="J36" s="827">
        <f t="shared" si="41"/>
        <v>11365.582199999999</v>
      </c>
      <c r="K36" s="276">
        <f>N30</f>
        <v>50847.3</v>
      </c>
      <c r="L36" s="201">
        <v>1</v>
      </c>
      <c r="M36" s="140">
        <f t="shared" si="47"/>
        <v>0.23469999999999999</v>
      </c>
      <c r="N36" s="827">
        <f t="shared" si="42"/>
        <v>11933.86131</v>
      </c>
      <c r="O36" s="276">
        <f>R30</f>
        <v>53389.665000000001</v>
      </c>
      <c r="P36" s="201">
        <v>1</v>
      </c>
      <c r="Q36" s="140">
        <f t="shared" si="48"/>
        <v>0.23469999999999999</v>
      </c>
      <c r="R36" s="827">
        <f t="shared" si="43"/>
        <v>12530.5543755</v>
      </c>
      <c r="S36" s="276">
        <f>V30</f>
        <v>0</v>
      </c>
      <c r="T36" s="201">
        <v>1</v>
      </c>
      <c r="U36" s="140">
        <v>0</v>
      </c>
      <c r="V36" s="827">
        <f t="shared" si="44"/>
        <v>0</v>
      </c>
      <c r="W36" s="847">
        <f t="shared" si="45"/>
        <v>41185.8518855</v>
      </c>
      <c r="X36" s="137"/>
      <c r="Y36" s="137"/>
      <c r="Z36" s="137"/>
    </row>
    <row r="37" spans="1:26" ht="15" customHeight="1" outlineLevel="1">
      <c r="A37" s="175" t="s">
        <v>84</v>
      </c>
      <c r="B37" s="176"/>
      <c r="C37" s="177"/>
      <c r="D37" s="178"/>
      <c r="E37" s="179"/>
      <c r="F37" s="824">
        <f>+SUM(F34:F36)</f>
        <v>21308.774000000001</v>
      </c>
      <c r="G37" s="177"/>
      <c r="H37" s="178"/>
      <c r="I37" s="180"/>
      <c r="J37" s="824">
        <f>+SUM(J34:J36)</f>
        <v>42694.222199999997</v>
      </c>
      <c r="K37" s="177"/>
      <c r="L37" s="178"/>
      <c r="M37" s="179"/>
      <c r="N37" s="824">
        <f>+SUM(N34:N36)</f>
        <v>44828.93331</v>
      </c>
      <c r="O37" s="177"/>
      <c r="P37" s="178"/>
      <c r="Q37" s="180"/>
      <c r="R37" s="824">
        <f>+SUM(R34:R36)</f>
        <v>19880.5470255</v>
      </c>
      <c r="S37" s="177"/>
      <c r="T37" s="178"/>
      <c r="U37" s="180"/>
      <c r="V37" s="824">
        <f>+SUM(V34:V36)</f>
        <v>0</v>
      </c>
      <c r="W37" s="844">
        <f>+F37+J37+N37+R37+V37</f>
        <v>128712.47653549998</v>
      </c>
    </row>
    <row r="38" spans="1:26" s="162" customFormat="1" ht="15" customHeight="1" outlineLevel="1">
      <c r="A38" s="163" t="s">
        <v>85</v>
      </c>
      <c r="B38" s="204"/>
      <c r="C38" s="182"/>
      <c r="D38" s="183"/>
      <c r="E38" s="140"/>
      <c r="F38" s="828"/>
      <c r="G38" s="182"/>
      <c r="H38" s="183"/>
      <c r="I38" s="141"/>
      <c r="J38" s="839"/>
      <c r="K38" s="182"/>
      <c r="L38" s="183"/>
      <c r="M38" s="140"/>
      <c r="N38" s="839"/>
      <c r="O38" s="182"/>
      <c r="P38" s="183"/>
      <c r="Q38" s="141"/>
      <c r="R38" s="839"/>
      <c r="S38" s="182"/>
      <c r="T38" s="183"/>
      <c r="U38" s="141"/>
      <c r="V38" s="839"/>
      <c r="W38" s="838">
        <f>+F38+J38+N38+R38+V38</f>
        <v>0</v>
      </c>
      <c r="X38" s="137"/>
      <c r="Y38" s="137"/>
      <c r="Z38" s="137"/>
    </row>
    <row r="39" spans="1:26" outlineLevel="1">
      <c r="A39" s="166" t="s">
        <v>75</v>
      </c>
      <c r="B39" s="181"/>
      <c r="D39" s="218"/>
      <c r="F39" s="823">
        <f>C39*D39*E39</f>
        <v>0</v>
      </c>
      <c r="H39" s="218"/>
      <c r="I39" s="140"/>
      <c r="J39" s="823">
        <f>G39*H39*I39</f>
        <v>0</v>
      </c>
      <c r="L39" s="218"/>
      <c r="N39" s="823">
        <f>K39*L39*M39</f>
        <v>0</v>
      </c>
      <c r="P39" s="218"/>
      <c r="Q39" s="140"/>
      <c r="R39" s="823">
        <f>O39*P39*Q39</f>
        <v>0</v>
      </c>
      <c r="T39" s="218"/>
      <c r="U39" s="140"/>
      <c r="V39" s="823">
        <f>S39*T39*U39</f>
        <v>0</v>
      </c>
      <c r="W39" s="838">
        <f t="shared" ref="W39" si="49">F39+J39+N39+R39+V39</f>
        <v>0</v>
      </c>
    </row>
    <row r="40" spans="1:26" ht="15" customHeight="1" outlineLevel="1">
      <c r="A40" s="175" t="s">
        <v>86</v>
      </c>
      <c r="B40" s="176"/>
      <c r="C40" s="177"/>
      <c r="D40" s="178"/>
      <c r="E40" s="179"/>
      <c r="F40" s="824">
        <f>SUM(F39:F39)</f>
        <v>0</v>
      </c>
      <c r="G40" s="177"/>
      <c r="H40" s="178"/>
      <c r="I40" s="180"/>
      <c r="J40" s="824">
        <f>SUM(J39:J39)</f>
        <v>0</v>
      </c>
      <c r="K40" s="177"/>
      <c r="L40" s="178"/>
      <c r="M40" s="179"/>
      <c r="N40" s="824">
        <f>SUM(N39:N39)</f>
        <v>0</v>
      </c>
      <c r="O40" s="177"/>
      <c r="P40" s="178"/>
      <c r="Q40" s="180"/>
      <c r="R40" s="824">
        <f>SUM(R39:R39)</f>
        <v>0</v>
      </c>
      <c r="S40" s="177"/>
      <c r="T40" s="178"/>
      <c r="U40" s="180"/>
      <c r="V40" s="824">
        <f>SUM(V39:V39)</f>
        <v>0</v>
      </c>
      <c r="W40" s="844">
        <f>F40+J40+N40+R40+V40</f>
        <v>0</v>
      </c>
    </row>
    <row r="41" spans="1:26" ht="15" customHeight="1" outlineLevel="1">
      <c r="A41" s="175"/>
      <c r="B41" s="176"/>
      <c r="C41" s="177"/>
      <c r="D41" s="178"/>
      <c r="E41" s="179"/>
      <c r="F41" s="824"/>
      <c r="G41" s="177"/>
      <c r="H41" s="178"/>
      <c r="I41" s="180"/>
      <c r="J41" s="824"/>
      <c r="K41" s="177"/>
      <c r="L41" s="178"/>
      <c r="M41" s="179"/>
      <c r="N41" s="824"/>
      <c r="O41" s="177"/>
      <c r="P41" s="178"/>
      <c r="Q41" s="180"/>
      <c r="R41" s="824"/>
      <c r="S41" s="177"/>
      <c r="T41" s="178"/>
      <c r="U41" s="180"/>
      <c r="V41" s="824"/>
      <c r="W41" s="844"/>
    </row>
    <row r="42" spans="1:26" s="212" customFormat="1" ht="18.3" outlineLevel="1">
      <c r="A42" s="206" t="s">
        <v>87</v>
      </c>
      <c r="B42" s="207"/>
      <c r="C42" s="208"/>
      <c r="D42" s="209"/>
      <c r="E42" s="210"/>
      <c r="F42" s="829">
        <f>F40+F37</f>
        <v>21308.774000000001</v>
      </c>
      <c r="G42" s="208"/>
      <c r="H42" s="209"/>
      <c r="I42" s="211"/>
      <c r="J42" s="829">
        <f>J40+J37</f>
        <v>42694.222199999997</v>
      </c>
      <c r="K42" s="208"/>
      <c r="L42" s="209"/>
      <c r="M42" s="210"/>
      <c r="N42" s="829">
        <f>N40+N37</f>
        <v>44828.93331</v>
      </c>
      <c r="O42" s="208"/>
      <c r="P42" s="209"/>
      <c r="Q42" s="211"/>
      <c r="R42" s="829">
        <f>R40+R37</f>
        <v>19880.5470255</v>
      </c>
      <c r="S42" s="208"/>
      <c r="T42" s="209"/>
      <c r="U42" s="211"/>
      <c r="V42" s="829">
        <f>V40+V37</f>
        <v>0</v>
      </c>
      <c r="W42" s="846">
        <f>+F42+J42+N42+R42+V42</f>
        <v>128712.47653549998</v>
      </c>
      <c r="X42" s="194"/>
      <c r="Y42" s="194"/>
      <c r="Z42" s="194"/>
    </row>
    <row r="43" spans="1:26" s="213" customFormat="1" ht="15.9" customHeight="1" outlineLevel="1">
      <c r="A43" s="163" t="s">
        <v>89</v>
      </c>
      <c r="B43" s="164"/>
      <c r="C43" s="138"/>
      <c r="D43" s="139"/>
      <c r="E43" s="158"/>
      <c r="F43" s="823"/>
      <c r="G43" s="168"/>
      <c r="H43" s="139"/>
      <c r="I43" s="160"/>
      <c r="J43" s="823"/>
      <c r="K43" s="168"/>
      <c r="L43" s="139"/>
      <c r="M43" s="158"/>
      <c r="N43" s="823"/>
      <c r="O43" s="168"/>
      <c r="P43" s="139"/>
      <c r="Q43" s="160"/>
      <c r="R43" s="823"/>
      <c r="S43" s="168"/>
      <c r="T43" s="139"/>
      <c r="U43" s="160"/>
      <c r="V43" s="823"/>
      <c r="W43" s="838"/>
      <c r="X43" s="137"/>
      <c r="Y43" s="137"/>
      <c r="Z43" s="137"/>
    </row>
    <row r="44" spans="1:26" ht="15" customHeight="1" outlineLevel="1">
      <c r="A44" s="166" t="str">
        <f>'Program Budget'!D304</f>
        <v>Local Transportation (Taxis/Ubers)  for Project Implementation</v>
      </c>
      <c r="B44" s="167" t="str">
        <f>'Program Budget'!F304</f>
        <v>Month</v>
      </c>
      <c r="C44" s="168">
        <f>'Program Budget'!H304</f>
        <v>300</v>
      </c>
      <c r="D44" s="169">
        <f>'Program Budget'!G304</f>
        <v>6</v>
      </c>
      <c r="E44" s="170">
        <v>1</v>
      </c>
      <c r="F44" s="823">
        <f>C44*D44*E44</f>
        <v>1800</v>
      </c>
      <c r="G44" s="168">
        <f>C44*1.05</f>
        <v>315</v>
      </c>
      <c r="H44" s="169">
        <f>'Program Budget'!K304</f>
        <v>12</v>
      </c>
      <c r="I44" s="170">
        <v>1</v>
      </c>
      <c r="J44" s="823">
        <f>G44*H44*I44</f>
        <v>3780</v>
      </c>
      <c r="K44" s="168">
        <f>G44*1.05</f>
        <v>330.75</v>
      </c>
      <c r="L44" s="169">
        <f>'Program Budget'!N304</f>
        <v>12</v>
      </c>
      <c r="M44" s="170">
        <v>1</v>
      </c>
      <c r="N44" s="823">
        <f>K44*L44*M44</f>
        <v>3969</v>
      </c>
      <c r="O44" s="168">
        <f>K44*1.05</f>
        <v>347.28750000000002</v>
      </c>
      <c r="P44" s="169">
        <f>'Program Budget'!Q304</f>
        <v>12</v>
      </c>
      <c r="Q44" s="170">
        <v>1</v>
      </c>
      <c r="R44" s="823">
        <f>O44*P44*Q44</f>
        <v>4167.4500000000007</v>
      </c>
      <c r="S44" s="168">
        <f>O44*1.05</f>
        <v>364.65187500000002</v>
      </c>
      <c r="T44" s="169">
        <f>'Program Budget'!T304</f>
        <v>0</v>
      </c>
      <c r="U44" s="170">
        <v>0</v>
      </c>
      <c r="V44" s="823">
        <f>S44*T44*U44</f>
        <v>0</v>
      </c>
      <c r="W44" s="838">
        <f>F44+J44+N44+R44+V44</f>
        <v>13716.45</v>
      </c>
      <c r="X44" s="173"/>
      <c r="Y44" s="161"/>
      <c r="Z44" s="174"/>
    </row>
    <row r="45" spans="1:26" ht="15" customHeight="1" outlineLevel="1">
      <c r="A45" s="166" t="str">
        <f>'Program Budget'!D305</f>
        <v>Roundtrip Domestic Airfare - Lagos to Implementing Regions for Trainings on Activity 3</v>
      </c>
      <c r="B45" s="167" t="str">
        <f>'Program Budget'!F305</f>
        <v>Trip</v>
      </c>
      <c r="C45" s="168">
        <f>'Program Budget'!H305</f>
        <v>250</v>
      </c>
      <c r="D45" s="169">
        <f>'Program Budget'!G305</f>
        <v>6</v>
      </c>
      <c r="E45" s="170">
        <v>1</v>
      </c>
      <c r="F45" s="823">
        <f>C45*D45*E45</f>
        <v>1500</v>
      </c>
      <c r="G45" s="168">
        <f>C45*1.05</f>
        <v>262.5</v>
      </c>
      <c r="H45" s="169">
        <f>'Program Budget'!K305</f>
        <v>12</v>
      </c>
      <c r="I45" s="170">
        <v>1</v>
      </c>
      <c r="J45" s="823">
        <f>G45*H45*I45</f>
        <v>3150</v>
      </c>
      <c r="K45" s="168">
        <f>G45*1.05</f>
        <v>275.625</v>
      </c>
      <c r="L45" s="169">
        <f>'Program Budget'!N305</f>
        <v>12</v>
      </c>
      <c r="M45" s="170">
        <v>1</v>
      </c>
      <c r="N45" s="823">
        <f>K45*L45*M45</f>
        <v>3307.5</v>
      </c>
      <c r="O45" s="168">
        <f>K45*1.05</f>
        <v>289.40625</v>
      </c>
      <c r="P45" s="169">
        <f>'Program Budget'!Q305</f>
        <v>12</v>
      </c>
      <c r="Q45" s="170">
        <v>1</v>
      </c>
      <c r="R45" s="823">
        <f>O45*P45*Q45</f>
        <v>3472.875</v>
      </c>
      <c r="S45" s="168">
        <f>O45*1.05</f>
        <v>303.87656250000003</v>
      </c>
      <c r="T45" s="169">
        <f>'Program Budget'!T305</f>
        <v>0</v>
      </c>
      <c r="U45" s="170">
        <v>0</v>
      </c>
      <c r="V45" s="823">
        <f>S45*T45*U45</f>
        <v>0</v>
      </c>
      <c r="W45" s="838">
        <f>F45+J45+N45+R45+V45</f>
        <v>11430.375</v>
      </c>
      <c r="X45" s="173"/>
      <c r="Y45" s="161"/>
      <c r="Z45" s="174"/>
    </row>
    <row r="46" spans="1:26" ht="15" customHeight="1" outlineLevel="1">
      <c r="A46" s="166" t="str">
        <f>'Program Budget'!D306</f>
        <v>Local Transportation (Car Rental, Taxis) for Trainings on Activity 3</v>
      </c>
      <c r="B46" s="167" t="str">
        <f>'Program Budget'!F306</f>
        <v>Trip</v>
      </c>
      <c r="C46" s="168">
        <f>'Program Budget'!H306</f>
        <v>30</v>
      </c>
      <c r="D46" s="169">
        <f>'Program Budget'!G306</f>
        <v>6</v>
      </c>
      <c r="E46" s="170">
        <v>1</v>
      </c>
      <c r="F46" s="823">
        <f>C46*D46*E46</f>
        <v>180</v>
      </c>
      <c r="G46" s="168">
        <f>C46*1.05</f>
        <v>31.5</v>
      </c>
      <c r="H46" s="169">
        <f>'Program Budget'!K306</f>
        <v>12</v>
      </c>
      <c r="I46" s="170">
        <v>1</v>
      </c>
      <c r="J46" s="823">
        <f>G46*H46*I46</f>
        <v>378</v>
      </c>
      <c r="K46" s="168">
        <f>G46*1.05</f>
        <v>33.075000000000003</v>
      </c>
      <c r="L46" s="169">
        <f>'Program Budget'!N306</f>
        <v>12</v>
      </c>
      <c r="M46" s="170">
        <v>1</v>
      </c>
      <c r="N46" s="823">
        <f>K46*L46*M46</f>
        <v>396.90000000000003</v>
      </c>
      <c r="O46" s="168">
        <f>K46*1.05</f>
        <v>34.728750000000005</v>
      </c>
      <c r="P46" s="169">
        <f>'Program Budget'!Q306</f>
        <v>12</v>
      </c>
      <c r="Q46" s="170">
        <v>1</v>
      </c>
      <c r="R46" s="823">
        <f>O46*P46*Q46</f>
        <v>416.74500000000006</v>
      </c>
      <c r="S46" s="168">
        <f>O46*1.05</f>
        <v>36.465187500000006</v>
      </c>
      <c r="T46" s="169">
        <f>'Program Budget'!T306</f>
        <v>0</v>
      </c>
      <c r="U46" s="170">
        <v>0</v>
      </c>
      <c r="V46" s="823">
        <f>S46*T46*U46</f>
        <v>0</v>
      </c>
      <c r="W46" s="838">
        <f>F46+J46+N46+R46+V46</f>
        <v>1371.6450000000002</v>
      </c>
      <c r="X46" s="173"/>
      <c r="Y46" s="161"/>
      <c r="Z46" s="174"/>
    </row>
    <row r="47" spans="1:26" s="213" customFormat="1" ht="15.6" outlineLevel="1">
      <c r="A47" s="163" t="s">
        <v>90</v>
      </c>
      <c r="B47" s="181"/>
      <c r="C47" s="138"/>
      <c r="D47" s="139"/>
      <c r="E47" s="140"/>
      <c r="F47" s="823"/>
      <c r="G47" s="168"/>
      <c r="H47" s="139"/>
      <c r="I47" s="141"/>
      <c r="J47" s="823"/>
      <c r="K47" s="168"/>
      <c r="L47" s="139"/>
      <c r="M47" s="140"/>
      <c r="N47" s="823"/>
      <c r="O47" s="168"/>
      <c r="P47" s="139"/>
      <c r="Q47" s="141"/>
      <c r="R47" s="823"/>
      <c r="S47" s="168"/>
      <c r="T47" s="139"/>
      <c r="U47" s="141"/>
      <c r="V47" s="823"/>
      <c r="W47" s="838"/>
      <c r="X47" s="137"/>
      <c r="Y47" s="137"/>
      <c r="Z47" s="137"/>
    </row>
    <row r="48" spans="1:26" ht="15" customHeight="1" outlineLevel="1">
      <c r="A48" s="166" t="str">
        <f>'Program Budget'!D303</f>
        <v>Vehicle Fuel Expense (for Field Office Vehicle)</v>
      </c>
      <c r="B48" s="167" t="str">
        <f>'Program Budget'!F303</f>
        <v>Month</v>
      </c>
      <c r="C48" s="168">
        <f>'Program Budget'!H303</f>
        <v>60</v>
      </c>
      <c r="D48" s="169">
        <f>'Program Budget'!G303</f>
        <v>3</v>
      </c>
      <c r="E48" s="170">
        <v>1</v>
      </c>
      <c r="F48" s="823">
        <f>C48*D48*E48</f>
        <v>180</v>
      </c>
      <c r="G48" s="168">
        <f>C48*1.05</f>
        <v>63</v>
      </c>
      <c r="H48" s="169">
        <f>'Program Budget'!K303</f>
        <v>12</v>
      </c>
      <c r="I48" s="170">
        <v>1</v>
      </c>
      <c r="J48" s="823">
        <f>G48*H48*I48</f>
        <v>756</v>
      </c>
      <c r="K48" s="168">
        <f>G48*1.05</f>
        <v>66.150000000000006</v>
      </c>
      <c r="L48" s="169">
        <f>'Program Budget'!N303</f>
        <v>12</v>
      </c>
      <c r="M48" s="170">
        <v>1</v>
      </c>
      <c r="N48" s="823">
        <f>K48*L48*M48</f>
        <v>793.80000000000007</v>
      </c>
      <c r="O48" s="168">
        <f>K48*1.05</f>
        <v>69.45750000000001</v>
      </c>
      <c r="P48" s="169">
        <f>'Program Budget'!Q303</f>
        <v>12</v>
      </c>
      <c r="Q48" s="170">
        <v>1</v>
      </c>
      <c r="R48" s="823">
        <f>O48*P48*Q48</f>
        <v>833.49000000000012</v>
      </c>
      <c r="S48" s="168">
        <f>O48*1.05</f>
        <v>72.930375000000012</v>
      </c>
      <c r="T48" s="169">
        <f>'Program Budget'!T303</f>
        <v>0</v>
      </c>
      <c r="U48" s="170">
        <v>0</v>
      </c>
      <c r="V48" s="823">
        <f>S48*T48*U48</f>
        <v>0</v>
      </c>
      <c r="W48" s="838">
        <f>F48+J48+N48+R48+V48</f>
        <v>2563.2900000000004</v>
      </c>
      <c r="X48" s="173"/>
      <c r="Y48" s="161"/>
      <c r="Z48" s="174"/>
    </row>
    <row r="49" spans="1:26" s="213" customFormat="1" ht="15.6" outlineLevel="1">
      <c r="A49" s="163" t="s">
        <v>91</v>
      </c>
      <c r="B49" s="181"/>
      <c r="C49" s="138"/>
      <c r="D49" s="139"/>
      <c r="E49" s="140"/>
      <c r="F49" s="823"/>
      <c r="G49" s="168"/>
      <c r="H49" s="139"/>
      <c r="I49" s="141"/>
      <c r="J49" s="823"/>
      <c r="K49" s="168"/>
      <c r="L49" s="139"/>
      <c r="M49" s="140"/>
      <c r="N49" s="823"/>
      <c r="O49" s="168"/>
      <c r="P49" s="139"/>
      <c r="Q49" s="141"/>
      <c r="R49" s="823"/>
      <c r="S49" s="168"/>
      <c r="T49" s="139"/>
      <c r="U49" s="141"/>
      <c r="V49" s="823"/>
      <c r="W49" s="838"/>
      <c r="X49" s="137"/>
      <c r="Y49" s="137"/>
      <c r="Z49" s="137"/>
    </row>
    <row r="50" spans="1:26" ht="15" customHeight="1" outlineLevel="1">
      <c r="A50" s="166" t="str">
        <f>'Program Budget'!D307</f>
        <v>Lodging and M&amp;IE for Trainings on Activity 3</v>
      </c>
      <c r="B50" s="167" t="str">
        <f>'Program Budget'!F307</f>
        <v>Day</v>
      </c>
      <c r="C50" s="168">
        <f>'Program Budget'!H307</f>
        <v>145.5</v>
      </c>
      <c r="D50" s="169">
        <f>'Program Budget'!G307</f>
        <v>18</v>
      </c>
      <c r="E50" s="170">
        <v>1</v>
      </c>
      <c r="F50" s="823">
        <f>C50*D50*E50</f>
        <v>2619</v>
      </c>
      <c r="G50" s="168">
        <f>C50*1.05</f>
        <v>152.77500000000001</v>
      </c>
      <c r="H50" s="169">
        <f>'Program Budget'!K307</f>
        <v>36</v>
      </c>
      <c r="I50" s="170">
        <v>1</v>
      </c>
      <c r="J50" s="823">
        <f>G50*H50*I50</f>
        <v>5499.9000000000005</v>
      </c>
      <c r="K50" s="168">
        <f>G50*1.05</f>
        <v>160.41375000000002</v>
      </c>
      <c r="L50" s="169">
        <f>'Program Budget'!N307</f>
        <v>36</v>
      </c>
      <c r="M50" s="170">
        <v>1</v>
      </c>
      <c r="N50" s="823">
        <f>K50*L50*M50</f>
        <v>5774.8950000000004</v>
      </c>
      <c r="O50" s="168">
        <f>K50*1.05</f>
        <v>168.43443750000003</v>
      </c>
      <c r="P50" s="169">
        <f>'Program Budget'!Q307</f>
        <v>36</v>
      </c>
      <c r="Q50" s="170">
        <v>1</v>
      </c>
      <c r="R50" s="823">
        <f>O50*P50*Q50</f>
        <v>6063.6397500000012</v>
      </c>
      <c r="S50" s="168">
        <f>O50*1.05</f>
        <v>176.85615937500003</v>
      </c>
      <c r="T50" s="169">
        <f>'Program Budget'!T307</f>
        <v>0</v>
      </c>
      <c r="U50" s="170">
        <v>0</v>
      </c>
      <c r="V50" s="823">
        <f>S50*T50*U50</f>
        <v>0</v>
      </c>
      <c r="W50" s="838">
        <f>F50+J50+N50+R50+V50</f>
        <v>19957.434750000004</v>
      </c>
      <c r="X50" s="173"/>
      <c r="Y50" s="161"/>
      <c r="Z50" s="174"/>
    </row>
    <row r="51" spans="1:26" outlineLevel="1">
      <c r="A51" s="269"/>
      <c r="B51" s="181"/>
      <c r="F51" s="823"/>
      <c r="J51" s="823"/>
      <c r="N51" s="823"/>
      <c r="R51" s="823"/>
      <c r="V51" s="823"/>
      <c r="W51" s="838"/>
    </row>
    <row r="52" spans="1:26" ht="18.3">
      <c r="A52" s="214" t="s">
        <v>92</v>
      </c>
      <c r="B52" s="188"/>
      <c r="C52" s="189"/>
      <c r="D52" s="215"/>
      <c r="E52" s="216"/>
      <c r="F52" s="826">
        <f>SUM(F43:F51)</f>
        <v>6279</v>
      </c>
      <c r="G52" s="189"/>
      <c r="H52" s="215"/>
      <c r="I52" s="192"/>
      <c r="J52" s="826">
        <f>SUM(J43:J51)</f>
        <v>13563.900000000001</v>
      </c>
      <c r="K52" s="189"/>
      <c r="L52" s="215"/>
      <c r="M52" s="216"/>
      <c r="N52" s="826">
        <f>SUM(N43:N51)</f>
        <v>14242.094999999999</v>
      </c>
      <c r="O52" s="189"/>
      <c r="P52" s="215"/>
      <c r="Q52" s="192"/>
      <c r="R52" s="826">
        <f>SUM(R43:R51)</f>
        <v>14954.199750000003</v>
      </c>
      <c r="S52" s="189"/>
      <c r="T52" s="215"/>
      <c r="U52" s="192"/>
      <c r="V52" s="826">
        <f>SUM(V43:V51)</f>
        <v>0</v>
      </c>
      <c r="W52" s="846">
        <f>+F52+J52+N52+R52+V52</f>
        <v>49039.19475000001</v>
      </c>
      <c r="X52" s="143"/>
      <c r="Y52" s="420"/>
      <c r="Z52" s="143"/>
    </row>
    <row r="53" spans="1:26" ht="15.6" outlineLevel="1">
      <c r="A53" s="163" t="s">
        <v>30</v>
      </c>
      <c r="B53" s="217"/>
      <c r="D53" s="218"/>
      <c r="E53" s="219"/>
      <c r="F53" s="828"/>
      <c r="H53" s="218"/>
      <c r="I53" s="220"/>
      <c r="J53" s="839"/>
      <c r="L53" s="218"/>
      <c r="M53" s="219"/>
      <c r="N53" s="839"/>
      <c r="P53" s="218"/>
      <c r="Q53" s="220"/>
      <c r="R53" s="839"/>
      <c r="T53" s="218"/>
      <c r="U53" s="220"/>
      <c r="V53" s="839"/>
      <c r="W53" s="838"/>
    </row>
    <row r="54" spans="1:26" ht="15.6" outlineLevel="1">
      <c r="A54" s="221" t="str">
        <f>'Program Budget'!D295</f>
        <v>Security Services, Risk Assessments, &amp; Security Assessment</v>
      </c>
      <c r="B54" s="167" t="str">
        <f>'Program Budget'!F295</f>
        <v>Year</v>
      </c>
      <c r="C54" s="168">
        <f>'Program Budget'!H295</f>
        <v>2000</v>
      </c>
      <c r="D54" s="169">
        <f>'Program Budget'!G295</f>
        <v>1</v>
      </c>
      <c r="E54" s="170">
        <v>1</v>
      </c>
      <c r="F54" s="823">
        <f t="shared" ref="F54" si="50">C54*D54*E54</f>
        <v>2000</v>
      </c>
      <c r="G54" s="168">
        <f t="shared" ref="G54" si="51">C54</f>
        <v>2000</v>
      </c>
      <c r="H54" s="169">
        <f>'Program Budget'!K295</f>
        <v>1</v>
      </c>
      <c r="I54" s="170">
        <v>1</v>
      </c>
      <c r="J54" s="823">
        <f t="shared" ref="J54" si="52">G54*H54*I54</f>
        <v>2000</v>
      </c>
      <c r="K54" s="168">
        <f t="shared" ref="K54" si="53">G54</f>
        <v>2000</v>
      </c>
      <c r="L54" s="169">
        <f>'Program Budget'!N295</f>
        <v>1</v>
      </c>
      <c r="M54" s="170">
        <v>1</v>
      </c>
      <c r="N54" s="823">
        <f t="shared" ref="N54" si="54">K54*L54*M54</f>
        <v>2000</v>
      </c>
      <c r="O54" s="168">
        <f t="shared" ref="O54" si="55">K54</f>
        <v>2000</v>
      </c>
      <c r="P54" s="169">
        <f>'Program Budget'!Q295</f>
        <v>1</v>
      </c>
      <c r="Q54" s="170">
        <v>1</v>
      </c>
      <c r="R54" s="823">
        <f t="shared" ref="R54" si="56">O54*P54*Q54</f>
        <v>2000</v>
      </c>
      <c r="S54" s="168">
        <f t="shared" ref="S54" si="57">O54</f>
        <v>2000</v>
      </c>
      <c r="T54" s="169">
        <f>'Program Budget'!T295</f>
        <v>0</v>
      </c>
      <c r="U54" s="170">
        <v>0</v>
      </c>
      <c r="V54" s="823">
        <f t="shared" ref="V54" si="58">S54*T54*U54</f>
        <v>0</v>
      </c>
      <c r="W54" s="838">
        <f t="shared" ref="W54" si="59">F54+J54+N54+R54+V54</f>
        <v>8000</v>
      </c>
    </row>
    <row r="55" spans="1:26" outlineLevel="1">
      <c r="A55" s="270"/>
      <c r="B55" s="181"/>
      <c r="C55" s="222"/>
      <c r="D55" s="223"/>
      <c r="F55" s="823"/>
      <c r="G55" s="222"/>
      <c r="H55" s="223"/>
      <c r="I55" s="140"/>
      <c r="J55" s="823"/>
      <c r="K55" s="222"/>
      <c r="L55" s="223"/>
      <c r="N55" s="823"/>
      <c r="O55" s="222"/>
      <c r="P55" s="223"/>
      <c r="Q55" s="140"/>
      <c r="R55" s="823"/>
      <c r="S55" s="222"/>
      <c r="T55" s="223"/>
      <c r="U55" s="140"/>
      <c r="V55" s="823"/>
      <c r="W55" s="848"/>
    </row>
    <row r="56" spans="1:26" ht="18.3" outlineLevel="1">
      <c r="A56" s="214" t="s">
        <v>93</v>
      </c>
      <c r="B56" s="188"/>
      <c r="C56" s="189"/>
      <c r="D56" s="215"/>
      <c r="E56" s="216"/>
      <c r="F56" s="826">
        <f>SUM(F54:F55)</f>
        <v>2000</v>
      </c>
      <c r="G56" s="189"/>
      <c r="H56" s="215"/>
      <c r="I56" s="192"/>
      <c r="J56" s="826">
        <f>SUM(J54:J55)</f>
        <v>2000</v>
      </c>
      <c r="K56" s="189"/>
      <c r="L56" s="215"/>
      <c r="M56" s="216"/>
      <c r="N56" s="826">
        <f>SUM(N54:N55)</f>
        <v>2000</v>
      </c>
      <c r="O56" s="189"/>
      <c r="P56" s="215"/>
      <c r="Q56" s="192"/>
      <c r="R56" s="826">
        <f>SUM(R54:R55)</f>
        <v>2000</v>
      </c>
      <c r="S56" s="189"/>
      <c r="T56" s="215"/>
      <c r="U56" s="192"/>
      <c r="V56" s="826">
        <f>SUM(V54:V55)</f>
        <v>0</v>
      </c>
      <c r="W56" s="846">
        <f>+F56+J56+N56+R56+V56</f>
        <v>8000</v>
      </c>
    </row>
    <row r="57" spans="1:26" ht="15.6" outlineLevel="1">
      <c r="A57" s="163" t="s">
        <v>94</v>
      </c>
      <c r="B57" s="224"/>
      <c r="D57" s="218"/>
      <c r="F57" s="823"/>
      <c r="H57" s="218"/>
      <c r="J57" s="838"/>
      <c r="L57" s="218"/>
      <c r="N57" s="838"/>
      <c r="P57" s="218"/>
      <c r="R57" s="838"/>
      <c r="T57" s="218"/>
      <c r="V57" s="838"/>
      <c r="W57" s="838"/>
    </row>
    <row r="58" spans="1:26" outlineLevel="1">
      <c r="A58" s="166" t="s">
        <v>75</v>
      </c>
      <c r="B58" s="181"/>
      <c r="D58" s="225"/>
      <c r="F58" s="823">
        <f>C58*D58*E58</f>
        <v>0</v>
      </c>
      <c r="H58" s="225"/>
      <c r="I58" s="140"/>
      <c r="J58" s="823">
        <f t="shared" ref="J58" si="60">G58*H58*I58</f>
        <v>0</v>
      </c>
      <c r="L58" s="225"/>
      <c r="N58" s="823">
        <f t="shared" ref="N58" si="61">K58*L58*M58</f>
        <v>0</v>
      </c>
      <c r="P58" s="225"/>
      <c r="Q58" s="140"/>
      <c r="R58" s="823">
        <f t="shared" ref="R58" si="62">O58*P58*Q58</f>
        <v>0</v>
      </c>
      <c r="T58" s="225"/>
      <c r="U58" s="140"/>
      <c r="V58" s="823">
        <f t="shared" ref="V58" si="63">S58*T58*U58</f>
        <v>0</v>
      </c>
      <c r="W58" s="838">
        <f t="shared" ref="W58" si="64">F58+J58+N58+R58+V58</f>
        <v>0</v>
      </c>
    </row>
    <row r="59" spans="1:26" ht="18.3" outlineLevel="1">
      <c r="A59" s="214" t="s">
        <v>95</v>
      </c>
      <c r="B59" s="188"/>
      <c r="C59" s="189"/>
      <c r="D59" s="215"/>
      <c r="E59" s="216"/>
      <c r="F59" s="826">
        <f>SUM(F58:F58)</f>
        <v>0</v>
      </c>
      <c r="G59" s="189"/>
      <c r="H59" s="215"/>
      <c r="I59" s="192"/>
      <c r="J59" s="826">
        <f>SUM(J58:J58)</f>
        <v>0</v>
      </c>
      <c r="K59" s="189"/>
      <c r="L59" s="215"/>
      <c r="M59" s="216"/>
      <c r="N59" s="826">
        <f>SUM(N58:N58)</f>
        <v>0</v>
      </c>
      <c r="O59" s="189"/>
      <c r="P59" s="215"/>
      <c r="Q59" s="192"/>
      <c r="R59" s="826">
        <f>SUM(R58:R58)</f>
        <v>0</v>
      </c>
      <c r="S59" s="189"/>
      <c r="T59" s="215"/>
      <c r="U59" s="192"/>
      <c r="V59" s="826">
        <f>SUM(V58:V58)</f>
        <v>0</v>
      </c>
      <c r="W59" s="846">
        <f>+F59+J59+N59+R59+V59</f>
        <v>0</v>
      </c>
    </row>
    <row r="60" spans="1:26" ht="15.6" outlineLevel="1">
      <c r="A60" s="163" t="s">
        <v>32</v>
      </c>
      <c r="B60" s="181"/>
      <c r="D60" s="218"/>
      <c r="F60" s="823"/>
      <c r="H60" s="218"/>
      <c r="I60" s="140"/>
      <c r="J60" s="823"/>
      <c r="L60" s="218"/>
      <c r="N60" s="823"/>
      <c r="P60" s="218"/>
      <c r="Q60" s="140"/>
      <c r="R60" s="823"/>
      <c r="T60" s="218"/>
      <c r="U60" s="140"/>
      <c r="V60" s="823"/>
      <c r="W60" s="838"/>
    </row>
    <row r="61" spans="1:26" outlineLevel="1">
      <c r="A61" s="166" t="s">
        <v>75</v>
      </c>
      <c r="B61" s="181"/>
      <c r="D61" s="218"/>
      <c r="F61" s="823">
        <f>C61*D61*E61</f>
        <v>0</v>
      </c>
      <c r="H61" s="218"/>
      <c r="I61" s="140"/>
      <c r="J61" s="823">
        <f>G61*H61*I61</f>
        <v>0</v>
      </c>
      <c r="L61" s="218"/>
      <c r="N61" s="823">
        <f>K61*L61*M61</f>
        <v>0</v>
      </c>
      <c r="P61" s="218"/>
      <c r="Q61" s="140"/>
      <c r="R61" s="823">
        <f>O61*P61*Q61</f>
        <v>0</v>
      </c>
      <c r="T61" s="218"/>
      <c r="U61" s="140"/>
      <c r="V61" s="823">
        <f>S61*T61*U61</f>
        <v>0</v>
      </c>
      <c r="W61" s="838">
        <f t="shared" ref="W61" si="65">F61+J61+N61+R61+V61</f>
        <v>0</v>
      </c>
    </row>
    <row r="62" spans="1:26" ht="18.3" outlineLevel="1">
      <c r="A62" s="214" t="s">
        <v>98</v>
      </c>
      <c r="B62" s="188"/>
      <c r="C62" s="189"/>
      <c r="D62" s="215"/>
      <c r="E62" s="216"/>
      <c r="F62" s="826">
        <f>SUM(F58:F58)</f>
        <v>0</v>
      </c>
      <c r="G62" s="189"/>
      <c r="H62" s="215"/>
      <c r="I62" s="192"/>
      <c r="J62" s="826">
        <f>SUM(J58:J58)</f>
        <v>0</v>
      </c>
      <c r="K62" s="189"/>
      <c r="L62" s="215"/>
      <c r="M62" s="216"/>
      <c r="N62" s="826">
        <f>SUM(N58:N58)</f>
        <v>0</v>
      </c>
      <c r="O62" s="189"/>
      <c r="P62" s="215"/>
      <c r="Q62" s="192"/>
      <c r="R62" s="826">
        <f>SUM(R58:R58)</f>
        <v>0</v>
      </c>
      <c r="S62" s="189"/>
      <c r="T62" s="215"/>
      <c r="U62" s="192"/>
      <c r="V62" s="826">
        <f>SUM(V58:V58)</f>
        <v>0</v>
      </c>
      <c r="W62" s="846">
        <f>+F62+J62+N62+R62+V62</f>
        <v>0</v>
      </c>
    </row>
    <row r="63" spans="1:26" ht="15.6" outlineLevel="1">
      <c r="A63" s="163" t="s">
        <v>33</v>
      </c>
      <c r="B63" s="217"/>
      <c r="D63" s="218"/>
      <c r="E63" s="219"/>
      <c r="F63" s="828"/>
      <c r="H63" s="218"/>
      <c r="I63" s="220"/>
      <c r="J63" s="839"/>
      <c r="L63" s="218"/>
      <c r="M63" s="219"/>
      <c r="N63" s="839"/>
      <c r="P63" s="218"/>
      <c r="Q63" s="220"/>
      <c r="R63" s="839"/>
      <c r="T63" s="218"/>
      <c r="U63" s="220"/>
      <c r="V63" s="839"/>
      <c r="W63" s="838"/>
    </row>
    <row r="64" spans="1:26" outlineLevel="1">
      <c r="A64" s="166" t="s">
        <v>75</v>
      </c>
      <c r="B64" s="181"/>
      <c r="D64" s="218"/>
      <c r="F64" s="823">
        <f>C64*D64*E64</f>
        <v>0</v>
      </c>
      <c r="H64" s="218"/>
      <c r="I64" s="140"/>
      <c r="J64" s="823">
        <f>G64*H64*I64</f>
        <v>0</v>
      </c>
      <c r="L64" s="218"/>
      <c r="N64" s="823">
        <f>K64*L64*M64</f>
        <v>0</v>
      </c>
      <c r="P64" s="218"/>
      <c r="Q64" s="140"/>
      <c r="R64" s="823">
        <f>O64*P64*Q64</f>
        <v>0</v>
      </c>
      <c r="T64" s="218"/>
      <c r="U64" s="140"/>
      <c r="V64" s="823">
        <f>S64*T64*U64</f>
        <v>0</v>
      </c>
      <c r="W64" s="838">
        <f t="shared" ref="W64" si="66">F64+J64+N64+R64+V64</f>
        <v>0</v>
      </c>
    </row>
    <row r="65" spans="1:23" outlineLevel="1">
      <c r="A65" s="166"/>
      <c r="B65" s="181"/>
      <c r="C65" s="222"/>
      <c r="D65" s="223"/>
      <c r="F65" s="823"/>
      <c r="G65" s="222"/>
      <c r="H65" s="223"/>
      <c r="I65" s="140"/>
      <c r="J65" s="823"/>
      <c r="K65" s="222"/>
      <c r="L65" s="223"/>
      <c r="N65" s="823"/>
      <c r="O65" s="222"/>
      <c r="P65" s="223"/>
      <c r="Q65" s="140"/>
      <c r="R65" s="823"/>
      <c r="S65" s="222"/>
      <c r="T65" s="223"/>
      <c r="U65" s="140"/>
      <c r="V65" s="823"/>
      <c r="W65" s="838"/>
    </row>
    <row r="66" spans="1:23" ht="18.3" outlineLevel="1">
      <c r="A66" s="214" t="s">
        <v>99</v>
      </c>
      <c r="B66" s="188"/>
      <c r="C66" s="189"/>
      <c r="D66" s="215"/>
      <c r="E66" s="216"/>
      <c r="F66" s="826">
        <f>SUM(F63:F65)</f>
        <v>0</v>
      </c>
      <c r="G66" s="189"/>
      <c r="H66" s="215"/>
      <c r="I66" s="192"/>
      <c r="J66" s="826">
        <f>SUM(J63:J65)</f>
        <v>0</v>
      </c>
      <c r="K66" s="189"/>
      <c r="L66" s="215"/>
      <c r="M66" s="216"/>
      <c r="N66" s="826">
        <f>SUM(N63:N65)</f>
        <v>0</v>
      </c>
      <c r="O66" s="189"/>
      <c r="P66" s="215"/>
      <c r="Q66" s="192"/>
      <c r="R66" s="826">
        <f>SUM(R63:R65)</f>
        <v>0</v>
      </c>
      <c r="S66" s="189"/>
      <c r="T66" s="215"/>
      <c r="U66" s="192"/>
      <c r="V66" s="826">
        <f>SUM(V63:V65)</f>
        <v>0</v>
      </c>
      <c r="W66" s="826">
        <f>SUM(W63:W65)</f>
        <v>0</v>
      </c>
    </row>
    <row r="67" spans="1:23" ht="15.6" outlineLevel="1">
      <c r="A67" s="226" t="s">
        <v>100</v>
      </c>
      <c r="B67" s="181"/>
      <c r="C67" s="227"/>
      <c r="D67" s="228"/>
      <c r="F67" s="828"/>
      <c r="G67" s="227"/>
      <c r="H67" s="228"/>
      <c r="J67" s="839"/>
      <c r="K67" s="227"/>
      <c r="L67" s="228"/>
      <c r="N67" s="839"/>
      <c r="O67" s="227"/>
      <c r="P67" s="228"/>
      <c r="R67" s="839"/>
      <c r="S67" s="227"/>
      <c r="T67" s="228"/>
      <c r="V67" s="839"/>
      <c r="W67" s="838"/>
    </row>
    <row r="68" spans="1:23" ht="15.6" outlineLevel="1">
      <c r="A68" s="163" t="s">
        <v>102</v>
      </c>
      <c r="B68" s="181"/>
      <c r="C68" s="227"/>
      <c r="D68" s="228"/>
      <c r="F68" s="823"/>
      <c r="G68" s="227"/>
      <c r="H68" s="228"/>
      <c r="I68" s="140"/>
      <c r="J68" s="823"/>
      <c r="K68" s="227"/>
      <c r="L68" s="228"/>
      <c r="N68" s="823"/>
      <c r="O68" s="227"/>
      <c r="P68" s="228"/>
      <c r="Q68" s="140"/>
      <c r="R68" s="823"/>
      <c r="S68" s="227"/>
      <c r="T68" s="228"/>
      <c r="U68" s="140"/>
      <c r="V68" s="823"/>
      <c r="W68" s="838"/>
    </row>
    <row r="69" spans="1:23" ht="15.6" outlineLevel="1">
      <c r="A69" s="221" t="str">
        <f>'Program Budget'!D312</f>
        <v>Subrecipient: CABI</v>
      </c>
      <c r="B69" s="167" t="str">
        <f>'Program Budget'!F312</f>
        <v>Subaward</v>
      </c>
      <c r="C69" s="168">
        <f>'Program Budget'!I312</f>
        <v>53354</v>
      </c>
      <c r="D69" s="169">
        <f>'Program Budget'!G312</f>
        <v>1</v>
      </c>
      <c r="E69" s="170">
        <v>1</v>
      </c>
      <c r="F69" s="823">
        <f t="shared" ref="F69" si="67">C69*D69*E69</f>
        <v>53354</v>
      </c>
      <c r="G69" s="168">
        <f>'Program Budget'!L312</f>
        <v>315067.5307692308</v>
      </c>
      <c r="H69" s="169">
        <f>'Program Budget'!K312</f>
        <v>1</v>
      </c>
      <c r="I69" s="170">
        <v>1</v>
      </c>
      <c r="J69" s="823">
        <f t="shared" ref="J69" si="68">G69*H69*I69</f>
        <v>315067.5307692308</v>
      </c>
      <c r="K69" s="168">
        <f>'Program Budget'!O312</f>
        <v>69765.442307692312</v>
      </c>
      <c r="L69" s="169">
        <f>'Program Budget'!N312</f>
        <v>1</v>
      </c>
      <c r="M69" s="170">
        <v>1</v>
      </c>
      <c r="N69" s="823">
        <f t="shared" ref="N69" si="69">K69*L69*M69</f>
        <v>69765.442307692312</v>
      </c>
      <c r="O69" s="168">
        <f>'Program Budget'!R312</f>
        <v>0</v>
      </c>
      <c r="P69" s="169">
        <f>'Program Budget'!Q312</f>
        <v>0</v>
      </c>
      <c r="Q69" s="170">
        <v>1</v>
      </c>
      <c r="R69" s="823">
        <f t="shared" ref="R69" si="70">O69*P69*Q69</f>
        <v>0</v>
      </c>
      <c r="S69" s="168">
        <f>'Program Budget'!U312</f>
        <v>0</v>
      </c>
      <c r="T69" s="169">
        <f>'Program Budget'!T312</f>
        <v>0</v>
      </c>
      <c r="U69" s="170">
        <v>0</v>
      </c>
      <c r="V69" s="823">
        <f t="shared" ref="V69" si="71">S69*T69*U69</f>
        <v>0</v>
      </c>
      <c r="W69" s="838">
        <f t="shared" ref="W69" si="72">F69+J69+N69+R69+V69</f>
        <v>438186.97307692311</v>
      </c>
    </row>
    <row r="70" spans="1:23" ht="15.6" outlineLevel="1">
      <c r="A70" s="231"/>
      <c r="B70" s="199"/>
      <c r="C70" s="229"/>
      <c r="D70" s="230"/>
      <c r="E70" s="202"/>
      <c r="F70" s="827"/>
      <c r="G70" s="229"/>
      <c r="H70" s="230"/>
      <c r="I70" s="202"/>
      <c r="J70" s="827"/>
      <c r="K70" s="229"/>
      <c r="L70" s="230"/>
      <c r="M70" s="202"/>
      <c r="N70" s="827"/>
      <c r="O70" s="229"/>
      <c r="P70" s="230"/>
      <c r="Q70" s="202"/>
      <c r="R70" s="827"/>
      <c r="S70" s="229"/>
      <c r="T70" s="230"/>
      <c r="U70" s="202"/>
      <c r="V70" s="827"/>
      <c r="W70" s="838"/>
    </row>
    <row r="71" spans="1:23" ht="18.3" outlineLevel="1">
      <c r="A71" s="232" t="s">
        <v>107</v>
      </c>
      <c r="B71" s="188"/>
      <c r="C71" s="208"/>
      <c r="D71" s="209"/>
      <c r="E71" s="233"/>
      <c r="F71" s="829">
        <f>SUM(F69:F69)</f>
        <v>53354</v>
      </c>
      <c r="G71" s="208"/>
      <c r="H71" s="209"/>
      <c r="I71" s="211"/>
      <c r="J71" s="829">
        <f>SUM(J69:J69)</f>
        <v>315067.5307692308</v>
      </c>
      <c r="K71" s="208"/>
      <c r="L71" s="209"/>
      <c r="M71" s="233"/>
      <c r="N71" s="829">
        <f>SUM(N69:N69)</f>
        <v>69765.442307692312</v>
      </c>
      <c r="O71" s="208"/>
      <c r="P71" s="209"/>
      <c r="Q71" s="211"/>
      <c r="R71" s="829">
        <f>SUM(R69:R69)</f>
        <v>0</v>
      </c>
      <c r="S71" s="208"/>
      <c r="T71" s="209"/>
      <c r="U71" s="211"/>
      <c r="V71" s="829">
        <f>SUM(V69:V69)</f>
        <v>0</v>
      </c>
      <c r="W71" s="826">
        <f>SUM(W69:W69)</f>
        <v>438186.97307692311</v>
      </c>
    </row>
    <row r="72" spans="1:23" ht="15.6" outlineLevel="1">
      <c r="A72" s="234"/>
      <c r="B72" s="197"/>
      <c r="C72" s="227"/>
      <c r="D72" s="228"/>
      <c r="F72" s="823"/>
      <c r="G72" s="227"/>
      <c r="H72" s="228"/>
      <c r="J72" s="838"/>
      <c r="K72" s="227"/>
      <c r="L72" s="228"/>
      <c r="N72" s="838"/>
      <c r="O72" s="227"/>
      <c r="P72" s="228"/>
      <c r="R72" s="838"/>
      <c r="S72" s="227"/>
      <c r="T72" s="228"/>
      <c r="V72" s="838"/>
      <c r="W72" s="838"/>
    </row>
    <row r="73" spans="1:23" ht="18.3" outlineLevel="1">
      <c r="A73" s="235" t="s">
        <v>108</v>
      </c>
      <c r="B73" s="236"/>
      <c r="C73" s="237"/>
      <c r="D73" s="238"/>
      <c r="E73" s="239"/>
      <c r="F73" s="830">
        <f>F32+F42+F52+F62+F66+F56+F71</f>
        <v>159656.774</v>
      </c>
      <c r="G73" s="237"/>
      <c r="H73" s="238"/>
      <c r="I73" s="240"/>
      <c r="J73" s="830">
        <f>J32+J42+J52+J62+J66+J56+J71</f>
        <v>527591.65296923078</v>
      </c>
      <c r="K73" s="237"/>
      <c r="L73" s="238"/>
      <c r="M73" s="239"/>
      <c r="N73" s="830">
        <f>N32+N42+N52+N62+N66+N56+N71</f>
        <v>292815.77061769227</v>
      </c>
      <c r="O73" s="237"/>
      <c r="P73" s="238"/>
      <c r="Q73" s="240"/>
      <c r="R73" s="830">
        <f>R32+R42+R52+R62+R66+R56+R71</f>
        <v>115055.4680255</v>
      </c>
      <c r="S73" s="237"/>
      <c r="T73" s="238"/>
      <c r="U73" s="240"/>
      <c r="V73" s="830">
        <f>V32+V42+V52+V62+V66+V56+V71</f>
        <v>0</v>
      </c>
      <c r="W73" s="830">
        <f>W32+W42+W52+W62+W66+W56+W71</f>
        <v>1095119.6656124231</v>
      </c>
    </row>
    <row r="74" spans="1:23" outlineLevel="1">
      <c r="A74" s="273"/>
      <c r="B74" s="197"/>
      <c r="C74" s="227"/>
      <c r="D74" s="228"/>
      <c r="F74" s="823"/>
      <c r="G74" s="227"/>
      <c r="H74" s="228"/>
      <c r="J74" s="838"/>
      <c r="K74" s="227"/>
      <c r="L74" s="228"/>
      <c r="N74" s="838"/>
      <c r="O74" s="227"/>
      <c r="P74" s="228"/>
      <c r="R74" s="838"/>
      <c r="S74" s="227"/>
      <c r="T74" s="228"/>
      <c r="V74" s="838"/>
      <c r="W74" s="838"/>
    </row>
    <row r="75" spans="1:23" ht="20.399999999999999">
      <c r="A75" s="241" t="s">
        <v>53</v>
      </c>
      <c r="B75" s="242"/>
      <c r="C75" s="243"/>
      <c r="D75" s="243"/>
      <c r="E75" s="243"/>
      <c r="F75" s="831"/>
      <c r="G75" s="243"/>
      <c r="H75" s="243"/>
      <c r="I75" s="243"/>
      <c r="J75" s="831"/>
      <c r="K75" s="243"/>
      <c r="L75" s="243"/>
      <c r="M75" s="243"/>
      <c r="N75" s="831"/>
      <c r="O75" s="243"/>
      <c r="P75" s="243"/>
      <c r="Q75" s="243"/>
      <c r="R75" s="831"/>
      <c r="S75" s="243"/>
      <c r="T75" s="243"/>
      <c r="U75" s="243"/>
      <c r="V75" s="831"/>
      <c r="W75" s="849"/>
    </row>
    <row r="76" spans="1:23" ht="15" customHeight="1">
      <c r="A76" s="244" t="s">
        <v>54</v>
      </c>
      <c r="B76" s="280" t="s">
        <v>109</v>
      </c>
      <c r="C76" s="168">
        <v>0</v>
      </c>
      <c r="D76" s="169">
        <v>0</v>
      </c>
      <c r="E76" s="170">
        <v>0.15</v>
      </c>
      <c r="F76" s="823">
        <f>C76*D76*E76</f>
        <v>0</v>
      </c>
      <c r="G76" s="168">
        <v>0</v>
      </c>
      <c r="H76" s="169">
        <v>0</v>
      </c>
      <c r="I76" s="170">
        <f>E76</f>
        <v>0.15</v>
      </c>
      <c r="J76" s="823">
        <f>G76*H76*I76</f>
        <v>0</v>
      </c>
      <c r="K76" s="168">
        <v>0</v>
      </c>
      <c r="L76" s="169">
        <v>0</v>
      </c>
      <c r="M76" s="170">
        <f>I76</f>
        <v>0.15</v>
      </c>
      <c r="N76" s="823">
        <f>K76*L76*M76</f>
        <v>0</v>
      </c>
      <c r="O76" s="168">
        <v>0</v>
      </c>
      <c r="P76" s="169">
        <v>0</v>
      </c>
      <c r="Q76" s="170">
        <f>M76</f>
        <v>0.15</v>
      </c>
      <c r="R76" s="823">
        <f>O76*P76*Q76</f>
        <v>0</v>
      </c>
      <c r="S76" s="168">
        <v>0</v>
      </c>
      <c r="T76" s="169">
        <v>0</v>
      </c>
      <c r="U76" s="170">
        <v>0</v>
      </c>
      <c r="V76" s="823">
        <f>S76*T76*U76</f>
        <v>0</v>
      </c>
      <c r="W76" s="838">
        <f>F76+J76+N76+R76+V76</f>
        <v>0</v>
      </c>
    </row>
    <row r="77" spans="1:23" ht="15" customHeight="1">
      <c r="A77" s="244" t="s">
        <v>110</v>
      </c>
      <c r="B77" s="280" t="s">
        <v>109</v>
      </c>
      <c r="C77" s="438">
        <f>F73-F69</f>
        <v>106302.774</v>
      </c>
      <c r="D77" s="169">
        <v>1</v>
      </c>
      <c r="E77" s="170">
        <v>0.15</v>
      </c>
      <c r="F77" s="823">
        <f>C77*D77*E77</f>
        <v>15945.4161</v>
      </c>
      <c r="G77" s="438">
        <f>J73-J69</f>
        <v>212524.12219999998</v>
      </c>
      <c r="H77" s="169">
        <v>1</v>
      </c>
      <c r="I77" s="170">
        <f>E77</f>
        <v>0.15</v>
      </c>
      <c r="J77" s="823">
        <f>G77*H77*I77</f>
        <v>31878.618329999998</v>
      </c>
      <c r="K77" s="438">
        <f>N73-N69</f>
        <v>223050.32830999995</v>
      </c>
      <c r="L77" s="169">
        <v>1</v>
      </c>
      <c r="M77" s="170">
        <f>I77</f>
        <v>0.15</v>
      </c>
      <c r="N77" s="823">
        <f>K77*L77*M77</f>
        <v>33457.549246499992</v>
      </c>
      <c r="O77" s="438">
        <f>R73-R69</f>
        <v>115055.4680255</v>
      </c>
      <c r="P77" s="169">
        <v>1</v>
      </c>
      <c r="Q77" s="170">
        <f>M77</f>
        <v>0.15</v>
      </c>
      <c r="R77" s="823">
        <f>O77*P77*Q77</f>
        <v>17258.320203824998</v>
      </c>
      <c r="S77" s="438">
        <f>V73-V69</f>
        <v>0</v>
      </c>
      <c r="T77" s="169">
        <v>1</v>
      </c>
      <c r="U77" s="170">
        <v>0</v>
      </c>
      <c r="V77" s="823">
        <f>S77*T77*U77</f>
        <v>0</v>
      </c>
      <c r="W77" s="838">
        <f>F77+J77+N77+R77+V77</f>
        <v>98539.903880324986</v>
      </c>
    </row>
    <row r="78" spans="1:23" ht="15" customHeight="1">
      <c r="A78" s="244" t="s">
        <v>111</v>
      </c>
      <c r="B78" s="280" t="s">
        <v>109</v>
      </c>
      <c r="C78" s="438">
        <f>F69</f>
        <v>53354</v>
      </c>
      <c r="D78" s="169">
        <v>1</v>
      </c>
      <c r="E78" s="170">
        <v>7.0000000000000007E-2</v>
      </c>
      <c r="F78" s="823">
        <f>C78*D78*E78</f>
        <v>3734.78</v>
      </c>
      <c r="G78" s="438">
        <f>J69</f>
        <v>315067.5307692308</v>
      </c>
      <c r="H78" s="169">
        <v>1</v>
      </c>
      <c r="I78" s="170">
        <f>E78</f>
        <v>7.0000000000000007E-2</v>
      </c>
      <c r="J78" s="823">
        <f>G78*H78*I78</f>
        <v>22054.727153846157</v>
      </c>
      <c r="K78" s="438">
        <f>N69</f>
        <v>69765.442307692312</v>
      </c>
      <c r="L78" s="169">
        <v>1</v>
      </c>
      <c r="M78" s="170">
        <f>I78</f>
        <v>7.0000000000000007E-2</v>
      </c>
      <c r="N78" s="823">
        <f>K78*L78*M78</f>
        <v>4883.5809615384624</v>
      </c>
      <c r="O78" s="438">
        <f>R69</f>
        <v>0</v>
      </c>
      <c r="P78" s="169">
        <v>1</v>
      </c>
      <c r="Q78" s="170">
        <f>M78</f>
        <v>7.0000000000000007E-2</v>
      </c>
      <c r="R78" s="823">
        <f>O78*P78*Q78</f>
        <v>0</v>
      </c>
      <c r="S78" s="438">
        <f>V69</f>
        <v>0</v>
      </c>
      <c r="T78" s="169">
        <v>1</v>
      </c>
      <c r="U78" s="170">
        <v>0</v>
      </c>
      <c r="V78" s="823">
        <f>S78*T78*U78</f>
        <v>0</v>
      </c>
      <c r="W78" s="838">
        <f>F78+J78+N78+R78+V78</f>
        <v>30673.08811538462</v>
      </c>
    </row>
    <row r="79" spans="1:23" ht="15" customHeight="1">
      <c r="A79" s="245"/>
      <c r="B79" s="197"/>
      <c r="C79" s="222"/>
      <c r="D79" s="246"/>
      <c r="E79" s="247"/>
      <c r="F79" s="823"/>
      <c r="G79" s="168"/>
      <c r="H79" s="246"/>
      <c r="I79" s="172"/>
      <c r="J79" s="823"/>
      <c r="K79" s="168"/>
      <c r="L79" s="246"/>
      <c r="M79" s="247"/>
      <c r="N79" s="823"/>
      <c r="O79" s="168"/>
      <c r="P79" s="246"/>
      <c r="Q79" s="172"/>
      <c r="R79" s="823"/>
      <c r="S79" s="222"/>
      <c r="T79" s="246"/>
      <c r="U79" s="172"/>
      <c r="V79" s="823"/>
      <c r="W79" s="838"/>
    </row>
    <row r="80" spans="1:23" ht="18.3">
      <c r="A80" s="235" t="s">
        <v>112</v>
      </c>
      <c r="B80" s="236"/>
      <c r="C80" s="237"/>
      <c r="D80" s="238"/>
      <c r="E80" s="239"/>
      <c r="F80" s="830">
        <f>SUM(F76:F79)</f>
        <v>19680.196100000001</v>
      </c>
      <c r="G80" s="237"/>
      <c r="H80" s="238"/>
      <c r="I80" s="240"/>
      <c r="J80" s="830">
        <f>SUM(J76:J79)</f>
        <v>53933.345483846155</v>
      </c>
      <c r="K80" s="237"/>
      <c r="L80" s="238"/>
      <c r="M80" s="239"/>
      <c r="N80" s="830">
        <f>SUM(N76:N79)</f>
        <v>38341.130208038456</v>
      </c>
      <c r="O80" s="237"/>
      <c r="P80" s="238"/>
      <c r="Q80" s="240"/>
      <c r="R80" s="830">
        <f>SUM(R76:R79)</f>
        <v>17258.320203824998</v>
      </c>
      <c r="S80" s="237"/>
      <c r="T80" s="238"/>
      <c r="U80" s="240"/>
      <c r="V80" s="830">
        <f>SUM(V76:V79)</f>
        <v>0</v>
      </c>
      <c r="W80" s="830">
        <f>SUM(W76:W79)</f>
        <v>129212.9919957096</v>
      </c>
    </row>
    <row r="81" spans="1:23">
      <c r="A81" s="203"/>
      <c r="B81" s="248"/>
      <c r="C81" s="229"/>
      <c r="D81" s="249"/>
      <c r="E81" s="250"/>
      <c r="F81" s="827"/>
      <c r="G81" s="229"/>
      <c r="H81" s="249"/>
      <c r="I81" s="251"/>
      <c r="J81" s="827"/>
      <c r="K81" s="229"/>
      <c r="L81" s="249"/>
      <c r="M81" s="250"/>
      <c r="N81" s="827"/>
      <c r="O81" s="229"/>
      <c r="P81" s="249"/>
      <c r="Q81" s="251"/>
      <c r="R81" s="827"/>
      <c r="S81" s="229"/>
      <c r="T81" s="249"/>
      <c r="U81" s="251"/>
      <c r="V81" s="827"/>
      <c r="W81" s="845"/>
    </row>
    <row r="82" spans="1:23" ht="18.3">
      <c r="A82" s="252" t="s">
        <v>113</v>
      </c>
      <c r="B82" s="253"/>
      <c r="C82" s="254"/>
      <c r="D82" s="255"/>
      <c r="E82" s="256"/>
      <c r="F82" s="832">
        <f>F73+F80</f>
        <v>179336.97010000001</v>
      </c>
      <c r="G82" s="254"/>
      <c r="H82" s="255"/>
      <c r="I82" s="257"/>
      <c r="J82" s="832">
        <f>J73+J80</f>
        <v>581524.99845307693</v>
      </c>
      <c r="K82" s="254"/>
      <c r="L82" s="255"/>
      <c r="M82" s="256"/>
      <c r="N82" s="832">
        <f>N73+N80</f>
        <v>331156.9008257307</v>
      </c>
      <c r="O82" s="254"/>
      <c r="P82" s="255"/>
      <c r="Q82" s="257"/>
      <c r="R82" s="832">
        <f>R73+R80</f>
        <v>132313.788229325</v>
      </c>
      <c r="S82" s="254"/>
      <c r="T82" s="255"/>
      <c r="U82" s="257"/>
      <c r="V82" s="832">
        <f>V73+V80</f>
        <v>0</v>
      </c>
      <c r="W82" s="850">
        <f t="shared" ref="W82" si="73">F82+J82+N82+R82+V82</f>
        <v>1224332.6576081328</v>
      </c>
    </row>
    <row r="83" spans="1:23" ht="15.6">
      <c r="A83" s="258"/>
      <c r="B83" s="259"/>
      <c r="C83" s="200"/>
      <c r="D83" s="260"/>
      <c r="E83" s="202"/>
      <c r="F83" s="827"/>
      <c r="G83" s="200"/>
      <c r="H83" s="260"/>
      <c r="I83" s="261"/>
      <c r="J83" s="827"/>
      <c r="K83" s="200"/>
      <c r="L83" s="260"/>
      <c r="M83" s="202"/>
      <c r="N83" s="827"/>
      <c r="O83" s="200"/>
      <c r="P83" s="260"/>
      <c r="Q83" s="261"/>
      <c r="R83" s="827"/>
      <c r="S83" s="200"/>
      <c r="T83" s="260"/>
      <c r="U83" s="261"/>
      <c r="V83" s="827"/>
      <c r="W83" s="845"/>
    </row>
    <row r="84" spans="1:23" ht="18.3">
      <c r="A84" s="252" t="s">
        <v>114</v>
      </c>
      <c r="B84" s="253"/>
      <c r="C84" s="254"/>
      <c r="D84" s="255"/>
      <c r="E84" s="256"/>
      <c r="F84" s="832">
        <f>SUM(F82:F83)</f>
        <v>179336.97010000001</v>
      </c>
      <c r="G84" s="254"/>
      <c r="H84" s="255"/>
      <c r="I84" s="257"/>
      <c r="J84" s="832">
        <f>SUM(J82:J83)</f>
        <v>581524.99845307693</v>
      </c>
      <c r="K84" s="254"/>
      <c r="L84" s="255"/>
      <c r="M84" s="256"/>
      <c r="N84" s="832">
        <f>SUM(N82:N83)</f>
        <v>331156.9008257307</v>
      </c>
      <c r="O84" s="254"/>
      <c r="P84" s="255"/>
      <c r="Q84" s="257"/>
      <c r="R84" s="832">
        <f>SUM(R82:R83)</f>
        <v>132313.788229325</v>
      </c>
      <c r="S84" s="254"/>
      <c r="T84" s="255"/>
      <c r="U84" s="257"/>
      <c r="V84" s="832">
        <f>SUM(V82:V83)</f>
        <v>0</v>
      </c>
      <c r="W84" s="832">
        <f>SUM(W82:W83)</f>
        <v>1224332.6576081328</v>
      </c>
    </row>
    <row r="85" spans="1:23">
      <c r="A85" s="167"/>
      <c r="B85" s="167"/>
      <c r="W85" s="838"/>
    </row>
    <row r="86" spans="1:23" ht="31.2">
      <c r="A86" s="262" t="s">
        <v>115</v>
      </c>
      <c r="B86" s="263"/>
      <c r="C86" s="264"/>
      <c r="D86" s="265"/>
      <c r="E86" s="266"/>
      <c r="F86" s="834"/>
      <c r="G86" s="264"/>
      <c r="H86" s="265"/>
      <c r="I86" s="267"/>
      <c r="J86" s="841"/>
      <c r="K86" s="264"/>
      <c r="L86" s="265"/>
      <c r="M86" s="266"/>
      <c r="N86" s="841"/>
      <c r="O86" s="264"/>
      <c r="P86" s="265"/>
      <c r="Q86" s="267"/>
      <c r="R86" s="841"/>
      <c r="S86" s="264"/>
      <c r="T86" s="265"/>
      <c r="U86" s="267"/>
      <c r="V86" s="841"/>
      <c r="W86" s="841"/>
    </row>
  </sheetData>
  <mergeCells count="8">
    <mergeCell ref="S2:V2"/>
    <mergeCell ref="W2:W3"/>
    <mergeCell ref="A2:A3"/>
    <mergeCell ref="B2:B3"/>
    <mergeCell ref="C2:F2"/>
    <mergeCell ref="G2:J2"/>
    <mergeCell ref="K2:N2"/>
    <mergeCell ref="O2:R2"/>
  </mergeCells>
  <printOptions horizontalCentered="1"/>
  <pageMargins left="0.25" right="0.25" top="0.75" bottom="0.75" header="0.3" footer="0.3"/>
  <pageSetup scale="34" orientation="landscape" r:id="rId1"/>
  <headerFooter alignWithMargins="0"/>
  <rowBreaks count="1" manualBreakCount="1">
    <brk id="81" max="17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08D57-874C-46B0-AF80-E970DA25399B}">
  <sheetPr>
    <tabColor theme="6" tint="0.39997558519241921"/>
    <pageSetUpPr fitToPage="1"/>
  </sheetPr>
  <dimension ref="A2:S62"/>
  <sheetViews>
    <sheetView showOutlineSymbols="0" showWhiteSpace="0" topLeftCell="A22" zoomScale="55" zoomScaleNormal="55" zoomScaleSheetLayoutView="80" workbookViewId="0">
      <selection activeCell="H27" sqref="H27"/>
    </sheetView>
  </sheetViews>
  <sheetFormatPr defaultColWidth="9.44140625" defaultRowHeight="15.3" outlineLevelRow="1" outlineLevelCol="1"/>
  <cols>
    <col min="1" max="1" width="79.5546875" style="696" bestFit="1" customWidth="1"/>
    <col min="2" max="2" width="12.88671875" style="696" customWidth="1"/>
    <col min="3" max="3" width="27.88671875" style="692" bestFit="1" customWidth="1" outlineLevel="1"/>
    <col min="4" max="4" width="15.109375" style="693" customWidth="1" outlineLevel="1"/>
    <col min="5" max="5" width="15.109375" style="694" customWidth="1" outlineLevel="1"/>
    <col min="6" max="6" width="15.109375" style="692" customWidth="1"/>
    <col min="7" max="7" width="15.109375" style="692" customWidth="1" outlineLevel="1"/>
    <col min="8" max="8" width="15.109375" style="693" customWidth="1" outlineLevel="1"/>
    <col min="9" max="9" width="15.109375" style="695" customWidth="1" outlineLevel="1"/>
    <col min="10" max="10" width="15.109375" style="692" customWidth="1"/>
    <col min="11" max="11" width="15.109375" style="692" customWidth="1" outlineLevel="1"/>
    <col min="12" max="12" width="15.109375" style="693" customWidth="1" outlineLevel="1"/>
    <col min="13" max="13" width="15.109375" style="694" customWidth="1" outlineLevel="1"/>
    <col min="14" max="14" width="15.109375" style="692" customWidth="1"/>
    <col min="15" max="15" width="15.109375" style="692" customWidth="1" outlineLevel="1"/>
    <col min="16" max="16" width="15.109375" style="693" customWidth="1" outlineLevel="1"/>
    <col min="17" max="17" width="15.109375" style="694" customWidth="1" outlineLevel="1"/>
    <col min="18" max="18" width="16.109375" style="692" customWidth="1"/>
    <col min="19" max="19" width="17.44140625" style="692" customWidth="1"/>
    <col min="20" max="16384" width="9.44140625" style="696"/>
  </cols>
  <sheetData>
    <row r="2" spans="1:19" s="689" customFormat="1">
      <c r="A2" s="687"/>
      <c r="B2" s="688"/>
      <c r="C2" s="894" t="s">
        <v>124</v>
      </c>
      <c r="D2" s="894"/>
      <c r="E2" s="894"/>
      <c r="F2" s="894"/>
      <c r="G2" s="894"/>
      <c r="H2" s="894"/>
      <c r="I2" s="894"/>
      <c r="J2" s="894"/>
      <c r="K2" s="894"/>
      <c r="L2" s="894"/>
      <c r="M2" s="894"/>
      <c r="N2" s="894"/>
      <c r="O2" s="894"/>
      <c r="P2" s="894"/>
      <c r="Q2" s="894"/>
      <c r="R2" s="894"/>
      <c r="S2" s="894"/>
    </row>
    <row r="3" spans="1:19" s="689" customFormat="1">
      <c r="A3" s="687"/>
      <c r="B3" s="688"/>
      <c r="C3" s="894" t="s">
        <v>125</v>
      </c>
      <c r="D3" s="894"/>
      <c r="E3" s="894"/>
      <c r="F3" s="894"/>
      <c r="G3" s="894"/>
      <c r="H3" s="894"/>
      <c r="I3" s="894"/>
      <c r="J3" s="894"/>
      <c r="K3" s="894"/>
      <c r="L3" s="894"/>
      <c r="M3" s="894"/>
      <c r="N3" s="894"/>
      <c r="O3" s="894"/>
      <c r="P3" s="894"/>
      <c r="Q3" s="894"/>
      <c r="R3" s="894"/>
      <c r="S3" s="894"/>
    </row>
    <row r="4" spans="1:19" s="689" customFormat="1">
      <c r="A4" s="687"/>
      <c r="B4" s="688"/>
      <c r="C4" s="894" t="s">
        <v>126</v>
      </c>
      <c r="D4" s="894"/>
      <c r="E4" s="894"/>
      <c r="F4" s="894"/>
      <c r="G4" s="894"/>
      <c r="H4" s="894"/>
      <c r="I4" s="894"/>
      <c r="J4" s="894"/>
      <c r="K4" s="894"/>
      <c r="L4" s="894"/>
      <c r="M4" s="894"/>
      <c r="N4" s="894"/>
      <c r="O4" s="894"/>
      <c r="P4" s="894"/>
      <c r="Q4" s="894"/>
      <c r="R4" s="894"/>
      <c r="S4" s="894"/>
    </row>
    <row r="5" spans="1:19" s="689" customFormat="1">
      <c r="A5" s="687"/>
      <c r="B5" s="688"/>
      <c r="C5" s="894" t="s">
        <v>127</v>
      </c>
      <c r="D5" s="894"/>
      <c r="E5" s="894"/>
      <c r="F5" s="894"/>
      <c r="G5" s="894"/>
      <c r="H5" s="894"/>
      <c r="I5" s="894"/>
      <c r="J5" s="894"/>
      <c r="K5" s="894"/>
      <c r="L5" s="894"/>
      <c r="M5" s="894"/>
      <c r="N5" s="894"/>
      <c r="O5" s="894"/>
      <c r="P5" s="894"/>
      <c r="Q5" s="894"/>
      <c r="R5" s="894"/>
      <c r="S5" s="894"/>
    </row>
    <row r="6" spans="1:19">
      <c r="A6" s="690" t="s">
        <v>128</v>
      </c>
      <c r="B6" s="691"/>
    </row>
    <row r="7" spans="1:19">
      <c r="A7" s="697" t="s">
        <v>129</v>
      </c>
      <c r="B7" s="698">
        <v>1.05</v>
      </c>
    </row>
    <row r="8" spans="1:19">
      <c r="A8" s="697" t="s">
        <v>130</v>
      </c>
      <c r="B8" s="698">
        <v>1.05</v>
      </c>
    </row>
    <row r="10" spans="1:19" ht="23.4" customHeight="1">
      <c r="A10" s="898" t="s">
        <v>62</v>
      </c>
      <c r="B10" s="900" t="s">
        <v>63</v>
      </c>
      <c r="C10" s="895" t="s">
        <v>64</v>
      </c>
      <c r="D10" s="896"/>
      <c r="E10" s="896"/>
      <c r="F10" s="897"/>
      <c r="G10" s="895" t="s">
        <v>65</v>
      </c>
      <c r="H10" s="896"/>
      <c r="I10" s="896"/>
      <c r="J10" s="897"/>
      <c r="K10" s="895" t="s">
        <v>66</v>
      </c>
      <c r="L10" s="896"/>
      <c r="M10" s="896"/>
      <c r="N10" s="897"/>
      <c r="O10" s="895" t="s">
        <v>67</v>
      </c>
      <c r="P10" s="896"/>
      <c r="Q10" s="896"/>
      <c r="R10" s="897"/>
      <c r="S10" s="892" t="s">
        <v>69</v>
      </c>
    </row>
    <row r="11" spans="1:19" ht="48" customHeight="1">
      <c r="A11" s="899"/>
      <c r="B11" s="901"/>
      <c r="C11" s="699" t="s">
        <v>70</v>
      </c>
      <c r="D11" s="700" t="s">
        <v>71</v>
      </c>
      <c r="E11" s="701" t="s">
        <v>72</v>
      </c>
      <c r="F11" s="702" t="s">
        <v>69</v>
      </c>
      <c r="G11" s="699" t="s">
        <v>70</v>
      </c>
      <c r="H11" s="700" t="s">
        <v>71</v>
      </c>
      <c r="I11" s="703" t="s">
        <v>72</v>
      </c>
      <c r="J11" s="702" t="s">
        <v>69</v>
      </c>
      <c r="K11" s="699" t="s">
        <v>70</v>
      </c>
      <c r="L11" s="700" t="s">
        <v>71</v>
      </c>
      <c r="M11" s="701" t="s">
        <v>72</v>
      </c>
      <c r="N11" s="702" t="s">
        <v>69</v>
      </c>
      <c r="O11" s="699" t="s">
        <v>70</v>
      </c>
      <c r="P11" s="700" t="s">
        <v>71</v>
      </c>
      <c r="Q11" s="701" t="s">
        <v>72</v>
      </c>
      <c r="R11" s="702" t="s">
        <v>69</v>
      </c>
      <c r="S11" s="893"/>
    </row>
    <row r="12" spans="1:19">
      <c r="A12" s="704" t="s">
        <v>73</v>
      </c>
      <c r="B12" s="705"/>
      <c r="C12" s="706"/>
      <c r="D12" s="707"/>
      <c r="E12" s="708"/>
      <c r="F12" s="709"/>
      <c r="G12" s="706"/>
      <c r="H12" s="707"/>
      <c r="I12" s="710"/>
      <c r="J12" s="709"/>
      <c r="K12" s="711"/>
      <c r="L12" s="707"/>
      <c r="M12" s="708"/>
      <c r="N12" s="709"/>
      <c r="O12" s="711"/>
      <c r="P12" s="707"/>
      <c r="Q12" s="708"/>
      <c r="R12" s="712"/>
      <c r="S12" s="713"/>
    </row>
    <row r="13" spans="1:19" s="722" customFormat="1" ht="15" customHeight="1" outlineLevel="1">
      <c r="A13" s="714" t="s">
        <v>47</v>
      </c>
      <c r="B13" s="715"/>
      <c r="C13" s="716"/>
      <c r="D13" s="717"/>
      <c r="E13" s="718"/>
      <c r="F13" s="719"/>
      <c r="G13" s="716"/>
      <c r="H13" s="717"/>
      <c r="I13" s="720"/>
      <c r="J13" s="719"/>
      <c r="K13" s="716"/>
      <c r="L13" s="717"/>
      <c r="M13" s="718"/>
      <c r="N13" s="719"/>
      <c r="O13" s="716"/>
      <c r="P13" s="717"/>
      <c r="Q13" s="718"/>
      <c r="R13" s="719"/>
      <c r="S13" s="721"/>
    </row>
    <row r="14" spans="1:19" ht="15" customHeight="1" outlineLevel="1">
      <c r="A14" s="723" t="s">
        <v>131</v>
      </c>
      <c r="B14" s="633" t="s">
        <v>132</v>
      </c>
      <c r="C14" s="724">
        <v>620</v>
      </c>
      <c r="D14" s="725">
        <v>10</v>
      </c>
      <c r="E14" s="726">
        <v>1</v>
      </c>
      <c r="F14" s="727">
        <f>C14*D14*E14</f>
        <v>6200</v>
      </c>
      <c r="G14" s="724">
        <f>IF(C14*$B$8*260&lt;162272,C14*$B$8,162272/260)</f>
        <v>624.12307692307695</v>
      </c>
      <c r="H14" s="725">
        <v>30</v>
      </c>
      <c r="I14" s="726">
        <v>1</v>
      </c>
      <c r="J14" s="727">
        <f>G14*H14*I14</f>
        <v>18723.692307692309</v>
      </c>
      <c r="K14" s="724">
        <f>IF(G14*$B$8*260&lt;162272,G14*$B$8,162272/260)</f>
        <v>624.12307692307695</v>
      </c>
      <c r="L14" s="725">
        <v>30</v>
      </c>
      <c r="M14" s="726">
        <v>1</v>
      </c>
      <c r="N14" s="727">
        <f>K14*L14*M14</f>
        <v>18723.692307692309</v>
      </c>
      <c r="O14" s="724">
        <f>IF(K14*$B$8*260&lt;162272,K14*$B$8,162272/260)</f>
        <v>624.12307692307695</v>
      </c>
      <c r="P14" s="725">
        <v>0</v>
      </c>
      <c r="Q14" s="726">
        <v>0</v>
      </c>
      <c r="R14" s="727">
        <f>O14*P14*Q14</f>
        <v>0</v>
      </c>
      <c r="S14" s="728">
        <f>F14+J14+N14+R14</f>
        <v>43647.384615384617</v>
      </c>
    </row>
    <row r="15" spans="1:19" ht="15" customHeight="1" outlineLevel="1">
      <c r="A15" s="723" t="s">
        <v>133</v>
      </c>
      <c r="B15" s="633" t="s">
        <v>132</v>
      </c>
      <c r="C15" s="724">
        <v>620</v>
      </c>
      <c r="D15" s="725">
        <v>10</v>
      </c>
      <c r="E15" s="726">
        <v>1</v>
      </c>
      <c r="F15" s="727">
        <f>C15*D15*E15</f>
        <v>6200</v>
      </c>
      <c r="G15" s="724">
        <f>IF(C15*$B$8*260&lt;162272,C15*$B$8,162272/260)</f>
        <v>624.12307692307695</v>
      </c>
      <c r="H15" s="725">
        <v>30</v>
      </c>
      <c r="I15" s="726">
        <v>1</v>
      </c>
      <c r="J15" s="727">
        <f t="shared" ref="J15:J17" si="0">G15*H15*I15</f>
        <v>18723.692307692309</v>
      </c>
      <c r="K15" s="724">
        <f t="shared" ref="K15:K17" si="1">IF(G15*$B$8*260&lt;162272,G15*$B$8,162272/260)</f>
        <v>624.12307692307695</v>
      </c>
      <c r="L15" s="725">
        <v>20</v>
      </c>
      <c r="M15" s="726">
        <v>1</v>
      </c>
      <c r="N15" s="727">
        <f t="shared" ref="N15:N17" si="2">K15*L15*M15</f>
        <v>12482.461538461539</v>
      </c>
      <c r="O15" s="724">
        <f t="shared" ref="O15:O17" si="3">IF(K15*$B$8*260&lt;162272,K15*$B$8,162272/260)</f>
        <v>624.12307692307695</v>
      </c>
      <c r="P15" s="725">
        <v>0</v>
      </c>
      <c r="Q15" s="726">
        <v>0</v>
      </c>
      <c r="R15" s="727">
        <f t="shared" ref="R15:R17" si="4">O15*P15*Q15</f>
        <v>0</v>
      </c>
      <c r="S15" s="728">
        <f t="shared" ref="S15:S17" si="5">F15+J15+N15+R15</f>
        <v>37406.153846153844</v>
      </c>
    </row>
    <row r="16" spans="1:19" ht="15" customHeight="1" outlineLevel="1">
      <c r="A16" s="723" t="s">
        <v>134</v>
      </c>
      <c r="B16" s="633" t="s">
        <v>132</v>
      </c>
      <c r="C16" s="724">
        <v>500</v>
      </c>
      <c r="D16" s="725">
        <v>5</v>
      </c>
      <c r="E16" s="726">
        <v>1</v>
      </c>
      <c r="F16" s="727">
        <f>C16*D16*E16</f>
        <v>2500</v>
      </c>
      <c r="G16" s="724">
        <f>IF(C16*$B$8*260&lt;162272,C16*$B$8,162272/260)</f>
        <v>525</v>
      </c>
      <c r="H16" s="725">
        <v>10</v>
      </c>
      <c r="I16" s="726">
        <v>1</v>
      </c>
      <c r="J16" s="727">
        <f t="shared" si="0"/>
        <v>5250</v>
      </c>
      <c r="K16" s="724">
        <f t="shared" si="1"/>
        <v>551.25</v>
      </c>
      <c r="L16" s="725">
        <v>10</v>
      </c>
      <c r="M16" s="726">
        <v>1</v>
      </c>
      <c r="N16" s="727">
        <f t="shared" si="2"/>
        <v>5512.5</v>
      </c>
      <c r="O16" s="724">
        <f t="shared" si="3"/>
        <v>578.8125</v>
      </c>
      <c r="P16" s="725">
        <v>0</v>
      </c>
      <c r="Q16" s="726">
        <v>0</v>
      </c>
      <c r="R16" s="727">
        <f t="shared" si="4"/>
        <v>0</v>
      </c>
      <c r="S16" s="728">
        <f t="shared" si="5"/>
        <v>13262.5</v>
      </c>
    </row>
    <row r="17" spans="1:19" ht="15" customHeight="1" outlineLevel="1">
      <c r="A17" s="723" t="s">
        <v>135</v>
      </c>
      <c r="B17" s="633" t="s">
        <v>132</v>
      </c>
      <c r="C17" s="724">
        <v>300</v>
      </c>
      <c r="D17" s="725">
        <v>0</v>
      </c>
      <c r="E17" s="726">
        <v>1</v>
      </c>
      <c r="F17" s="727">
        <f>C17*D17*E17</f>
        <v>0</v>
      </c>
      <c r="G17" s="724">
        <f>IF(C17*$B$8*260&lt;162272,C17*$B$8,162272/260)</f>
        <v>315</v>
      </c>
      <c r="H17" s="725">
        <v>200</v>
      </c>
      <c r="I17" s="726">
        <v>1</v>
      </c>
      <c r="J17" s="727">
        <f t="shared" si="0"/>
        <v>63000</v>
      </c>
      <c r="K17" s="724">
        <f t="shared" si="1"/>
        <v>330.75</v>
      </c>
      <c r="L17" s="725">
        <v>0</v>
      </c>
      <c r="M17" s="726">
        <v>1</v>
      </c>
      <c r="N17" s="727">
        <f t="shared" si="2"/>
        <v>0</v>
      </c>
      <c r="O17" s="724">
        <f t="shared" si="3"/>
        <v>347.28750000000002</v>
      </c>
      <c r="P17" s="725">
        <v>0</v>
      </c>
      <c r="Q17" s="726">
        <v>0</v>
      </c>
      <c r="R17" s="727">
        <f t="shared" si="4"/>
        <v>0</v>
      </c>
      <c r="S17" s="728">
        <f t="shared" si="5"/>
        <v>63000</v>
      </c>
    </row>
    <row r="18" spans="1:19" s="722" customFormat="1" ht="15" customHeight="1" outlineLevel="1">
      <c r="A18" s="729"/>
      <c r="B18" s="626"/>
      <c r="C18" s="671"/>
      <c r="D18" s="672"/>
      <c r="E18" s="657"/>
      <c r="F18" s="727"/>
      <c r="G18" s="671"/>
      <c r="H18" s="672"/>
      <c r="I18" s="657"/>
      <c r="J18" s="727"/>
      <c r="K18" s="671"/>
      <c r="L18" s="672"/>
      <c r="M18" s="657"/>
      <c r="N18" s="727"/>
      <c r="O18" s="671"/>
      <c r="P18" s="672"/>
      <c r="Q18" s="657"/>
      <c r="R18" s="727"/>
      <c r="S18" s="728"/>
    </row>
    <row r="19" spans="1:19" s="722" customFormat="1" ht="15" customHeight="1">
      <c r="A19" s="730" t="s">
        <v>81</v>
      </c>
      <c r="B19" s="641"/>
      <c r="C19" s="661"/>
      <c r="D19" s="731"/>
      <c r="E19" s="663"/>
      <c r="F19" s="645">
        <f>SUM(F14:F17)</f>
        <v>14900</v>
      </c>
      <c r="G19" s="661"/>
      <c r="H19" s="731"/>
      <c r="I19" s="732"/>
      <c r="J19" s="645">
        <f>SUM(J14:J17)</f>
        <v>105697.38461538462</v>
      </c>
      <c r="K19" s="661"/>
      <c r="L19" s="731"/>
      <c r="M19" s="663"/>
      <c r="N19" s="645">
        <f>SUM(N14:N17)</f>
        <v>36718.653846153844</v>
      </c>
      <c r="O19" s="661"/>
      <c r="P19" s="731"/>
      <c r="Q19" s="663"/>
      <c r="R19" s="645">
        <f>SUM(R14:R17)</f>
        <v>0</v>
      </c>
      <c r="S19" s="733">
        <f>SUM(S14:S17)</f>
        <v>157316.03846153847</v>
      </c>
    </row>
    <row r="20" spans="1:19" s="722" customFormat="1" ht="15" customHeight="1" outlineLevel="1">
      <c r="A20" s="714" t="s">
        <v>120</v>
      </c>
      <c r="B20" s="734"/>
      <c r="C20" s="716"/>
      <c r="D20" s="717"/>
      <c r="E20" s="718"/>
      <c r="F20" s="719"/>
      <c r="G20" s="716"/>
      <c r="H20" s="717"/>
      <c r="I20" s="718"/>
      <c r="J20" s="719"/>
      <c r="K20" s="716"/>
      <c r="L20" s="717"/>
      <c r="M20" s="718"/>
      <c r="N20" s="719"/>
      <c r="O20" s="716"/>
      <c r="P20" s="717"/>
      <c r="Q20" s="718"/>
      <c r="R20" s="719"/>
      <c r="S20" s="735"/>
    </row>
    <row r="21" spans="1:19" s="722" customFormat="1" ht="15" customHeight="1" outlineLevel="1">
      <c r="A21" s="729" t="s">
        <v>136</v>
      </c>
      <c r="B21" s="626" t="s">
        <v>109</v>
      </c>
      <c r="C21" s="736">
        <v>0.25</v>
      </c>
      <c r="D21" s="737">
        <f>F19</f>
        <v>14900</v>
      </c>
      <c r="E21" s="657">
        <v>1</v>
      </c>
      <c r="F21" s="676">
        <f t="shared" ref="F21" si="6">C21*D21*E21</f>
        <v>3725</v>
      </c>
      <c r="G21" s="736">
        <v>0.25</v>
      </c>
      <c r="H21" s="737">
        <f>J19</f>
        <v>105697.38461538462</v>
      </c>
      <c r="I21" s="657">
        <f t="shared" ref="I21" si="7">E21</f>
        <v>1</v>
      </c>
      <c r="J21" s="676">
        <f t="shared" ref="J21" si="8">G21*H21*I21</f>
        <v>26424.346153846156</v>
      </c>
      <c r="K21" s="736">
        <v>0.25</v>
      </c>
      <c r="L21" s="737">
        <f>N19</f>
        <v>36718.653846153844</v>
      </c>
      <c r="M21" s="657">
        <f t="shared" ref="M21" si="9">I21</f>
        <v>1</v>
      </c>
      <c r="N21" s="676">
        <f t="shared" ref="N21" si="10">K21*L21*M21</f>
        <v>9179.663461538461</v>
      </c>
      <c r="O21" s="736">
        <v>0</v>
      </c>
      <c r="P21" s="737">
        <f>R19</f>
        <v>0</v>
      </c>
      <c r="Q21" s="657">
        <f t="shared" ref="Q21" si="11">I21</f>
        <v>1</v>
      </c>
      <c r="R21" s="676">
        <f>O21*P21*Q21</f>
        <v>0</v>
      </c>
      <c r="S21" s="738">
        <f>F21+J21+N21+R21</f>
        <v>39329.009615384617</v>
      </c>
    </row>
    <row r="22" spans="1:19" ht="15" customHeight="1" outlineLevel="1">
      <c r="A22" s="739"/>
      <c r="B22" s="740"/>
      <c r="C22" s="658"/>
      <c r="D22" s="648"/>
      <c r="E22" s="657"/>
      <c r="F22" s="676"/>
      <c r="G22" s="658"/>
      <c r="H22" s="648"/>
      <c r="I22" s="657"/>
      <c r="J22" s="676"/>
      <c r="K22" s="658"/>
      <c r="L22" s="648"/>
      <c r="M22" s="657"/>
      <c r="N22" s="676"/>
      <c r="O22" s="658"/>
      <c r="P22" s="648"/>
      <c r="Q22" s="657"/>
      <c r="R22" s="676"/>
      <c r="S22" s="741"/>
    </row>
    <row r="23" spans="1:19" s="746" customFormat="1" ht="15" outlineLevel="1">
      <c r="A23" s="742" t="s">
        <v>137</v>
      </c>
      <c r="B23" s="743"/>
      <c r="C23" s="744"/>
      <c r="D23" s="731"/>
      <c r="E23" s="663"/>
      <c r="F23" s="645">
        <f>F21</f>
        <v>3725</v>
      </c>
      <c r="G23" s="744"/>
      <c r="H23" s="731"/>
      <c r="I23" s="663"/>
      <c r="J23" s="645">
        <f>J21</f>
        <v>26424.346153846156</v>
      </c>
      <c r="K23" s="744"/>
      <c r="L23" s="731"/>
      <c r="M23" s="663"/>
      <c r="N23" s="645">
        <f>N21</f>
        <v>9179.663461538461</v>
      </c>
      <c r="O23" s="744"/>
      <c r="P23" s="731"/>
      <c r="Q23" s="663"/>
      <c r="R23" s="645">
        <f>R21</f>
        <v>0</v>
      </c>
      <c r="S23" s="745">
        <f>S21</f>
        <v>39329.009615384617</v>
      </c>
    </row>
    <row r="24" spans="1:19" s="746" customFormat="1" outlineLevel="1">
      <c r="A24" s="714" t="s">
        <v>29</v>
      </c>
      <c r="B24" s="734"/>
      <c r="C24" s="658"/>
      <c r="D24" s="747"/>
      <c r="E24" s="718"/>
      <c r="F24" s="630"/>
      <c r="G24" s="658"/>
      <c r="H24" s="747"/>
      <c r="I24" s="718"/>
      <c r="J24" s="630"/>
      <c r="K24" s="658"/>
      <c r="L24" s="747"/>
      <c r="M24" s="718"/>
      <c r="N24" s="630"/>
      <c r="O24" s="658"/>
      <c r="P24" s="747"/>
      <c r="Q24" s="718"/>
      <c r="R24" s="630"/>
      <c r="S24" s="748"/>
    </row>
    <row r="25" spans="1:19" s="750" customFormat="1" ht="15" customHeight="1" outlineLevel="1">
      <c r="A25" s="723" t="s">
        <v>138</v>
      </c>
      <c r="B25" s="633" t="s">
        <v>139</v>
      </c>
      <c r="C25" s="724">
        <v>1750</v>
      </c>
      <c r="D25" s="725">
        <v>1</v>
      </c>
      <c r="E25" s="726">
        <v>1</v>
      </c>
      <c r="F25" s="727">
        <f>C25*D25*E25</f>
        <v>1750</v>
      </c>
      <c r="G25" s="724">
        <f>C25*$B$7</f>
        <v>1837.5</v>
      </c>
      <c r="H25" s="725">
        <v>3</v>
      </c>
      <c r="I25" s="726">
        <v>1</v>
      </c>
      <c r="J25" s="727">
        <f>G25*H25*I25</f>
        <v>5512.5</v>
      </c>
      <c r="K25" s="724">
        <f>G25*$B$7</f>
        <v>1929.375</v>
      </c>
      <c r="L25" s="725">
        <v>0</v>
      </c>
      <c r="M25" s="726">
        <v>0</v>
      </c>
      <c r="N25" s="727">
        <f>K25*L25*M25</f>
        <v>0</v>
      </c>
      <c r="O25" s="724">
        <f>K25*$B$7</f>
        <v>2025.84375</v>
      </c>
      <c r="P25" s="725">
        <v>0</v>
      </c>
      <c r="Q25" s="726">
        <v>0</v>
      </c>
      <c r="R25" s="727">
        <f>O25*P25*Q25</f>
        <v>0</v>
      </c>
      <c r="S25" s="749">
        <f t="shared" ref="S25:S26" si="12">F25+J25+N25+R25</f>
        <v>7262.5</v>
      </c>
    </row>
    <row r="26" spans="1:19" s="750" customFormat="1" ht="15" customHeight="1" outlineLevel="1">
      <c r="A26" s="723" t="s">
        <v>140</v>
      </c>
      <c r="B26" s="633" t="s">
        <v>139</v>
      </c>
      <c r="C26" s="724">
        <v>500</v>
      </c>
      <c r="D26" s="725">
        <v>0</v>
      </c>
      <c r="E26" s="726">
        <v>1</v>
      </c>
      <c r="F26" s="727">
        <f>C26*D26*E26</f>
        <v>0</v>
      </c>
      <c r="G26" s="724">
        <f>C26*$B$7</f>
        <v>525</v>
      </c>
      <c r="H26" s="725">
        <v>19</v>
      </c>
      <c r="I26" s="726">
        <v>1</v>
      </c>
      <c r="J26" s="727">
        <f>G26*H26*I26</f>
        <v>9975</v>
      </c>
      <c r="K26" s="724">
        <f t="shared" ref="K26:K30" si="13">G26*$B$7</f>
        <v>551.25</v>
      </c>
      <c r="L26" s="725">
        <v>0</v>
      </c>
      <c r="M26" s="726">
        <v>0</v>
      </c>
      <c r="N26" s="727">
        <f t="shared" ref="N26:N27" si="14">K26*L26*M26</f>
        <v>0</v>
      </c>
      <c r="O26" s="724">
        <f>K26*$B$7</f>
        <v>578.8125</v>
      </c>
      <c r="P26" s="725">
        <v>0</v>
      </c>
      <c r="Q26" s="726">
        <v>0</v>
      </c>
      <c r="R26" s="727">
        <f t="shared" ref="R26:R27" si="15">O26*P26*Q26</f>
        <v>0</v>
      </c>
      <c r="S26" s="749">
        <f t="shared" si="12"/>
        <v>9975</v>
      </c>
    </row>
    <row r="27" spans="1:19" s="750" customFormat="1" ht="15" customHeight="1" outlineLevel="1">
      <c r="A27" s="723" t="s">
        <v>141</v>
      </c>
      <c r="B27" s="633" t="s">
        <v>142</v>
      </c>
      <c r="C27" s="724">
        <v>150</v>
      </c>
      <c r="D27" s="725">
        <v>4</v>
      </c>
      <c r="E27" s="726">
        <v>1</v>
      </c>
      <c r="F27" s="727">
        <f>C27*D27*E27</f>
        <v>600</v>
      </c>
      <c r="G27" s="724">
        <f>C27*$B$7</f>
        <v>157.5</v>
      </c>
      <c r="H27" s="725">
        <v>18</v>
      </c>
      <c r="I27" s="726">
        <v>1</v>
      </c>
      <c r="J27" s="727">
        <f>G27*H27*I27</f>
        <v>2835</v>
      </c>
      <c r="K27" s="724">
        <f t="shared" si="13"/>
        <v>165.375</v>
      </c>
      <c r="L27" s="725">
        <v>0</v>
      </c>
      <c r="M27" s="726">
        <v>0</v>
      </c>
      <c r="N27" s="727">
        <f t="shared" si="14"/>
        <v>0</v>
      </c>
      <c r="O27" s="724">
        <f>K27*$B$7</f>
        <v>173.64375000000001</v>
      </c>
      <c r="P27" s="725">
        <v>0</v>
      </c>
      <c r="Q27" s="726">
        <v>0</v>
      </c>
      <c r="R27" s="727">
        <f t="shared" si="15"/>
        <v>0</v>
      </c>
      <c r="S27" s="749">
        <f>F27+J27+N27+R27</f>
        <v>3435</v>
      </c>
    </row>
    <row r="28" spans="1:19" s="750" customFormat="1" ht="15" customHeight="1" outlineLevel="1">
      <c r="A28" s="751"/>
      <c r="B28" s="633"/>
      <c r="C28" s="724"/>
      <c r="D28" s="725"/>
      <c r="E28" s="726"/>
      <c r="F28" s="727"/>
      <c r="G28" s="724"/>
      <c r="H28" s="725"/>
      <c r="I28" s="726"/>
      <c r="J28" s="727"/>
      <c r="K28" s="724"/>
      <c r="L28" s="725"/>
      <c r="M28" s="726"/>
      <c r="N28" s="727"/>
      <c r="O28" s="724"/>
      <c r="P28" s="725"/>
      <c r="Q28" s="726"/>
      <c r="R28" s="727"/>
      <c r="S28" s="749"/>
    </row>
    <row r="29" spans="1:19" s="752" customFormat="1" ht="14.25" customHeight="1" outlineLevel="1">
      <c r="A29" s="714" t="s">
        <v>143</v>
      </c>
      <c r="B29" s="626"/>
      <c r="C29" s="671"/>
      <c r="D29" s="747"/>
      <c r="E29" s="668"/>
      <c r="F29" s="727"/>
      <c r="G29" s="671"/>
      <c r="H29" s="747"/>
      <c r="I29" s="668"/>
      <c r="J29" s="727"/>
      <c r="K29" s="671"/>
      <c r="L29" s="747"/>
      <c r="M29" s="668"/>
      <c r="N29" s="727"/>
      <c r="O29" s="671"/>
      <c r="P29" s="747"/>
      <c r="Q29" s="668"/>
      <c r="R29" s="727"/>
      <c r="S29" s="749"/>
    </row>
    <row r="30" spans="1:19" s="750" customFormat="1" ht="15" customHeight="1" outlineLevel="1">
      <c r="A30" s="729" t="s">
        <v>144</v>
      </c>
      <c r="B30" s="633" t="s">
        <v>132</v>
      </c>
      <c r="C30" s="724">
        <v>318</v>
      </c>
      <c r="D30" s="725">
        <v>6</v>
      </c>
      <c r="E30" s="726">
        <v>1</v>
      </c>
      <c r="F30" s="727">
        <f>C30*D30*E30</f>
        <v>1908</v>
      </c>
      <c r="G30" s="724">
        <f>C30</f>
        <v>318</v>
      </c>
      <c r="H30" s="725">
        <v>80</v>
      </c>
      <c r="I30" s="726">
        <v>1</v>
      </c>
      <c r="J30" s="727">
        <f>G30*H30*I30</f>
        <v>25440</v>
      </c>
      <c r="K30" s="724">
        <f t="shared" si="13"/>
        <v>333.90000000000003</v>
      </c>
      <c r="L30" s="725">
        <v>0</v>
      </c>
      <c r="M30" s="726">
        <v>0</v>
      </c>
      <c r="N30" s="727">
        <f>K30*L30*M30</f>
        <v>0</v>
      </c>
      <c r="O30" s="724">
        <f>K30*$B$7</f>
        <v>350.59500000000003</v>
      </c>
      <c r="P30" s="725">
        <v>0</v>
      </c>
      <c r="Q30" s="726">
        <v>0</v>
      </c>
      <c r="R30" s="727">
        <f>O30*P30*Q30</f>
        <v>0</v>
      </c>
      <c r="S30" s="749">
        <f t="shared" ref="S30:S31" si="16">F30+J30+N30+R30</f>
        <v>27348</v>
      </c>
    </row>
    <row r="31" spans="1:19" s="750" customFormat="1" outlineLevel="1">
      <c r="A31" s="729" t="s">
        <v>145</v>
      </c>
      <c r="B31" s="753" t="s">
        <v>132</v>
      </c>
      <c r="C31" s="671">
        <v>131</v>
      </c>
      <c r="D31" s="747">
        <v>6</v>
      </c>
      <c r="E31" s="668">
        <v>1</v>
      </c>
      <c r="F31" s="727">
        <f>C31*D31*E31</f>
        <v>786</v>
      </c>
      <c r="G31" s="671">
        <v>131</v>
      </c>
      <c r="H31" s="747">
        <v>80</v>
      </c>
      <c r="I31" s="668">
        <v>1</v>
      </c>
      <c r="J31" s="727">
        <f>G31*H31*I31</f>
        <v>10480</v>
      </c>
      <c r="K31" s="724">
        <f>G31</f>
        <v>131</v>
      </c>
      <c r="L31" s="725">
        <v>0</v>
      </c>
      <c r="M31" s="726">
        <v>0</v>
      </c>
      <c r="N31" s="727">
        <f>K31*L31*M31</f>
        <v>0</v>
      </c>
      <c r="O31" s="724">
        <f>K31</f>
        <v>131</v>
      </c>
      <c r="P31" s="725">
        <v>0</v>
      </c>
      <c r="Q31" s="726">
        <v>0</v>
      </c>
      <c r="R31" s="727">
        <f>O31*P31*Q31</f>
        <v>0</v>
      </c>
      <c r="S31" s="749">
        <f t="shared" si="16"/>
        <v>11266</v>
      </c>
    </row>
    <row r="32" spans="1:19">
      <c r="A32" s="730" t="s">
        <v>92</v>
      </c>
      <c r="B32" s="641"/>
      <c r="C32" s="661"/>
      <c r="D32" s="662"/>
      <c r="E32" s="663"/>
      <c r="F32" s="645">
        <f>SUM(F24:F31)</f>
        <v>5044</v>
      </c>
      <c r="G32" s="661"/>
      <c r="H32" s="662"/>
      <c r="I32" s="663"/>
      <c r="J32" s="645">
        <f>SUM(J24:J31)</f>
        <v>54242.5</v>
      </c>
      <c r="K32" s="661"/>
      <c r="L32" s="662"/>
      <c r="M32" s="663"/>
      <c r="N32" s="645">
        <f>SUM(N24:N31)</f>
        <v>0</v>
      </c>
      <c r="O32" s="661"/>
      <c r="P32" s="662"/>
      <c r="Q32" s="663"/>
      <c r="R32" s="645">
        <f>SUM(R24:R31)</f>
        <v>0</v>
      </c>
      <c r="S32" s="745">
        <f>SUM(S24:S31)</f>
        <v>59286.5</v>
      </c>
    </row>
    <row r="33" spans="1:19" outlineLevel="1">
      <c r="A33" s="714" t="s">
        <v>30</v>
      </c>
      <c r="B33" s="647"/>
      <c r="C33" s="658"/>
      <c r="D33" s="648"/>
      <c r="E33" s="668"/>
      <c r="F33" s="650"/>
      <c r="G33" s="658"/>
      <c r="H33" s="648"/>
      <c r="I33" s="667"/>
      <c r="J33" s="650"/>
      <c r="K33" s="658"/>
      <c r="L33" s="648"/>
      <c r="M33" s="668"/>
      <c r="N33" s="650"/>
      <c r="O33" s="658"/>
      <c r="P33" s="648"/>
      <c r="Q33" s="668"/>
      <c r="R33" s="650"/>
      <c r="S33" s="738"/>
    </row>
    <row r="34" spans="1:19" outlineLevel="1">
      <c r="A34" s="723" t="s">
        <v>75</v>
      </c>
      <c r="B34" s="633" t="s">
        <v>146</v>
      </c>
      <c r="C34" s="634">
        <v>0</v>
      </c>
      <c r="D34" s="635">
        <v>0</v>
      </c>
      <c r="E34" s="726">
        <v>0</v>
      </c>
      <c r="F34" s="676">
        <f>C34*D34*E34</f>
        <v>0</v>
      </c>
      <c r="G34" s="634">
        <f>C34</f>
        <v>0</v>
      </c>
      <c r="H34" s="635">
        <v>0</v>
      </c>
      <c r="I34" s="726">
        <v>0</v>
      </c>
      <c r="J34" s="676">
        <f>G34*H34*I34</f>
        <v>0</v>
      </c>
      <c r="K34" s="634">
        <f>G34</f>
        <v>0</v>
      </c>
      <c r="L34" s="635">
        <v>0</v>
      </c>
      <c r="M34" s="726">
        <v>0</v>
      </c>
      <c r="N34" s="676">
        <f>K34*L34*M34</f>
        <v>0</v>
      </c>
      <c r="O34" s="634">
        <f>G34</f>
        <v>0</v>
      </c>
      <c r="P34" s="635">
        <v>0</v>
      </c>
      <c r="Q34" s="726">
        <v>0</v>
      </c>
      <c r="R34" s="676">
        <f>O34*P34*Q34</f>
        <v>0</v>
      </c>
      <c r="S34" s="741">
        <f>F34+J34+N34+R34</f>
        <v>0</v>
      </c>
    </row>
    <row r="35" spans="1:19" outlineLevel="1">
      <c r="A35" s="730" t="s">
        <v>93</v>
      </c>
      <c r="B35" s="641"/>
      <c r="C35" s="661"/>
      <c r="D35" s="662"/>
      <c r="E35" s="663"/>
      <c r="F35" s="645">
        <f>SUM(F34:F34)</f>
        <v>0</v>
      </c>
      <c r="G35" s="661"/>
      <c r="H35" s="662"/>
      <c r="I35" s="660"/>
      <c r="J35" s="645">
        <f>SUM(J34:J34)</f>
        <v>0</v>
      </c>
      <c r="K35" s="661"/>
      <c r="L35" s="662"/>
      <c r="M35" s="663"/>
      <c r="N35" s="645">
        <f>SUM(N34:N34)</f>
        <v>0</v>
      </c>
      <c r="O35" s="661"/>
      <c r="P35" s="662"/>
      <c r="Q35" s="663"/>
      <c r="R35" s="645">
        <f>SUM(R34:R34)</f>
        <v>0</v>
      </c>
      <c r="S35" s="745">
        <f>SUM(S34:S34)</f>
        <v>0</v>
      </c>
    </row>
    <row r="36" spans="1:19" outlineLevel="1">
      <c r="A36" s="714" t="s">
        <v>94</v>
      </c>
      <c r="B36" s="754"/>
      <c r="C36" s="658"/>
      <c r="D36" s="648"/>
      <c r="E36" s="673"/>
      <c r="F36" s="755"/>
      <c r="G36" s="658"/>
      <c r="H36" s="648"/>
      <c r="I36" s="673"/>
      <c r="J36" s="755"/>
      <c r="K36" s="658"/>
      <c r="L36" s="648"/>
      <c r="M36" s="673"/>
      <c r="N36" s="755"/>
      <c r="O36" s="658"/>
      <c r="P36" s="648"/>
      <c r="Q36" s="673"/>
      <c r="R36" s="755"/>
      <c r="S36" s="738"/>
    </row>
    <row r="37" spans="1:19" outlineLevel="1">
      <c r="A37" s="723" t="s">
        <v>75</v>
      </c>
      <c r="B37" s="626"/>
      <c r="C37" s="658"/>
      <c r="D37" s="659"/>
      <c r="E37" s="657"/>
      <c r="F37" s="676">
        <f t="shared" ref="F37" si="17">C37*D37*E37</f>
        <v>0</v>
      </c>
      <c r="G37" s="658"/>
      <c r="H37" s="659"/>
      <c r="I37" s="657"/>
      <c r="J37" s="676">
        <f t="shared" ref="J37" si="18">G37*H37*I37</f>
        <v>0</v>
      </c>
      <c r="K37" s="658"/>
      <c r="L37" s="659"/>
      <c r="M37" s="657"/>
      <c r="N37" s="676">
        <f t="shared" ref="N37" si="19">K37*L37*M37</f>
        <v>0</v>
      </c>
      <c r="O37" s="658"/>
      <c r="P37" s="659"/>
      <c r="Q37" s="657"/>
      <c r="R37" s="676">
        <f t="shared" ref="R37" si="20">O37*P37*Q37</f>
        <v>0</v>
      </c>
      <c r="S37" s="741">
        <f>F37+J37+N37+R37</f>
        <v>0</v>
      </c>
    </row>
    <row r="38" spans="1:19" outlineLevel="1">
      <c r="A38" s="730" t="s">
        <v>95</v>
      </c>
      <c r="B38" s="641"/>
      <c r="C38" s="661"/>
      <c r="D38" s="662"/>
      <c r="E38" s="663"/>
      <c r="F38" s="645">
        <f>SUM(F37:F37)</f>
        <v>0</v>
      </c>
      <c r="G38" s="661"/>
      <c r="H38" s="662"/>
      <c r="I38" s="663"/>
      <c r="J38" s="645">
        <f>SUM(J37:J37)</f>
        <v>0</v>
      </c>
      <c r="K38" s="661"/>
      <c r="L38" s="662"/>
      <c r="M38" s="663"/>
      <c r="N38" s="645">
        <f>SUM(N37:N37)</f>
        <v>0</v>
      </c>
      <c r="O38" s="661"/>
      <c r="P38" s="662"/>
      <c r="Q38" s="663"/>
      <c r="R38" s="645">
        <f>SUM(R37:R37)</f>
        <v>0</v>
      </c>
      <c r="S38" s="745">
        <f>SUM(S37:S37)</f>
        <v>0</v>
      </c>
    </row>
    <row r="39" spans="1:19" outlineLevel="1">
      <c r="A39" s="714" t="s">
        <v>32</v>
      </c>
      <c r="B39" s="626"/>
      <c r="C39" s="658"/>
      <c r="D39" s="648"/>
      <c r="E39" s="657"/>
      <c r="F39" s="630"/>
      <c r="G39" s="658"/>
      <c r="H39" s="648"/>
      <c r="I39" s="657"/>
      <c r="J39" s="630"/>
      <c r="K39" s="658"/>
      <c r="L39" s="648"/>
      <c r="M39" s="657"/>
      <c r="N39" s="630"/>
      <c r="O39" s="658"/>
      <c r="P39" s="648"/>
      <c r="Q39" s="657"/>
      <c r="R39" s="630"/>
      <c r="S39" s="738"/>
    </row>
    <row r="40" spans="1:19" outlineLevel="1">
      <c r="A40" s="729" t="s">
        <v>75</v>
      </c>
      <c r="B40" s="633" t="s">
        <v>147</v>
      </c>
      <c r="C40" s="634">
        <v>0</v>
      </c>
      <c r="D40" s="635">
        <v>0</v>
      </c>
      <c r="E40" s="726">
        <v>0</v>
      </c>
      <c r="F40" s="676">
        <f t="shared" ref="F40" si="21">C40*D40*E40</f>
        <v>0</v>
      </c>
      <c r="G40" s="634">
        <f>C40*$B$7</f>
        <v>0</v>
      </c>
      <c r="H40" s="635">
        <v>0</v>
      </c>
      <c r="I40" s="726">
        <v>0</v>
      </c>
      <c r="J40" s="676">
        <f t="shared" ref="J40" si="22">G40*H40*I40</f>
        <v>0</v>
      </c>
      <c r="K40" s="634">
        <f>G40*$B$7</f>
        <v>0</v>
      </c>
      <c r="L40" s="635">
        <v>0</v>
      </c>
      <c r="M40" s="726">
        <v>0</v>
      </c>
      <c r="N40" s="676">
        <f t="shared" ref="N40" si="23">K40*L40*M40</f>
        <v>0</v>
      </c>
      <c r="O40" s="634">
        <f>K40*$B$7</f>
        <v>0</v>
      </c>
      <c r="P40" s="635">
        <v>0</v>
      </c>
      <c r="Q40" s="726">
        <v>0</v>
      </c>
      <c r="R40" s="676">
        <f t="shared" ref="R40" si="24">O40*P40*Q40</f>
        <v>0</v>
      </c>
      <c r="S40" s="738">
        <f>F40+J40+N40+R40</f>
        <v>0</v>
      </c>
    </row>
    <row r="41" spans="1:19" outlineLevel="1">
      <c r="A41" s="730" t="s">
        <v>98</v>
      </c>
      <c r="B41" s="641"/>
      <c r="C41" s="661"/>
      <c r="D41" s="662"/>
      <c r="E41" s="663"/>
      <c r="F41" s="645">
        <f>SUM(F39:F40)</f>
        <v>0</v>
      </c>
      <c r="G41" s="661"/>
      <c r="H41" s="662"/>
      <c r="I41" s="660"/>
      <c r="J41" s="645">
        <f>SUM(J39:J40)</f>
        <v>0</v>
      </c>
      <c r="K41" s="661"/>
      <c r="L41" s="662"/>
      <c r="M41" s="663"/>
      <c r="N41" s="645">
        <f>SUM(N39:N40)</f>
        <v>0</v>
      </c>
      <c r="O41" s="661"/>
      <c r="P41" s="662"/>
      <c r="Q41" s="663"/>
      <c r="R41" s="645">
        <f>SUM(R39:R40)</f>
        <v>0</v>
      </c>
      <c r="S41" s="745">
        <f>SUM(S39:S40)</f>
        <v>0</v>
      </c>
    </row>
    <row r="42" spans="1:19" outlineLevel="1">
      <c r="A42" s="756" t="s">
        <v>33</v>
      </c>
      <c r="B42" s="647"/>
      <c r="C42" s="658"/>
      <c r="D42" s="648"/>
      <c r="E42" s="668"/>
      <c r="F42" s="650"/>
      <c r="G42" s="658"/>
      <c r="H42" s="648"/>
      <c r="I42" s="667"/>
      <c r="J42" s="650"/>
      <c r="K42" s="658"/>
      <c r="L42" s="648"/>
      <c r="M42" s="668"/>
      <c r="N42" s="650"/>
      <c r="O42" s="658"/>
      <c r="P42" s="648"/>
      <c r="Q42" s="668"/>
      <c r="R42" s="650"/>
      <c r="S42" s="738"/>
    </row>
    <row r="43" spans="1:19" outlineLevel="1">
      <c r="A43" s="729" t="s">
        <v>148</v>
      </c>
      <c r="B43" s="633" t="s">
        <v>146</v>
      </c>
      <c r="C43" s="634">
        <v>0</v>
      </c>
      <c r="D43" s="635">
        <v>0</v>
      </c>
      <c r="E43" s="726">
        <v>0</v>
      </c>
      <c r="F43" s="676">
        <f t="shared" ref="F43" si="25">C43*D43*E43</f>
        <v>0</v>
      </c>
      <c r="G43" s="634">
        <f t="shared" ref="G43" si="26">C43*$B$7</f>
        <v>0</v>
      </c>
      <c r="H43" s="635">
        <v>0</v>
      </c>
      <c r="I43" s="726">
        <v>0</v>
      </c>
      <c r="J43" s="676">
        <f t="shared" ref="J43" si="27">G43*H43*I43</f>
        <v>0</v>
      </c>
      <c r="K43" s="634">
        <f t="shared" ref="K43" si="28">G43*$B$7</f>
        <v>0</v>
      </c>
      <c r="L43" s="635">
        <v>0</v>
      </c>
      <c r="M43" s="726">
        <v>0</v>
      </c>
      <c r="N43" s="676">
        <f t="shared" ref="N43" si="29">K43*L43*M43</f>
        <v>0</v>
      </c>
      <c r="O43" s="634">
        <f t="shared" ref="O43" si="30">K43*$B$7</f>
        <v>0</v>
      </c>
      <c r="P43" s="635">
        <v>0</v>
      </c>
      <c r="Q43" s="726">
        <v>0</v>
      </c>
      <c r="R43" s="676">
        <f t="shared" ref="R43" si="31">O43*P43*Q43</f>
        <v>0</v>
      </c>
      <c r="S43" s="738">
        <f>F43+J43+N43+R43</f>
        <v>0</v>
      </c>
    </row>
    <row r="44" spans="1:19" outlineLevel="1">
      <c r="A44" s="730" t="s">
        <v>99</v>
      </c>
      <c r="B44" s="641"/>
      <c r="C44" s="661"/>
      <c r="D44" s="662"/>
      <c r="E44" s="663"/>
      <c r="F44" s="645">
        <f>SUM(F43:F43)</f>
        <v>0</v>
      </c>
      <c r="G44" s="661"/>
      <c r="H44" s="662"/>
      <c r="I44" s="660"/>
      <c r="J44" s="645">
        <f>SUM(J43:J43)</f>
        <v>0</v>
      </c>
      <c r="K44" s="661"/>
      <c r="L44" s="662"/>
      <c r="M44" s="663"/>
      <c r="N44" s="645">
        <f>SUM(N43:N43)</f>
        <v>0</v>
      </c>
      <c r="O44" s="661"/>
      <c r="P44" s="662"/>
      <c r="Q44" s="663"/>
      <c r="R44" s="645">
        <f>SUM(R43:R43)</f>
        <v>0</v>
      </c>
      <c r="S44" s="745">
        <f>SUM(S43:S43)</f>
        <v>0</v>
      </c>
    </row>
    <row r="45" spans="1:19" outlineLevel="1">
      <c r="A45" s="714" t="s">
        <v>100</v>
      </c>
      <c r="B45" s="626"/>
      <c r="C45" s="671"/>
      <c r="D45" s="672"/>
      <c r="E45" s="673"/>
      <c r="F45" s="650"/>
      <c r="G45" s="671"/>
      <c r="H45" s="672"/>
      <c r="I45" s="657"/>
      <c r="J45" s="650"/>
      <c r="K45" s="671"/>
      <c r="L45" s="672"/>
      <c r="M45" s="673"/>
      <c r="N45" s="650"/>
      <c r="O45" s="671"/>
      <c r="P45" s="672"/>
      <c r="Q45" s="673"/>
      <c r="R45" s="650"/>
      <c r="S45" s="738"/>
    </row>
    <row r="46" spans="1:19" s="750" customFormat="1" outlineLevel="1">
      <c r="A46" s="729" t="s">
        <v>149</v>
      </c>
      <c r="B46" s="633" t="s">
        <v>150</v>
      </c>
      <c r="C46" s="634">
        <v>20000</v>
      </c>
      <c r="D46" s="757">
        <v>1</v>
      </c>
      <c r="E46" s="726">
        <v>1</v>
      </c>
      <c r="F46" s="676">
        <f>C46*D46*E46</f>
        <v>20000</v>
      </c>
      <c r="G46" s="634">
        <v>0</v>
      </c>
      <c r="H46" s="635">
        <v>0</v>
      </c>
      <c r="I46" s="726">
        <v>1</v>
      </c>
      <c r="J46" s="676">
        <f t="shared" ref="J46:J48" si="32">G46*H46*I46</f>
        <v>0</v>
      </c>
      <c r="K46" s="634">
        <f>G46*$B$7</f>
        <v>0</v>
      </c>
      <c r="L46" s="635">
        <v>0</v>
      </c>
      <c r="M46" s="726">
        <v>1</v>
      </c>
      <c r="N46" s="676">
        <f t="shared" ref="N46:N48" si="33">K46*L46*M46</f>
        <v>0</v>
      </c>
      <c r="O46" s="634">
        <f>K46*$B$7</f>
        <v>0</v>
      </c>
      <c r="P46" s="635">
        <v>0</v>
      </c>
      <c r="Q46" s="726">
        <v>1</v>
      </c>
      <c r="R46" s="676">
        <f t="shared" ref="R46:R48" si="34">O46*P46*Q46</f>
        <v>0</v>
      </c>
      <c r="S46" s="738">
        <f t="shared" ref="S46:S48" si="35">F46+J46+N46+R46</f>
        <v>20000</v>
      </c>
    </row>
    <row r="47" spans="1:19" s="750" customFormat="1" outlineLevel="1">
      <c r="A47" s="729" t="s">
        <v>151</v>
      </c>
      <c r="B47" s="633" t="s">
        <v>150</v>
      </c>
      <c r="C47" s="634">
        <v>0</v>
      </c>
      <c r="D47" s="757">
        <v>0</v>
      </c>
      <c r="E47" s="726">
        <v>1</v>
      </c>
      <c r="F47" s="676">
        <f>C47*D47*E47</f>
        <v>0</v>
      </c>
      <c r="G47" s="634">
        <v>20000</v>
      </c>
      <c r="H47" s="635">
        <v>1</v>
      </c>
      <c r="I47" s="726">
        <v>1</v>
      </c>
      <c r="J47" s="676">
        <f t="shared" si="32"/>
        <v>20000</v>
      </c>
      <c r="K47" s="634">
        <v>0</v>
      </c>
      <c r="L47" s="635">
        <v>0</v>
      </c>
      <c r="M47" s="726">
        <v>1</v>
      </c>
      <c r="N47" s="676">
        <f t="shared" si="33"/>
        <v>0</v>
      </c>
      <c r="O47" s="634">
        <f t="shared" ref="O47:O48" si="36">K47*$B$7</f>
        <v>0</v>
      </c>
      <c r="P47" s="635">
        <v>0</v>
      </c>
      <c r="Q47" s="726">
        <v>1</v>
      </c>
      <c r="R47" s="676">
        <f t="shared" si="34"/>
        <v>0</v>
      </c>
      <c r="S47" s="738">
        <f t="shared" si="35"/>
        <v>20000</v>
      </c>
    </row>
    <row r="48" spans="1:19" s="750" customFormat="1" outlineLevel="1">
      <c r="A48" s="729" t="s">
        <v>152</v>
      </c>
      <c r="B48" s="633" t="s">
        <v>153</v>
      </c>
      <c r="C48" s="634">
        <v>0</v>
      </c>
      <c r="D48" s="757">
        <v>1</v>
      </c>
      <c r="E48" s="726">
        <v>1</v>
      </c>
      <c r="F48" s="676">
        <f t="shared" ref="F48" si="37">C48*D48*E48</f>
        <v>0</v>
      </c>
      <c r="G48" s="634">
        <v>40000</v>
      </c>
      <c r="H48" s="635">
        <v>1</v>
      </c>
      <c r="I48" s="726">
        <v>1</v>
      </c>
      <c r="J48" s="676">
        <f t="shared" si="32"/>
        <v>40000</v>
      </c>
      <c r="K48" s="634">
        <f t="shared" ref="K48" si="38">G48*$B$7</f>
        <v>42000</v>
      </c>
      <c r="L48" s="635">
        <v>0</v>
      </c>
      <c r="M48" s="726">
        <v>1</v>
      </c>
      <c r="N48" s="676">
        <f t="shared" si="33"/>
        <v>0</v>
      </c>
      <c r="O48" s="634">
        <f t="shared" si="36"/>
        <v>44100</v>
      </c>
      <c r="P48" s="635">
        <v>0</v>
      </c>
      <c r="Q48" s="726">
        <v>1</v>
      </c>
      <c r="R48" s="676">
        <f t="shared" si="34"/>
        <v>0</v>
      </c>
      <c r="S48" s="738">
        <f t="shared" si="35"/>
        <v>40000</v>
      </c>
    </row>
    <row r="49" spans="1:19" outlineLevel="1">
      <c r="A49" s="730" t="s">
        <v>107</v>
      </c>
      <c r="B49" s="641"/>
      <c r="C49" s="661"/>
      <c r="D49" s="662"/>
      <c r="E49" s="663"/>
      <c r="F49" s="645">
        <f>SUM(F46:F48)</f>
        <v>20000</v>
      </c>
      <c r="G49" s="661"/>
      <c r="H49" s="662"/>
      <c r="I49" s="660"/>
      <c r="J49" s="645">
        <f>SUM(J46:J48)</f>
        <v>60000</v>
      </c>
      <c r="K49" s="661"/>
      <c r="L49" s="662"/>
      <c r="M49" s="663"/>
      <c r="N49" s="645">
        <f>SUM(N46:N48)</f>
        <v>0</v>
      </c>
      <c r="O49" s="661"/>
      <c r="P49" s="662"/>
      <c r="Q49" s="663"/>
      <c r="R49" s="645">
        <f>SUM(R46:R48)</f>
        <v>0</v>
      </c>
      <c r="S49" s="745">
        <f>SUM(S46:S48)</f>
        <v>80000</v>
      </c>
    </row>
    <row r="50" spans="1:19" outlineLevel="1">
      <c r="A50" s="758"/>
      <c r="B50" s="759"/>
      <c r="C50" s="671"/>
      <c r="D50" s="672"/>
      <c r="E50" s="673"/>
      <c r="F50" s="755"/>
      <c r="G50" s="671"/>
      <c r="H50" s="672"/>
      <c r="I50" s="657"/>
      <c r="J50" s="755"/>
      <c r="K50" s="671"/>
      <c r="L50" s="672"/>
      <c r="M50" s="673"/>
      <c r="N50" s="755"/>
      <c r="O50" s="671"/>
      <c r="P50" s="672"/>
      <c r="Q50" s="673"/>
      <c r="R50" s="755"/>
      <c r="S50" s="738"/>
    </row>
    <row r="51" spans="1:19" outlineLevel="1">
      <c r="A51" s="760" t="s">
        <v>108</v>
      </c>
      <c r="B51" s="761"/>
      <c r="C51" s="762"/>
      <c r="D51" s="763"/>
      <c r="E51" s="764"/>
      <c r="F51" s="765">
        <f>F19+F23+F32+F41+F44+F35+F49+F38</f>
        <v>43669</v>
      </c>
      <c r="G51" s="762"/>
      <c r="H51" s="763"/>
      <c r="I51" s="766"/>
      <c r="J51" s="765">
        <f>J19+J23+J32+J41+J44+J35+J49+J38</f>
        <v>246364.23076923078</v>
      </c>
      <c r="K51" s="762"/>
      <c r="L51" s="763"/>
      <c r="M51" s="764"/>
      <c r="N51" s="765">
        <f>N19+N23+N32+N41+N44+N35+N49+N38</f>
        <v>45898.317307692305</v>
      </c>
      <c r="O51" s="762"/>
      <c r="P51" s="763"/>
      <c r="Q51" s="764"/>
      <c r="R51" s="765">
        <f>R19+R23+R32+R41+R44+R35+R49+R38</f>
        <v>0</v>
      </c>
      <c r="S51" s="767">
        <f>S19+S23+S32+S41+S44+S35+S49+S38</f>
        <v>335931.54807692312</v>
      </c>
    </row>
    <row r="52" spans="1:19">
      <c r="A52" s="729"/>
      <c r="B52" s="759"/>
      <c r="C52" s="671"/>
      <c r="D52" s="672"/>
      <c r="E52" s="673"/>
      <c r="F52" s="755"/>
      <c r="G52" s="671"/>
      <c r="H52" s="672"/>
      <c r="I52" s="657"/>
      <c r="J52" s="755"/>
      <c r="K52" s="671"/>
      <c r="L52" s="672"/>
      <c r="M52" s="673"/>
      <c r="N52" s="755"/>
      <c r="O52" s="671"/>
      <c r="P52" s="672"/>
      <c r="Q52" s="673"/>
      <c r="R52" s="755"/>
      <c r="S52" s="738"/>
    </row>
    <row r="53" spans="1:19">
      <c r="A53" s="768" t="s">
        <v>53</v>
      </c>
      <c r="B53" s="769"/>
      <c r="C53" s="770"/>
      <c r="D53" s="770"/>
      <c r="E53" s="770"/>
      <c r="F53" s="770"/>
      <c r="G53" s="770"/>
      <c r="H53" s="770"/>
      <c r="I53" s="770"/>
      <c r="J53" s="770"/>
      <c r="K53" s="770"/>
      <c r="L53" s="770"/>
      <c r="M53" s="770"/>
      <c r="N53" s="770"/>
      <c r="O53" s="770"/>
      <c r="P53" s="770"/>
      <c r="Q53" s="770"/>
      <c r="R53" s="770"/>
      <c r="S53" s="771"/>
    </row>
    <row r="54" spans="1:19" ht="15" customHeight="1">
      <c r="A54" s="772" t="s">
        <v>154</v>
      </c>
      <c r="B54" s="773" t="s">
        <v>109</v>
      </c>
      <c r="C54" s="774">
        <v>0.52</v>
      </c>
      <c r="D54" s="634">
        <f>SUM(F19, F23)</f>
        <v>18625</v>
      </c>
      <c r="E54" s="726">
        <v>1</v>
      </c>
      <c r="F54" s="676">
        <f>C54*D54*E54</f>
        <v>9685</v>
      </c>
      <c r="G54" s="774">
        <v>0.52</v>
      </c>
      <c r="H54" s="634">
        <f>SUM(J19, J23)</f>
        <v>132121.73076923078</v>
      </c>
      <c r="I54" s="726">
        <v>1</v>
      </c>
      <c r="J54" s="676">
        <f>G54*H54*I54</f>
        <v>68703.3</v>
      </c>
      <c r="K54" s="774">
        <v>0.52</v>
      </c>
      <c r="L54" s="634">
        <f>SUM(N19, N23)</f>
        <v>45898.317307692305</v>
      </c>
      <c r="M54" s="726">
        <v>1</v>
      </c>
      <c r="N54" s="676">
        <f>K54*L54*M54</f>
        <v>23867.125</v>
      </c>
      <c r="O54" s="774">
        <v>0.52</v>
      </c>
      <c r="P54" s="634">
        <f>SUM(R19, R23)</f>
        <v>0</v>
      </c>
      <c r="Q54" s="726">
        <v>1</v>
      </c>
      <c r="R54" s="676">
        <f>O54*P54*Q54</f>
        <v>0</v>
      </c>
      <c r="S54" s="738">
        <f>F54+J54+N54+R54</f>
        <v>102255.425</v>
      </c>
    </row>
    <row r="55" spans="1:19">
      <c r="A55" s="775"/>
      <c r="B55" s="759"/>
      <c r="C55" s="671"/>
      <c r="D55" s="776"/>
      <c r="E55" s="774"/>
      <c r="F55" s="676"/>
      <c r="G55" s="671"/>
      <c r="H55" s="776"/>
      <c r="I55" s="774"/>
      <c r="J55" s="676"/>
      <c r="K55" s="671"/>
      <c r="L55" s="776"/>
      <c r="M55" s="774"/>
      <c r="N55" s="676"/>
      <c r="O55" s="671"/>
      <c r="P55" s="776"/>
      <c r="Q55" s="774"/>
      <c r="R55" s="676"/>
      <c r="S55" s="738"/>
    </row>
    <row r="56" spans="1:19">
      <c r="A56" s="760" t="s">
        <v>112</v>
      </c>
      <c r="B56" s="761"/>
      <c r="C56" s="762"/>
      <c r="D56" s="763"/>
      <c r="E56" s="764"/>
      <c r="F56" s="765">
        <f>SUM(F54:F55)</f>
        <v>9685</v>
      </c>
      <c r="G56" s="762"/>
      <c r="H56" s="763"/>
      <c r="I56" s="764"/>
      <c r="J56" s="765">
        <f>SUM(J54:J55)</f>
        <v>68703.3</v>
      </c>
      <c r="K56" s="762"/>
      <c r="L56" s="763"/>
      <c r="M56" s="764"/>
      <c r="N56" s="765">
        <f>SUM(N54:N55)</f>
        <v>23867.125</v>
      </c>
      <c r="O56" s="762"/>
      <c r="P56" s="763"/>
      <c r="Q56" s="764"/>
      <c r="R56" s="765">
        <f>SUM(R54:R55)</f>
        <v>0</v>
      </c>
      <c r="S56" s="767">
        <f>SUM(S54:S55)</f>
        <v>102255.425</v>
      </c>
    </row>
    <row r="57" spans="1:19">
      <c r="A57" s="777"/>
      <c r="B57" s="759"/>
      <c r="C57" s="671"/>
      <c r="D57" s="776"/>
      <c r="E57" s="774"/>
      <c r="F57" s="630"/>
      <c r="G57" s="671"/>
      <c r="H57" s="776"/>
      <c r="I57" s="778"/>
      <c r="J57" s="630"/>
      <c r="K57" s="671"/>
      <c r="L57" s="776"/>
      <c r="M57" s="774"/>
      <c r="N57" s="630"/>
      <c r="O57" s="671"/>
      <c r="P57" s="776"/>
      <c r="Q57" s="774"/>
      <c r="R57" s="630"/>
      <c r="S57" s="738"/>
    </row>
    <row r="58" spans="1:19">
      <c r="A58" s="779" t="s">
        <v>113</v>
      </c>
      <c r="B58" s="780"/>
      <c r="C58" s="781"/>
      <c r="D58" s="782"/>
      <c r="E58" s="783"/>
      <c r="F58" s="784">
        <f>F51+F56</f>
        <v>53354</v>
      </c>
      <c r="G58" s="781"/>
      <c r="H58" s="782"/>
      <c r="I58" s="785"/>
      <c r="J58" s="784">
        <f>J51+J56</f>
        <v>315067.5307692308</v>
      </c>
      <c r="K58" s="781"/>
      <c r="L58" s="782"/>
      <c r="M58" s="783"/>
      <c r="N58" s="784">
        <f>N51+N56</f>
        <v>69765.442307692312</v>
      </c>
      <c r="O58" s="781"/>
      <c r="P58" s="782"/>
      <c r="Q58" s="783"/>
      <c r="R58" s="784">
        <f>R51+R56</f>
        <v>0</v>
      </c>
      <c r="S58" s="786">
        <f>S51+S56</f>
        <v>438186.97307692311</v>
      </c>
    </row>
    <row r="59" spans="1:19">
      <c r="A59" s="787" t="s">
        <v>118</v>
      </c>
      <c r="B59" s="788"/>
      <c r="C59" s="789"/>
      <c r="D59" s="790"/>
      <c r="E59" s="791"/>
      <c r="F59" s="792">
        <f t="shared" ref="F59" si="39">C59*D59*E59</f>
        <v>0</v>
      </c>
      <c r="G59" s="789"/>
      <c r="H59" s="790"/>
      <c r="I59" s="793"/>
      <c r="J59" s="792">
        <f t="shared" ref="J59" si="40">G59*H59*I59</f>
        <v>0</v>
      </c>
      <c r="K59" s="789"/>
      <c r="L59" s="790"/>
      <c r="M59" s="791"/>
      <c r="N59" s="792">
        <f t="shared" ref="N59" si="41">K59*L59*M59</f>
        <v>0</v>
      </c>
      <c r="O59" s="789"/>
      <c r="P59" s="790"/>
      <c r="Q59" s="791"/>
      <c r="R59" s="792">
        <f t="shared" ref="R59" si="42">O59*P59*Q59</f>
        <v>0</v>
      </c>
      <c r="S59" s="794">
        <f>F59+J59+N59+R59</f>
        <v>0</v>
      </c>
    </row>
    <row r="60" spans="1:19">
      <c r="A60" s="795" t="s">
        <v>114</v>
      </c>
      <c r="B60" s="796"/>
      <c r="C60" s="797"/>
      <c r="D60" s="798"/>
      <c r="E60" s="799"/>
      <c r="F60" s="800">
        <f>F58+F59</f>
        <v>53354</v>
      </c>
      <c r="G60" s="797"/>
      <c r="H60" s="798"/>
      <c r="I60" s="801"/>
      <c r="J60" s="800">
        <f>J58+J59</f>
        <v>315067.5307692308</v>
      </c>
      <c r="K60" s="797"/>
      <c r="L60" s="798"/>
      <c r="M60" s="799"/>
      <c r="N60" s="800">
        <f>N58+N59</f>
        <v>69765.442307692312</v>
      </c>
      <c r="O60" s="797"/>
      <c r="P60" s="798"/>
      <c r="Q60" s="799"/>
      <c r="R60" s="800">
        <f>R58+R59</f>
        <v>0</v>
      </c>
      <c r="S60" s="802">
        <f>S58+S59</f>
        <v>438186.97307692311</v>
      </c>
    </row>
    <row r="61" spans="1:19">
      <c r="A61" s="756"/>
      <c r="B61" s="633"/>
      <c r="C61" s="658"/>
      <c r="D61" s="747"/>
      <c r="E61" s="673"/>
      <c r="F61" s="658"/>
      <c r="G61" s="658"/>
      <c r="H61" s="747"/>
      <c r="I61" s="657"/>
      <c r="J61" s="658"/>
      <c r="K61" s="658"/>
      <c r="L61" s="747"/>
      <c r="M61" s="673"/>
      <c r="N61" s="658"/>
      <c r="O61" s="658"/>
      <c r="P61" s="747"/>
      <c r="Q61" s="673"/>
      <c r="R61" s="658"/>
      <c r="S61" s="738"/>
    </row>
    <row r="62" spans="1:19" ht="15.6" thickBot="1">
      <c r="A62" s="803" t="s">
        <v>115</v>
      </c>
      <c r="B62" s="804"/>
      <c r="C62" s="805"/>
      <c r="D62" s="806"/>
      <c r="E62" s="807"/>
      <c r="F62" s="808"/>
      <c r="G62" s="805"/>
      <c r="H62" s="806"/>
      <c r="I62" s="809"/>
      <c r="J62" s="808"/>
      <c r="K62" s="805"/>
      <c r="L62" s="806"/>
      <c r="M62" s="807"/>
      <c r="N62" s="808"/>
      <c r="O62" s="805"/>
      <c r="P62" s="806"/>
      <c r="Q62" s="807"/>
      <c r="R62" s="808"/>
      <c r="S62" s="810"/>
    </row>
  </sheetData>
  <mergeCells count="11">
    <mergeCell ref="A10:A11"/>
    <mergeCell ref="B10:B11"/>
    <mergeCell ref="C10:F10"/>
    <mergeCell ref="G10:J10"/>
    <mergeCell ref="K10:N10"/>
    <mergeCell ref="S10:S11"/>
    <mergeCell ref="C2:S2"/>
    <mergeCell ref="C3:S3"/>
    <mergeCell ref="C4:S4"/>
    <mergeCell ref="C5:S5"/>
    <mergeCell ref="O10:R10"/>
  </mergeCells>
  <printOptions horizontalCentered="1"/>
  <pageMargins left="0.25" right="0.25" top="0.75" bottom="0.75" header="0.3" footer="0.3"/>
  <pageSetup scale="32" orientation="landscape" r:id="rId1"/>
  <headerFooter alignWithMargins="0"/>
  <rowBreaks count="1" manualBreakCount="1">
    <brk id="57" max="1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1BBA6-4BA3-4063-8BB4-CE3F8365B839}">
  <sheetPr>
    <tabColor theme="6" tint="0.39997558519241921"/>
  </sheetPr>
  <dimension ref="A1:W67"/>
  <sheetViews>
    <sheetView showOutlineSymbols="0" showWhiteSpace="0" topLeftCell="A22" zoomScale="55" zoomScaleNormal="55" workbookViewId="0">
      <selection activeCell="V65" sqref="V65"/>
    </sheetView>
  </sheetViews>
  <sheetFormatPr defaultColWidth="9.5546875" defaultRowHeight="15" outlineLevelRow="1" outlineLevelCol="1"/>
  <cols>
    <col min="1" max="1" width="58.44140625" style="465" customWidth="1"/>
    <col min="2" max="2" width="13.5546875" style="465" customWidth="1"/>
    <col min="3" max="3" width="18.88671875" style="458" customWidth="1" outlineLevel="1"/>
    <col min="4" max="4" width="15.44140625" style="459" customWidth="1" outlineLevel="1"/>
    <col min="5" max="5" width="13.109375" style="460" customWidth="1" outlineLevel="1"/>
    <col min="6" max="6" width="19.109375" style="458" customWidth="1"/>
    <col min="7" max="7" width="15.109375" style="461" customWidth="1" outlineLevel="1"/>
    <col min="8" max="8" width="15.109375" style="462" customWidth="1" outlineLevel="1"/>
    <col min="9" max="9" width="15.109375" style="463" customWidth="1" outlineLevel="1"/>
    <col min="10" max="10" width="20.5546875" style="458" customWidth="1"/>
    <col min="11" max="11" width="15.109375" style="458" customWidth="1" outlineLevel="1"/>
    <col min="12" max="12" width="15.109375" style="459" customWidth="1" outlineLevel="1"/>
    <col min="13" max="13" width="15.109375" style="464" customWidth="1" outlineLevel="1"/>
    <col min="14" max="14" width="18.88671875" style="458" customWidth="1"/>
    <col min="15" max="15" width="15.109375" style="458" customWidth="1" outlineLevel="1"/>
    <col min="16" max="16" width="15.109375" style="459" customWidth="1" outlineLevel="1"/>
    <col min="17" max="17" width="15.109375" style="464" customWidth="1" outlineLevel="1"/>
    <col min="18" max="18" width="19.109375" style="458" customWidth="1"/>
    <col min="19" max="19" width="24.5546875" style="458" customWidth="1"/>
    <col min="20" max="20" width="8.88671875" style="465" customWidth="1"/>
    <col min="21" max="22" width="9.5546875" style="465" customWidth="1"/>
    <col min="23" max="23" width="14.109375" style="465" customWidth="1"/>
    <col min="24" max="251" width="9.5546875" style="465"/>
    <col min="252" max="252" width="38.44140625" style="465" customWidth="1"/>
    <col min="253" max="253" width="23.44140625" style="465" bestFit="1" customWidth="1"/>
    <col min="254" max="255" width="9.109375" style="465" customWidth="1"/>
    <col min="256" max="256" width="11.109375" style="465" bestFit="1" customWidth="1"/>
    <col min="257" max="257" width="14.44140625" style="465" bestFit="1" customWidth="1"/>
    <col min="258" max="258" width="8" style="465" customWidth="1"/>
    <col min="259" max="259" width="11" style="465" bestFit="1" customWidth="1"/>
    <col min="260" max="260" width="12.109375" style="465" bestFit="1" customWidth="1"/>
    <col min="261" max="261" width="9.109375" style="465" customWidth="1"/>
    <col min="262" max="262" width="11" style="465" bestFit="1" customWidth="1"/>
    <col min="263" max="263" width="12.109375" style="465" bestFit="1" customWidth="1"/>
    <col min="264" max="264" width="7.88671875" style="465" customWidth="1"/>
    <col min="265" max="265" width="11" style="465" bestFit="1" customWidth="1"/>
    <col min="266" max="266" width="12.109375" style="465" bestFit="1" customWidth="1"/>
    <col min="267" max="267" width="8" style="465" bestFit="1" customWidth="1"/>
    <col min="268" max="268" width="11" style="465" bestFit="1" customWidth="1"/>
    <col min="269" max="269" width="12.109375" style="465" bestFit="1" customWidth="1"/>
    <col min="270" max="270" width="18.44140625" style="465" bestFit="1" customWidth="1"/>
    <col min="271" max="271" width="11" style="465" bestFit="1" customWidth="1"/>
    <col min="272" max="507" width="9.5546875" style="465"/>
    <col min="508" max="508" width="38.44140625" style="465" customWidth="1"/>
    <col min="509" max="509" width="23.44140625" style="465" bestFit="1" customWidth="1"/>
    <col min="510" max="511" width="9.109375" style="465" customWidth="1"/>
    <col min="512" max="512" width="11.109375" style="465" bestFit="1" customWidth="1"/>
    <col min="513" max="513" width="14.44140625" style="465" bestFit="1" customWidth="1"/>
    <col min="514" max="514" width="8" style="465" customWidth="1"/>
    <col min="515" max="515" width="11" style="465" bestFit="1" customWidth="1"/>
    <col min="516" max="516" width="12.109375" style="465" bestFit="1" customWidth="1"/>
    <col min="517" max="517" width="9.109375" style="465" customWidth="1"/>
    <col min="518" max="518" width="11" style="465" bestFit="1" customWidth="1"/>
    <col min="519" max="519" width="12.109375" style="465" bestFit="1" customWidth="1"/>
    <col min="520" max="520" width="7.88671875" style="465" customWidth="1"/>
    <col min="521" max="521" width="11" style="465" bestFit="1" customWidth="1"/>
    <col min="522" max="522" width="12.109375" style="465" bestFit="1" customWidth="1"/>
    <col min="523" max="523" width="8" style="465" bestFit="1" customWidth="1"/>
    <col min="524" max="524" width="11" style="465" bestFit="1" customWidth="1"/>
    <col min="525" max="525" width="12.109375" style="465" bestFit="1" customWidth="1"/>
    <col min="526" max="526" width="18.44140625" style="465" bestFit="1" customWidth="1"/>
    <col min="527" max="527" width="11" style="465" bestFit="1" customWidth="1"/>
    <col min="528" max="763" width="9.5546875" style="465"/>
    <col min="764" max="764" width="38.44140625" style="465" customWidth="1"/>
    <col min="765" max="765" width="23.44140625" style="465" bestFit="1" customWidth="1"/>
    <col min="766" max="767" width="9.109375" style="465" customWidth="1"/>
    <col min="768" max="768" width="11.109375" style="465" bestFit="1" customWidth="1"/>
    <col min="769" max="769" width="14.44140625" style="465" bestFit="1" customWidth="1"/>
    <col min="770" max="770" width="8" style="465" customWidth="1"/>
    <col min="771" max="771" width="11" style="465" bestFit="1" customWidth="1"/>
    <col min="772" max="772" width="12.109375" style="465" bestFit="1" customWidth="1"/>
    <col min="773" max="773" width="9.109375" style="465" customWidth="1"/>
    <col min="774" max="774" width="11" style="465" bestFit="1" customWidth="1"/>
    <col min="775" max="775" width="12.109375" style="465" bestFit="1" customWidth="1"/>
    <col min="776" max="776" width="7.88671875" style="465" customWidth="1"/>
    <col min="777" max="777" width="11" style="465" bestFit="1" customWidth="1"/>
    <col min="778" max="778" width="12.109375" style="465" bestFit="1" customWidth="1"/>
    <col min="779" max="779" width="8" style="465" bestFit="1" customWidth="1"/>
    <col min="780" max="780" width="11" style="465" bestFit="1" customWidth="1"/>
    <col min="781" max="781" width="12.109375" style="465" bestFit="1" customWidth="1"/>
    <col min="782" max="782" width="18.44140625" style="465" bestFit="1" customWidth="1"/>
    <col min="783" max="783" width="11" style="465" bestFit="1" customWidth="1"/>
    <col min="784" max="1019" width="9.5546875" style="465"/>
    <col min="1020" max="1020" width="38.44140625" style="465" customWidth="1"/>
    <col min="1021" max="1021" width="23.44140625" style="465" bestFit="1" customWidth="1"/>
    <col min="1022" max="1023" width="9.109375" style="465" customWidth="1"/>
    <col min="1024" max="1024" width="11.109375" style="465" bestFit="1" customWidth="1"/>
    <col min="1025" max="1025" width="14.44140625" style="465" bestFit="1" customWidth="1"/>
    <col min="1026" max="1026" width="8" style="465" customWidth="1"/>
    <col min="1027" max="1027" width="11" style="465" bestFit="1" customWidth="1"/>
    <col min="1028" max="1028" width="12.109375" style="465" bestFit="1" customWidth="1"/>
    <col min="1029" max="1029" width="9.109375" style="465" customWidth="1"/>
    <col min="1030" max="1030" width="11" style="465" bestFit="1" customWidth="1"/>
    <col min="1031" max="1031" width="12.109375" style="465" bestFit="1" customWidth="1"/>
    <col min="1032" max="1032" width="7.88671875" style="465" customWidth="1"/>
    <col min="1033" max="1033" width="11" style="465" bestFit="1" customWidth="1"/>
    <col min="1034" max="1034" width="12.109375" style="465" bestFit="1" customWidth="1"/>
    <col min="1035" max="1035" width="8" style="465" bestFit="1" customWidth="1"/>
    <col min="1036" max="1036" width="11" style="465" bestFit="1" customWidth="1"/>
    <col min="1037" max="1037" width="12.109375" style="465" bestFit="1" customWidth="1"/>
    <col min="1038" max="1038" width="18.44140625" style="465" bestFit="1" customWidth="1"/>
    <col min="1039" max="1039" width="11" style="465" bestFit="1" customWidth="1"/>
    <col min="1040" max="1275" width="9.5546875" style="465"/>
    <col min="1276" max="1276" width="38.44140625" style="465" customWidth="1"/>
    <col min="1277" max="1277" width="23.44140625" style="465" bestFit="1" customWidth="1"/>
    <col min="1278" max="1279" width="9.109375" style="465" customWidth="1"/>
    <col min="1280" max="1280" width="11.109375" style="465" bestFit="1" customWidth="1"/>
    <col min="1281" max="1281" width="14.44140625" style="465" bestFit="1" customWidth="1"/>
    <col min="1282" max="1282" width="8" style="465" customWidth="1"/>
    <col min="1283" max="1283" width="11" style="465" bestFit="1" customWidth="1"/>
    <col min="1284" max="1284" width="12.109375" style="465" bestFit="1" customWidth="1"/>
    <col min="1285" max="1285" width="9.109375" style="465" customWidth="1"/>
    <col min="1286" max="1286" width="11" style="465" bestFit="1" customWidth="1"/>
    <col min="1287" max="1287" width="12.109375" style="465" bestFit="1" customWidth="1"/>
    <col min="1288" max="1288" width="7.88671875" style="465" customWidth="1"/>
    <col min="1289" max="1289" width="11" style="465" bestFit="1" customWidth="1"/>
    <col min="1290" max="1290" width="12.109375" style="465" bestFit="1" customWidth="1"/>
    <col min="1291" max="1291" width="8" style="465" bestFit="1" customWidth="1"/>
    <col min="1292" max="1292" width="11" style="465" bestFit="1" customWidth="1"/>
    <col min="1293" max="1293" width="12.109375" style="465" bestFit="1" customWidth="1"/>
    <col min="1294" max="1294" width="18.44140625" style="465" bestFit="1" customWidth="1"/>
    <col min="1295" max="1295" width="11" style="465" bestFit="1" customWidth="1"/>
    <col min="1296" max="1531" width="9.5546875" style="465"/>
    <col min="1532" max="1532" width="38.44140625" style="465" customWidth="1"/>
    <col min="1533" max="1533" width="23.44140625" style="465" bestFit="1" customWidth="1"/>
    <col min="1534" max="1535" width="9.109375" style="465" customWidth="1"/>
    <col min="1536" max="1536" width="11.109375" style="465" bestFit="1" customWidth="1"/>
    <col min="1537" max="1537" width="14.44140625" style="465" bestFit="1" customWidth="1"/>
    <col min="1538" max="1538" width="8" style="465" customWidth="1"/>
    <col min="1539" max="1539" width="11" style="465" bestFit="1" customWidth="1"/>
    <col min="1540" max="1540" width="12.109375" style="465" bestFit="1" customWidth="1"/>
    <col min="1541" max="1541" width="9.109375" style="465" customWidth="1"/>
    <col min="1542" max="1542" width="11" style="465" bestFit="1" customWidth="1"/>
    <col min="1543" max="1543" width="12.109375" style="465" bestFit="1" customWidth="1"/>
    <col min="1544" max="1544" width="7.88671875" style="465" customWidth="1"/>
    <col min="1545" max="1545" width="11" style="465" bestFit="1" customWidth="1"/>
    <col min="1546" max="1546" width="12.109375" style="465" bestFit="1" customWidth="1"/>
    <col min="1547" max="1547" width="8" style="465" bestFit="1" customWidth="1"/>
    <col min="1548" max="1548" width="11" style="465" bestFit="1" customWidth="1"/>
    <col min="1549" max="1549" width="12.109375" style="465" bestFit="1" customWidth="1"/>
    <col min="1550" max="1550" width="18.44140625" style="465" bestFit="1" customWidth="1"/>
    <col min="1551" max="1551" width="11" style="465" bestFit="1" customWidth="1"/>
    <col min="1552" max="1787" width="9.5546875" style="465"/>
    <col min="1788" max="1788" width="38.44140625" style="465" customWidth="1"/>
    <col min="1789" max="1789" width="23.44140625" style="465" bestFit="1" customWidth="1"/>
    <col min="1790" max="1791" width="9.109375" style="465" customWidth="1"/>
    <col min="1792" max="1792" width="11.109375" style="465" bestFit="1" customWidth="1"/>
    <col min="1793" max="1793" width="14.44140625" style="465" bestFit="1" customWidth="1"/>
    <col min="1794" max="1794" width="8" style="465" customWidth="1"/>
    <col min="1795" max="1795" width="11" style="465" bestFit="1" customWidth="1"/>
    <col min="1796" max="1796" width="12.109375" style="465" bestFit="1" customWidth="1"/>
    <col min="1797" max="1797" width="9.109375" style="465" customWidth="1"/>
    <col min="1798" max="1798" width="11" style="465" bestFit="1" customWidth="1"/>
    <col min="1799" max="1799" width="12.109375" style="465" bestFit="1" customWidth="1"/>
    <col min="1800" max="1800" width="7.88671875" style="465" customWidth="1"/>
    <col min="1801" max="1801" width="11" style="465" bestFit="1" customWidth="1"/>
    <col min="1802" max="1802" width="12.109375" style="465" bestFit="1" customWidth="1"/>
    <col min="1803" max="1803" width="8" style="465" bestFit="1" customWidth="1"/>
    <col min="1804" max="1804" width="11" style="465" bestFit="1" customWidth="1"/>
    <col min="1805" max="1805" width="12.109375" style="465" bestFit="1" customWidth="1"/>
    <col min="1806" max="1806" width="18.44140625" style="465" bestFit="1" customWidth="1"/>
    <col min="1807" max="1807" width="11" style="465" bestFit="1" customWidth="1"/>
    <col min="1808" max="2043" width="9.5546875" style="465"/>
    <col min="2044" max="2044" width="38.44140625" style="465" customWidth="1"/>
    <col min="2045" max="2045" width="23.44140625" style="465" bestFit="1" customWidth="1"/>
    <col min="2046" max="2047" width="9.109375" style="465" customWidth="1"/>
    <col min="2048" max="2048" width="11.109375" style="465" bestFit="1" customWidth="1"/>
    <col min="2049" max="2049" width="14.44140625" style="465" bestFit="1" customWidth="1"/>
    <col min="2050" max="2050" width="8" style="465" customWidth="1"/>
    <col min="2051" max="2051" width="11" style="465" bestFit="1" customWidth="1"/>
    <col min="2052" max="2052" width="12.109375" style="465" bestFit="1" customWidth="1"/>
    <col min="2053" max="2053" width="9.109375" style="465" customWidth="1"/>
    <col min="2054" max="2054" width="11" style="465" bestFit="1" customWidth="1"/>
    <col min="2055" max="2055" width="12.109375" style="465" bestFit="1" customWidth="1"/>
    <col min="2056" max="2056" width="7.88671875" style="465" customWidth="1"/>
    <col min="2057" max="2057" width="11" style="465" bestFit="1" customWidth="1"/>
    <col min="2058" max="2058" width="12.109375" style="465" bestFit="1" customWidth="1"/>
    <col min="2059" max="2059" width="8" style="465" bestFit="1" customWidth="1"/>
    <col min="2060" max="2060" width="11" style="465" bestFit="1" customWidth="1"/>
    <col min="2061" max="2061" width="12.109375" style="465" bestFit="1" customWidth="1"/>
    <col min="2062" max="2062" width="18.44140625" style="465" bestFit="1" customWidth="1"/>
    <col min="2063" max="2063" width="11" style="465" bestFit="1" customWidth="1"/>
    <col min="2064" max="2299" width="9.5546875" style="465"/>
    <col min="2300" max="2300" width="38.44140625" style="465" customWidth="1"/>
    <col min="2301" max="2301" width="23.44140625" style="465" bestFit="1" customWidth="1"/>
    <col min="2302" max="2303" width="9.109375" style="465" customWidth="1"/>
    <col min="2304" max="2304" width="11.109375" style="465" bestFit="1" customWidth="1"/>
    <col min="2305" max="2305" width="14.44140625" style="465" bestFit="1" customWidth="1"/>
    <col min="2306" max="2306" width="8" style="465" customWidth="1"/>
    <col min="2307" max="2307" width="11" style="465" bestFit="1" customWidth="1"/>
    <col min="2308" max="2308" width="12.109375" style="465" bestFit="1" customWidth="1"/>
    <col min="2309" max="2309" width="9.109375" style="465" customWidth="1"/>
    <col min="2310" max="2310" width="11" style="465" bestFit="1" customWidth="1"/>
    <col min="2311" max="2311" width="12.109375" style="465" bestFit="1" customWidth="1"/>
    <col min="2312" max="2312" width="7.88671875" style="465" customWidth="1"/>
    <col min="2313" max="2313" width="11" style="465" bestFit="1" customWidth="1"/>
    <col min="2314" max="2314" width="12.109375" style="465" bestFit="1" customWidth="1"/>
    <col min="2315" max="2315" width="8" style="465" bestFit="1" customWidth="1"/>
    <col min="2316" max="2316" width="11" style="465" bestFit="1" customWidth="1"/>
    <col min="2317" max="2317" width="12.109375" style="465" bestFit="1" customWidth="1"/>
    <col min="2318" max="2318" width="18.44140625" style="465" bestFit="1" customWidth="1"/>
    <col min="2319" max="2319" width="11" style="465" bestFit="1" customWidth="1"/>
    <col min="2320" max="2555" width="9.5546875" style="465"/>
    <col min="2556" max="2556" width="38.44140625" style="465" customWidth="1"/>
    <col min="2557" max="2557" width="23.44140625" style="465" bestFit="1" customWidth="1"/>
    <col min="2558" max="2559" width="9.109375" style="465" customWidth="1"/>
    <col min="2560" max="2560" width="11.109375" style="465" bestFit="1" customWidth="1"/>
    <col min="2561" max="2561" width="14.44140625" style="465" bestFit="1" customWidth="1"/>
    <col min="2562" max="2562" width="8" style="465" customWidth="1"/>
    <col min="2563" max="2563" width="11" style="465" bestFit="1" customWidth="1"/>
    <col min="2564" max="2564" width="12.109375" style="465" bestFit="1" customWidth="1"/>
    <col min="2565" max="2565" width="9.109375" style="465" customWidth="1"/>
    <col min="2566" max="2566" width="11" style="465" bestFit="1" customWidth="1"/>
    <col min="2567" max="2567" width="12.109375" style="465" bestFit="1" customWidth="1"/>
    <col min="2568" max="2568" width="7.88671875" style="465" customWidth="1"/>
    <col min="2569" max="2569" width="11" style="465" bestFit="1" customWidth="1"/>
    <col min="2570" max="2570" width="12.109375" style="465" bestFit="1" customWidth="1"/>
    <col min="2571" max="2571" width="8" style="465" bestFit="1" customWidth="1"/>
    <col min="2572" max="2572" width="11" style="465" bestFit="1" customWidth="1"/>
    <col min="2573" max="2573" width="12.109375" style="465" bestFit="1" customWidth="1"/>
    <col min="2574" max="2574" width="18.44140625" style="465" bestFit="1" customWidth="1"/>
    <col min="2575" max="2575" width="11" style="465" bestFit="1" customWidth="1"/>
    <col min="2576" max="2811" width="9.5546875" style="465"/>
    <col min="2812" max="2812" width="38.44140625" style="465" customWidth="1"/>
    <col min="2813" max="2813" width="23.44140625" style="465" bestFit="1" customWidth="1"/>
    <col min="2814" max="2815" width="9.109375" style="465" customWidth="1"/>
    <col min="2816" max="2816" width="11.109375" style="465" bestFit="1" customWidth="1"/>
    <col min="2817" max="2817" width="14.44140625" style="465" bestFit="1" customWidth="1"/>
    <col min="2818" max="2818" width="8" style="465" customWidth="1"/>
    <col min="2819" max="2819" width="11" style="465" bestFit="1" customWidth="1"/>
    <col min="2820" max="2820" width="12.109375" style="465" bestFit="1" customWidth="1"/>
    <col min="2821" max="2821" width="9.109375" style="465" customWidth="1"/>
    <col min="2822" max="2822" width="11" style="465" bestFit="1" customWidth="1"/>
    <col min="2823" max="2823" width="12.109375" style="465" bestFit="1" customWidth="1"/>
    <col min="2824" max="2824" width="7.88671875" style="465" customWidth="1"/>
    <col min="2825" max="2825" width="11" style="465" bestFit="1" customWidth="1"/>
    <col min="2826" max="2826" width="12.109375" style="465" bestFit="1" customWidth="1"/>
    <col min="2827" max="2827" width="8" style="465" bestFit="1" customWidth="1"/>
    <col min="2828" max="2828" width="11" style="465" bestFit="1" customWidth="1"/>
    <col min="2829" max="2829" width="12.109375" style="465" bestFit="1" customWidth="1"/>
    <col min="2830" max="2830" width="18.44140625" style="465" bestFit="1" customWidth="1"/>
    <col min="2831" max="2831" width="11" style="465" bestFit="1" customWidth="1"/>
    <col min="2832" max="3067" width="9.5546875" style="465"/>
    <col min="3068" max="3068" width="38.44140625" style="465" customWidth="1"/>
    <col min="3069" max="3069" width="23.44140625" style="465" bestFit="1" customWidth="1"/>
    <col min="3070" max="3071" width="9.109375" style="465" customWidth="1"/>
    <col min="3072" max="3072" width="11.109375" style="465" bestFit="1" customWidth="1"/>
    <col min="3073" max="3073" width="14.44140625" style="465" bestFit="1" customWidth="1"/>
    <col min="3074" max="3074" width="8" style="465" customWidth="1"/>
    <col min="3075" max="3075" width="11" style="465" bestFit="1" customWidth="1"/>
    <col min="3076" max="3076" width="12.109375" style="465" bestFit="1" customWidth="1"/>
    <col min="3077" max="3077" width="9.109375" style="465" customWidth="1"/>
    <col min="3078" max="3078" width="11" style="465" bestFit="1" customWidth="1"/>
    <col min="3079" max="3079" width="12.109375" style="465" bestFit="1" customWidth="1"/>
    <col min="3080" max="3080" width="7.88671875" style="465" customWidth="1"/>
    <col min="3081" max="3081" width="11" style="465" bestFit="1" customWidth="1"/>
    <col min="3082" max="3082" width="12.109375" style="465" bestFit="1" customWidth="1"/>
    <col min="3083" max="3083" width="8" style="465" bestFit="1" customWidth="1"/>
    <col min="3084" max="3084" width="11" style="465" bestFit="1" customWidth="1"/>
    <col min="3085" max="3085" width="12.109375" style="465" bestFit="1" customWidth="1"/>
    <col min="3086" max="3086" width="18.44140625" style="465" bestFit="1" customWidth="1"/>
    <col min="3087" max="3087" width="11" style="465" bestFit="1" customWidth="1"/>
    <col min="3088" max="3323" width="9.5546875" style="465"/>
    <col min="3324" max="3324" width="38.44140625" style="465" customWidth="1"/>
    <col min="3325" max="3325" width="23.44140625" style="465" bestFit="1" customWidth="1"/>
    <col min="3326" max="3327" width="9.109375" style="465" customWidth="1"/>
    <col min="3328" max="3328" width="11.109375" style="465" bestFit="1" customWidth="1"/>
    <col min="3329" max="3329" width="14.44140625" style="465" bestFit="1" customWidth="1"/>
    <col min="3330" max="3330" width="8" style="465" customWidth="1"/>
    <col min="3331" max="3331" width="11" style="465" bestFit="1" customWidth="1"/>
    <col min="3332" max="3332" width="12.109375" style="465" bestFit="1" customWidth="1"/>
    <col min="3333" max="3333" width="9.109375" style="465" customWidth="1"/>
    <col min="3334" max="3334" width="11" style="465" bestFit="1" customWidth="1"/>
    <col min="3335" max="3335" width="12.109375" style="465" bestFit="1" customWidth="1"/>
    <col min="3336" max="3336" width="7.88671875" style="465" customWidth="1"/>
    <col min="3337" max="3337" width="11" style="465" bestFit="1" customWidth="1"/>
    <col min="3338" max="3338" width="12.109375" style="465" bestFit="1" customWidth="1"/>
    <col min="3339" max="3339" width="8" style="465" bestFit="1" customWidth="1"/>
    <col min="3340" max="3340" width="11" style="465" bestFit="1" customWidth="1"/>
    <col min="3341" max="3341" width="12.109375" style="465" bestFit="1" customWidth="1"/>
    <col min="3342" max="3342" width="18.44140625" style="465" bestFit="1" customWidth="1"/>
    <col min="3343" max="3343" width="11" style="465" bestFit="1" customWidth="1"/>
    <col min="3344" max="3579" width="9.5546875" style="465"/>
    <col min="3580" max="3580" width="38.44140625" style="465" customWidth="1"/>
    <col min="3581" max="3581" width="23.44140625" style="465" bestFit="1" customWidth="1"/>
    <col min="3582" max="3583" width="9.109375" style="465" customWidth="1"/>
    <col min="3584" max="3584" width="11.109375" style="465" bestFit="1" customWidth="1"/>
    <col min="3585" max="3585" width="14.44140625" style="465" bestFit="1" customWidth="1"/>
    <col min="3586" max="3586" width="8" style="465" customWidth="1"/>
    <col min="3587" max="3587" width="11" style="465" bestFit="1" customWidth="1"/>
    <col min="3588" max="3588" width="12.109375" style="465" bestFit="1" customWidth="1"/>
    <col min="3589" max="3589" width="9.109375" style="465" customWidth="1"/>
    <col min="3590" max="3590" width="11" style="465" bestFit="1" customWidth="1"/>
    <col min="3591" max="3591" width="12.109375" style="465" bestFit="1" customWidth="1"/>
    <col min="3592" max="3592" width="7.88671875" style="465" customWidth="1"/>
    <col min="3593" max="3593" width="11" style="465" bestFit="1" customWidth="1"/>
    <col min="3594" max="3594" width="12.109375" style="465" bestFit="1" customWidth="1"/>
    <col min="3595" max="3595" width="8" style="465" bestFit="1" customWidth="1"/>
    <col min="3596" max="3596" width="11" style="465" bestFit="1" customWidth="1"/>
    <col min="3597" max="3597" width="12.109375" style="465" bestFit="1" customWidth="1"/>
    <col min="3598" max="3598" width="18.44140625" style="465" bestFit="1" customWidth="1"/>
    <col min="3599" max="3599" width="11" style="465" bestFit="1" customWidth="1"/>
    <col min="3600" max="3835" width="9.5546875" style="465"/>
    <col min="3836" max="3836" width="38.44140625" style="465" customWidth="1"/>
    <col min="3837" max="3837" width="23.44140625" style="465" bestFit="1" customWidth="1"/>
    <col min="3838" max="3839" width="9.109375" style="465" customWidth="1"/>
    <col min="3840" max="3840" width="11.109375" style="465" bestFit="1" customWidth="1"/>
    <col min="3841" max="3841" width="14.44140625" style="465" bestFit="1" customWidth="1"/>
    <col min="3842" max="3842" width="8" style="465" customWidth="1"/>
    <col min="3843" max="3843" width="11" style="465" bestFit="1" customWidth="1"/>
    <col min="3844" max="3844" width="12.109375" style="465" bestFit="1" customWidth="1"/>
    <col min="3845" max="3845" width="9.109375" style="465" customWidth="1"/>
    <col min="3846" max="3846" width="11" style="465" bestFit="1" customWidth="1"/>
    <col min="3847" max="3847" width="12.109375" style="465" bestFit="1" customWidth="1"/>
    <col min="3848" max="3848" width="7.88671875" style="465" customWidth="1"/>
    <col min="3849" max="3849" width="11" style="465" bestFit="1" customWidth="1"/>
    <col min="3850" max="3850" width="12.109375" style="465" bestFit="1" customWidth="1"/>
    <col min="3851" max="3851" width="8" style="465" bestFit="1" customWidth="1"/>
    <col min="3852" max="3852" width="11" style="465" bestFit="1" customWidth="1"/>
    <col min="3853" max="3853" width="12.109375" style="465" bestFit="1" customWidth="1"/>
    <col min="3854" max="3854" width="18.44140625" style="465" bestFit="1" customWidth="1"/>
    <col min="3855" max="3855" width="11" style="465" bestFit="1" customWidth="1"/>
    <col min="3856" max="4091" width="9.5546875" style="465"/>
    <col min="4092" max="4092" width="38.44140625" style="465" customWidth="1"/>
    <col min="4093" max="4093" width="23.44140625" style="465" bestFit="1" customWidth="1"/>
    <col min="4094" max="4095" width="9.109375" style="465" customWidth="1"/>
    <col min="4096" max="4096" width="11.109375" style="465" bestFit="1" customWidth="1"/>
    <col min="4097" max="4097" width="14.44140625" style="465" bestFit="1" customWidth="1"/>
    <col min="4098" max="4098" width="8" style="465" customWidth="1"/>
    <col min="4099" max="4099" width="11" style="465" bestFit="1" customWidth="1"/>
    <col min="4100" max="4100" width="12.109375" style="465" bestFit="1" customWidth="1"/>
    <col min="4101" max="4101" width="9.109375" style="465" customWidth="1"/>
    <col min="4102" max="4102" width="11" style="465" bestFit="1" customWidth="1"/>
    <col min="4103" max="4103" width="12.109375" style="465" bestFit="1" customWidth="1"/>
    <col min="4104" max="4104" width="7.88671875" style="465" customWidth="1"/>
    <col min="4105" max="4105" width="11" style="465" bestFit="1" customWidth="1"/>
    <col min="4106" max="4106" width="12.109375" style="465" bestFit="1" customWidth="1"/>
    <col min="4107" max="4107" width="8" style="465" bestFit="1" customWidth="1"/>
    <col min="4108" max="4108" width="11" style="465" bestFit="1" customWidth="1"/>
    <col min="4109" max="4109" width="12.109375" style="465" bestFit="1" customWidth="1"/>
    <col min="4110" max="4110" width="18.44140625" style="465" bestFit="1" customWidth="1"/>
    <col min="4111" max="4111" width="11" style="465" bestFit="1" customWidth="1"/>
    <col min="4112" max="4347" width="9.5546875" style="465"/>
    <col min="4348" max="4348" width="38.44140625" style="465" customWidth="1"/>
    <col min="4349" max="4349" width="23.44140625" style="465" bestFit="1" customWidth="1"/>
    <col min="4350" max="4351" width="9.109375" style="465" customWidth="1"/>
    <col min="4352" max="4352" width="11.109375" style="465" bestFit="1" customWidth="1"/>
    <col min="4353" max="4353" width="14.44140625" style="465" bestFit="1" customWidth="1"/>
    <col min="4354" max="4354" width="8" style="465" customWidth="1"/>
    <col min="4355" max="4355" width="11" style="465" bestFit="1" customWidth="1"/>
    <col min="4356" max="4356" width="12.109375" style="465" bestFit="1" customWidth="1"/>
    <col min="4357" max="4357" width="9.109375" style="465" customWidth="1"/>
    <col min="4358" max="4358" width="11" style="465" bestFit="1" customWidth="1"/>
    <col min="4359" max="4359" width="12.109375" style="465" bestFit="1" customWidth="1"/>
    <col min="4360" max="4360" width="7.88671875" style="465" customWidth="1"/>
    <col min="4361" max="4361" width="11" style="465" bestFit="1" customWidth="1"/>
    <col min="4362" max="4362" width="12.109375" style="465" bestFit="1" customWidth="1"/>
    <col min="4363" max="4363" width="8" style="465" bestFit="1" customWidth="1"/>
    <col min="4364" max="4364" width="11" style="465" bestFit="1" customWidth="1"/>
    <col min="4365" max="4365" width="12.109375" style="465" bestFit="1" customWidth="1"/>
    <col min="4366" max="4366" width="18.44140625" style="465" bestFit="1" customWidth="1"/>
    <col min="4367" max="4367" width="11" style="465" bestFit="1" customWidth="1"/>
    <col min="4368" max="4603" width="9.5546875" style="465"/>
    <col min="4604" max="4604" width="38.44140625" style="465" customWidth="1"/>
    <col min="4605" max="4605" width="23.44140625" style="465" bestFit="1" customWidth="1"/>
    <col min="4606" max="4607" width="9.109375" style="465" customWidth="1"/>
    <col min="4608" max="4608" width="11.109375" style="465" bestFit="1" customWidth="1"/>
    <col min="4609" max="4609" width="14.44140625" style="465" bestFit="1" customWidth="1"/>
    <col min="4610" max="4610" width="8" style="465" customWidth="1"/>
    <col min="4611" max="4611" width="11" style="465" bestFit="1" customWidth="1"/>
    <col min="4612" max="4612" width="12.109375" style="465" bestFit="1" customWidth="1"/>
    <col min="4613" max="4613" width="9.109375" style="465" customWidth="1"/>
    <col min="4614" max="4614" width="11" style="465" bestFit="1" customWidth="1"/>
    <col min="4615" max="4615" width="12.109375" style="465" bestFit="1" customWidth="1"/>
    <col min="4616" max="4616" width="7.88671875" style="465" customWidth="1"/>
    <col min="4617" max="4617" width="11" style="465" bestFit="1" customWidth="1"/>
    <col min="4618" max="4618" width="12.109375" style="465" bestFit="1" customWidth="1"/>
    <col min="4619" max="4619" width="8" style="465" bestFit="1" customWidth="1"/>
    <col min="4620" max="4620" width="11" style="465" bestFit="1" customWidth="1"/>
    <col min="4621" max="4621" width="12.109375" style="465" bestFit="1" customWidth="1"/>
    <col min="4622" max="4622" width="18.44140625" style="465" bestFit="1" customWidth="1"/>
    <col min="4623" max="4623" width="11" style="465" bestFit="1" customWidth="1"/>
    <col min="4624" max="4859" width="9.5546875" style="465"/>
    <col min="4860" max="4860" width="38.44140625" style="465" customWidth="1"/>
    <col min="4861" max="4861" width="23.44140625" style="465" bestFit="1" customWidth="1"/>
    <col min="4862" max="4863" width="9.109375" style="465" customWidth="1"/>
    <col min="4864" max="4864" width="11.109375" style="465" bestFit="1" customWidth="1"/>
    <col min="4865" max="4865" width="14.44140625" style="465" bestFit="1" customWidth="1"/>
    <col min="4866" max="4866" width="8" style="465" customWidth="1"/>
    <col min="4867" max="4867" width="11" style="465" bestFit="1" customWidth="1"/>
    <col min="4868" max="4868" width="12.109375" style="465" bestFit="1" customWidth="1"/>
    <col min="4869" max="4869" width="9.109375" style="465" customWidth="1"/>
    <col min="4870" max="4870" width="11" style="465" bestFit="1" customWidth="1"/>
    <col min="4871" max="4871" width="12.109375" style="465" bestFit="1" customWidth="1"/>
    <col min="4872" max="4872" width="7.88671875" style="465" customWidth="1"/>
    <col min="4873" max="4873" width="11" style="465" bestFit="1" customWidth="1"/>
    <col min="4874" max="4874" width="12.109375" style="465" bestFit="1" customWidth="1"/>
    <col min="4875" max="4875" width="8" style="465" bestFit="1" customWidth="1"/>
    <col min="4876" max="4876" width="11" style="465" bestFit="1" customWidth="1"/>
    <col min="4877" max="4877" width="12.109375" style="465" bestFit="1" customWidth="1"/>
    <col min="4878" max="4878" width="18.44140625" style="465" bestFit="1" customWidth="1"/>
    <col min="4879" max="4879" width="11" style="465" bestFit="1" customWidth="1"/>
    <col min="4880" max="5115" width="9.5546875" style="465"/>
    <col min="5116" max="5116" width="38.44140625" style="465" customWidth="1"/>
    <col min="5117" max="5117" width="23.44140625" style="465" bestFit="1" customWidth="1"/>
    <col min="5118" max="5119" width="9.109375" style="465" customWidth="1"/>
    <col min="5120" max="5120" width="11.109375" style="465" bestFit="1" customWidth="1"/>
    <col min="5121" max="5121" width="14.44140625" style="465" bestFit="1" customWidth="1"/>
    <col min="5122" max="5122" width="8" style="465" customWidth="1"/>
    <col min="5123" max="5123" width="11" style="465" bestFit="1" customWidth="1"/>
    <col min="5124" max="5124" width="12.109375" style="465" bestFit="1" customWidth="1"/>
    <col min="5125" max="5125" width="9.109375" style="465" customWidth="1"/>
    <col min="5126" max="5126" width="11" style="465" bestFit="1" customWidth="1"/>
    <col min="5127" max="5127" width="12.109375" style="465" bestFit="1" customWidth="1"/>
    <col min="5128" max="5128" width="7.88671875" style="465" customWidth="1"/>
    <col min="5129" max="5129" width="11" style="465" bestFit="1" customWidth="1"/>
    <col min="5130" max="5130" width="12.109375" style="465" bestFit="1" customWidth="1"/>
    <col min="5131" max="5131" width="8" style="465" bestFit="1" customWidth="1"/>
    <col min="5132" max="5132" width="11" style="465" bestFit="1" customWidth="1"/>
    <col min="5133" max="5133" width="12.109375" style="465" bestFit="1" customWidth="1"/>
    <col min="5134" max="5134" width="18.44140625" style="465" bestFit="1" customWidth="1"/>
    <col min="5135" max="5135" width="11" style="465" bestFit="1" customWidth="1"/>
    <col min="5136" max="5371" width="9.5546875" style="465"/>
    <col min="5372" max="5372" width="38.44140625" style="465" customWidth="1"/>
    <col min="5373" max="5373" width="23.44140625" style="465" bestFit="1" customWidth="1"/>
    <col min="5374" max="5375" width="9.109375" style="465" customWidth="1"/>
    <col min="5376" max="5376" width="11.109375" style="465" bestFit="1" customWidth="1"/>
    <col min="5377" max="5377" width="14.44140625" style="465" bestFit="1" customWidth="1"/>
    <col min="5378" max="5378" width="8" style="465" customWidth="1"/>
    <col min="5379" max="5379" width="11" style="465" bestFit="1" customWidth="1"/>
    <col min="5380" max="5380" width="12.109375" style="465" bestFit="1" customWidth="1"/>
    <col min="5381" max="5381" width="9.109375" style="465" customWidth="1"/>
    <col min="5382" max="5382" width="11" style="465" bestFit="1" customWidth="1"/>
    <col min="5383" max="5383" width="12.109375" style="465" bestFit="1" customWidth="1"/>
    <col min="5384" max="5384" width="7.88671875" style="465" customWidth="1"/>
    <col min="5385" max="5385" width="11" style="465" bestFit="1" customWidth="1"/>
    <col min="5386" max="5386" width="12.109375" style="465" bestFit="1" customWidth="1"/>
    <col min="5387" max="5387" width="8" style="465" bestFit="1" customWidth="1"/>
    <col min="5388" max="5388" width="11" style="465" bestFit="1" customWidth="1"/>
    <col min="5389" max="5389" width="12.109375" style="465" bestFit="1" customWidth="1"/>
    <col min="5390" max="5390" width="18.44140625" style="465" bestFit="1" customWidth="1"/>
    <col min="5391" max="5391" width="11" style="465" bestFit="1" customWidth="1"/>
    <col min="5392" max="5627" width="9.5546875" style="465"/>
    <col min="5628" max="5628" width="38.44140625" style="465" customWidth="1"/>
    <col min="5629" max="5629" width="23.44140625" style="465" bestFit="1" customWidth="1"/>
    <col min="5630" max="5631" width="9.109375" style="465" customWidth="1"/>
    <col min="5632" max="5632" width="11.109375" style="465" bestFit="1" customWidth="1"/>
    <col min="5633" max="5633" width="14.44140625" style="465" bestFit="1" customWidth="1"/>
    <col min="5634" max="5634" width="8" style="465" customWidth="1"/>
    <col min="5635" max="5635" width="11" style="465" bestFit="1" customWidth="1"/>
    <col min="5636" max="5636" width="12.109375" style="465" bestFit="1" customWidth="1"/>
    <col min="5637" max="5637" width="9.109375" style="465" customWidth="1"/>
    <col min="5638" max="5638" width="11" style="465" bestFit="1" customWidth="1"/>
    <col min="5639" max="5639" width="12.109375" style="465" bestFit="1" customWidth="1"/>
    <col min="5640" max="5640" width="7.88671875" style="465" customWidth="1"/>
    <col min="5641" max="5641" width="11" style="465" bestFit="1" customWidth="1"/>
    <col min="5642" max="5642" width="12.109375" style="465" bestFit="1" customWidth="1"/>
    <col min="5643" max="5643" width="8" style="465" bestFit="1" customWidth="1"/>
    <col min="5644" max="5644" width="11" style="465" bestFit="1" customWidth="1"/>
    <col min="5645" max="5645" width="12.109375" style="465" bestFit="1" customWidth="1"/>
    <col min="5646" max="5646" width="18.44140625" style="465" bestFit="1" customWidth="1"/>
    <col min="5647" max="5647" width="11" style="465" bestFit="1" customWidth="1"/>
    <col min="5648" max="5883" width="9.5546875" style="465"/>
    <col min="5884" max="5884" width="38.44140625" style="465" customWidth="1"/>
    <col min="5885" max="5885" width="23.44140625" style="465" bestFit="1" customWidth="1"/>
    <col min="5886" max="5887" width="9.109375" style="465" customWidth="1"/>
    <col min="5888" max="5888" width="11.109375" style="465" bestFit="1" customWidth="1"/>
    <col min="5889" max="5889" width="14.44140625" style="465" bestFit="1" customWidth="1"/>
    <col min="5890" max="5890" width="8" style="465" customWidth="1"/>
    <col min="5891" max="5891" width="11" style="465" bestFit="1" customWidth="1"/>
    <col min="5892" max="5892" width="12.109375" style="465" bestFit="1" customWidth="1"/>
    <col min="5893" max="5893" width="9.109375" style="465" customWidth="1"/>
    <col min="5894" max="5894" width="11" style="465" bestFit="1" customWidth="1"/>
    <col min="5895" max="5895" width="12.109375" style="465" bestFit="1" customWidth="1"/>
    <col min="5896" max="5896" width="7.88671875" style="465" customWidth="1"/>
    <col min="5897" max="5897" width="11" style="465" bestFit="1" customWidth="1"/>
    <col min="5898" max="5898" width="12.109375" style="465" bestFit="1" customWidth="1"/>
    <col min="5899" max="5899" width="8" style="465" bestFit="1" customWidth="1"/>
    <col min="5900" max="5900" width="11" style="465" bestFit="1" customWidth="1"/>
    <col min="5901" max="5901" width="12.109375" style="465" bestFit="1" customWidth="1"/>
    <col min="5902" max="5902" width="18.44140625" style="465" bestFit="1" customWidth="1"/>
    <col min="5903" max="5903" width="11" style="465" bestFit="1" customWidth="1"/>
    <col min="5904" max="6139" width="9.5546875" style="465"/>
    <col min="6140" max="6140" width="38.44140625" style="465" customWidth="1"/>
    <col min="6141" max="6141" width="23.44140625" style="465" bestFit="1" customWidth="1"/>
    <col min="6142" max="6143" width="9.109375" style="465" customWidth="1"/>
    <col min="6144" max="6144" width="11.109375" style="465" bestFit="1" customWidth="1"/>
    <col min="6145" max="6145" width="14.44140625" style="465" bestFit="1" customWidth="1"/>
    <col min="6146" max="6146" width="8" style="465" customWidth="1"/>
    <col min="6147" max="6147" width="11" style="465" bestFit="1" customWidth="1"/>
    <col min="6148" max="6148" width="12.109375" style="465" bestFit="1" customWidth="1"/>
    <col min="6149" max="6149" width="9.109375" style="465" customWidth="1"/>
    <col min="6150" max="6150" width="11" style="465" bestFit="1" customWidth="1"/>
    <col min="6151" max="6151" width="12.109375" style="465" bestFit="1" customWidth="1"/>
    <col min="6152" max="6152" width="7.88671875" style="465" customWidth="1"/>
    <col min="6153" max="6153" width="11" style="465" bestFit="1" customWidth="1"/>
    <col min="6154" max="6154" width="12.109375" style="465" bestFit="1" customWidth="1"/>
    <col min="6155" max="6155" width="8" style="465" bestFit="1" customWidth="1"/>
    <col min="6156" max="6156" width="11" style="465" bestFit="1" customWidth="1"/>
    <col min="6157" max="6157" width="12.109375" style="465" bestFit="1" customWidth="1"/>
    <col min="6158" max="6158" width="18.44140625" style="465" bestFit="1" customWidth="1"/>
    <col min="6159" max="6159" width="11" style="465" bestFit="1" customWidth="1"/>
    <col min="6160" max="6395" width="9.5546875" style="465"/>
    <col min="6396" max="6396" width="38.44140625" style="465" customWidth="1"/>
    <col min="6397" max="6397" width="23.44140625" style="465" bestFit="1" customWidth="1"/>
    <col min="6398" max="6399" width="9.109375" style="465" customWidth="1"/>
    <col min="6400" max="6400" width="11.109375" style="465" bestFit="1" customWidth="1"/>
    <col min="6401" max="6401" width="14.44140625" style="465" bestFit="1" customWidth="1"/>
    <col min="6402" max="6402" width="8" style="465" customWidth="1"/>
    <col min="6403" max="6403" width="11" style="465" bestFit="1" customWidth="1"/>
    <col min="6404" max="6404" width="12.109375" style="465" bestFit="1" customWidth="1"/>
    <col min="6405" max="6405" width="9.109375" style="465" customWidth="1"/>
    <col min="6406" max="6406" width="11" style="465" bestFit="1" customWidth="1"/>
    <col min="6407" max="6407" width="12.109375" style="465" bestFit="1" customWidth="1"/>
    <col min="6408" max="6408" width="7.88671875" style="465" customWidth="1"/>
    <col min="6409" max="6409" width="11" style="465" bestFit="1" customWidth="1"/>
    <col min="6410" max="6410" width="12.109375" style="465" bestFit="1" customWidth="1"/>
    <col min="6411" max="6411" width="8" style="465" bestFit="1" customWidth="1"/>
    <col min="6412" max="6412" width="11" style="465" bestFit="1" customWidth="1"/>
    <col min="6413" max="6413" width="12.109375" style="465" bestFit="1" customWidth="1"/>
    <col min="6414" max="6414" width="18.44140625" style="465" bestFit="1" customWidth="1"/>
    <col min="6415" max="6415" width="11" style="465" bestFit="1" customWidth="1"/>
    <col min="6416" max="6651" width="9.5546875" style="465"/>
    <col min="6652" max="6652" width="38.44140625" style="465" customWidth="1"/>
    <col min="6653" max="6653" width="23.44140625" style="465" bestFit="1" customWidth="1"/>
    <col min="6654" max="6655" width="9.109375" style="465" customWidth="1"/>
    <col min="6656" max="6656" width="11.109375" style="465" bestFit="1" customWidth="1"/>
    <col min="6657" max="6657" width="14.44140625" style="465" bestFit="1" customWidth="1"/>
    <col min="6658" max="6658" width="8" style="465" customWidth="1"/>
    <col min="6659" max="6659" width="11" style="465" bestFit="1" customWidth="1"/>
    <col min="6660" max="6660" width="12.109375" style="465" bestFit="1" customWidth="1"/>
    <col min="6661" max="6661" width="9.109375" style="465" customWidth="1"/>
    <col min="6662" max="6662" width="11" style="465" bestFit="1" customWidth="1"/>
    <col min="6663" max="6663" width="12.109375" style="465" bestFit="1" customWidth="1"/>
    <col min="6664" max="6664" width="7.88671875" style="465" customWidth="1"/>
    <col min="6665" max="6665" width="11" style="465" bestFit="1" customWidth="1"/>
    <col min="6666" max="6666" width="12.109375" style="465" bestFit="1" customWidth="1"/>
    <col min="6667" max="6667" width="8" style="465" bestFit="1" customWidth="1"/>
    <col min="6668" max="6668" width="11" style="465" bestFit="1" customWidth="1"/>
    <col min="6669" max="6669" width="12.109375" style="465" bestFit="1" customWidth="1"/>
    <col min="6670" max="6670" width="18.44140625" style="465" bestFit="1" customWidth="1"/>
    <col min="6671" max="6671" width="11" style="465" bestFit="1" customWidth="1"/>
    <col min="6672" max="6907" width="9.5546875" style="465"/>
    <col min="6908" max="6908" width="38.44140625" style="465" customWidth="1"/>
    <col min="6909" max="6909" width="23.44140625" style="465" bestFit="1" customWidth="1"/>
    <col min="6910" max="6911" width="9.109375" style="465" customWidth="1"/>
    <col min="6912" max="6912" width="11.109375" style="465" bestFit="1" customWidth="1"/>
    <col min="6913" max="6913" width="14.44140625" style="465" bestFit="1" customWidth="1"/>
    <col min="6914" max="6914" width="8" style="465" customWidth="1"/>
    <col min="6915" max="6915" width="11" style="465" bestFit="1" customWidth="1"/>
    <col min="6916" max="6916" width="12.109375" style="465" bestFit="1" customWidth="1"/>
    <col min="6917" max="6917" width="9.109375" style="465" customWidth="1"/>
    <col min="6918" max="6918" width="11" style="465" bestFit="1" customWidth="1"/>
    <col min="6919" max="6919" width="12.109375" style="465" bestFit="1" customWidth="1"/>
    <col min="6920" max="6920" width="7.88671875" style="465" customWidth="1"/>
    <col min="6921" max="6921" width="11" style="465" bestFit="1" customWidth="1"/>
    <col min="6922" max="6922" width="12.109375" style="465" bestFit="1" customWidth="1"/>
    <col min="6923" max="6923" width="8" style="465" bestFit="1" customWidth="1"/>
    <col min="6924" max="6924" width="11" style="465" bestFit="1" customWidth="1"/>
    <col min="6925" max="6925" width="12.109375" style="465" bestFit="1" customWidth="1"/>
    <col min="6926" max="6926" width="18.44140625" style="465" bestFit="1" customWidth="1"/>
    <col min="6927" max="6927" width="11" style="465" bestFit="1" customWidth="1"/>
    <col min="6928" max="7163" width="9.5546875" style="465"/>
    <col min="7164" max="7164" width="38.44140625" style="465" customWidth="1"/>
    <col min="7165" max="7165" width="23.44140625" style="465" bestFit="1" customWidth="1"/>
    <col min="7166" max="7167" width="9.109375" style="465" customWidth="1"/>
    <col min="7168" max="7168" width="11.109375" style="465" bestFit="1" customWidth="1"/>
    <col min="7169" max="7169" width="14.44140625" style="465" bestFit="1" customWidth="1"/>
    <col min="7170" max="7170" width="8" style="465" customWidth="1"/>
    <col min="7171" max="7171" width="11" style="465" bestFit="1" customWidth="1"/>
    <col min="7172" max="7172" width="12.109375" style="465" bestFit="1" customWidth="1"/>
    <col min="7173" max="7173" width="9.109375" style="465" customWidth="1"/>
    <col min="7174" max="7174" width="11" style="465" bestFit="1" customWidth="1"/>
    <col min="7175" max="7175" width="12.109375" style="465" bestFit="1" customWidth="1"/>
    <col min="7176" max="7176" width="7.88671875" style="465" customWidth="1"/>
    <col min="7177" max="7177" width="11" style="465" bestFit="1" customWidth="1"/>
    <col min="7178" max="7178" width="12.109375" style="465" bestFit="1" customWidth="1"/>
    <col min="7179" max="7179" width="8" style="465" bestFit="1" customWidth="1"/>
    <col min="7180" max="7180" width="11" style="465" bestFit="1" customWidth="1"/>
    <col min="7181" max="7181" width="12.109375" style="465" bestFit="1" customWidth="1"/>
    <col min="7182" max="7182" width="18.44140625" style="465" bestFit="1" customWidth="1"/>
    <col min="7183" max="7183" width="11" style="465" bestFit="1" customWidth="1"/>
    <col min="7184" max="7419" width="9.5546875" style="465"/>
    <col min="7420" max="7420" width="38.44140625" style="465" customWidth="1"/>
    <col min="7421" max="7421" width="23.44140625" style="465" bestFit="1" customWidth="1"/>
    <col min="7422" max="7423" width="9.109375" style="465" customWidth="1"/>
    <col min="7424" max="7424" width="11.109375" style="465" bestFit="1" customWidth="1"/>
    <col min="7425" max="7425" width="14.44140625" style="465" bestFit="1" customWidth="1"/>
    <col min="7426" max="7426" width="8" style="465" customWidth="1"/>
    <col min="7427" max="7427" width="11" style="465" bestFit="1" customWidth="1"/>
    <col min="7428" max="7428" width="12.109375" style="465" bestFit="1" customWidth="1"/>
    <col min="7429" max="7429" width="9.109375" style="465" customWidth="1"/>
    <col min="7430" max="7430" width="11" style="465" bestFit="1" customWidth="1"/>
    <col min="7431" max="7431" width="12.109375" style="465" bestFit="1" customWidth="1"/>
    <col min="7432" max="7432" width="7.88671875" style="465" customWidth="1"/>
    <col min="7433" max="7433" width="11" style="465" bestFit="1" customWidth="1"/>
    <col min="7434" max="7434" width="12.109375" style="465" bestFit="1" customWidth="1"/>
    <col min="7435" max="7435" width="8" style="465" bestFit="1" customWidth="1"/>
    <col min="7436" max="7436" width="11" style="465" bestFit="1" customWidth="1"/>
    <col min="7437" max="7437" width="12.109375" style="465" bestFit="1" customWidth="1"/>
    <col min="7438" max="7438" width="18.44140625" style="465" bestFit="1" customWidth="1"/>
    <col min="7439" max="7439" width="11" style="465" bestFit="1" customWidth="1"/>
    <col min="7440" max="7675" width="9.5546875" style="465"/>
    <col min="7676" max="7676" width="38.44140625" style="465" customWidth="1"/>
    <col min="7677" max="7677" width="23.44140625" style="465" bestFit="1" customWidth="1"/>
    <col min="7678" max="7679" width="9.109375" style="465" customWidth="1"/>
    <col min="7680" max="7680" width="11.109375" style="465" bestFit="1" customWidth="1"/>
    <col min="7681" max="7681" width="14.44140625" style="465" bestFit="1" customWidth="1"/>
    <col min="7682" max="7682" width="8" style="465" customWidth="1"/>
    <col min="7683" max="7683" width="11" style="465" bestFit="1" customWidth="1"/>
    <col min="7684" max="7684" width="12.109375" style="465" bestFit="1" customWidth="1"/>
    <col min="7685" max="7685" width="9.109375" style="465" customWidth="1"/>
    <col min="7686" max="7686" width="11" style="465" bestFit="1" customWidth="1"/>
    <col min="7687" max="7687" width="12.109375" style="465" bestFit="1" customWidth="1"/>
    <col min="7688" max="7688" width="7.88671875" style="465" customWidth="1"/>
    <col min="7689" max="7689" width="11" style="465" bestFit="1" customWidth="1"/>
    <col min="7690" max="7690" width="12.109375" style="465" bestFit="1" customWidth="1"/>
    <col min="7691" max="7691" width="8" style="465" bestFit="1" customWidth="1"/>
    <col min="7692" max="7692" width="11" style="465" bestFit="1" customWidth="1"/>
    <col min="7693" max="7693" width="12.109375" style="465" bestFit="1" customWidth="1"/>
    <col min="7694" max="7694" width="18.44140625" style="465" bestFit="1" customWidth="1"/>
    <col min="7695" max="7695" width="11" style="465" bestFit="1" customWidth="1"/>
    <col min="7696" max="7931" width="9.5546875" style="465"/>
    <col min="7932" max="7932" width="38.44140625" style="465" customWidth="1"/>
    <col min="7933" max="7933" width="23.44140625" style="465" bestFit="1" customWidth="1"/>
    <col min="7934" max="7935" width="9.109375" style="465" customWidth="1"/>
    <col min="7936" max="7936" width="11.109375" style="465" bestFit="1" customWidth="1"/>
    <col min="7937" max="7937" width="14.44140625" style="465" bestFit="1" customWidth="1"/>
    <col min="7938" max="7938" width="8" style="465" customWidth="1"/>
    <col min="7939" max="7939" width="11" style="465" bestFit="1" customWidth="1"/>
    <col min="7940" max="7940" width="12.109375" style="465" bestFit="1" customWidth="1"/>
    <col min="7941" max="7941" width="9.109375" style="465" customWidth="1"/>
    <col min="7942" max="7942" width="11" style="465" bestFit="1" customWidth="1"/>
    <col min="7943" max="7943" width="12.109375" style="465" bestFit="1" customWidth="1"/>
    <col min="7944" max="7944" width="7.88671875" style="465" customWidth="1"/>
    <col min="7945" max="7945" width="11" style="465" bestFit="1" customWidth="1"/>
    <col min="7946" max="7946" width="12.109375" style="465" bestFit="1" customWidth="1"/>
    <col min="7947" max="7947" width="8" style="465" bestFit="1" customWidth="1"/>
    <col min="7948" max="7948" width="11" style="465" bestFit="1" customWidth="1"/>
    <col min="7949" max="7949" width="12.109375" style="465" bestFit="1" customWidth="1"/>
    <col min="7950" max="7950" width="18.44140625" style="465" bestFit="1" customWidth="1"/>
    <col min="7951" max="7951" width="11" style="465" bestFit="1" customWidth="1"/>
    <col min="7952" max="8187" width="9.5546875" style="465"/>
    <col min="8188" max="8188" width="38.44140625" style="465" customWidth="1"/>
    <col min="8189" max="8189" width="23.44140625" style="465" bestFit="1" customWidth="1"/>
    <col min="8190" max="8191" width="9.109375" style="465" customWidth="1"/>
    <col min="8192" max="8192" width="11.109375" style="465" bestFit="1" customWidth="1"/>
    <col min="8193" max="8193" width="14.44140625" style="465" bestFit="1" customWidth="1"/>
    <col min="8194" max="8194" width="8" style="465" customWidth="1"/>
    <col min="8195" max="8195" width="11" style="465" bestFit="1" customWidth="1"/>
    <col min="8196" max="8196" width="12.109375" style="465" bestFit="1" customWidth="1"/>
    <col min="8197" max="8197" width="9.109375" style="465" customWidth="1"/>
    <col min="8198" max="8198" width="11" style="465" bestFit="1" customWidth="1"/>
    <col min="8199" max="8199" width="12.109375" style="465" bestFit="1" customWidth="1"/>
    <col min="8200" max="8200" width="7.88671875" style="465" customWidth="1"/>
    <col min="8201" max="8201" width="11" style="465" bestFit="1" customWidth="1"/>
    <col min="8202" max="8202" width="12.109375" style="465" bestFit="1" customWidth="1"/>
    <col min="8203" max="8203" width="8" style="465" bestFit="1" customWidth="1"/>
    <col min="8204" max="8204" width="11" style="465" bestFit="1" customWidth="1"/>
    <col min="8205" max="8205" width="12.109375" style="465" bestFit="1" customWidth="1"/>
    <col min="8206" max="8206" width="18.44140625" style="465" bestFit="1" customWidth="1"/>
    <col min="8207" max="8207" width="11" style="465" bestFit="1" customWidth="1"/>
    <col min="8208" max="8443" width="9.5546875" style="465"/>
    <col min="8444" max="8444" width="38.44140625" style="465" customWidth="1"/>
    <col min="8445" max="8445" width="23.44140625" style="465" bestFit="1" customWidth="1"/>
    <col min="8446" max="8447" width="9.109375" style="465" customWidth="1"/>
    <col min="8448" max="8448" width="11.109375" style="465" bestFit="1" customWidth="1"/>
    <col min="8449" max="8449" width="14.44140625" style="465" bestFit="1" customWidth="1"/>
    <col min="8450" max="8450" width="8" style="465" customWidth="1"/>
    <col min="8451" max="8451" width="11" style="465" bestFit="1" customWidth="1"/>
    <col min="8452" max="8452" width="12.109375" style="465" bestFit="1" customWidth="1"/>
    <col min="8453" max="8453" width="9.109375" style="465" customWidth="1"/>
    <col min="8454" max="8454" width="11" style="465" bestFit="1" customWidth="1"/>
    <col min="8455" max="8455" width="12.109375" style="465" bestFit="1" customWidth="1"/>
    <col min="8456" max="8456" width="7.88671875" style="465" customWidth="1"/>
    <col min="8457" max="8457" width="11" style="465" bestFit="1" customWidth="1"/>
    <col min="8458" max="8458" width="12.109375" style="465" bestFit="1" customWidth="1"/>
    <col min="8459" max="8459" width="8" style="465" bestFit="1" customWidth="1"/>
    <col min="8460" max="8460" width="11" style="465" bestFit="1" customWidth="1"/>
    <col min="8461" max="8461" width="12.109375" style="465" bestFit="1" customWidth="1"/>
    <col min="8462" max="8462" width="18.44140625" style="465" bestFit="1" customWidth="1"/>
    <col min="8463" max="8463" width="11" style="465" bestFit="1" customWidth="1"/>
    <col min="8464" max="8699" width="9.5546875" style="465"/>
    <col min="8700" max="8700" width="38.44140625" style="465" customWidth="1"/>
    <col min="8701" max="8701" width="23.44140625" style="465" bestFit="1" customWidth="1"/>
    <col min="8702" max="8703" width="9.109375" style="465" customWidth="1"/>
    <col min="8704" max="8704" width="11.109375" style="465" bestFit="1" customWidth="1"/>
    <col min="8705" max="8705" width="14.44140625" style="465" bestFit="1" customWidth="1"/>
    <col min="8706" max="8706" width="8" style="465" customWidth="1"/>
    <col min="8707" max="8707" width="11" style="465" bestFit="1" customWidth="1"/>
    <col min="8708" max="8708" width="12.109375" style="465" bestFit="1" customWidth="1"/>
    <col min="8709" max="8709" width="9.109375" style="465" customWidth="1"/>
    <col min="8710" max="8710" width="11" style="465" bestFit="1" customWidth="1"/>
    <col min="8711" max="8711" width="12.109375" style="465" bestFit="1" customWidth="1"/>
    <col min="8712" max="8712" width="7.88671875" style="465" customWidth="1"/>
    <col min="8713" max="8713" width="11" style="465" bestFit="1" customWidth="1"/>
    <col min="8714" max="8714" width="12.109375" style="465" bestFit="1" customWidth="1"/>
    <col min="8715" max="8715" width="8" style="465" bestFit="1" customWidth="1"/>
    <col min="8716" max="8716" width="11" style="465" bestFit="1" customWidth="1"/>
    <col min="8717" max="8717" width="12.109375" style="465" bestFit="1" customWidth="1"/>
    <col min="8718" max="8718" width="18.44140625" style="465" bestFit="1" customWidth="1"/>
    <col min="8719" max="8719" width="11" style="465" bestFit="1" customWidth="1"/>
    <col min="8720" max="8955" width="9.5546875" style="465"/>
    <col min="8956" max="8956" width="38.44140625" style="465" customWidth="1"/>
    <col min="8957" max="8957" width="23.44140625" style="465" bestFit="1" customWidth="1"/>
    <col min="8958" max="8959" width="9.109375" style="465" customWidth="1"/>
    <col min="8960" max="8960" width="11.109375" style="465" bestFit="1" customWidth="1"/>
    <col min="8961" max="8961" width="14.44140625" style="465" bestFit="1" customWidth="1"/>
    <col min="8962" max="8962" width="8" style="465" customWidth="1"/>
    <col min="8963" max="8963" width="11" style="465" bestFit="1" customWidth="1"/>
    <col min="8964" max="8964" width="12.109375" style="465" bestFit="1" customWidth="1"/>
    <col min="8965" max="8965" width="9.109375" style="465" customWidth="1"/>
    <col min="8966" max="8966" width="11" style="465" bestFit="1" customWidth="1"/>
    <col min="8967" max="8967" width="12.109375" style="465" bestFit="1" customWidth="1"/>
    <col min="8968" max="8968" width="7.88671875" style="465" customWidth="1"/>
    <col min="8969" max="8969" width="11" style="465" bestFit="1" customWidth="1"/>
    <col min="8970" max="8970" width="12.109375" style="465" bestFit="1" customWidth="1"/>
    <col min="8971" max="8971" width="8" style="465" bestFit="1" customWidth="1"/>
    <col min="8972" max="8972" width="11" style="465" bestFit="1" customWidth="1"/>
    <col min="8973" max="8973" width="12.109375" style="465" bestFit="1" customWidth="1"/>
    <col min="8974" max="8974" width="18.44140625" style="465" bestFit="1" customWidth="1"/>
    <col min="8975" max="8975" width="11" style="465" bestFit="1" customWidth="1"/>
    <col min="8976" max="9211" width="9.5546875" style="465"/>
    <col min="9212" max="9212" width="38.44140625" style="465" customWidth="1"/>
    <col min="9213" max="9213" width="23.44140625" style="465" bestFit="1" customWidth="1"/>
    <col min="9214" max="9215" width="9.109375" style="465" customWidth="1"/>
    <col min="9216" max="9216" width="11.109375" style="465" bestFit="1" customWidth="1"/>
    <col min="9217" max="9217" width="14.44140625" style="465" bestFit="1" customWidth="1"/>
    <col min="9218" max="9218" width="8" style="465" customWidth="1"/>
    <col min="9219" max="9219" width="11" style="465" bestFit="1" customWidth="1"/>
    <col min="9220" max="9220" width="12.109375" style="465" bestFit="1" customWidth="1"/>
    <col min="9221" max="9221" width="9.109375" style="465" customWidth="1"/>
    <col min="9222" max="9222" width="11" style="465" bestFit="1" customWidth="1"/>
    <col min="9223" max="9223" width="12.109375" style="465" bestFit="1" customWidth="1"/>
    <col min="9224" max="9224" width="7.88671875" style="465" customWidth="1"/>
    <col min="9225" max="9225" width="11" style="465" bestFit="1" customWidth="1"/>
    <col min="9226" max="9226" width="12.109375" style="465" bestFit="1" customWidth="1"/>
    <col min="9227" max="9227" width="8" style="465" bestFit="1" customWidth="1"/>
    <col min="9228" max="9228" width="11" style="465" bestFit="1" customWidth="1"/>
    <col min="9229" max="9229" width="12.109375" style="465" bestFit="1" customWidth="1"/>
    <col min="9230" max="9230" width="18.44140625" style="465" bestFit="1" customWidth="1"/>
    <col min="9231" max="9231" width="11" style="465" bestFit="1" customWidth="1"/>
    <col min="9232" max="9467" width="9.5546875" style="465"/>
    <col min="9468" max="9468" width="38.44140625" style="465" customWidth="1"/>
    <col min="9469" max="9469" width="23.44140625" style="465" bestFit="1" customWidth="1"/>
    <col min="9470" max="9471" width="9.109375" style="465" customWidth="1"/>
    <col min="9472" max="9472" width="11.109375" style="465" bestFit="1" customWidth="1"/>
    <col min="9473" max="9473" width="14.44140625" style="465" bestFit="1" customWidth="1"/>
    <col min="9474" max="9474" width="8" style="465" customWidth="1"/>
    <col min="9475" max="9475" width="11" style="465" bestFit="1" customWidth="1"/>
    <col min="9476" max="9476" width="12.109375" style="465" bestFit="1" customWidth="1"/>
    <col min="9477" max="9477" width="9.109375" style="465" customWidth="1"/>
    <col min="9478" max="9478" width="11" style="465" bestFit="1" customWidth="1"/>
    <col min="9479" max="9479" width="12.109375" style="465" bestFit="1" customWidth="1"/>
    <col min="9480" max="9480" width="7.88671875" style="465" customWidth="1"/>
    <col min="9481" max="9481" width="11" style="465" bestFit="1" customWidth="1"/>
    <col min="9482" max="9482" width="12.109375" style="465" bestFit="1" customWidth="1"/>
    <col min="9483" max="9483" width="8" style="465" bestFit="1" customWidth="1"/>
    <col min="9484" max="9484" width="11" style="465" bestFit="1" customWidth="1"/>
    <col min="9485" max="9485" width="12.109375" style="465" bestFit="1" customWidth="1"/>
    <col min="9486" max="9486" width="18.44140625" style="465" bestFit="1" customWidth="1"/>
    <col min="9487" max="9487" width="11" style="465" bestFit="1" customWidth="1"/>
    <col min="9488" max="9723" width="9.5546875" style="465"/>
    <col min="9724" max="9724" width="38.44140625" style="465" customWidth="1"/>
    <col min="9725" max="9725" width="23.44140625" style="465" bestFit="1" customWidth="1"/>
    <col min="9726" max="9727" width="9.109375" style="465" customWidth="1"/>
    <col min="9728" max="9728" width="11.109375" style="465" bestFit="1" customWidth="1"/>
    <col min="9729" max="9729" width="14.44140625" style="465" bestFit="1" customWidth="1"/>
    <col min="9730" max="9730" width="8" style="465" customWidth="1"/>
    <col min="9731" max="9731" width="11" style="465" bestFit="1" customWidth="1"/>
    <col min="9732" max="9732" width="12.109375" style="465" bestFit="1" customWidth="1"/>
    <col min="9733" max="9733" width="9.109375" style="465" customWidth="1"/>
    <col min="9734" max="9734" width="11" style="465" bestFit="1" customWidth="1"/>
    <col min="9735" max="9735" width="12.109375" style="465" bestFit="1" customWidth="1"/>
    <col min="9736" max="9736" width="7.88671875" style="465" customWidth="1"/>
    <col min="9737" max="9737" width="11" style="465" bestFit="1" customWidth="1"/>
    <col min="9738" max="9738" width="12.109375" style="465" bestFit="1" customWidth="1"/>
    <col min="9739" max="9739" width="8" style="465" bestFit="1" customWidth="1"/>
    <col min="9740" max="9740" width="11" style="465" bestFit="1" customWidth="1"/>
    <col min="9741" max="9741" width="12.109375" style="465" bestFit="1" customWidth="1"/>
    <col min="9742" max="9742" width="18.44140625" style="465" bestFit="1" customWidth="1"/>
    <col min="9743" max="9743" width="11" style="465" bestFit="1" customWidth="1"/>
    <col min="9744" max="9979" width="9.5546875" style="465"/>
    <col min="9980" max="9980" width="38.44140625" style="465" customWidth="1"/>
    <col min="9981" max="9981" width="23.44140625" style="465" bestFit="1" customWidth="1"/>
    <col min="9982" max="9983" width="9.109375" style="465" customWidth="1"/>
    <col min="9984" max="9984" width="11.109375" style="465" bestFit="1" customWidth="1"/>
    <col min="9985" max="9985" width="14.44140625" style="465" bestFit="1" customWidth="1"/>
    <col min="9986" max="9986" width="8" style="465" customWidth="1"/>
    <col min="9987" max="9987" width="11" style="465" bestFit="1" customWidth="1"/>
    <col min="9988" max="9988" width="12.109375" style="465" bestFit="1" customWidth="1"/>
    <col min="9989" max="9989" width="9.109375" style="465" customWidth="1"/>
    <col min="9990" max="9990" width="11" style="465" bestFit="1" customWidth="1"/>
    <col min="9991" max="9991" width="12.109375" style="465" bestFit="1" customWidth="1"/>
    <col min="9992" max="9992" width="7.88671875" style="465" customWidth="1"/>
    <col min="9993" max="9993" width="11" style="465" bestFit="1" customWidth="1"/>
    <col min="9994" max="9994" width="12.109375" style="465" bestFit="1" customWidth="1"/>
    <col min="9995" max="9995" width="8" style="465" bestFit="1" customWidth="1"/>
    <col min="9996" max="9996" width="11" style="465" bestFit="1" customWidth="1"/>
    <col min="9997" max="9997" width="12.109375" style="465" bestFit="1" customWidth="1"/>
    <col min="9998" max="9998" width="18.44140625" style="465" bestFit="1" customWidth="1"/>
    <col min="9999" max="9999" width="11" style="465" bestFit="1" customWidth="1"/>
    <col min="10000" max="10235" width="9.5546875" style="465"/>
    <col min="10236" max="10236" width="38.44140625" style="465" customWidth="1"/>
    <col min="10237" max="10237" width="23.44140625" style="465" bestFit="1" customWidth="1"/>
    <col min="10238" max="10239" width="9.109375" style="465" customWidth="1"/>
    <col min="10240" max="10240" width="11.109375" style="465" bestFit="1" customWidth="1"/>
    <col min="10241" max="10241" width="14.44140625" style="465" bestFit="1" customWidth="1"/>
    <col min="10242" max="10242" width="8" style="465" customWidth="1"/>
    <col min="10243" max="10243" width="11" style="465" bestFit="1" customWidth="1"/>
    <col min="10244" max="10244" width="12.109375" style="465" bestFit="1" customWidth="1"/>
    <col min="10245" max="10245" width="9.109375" style="465" customWidth="1"/>
    <col min="10246" max="10246" width="11" style="465" bestFit="1" customWidth="1"/>
    <col min="10247" max="10247" width="12.109375" style="465" bestFit="1" customWidth="1"/>
    <col min="10248" max="10248" width="7.88671875" style="465" customWidth="1"/>
    <col min="10249" max="10249" width="11" style="465" bestFit="1" customWidth="1"/>
    <col min="10250" max="10250" width="12.109375" style="465" bestFit="1" customWidth="1"/>
    <col min="10251" max="10251" width="8" style="465" bestFit="1" customWidth="1"/>
    <col min="10252" max="10252" width="11" style="465" bestFit="1" customWidth="1"/>
    <col min="10253" max="10253" width="12.109375" style="465" bestFit="1" customWidth="1"/>
    <col min="10254" max="10254" width="18.44140625" style="465" bestFit="1" customWidth="1"/>
    <col min="10255" max="10255" width="11" style="465" bestFit="1" customWidth="1"/>
    <col min="10256" max="10491" width="9.5546875" style="465"/>
    <col min="10492" max="10492" width="38.44140625" style="465" customWidth="1"/>
    <col min="10493" max="10493" width="23.44140625" style="465" bestFit="1" customWidth="1"/>
    <col min="10494" max="10495" width="9.109375" style="465" customWidth="1"/>
    <col min="10496" max="10496" width="11.109375" style="465" bestFit="1" customWidth="1"/>
    <col min="10497" max="10497" width="14.44140625" style="465" bestFit="1" customWidth="1"/>
    <col min="10498" max="10498" width="8" style="465" customWidth="1"/>
    <col min="10499" max="10499" width="11" style="465" bestFit="1" customWidth="1"/>
    <col min="10500" max="10500" width="12.109375" style="465" bestFit="1" customWidth="1"/>
    <col min="10501" max="10501" width="9.109375" style="465" customWidth="1"/>
    <col min="10502" max="10502" width="11" style="465" bestFit="1" customWidth="1"/>
    <col min="10503" max="10503" width="12.109375" style="465" bestFit="1" customWidth="1"/>
    <col min="10504" max="10504" width="7.88671875" style="465" customWidth="1"/>
    <col min="10505" max="10505" width="11" style="465" bestFit="1" customWidth="1"/>
    <col min="10506" max="10506" width="12.109375" style="465" bestFit="1" customWidth="1"/>
    <col min="10507" max="10507" width="8" style="465" bestFit="1" customWidth="1"/>
    <col min="10508" max="10508" width="11" style="465" bestFit="1" customWidth="1"/>
    <col min="10509" max="10509" width="12.109375" style="465" bestFit="1" customWidth="1"/>
    <col min="10510" max="10510" width="18.44140625" style="465" bestFit="1" customWidth="1"/>
    <col min="10511" max="10511" width="11" style="465" bestFit="1" customWidth="1"/>
    <col min="10512" max="10747" width="9.5546875" style="465"/>
    <col min="10748" max="10748" width="38.44140625" style="465" customWidth="1"/>
    <col min="10749" max="10749" width="23.44140625" style="465" bestFit="1" customWidth="1"/>
    <col min="10750" max="10751" width="9.109375" style="465" customWidth="1"/>
    <col min="10752" max="10752" width="11.109375" style="465" bestFit="1" customWidth="1"/>
    <col min="10753" max="10753" width="14.44140625" style="465" bestFit="1" customWidth="1"/>
    <col min="10754" max="10754" width="8" style="465" customWidth="1"/>
    <col min="10755" max="10755" width="11" style="465" bestFit="1" customWidth="1"/>
    <col min="10756" max="10756" width="12.109375" style="465" bestFit="1" customWidth="1"/>
    <col min="10757" max="10757" width="9.109375" style="465" customWidth="1"/>
    <col min="10758" max="10758" width="11" style="465" bestFit="1" customWidth="1"/>
    <col min="10759" max="10759" width="12.109375" style="465" bestFit="1" customWidth="1"/>
    <col min="10760" max="10760" width="7.88671875" style="465" customWidth="1"/>
    <col min="10761" max="10761" width="11" style="465" bestFit="1" customWidth="1"/>
    <col min="10762" max="10762" width="12.109375" style="465" bestFit="1" customWidth="1"/>
    <col min="10763" max="10763" width="8" style="465" bestFit="1" customWidth="1"/>
    <col min="10764" max="10764" width="11" style="465" bestFit="1" customWidth="1"/>
    <col min="10765" max="10765" width="12.109375" style="465" bestFit="1" customWidth="1"/>
    <col min="10766" max="10766" width="18.44140625" style="465" bestFit="1" customWidth="1"/>
    <col min="10767" max="10767" width="11" style="465" bestFit="1" customWidth="1"/>
    <col min="10768" max="11003" width="9.5546875" style="465"/>
    <col min="11004" max="11004" width="38.44140625" style="465" customWidth="1"/>
    <col min="11005" max="11005" width="23.44140625" style="465" bestFit="1" customWidth="1"/>
    <col min="11006" max="11007" width="9.109375" style="465" customWidth="1"/>
    <col min="11008" max="11008" width="11.109375" style="465" bestFit="1" customWidth="1"/>
    <col min="11009" max="11009" width="14.44140625" style="465" bestFit="1" customWidth="1"/>
    <col min="11010" max="11010" width="8" style="465" customWidth="1"/>
    <col min="11011" max="11011" width="11" style="465" bestFit="1" customWidth="1"/>
    <col min="11012" max="11012" width="12.109375" style="465" bestFit="1" customWidth="1"/>
    <col min="11013" max="11013" width="9.109375" style="465" customWidth="1"/>
    <col min="11014" max="11014" width="11" style="465" bestFit="1" customWidth="1"/>
    <col min="11015" max="11015" width="12.109375" style="465" bestFit="1" customWidth="1"/>
    <col min="11016" max="11016" width="7.88671875" style="465" customWidth="1"/>
    <col min="11017" max="11017" width="11" style="465" bestFit="1" customWidth="1"/>
    <col min="11018" max="11018" width="12.109375" style="465" bestFit="1" customWidth="1"/>
    <col min="11019" max="11019" width="8" style="465" bestFit="1" customWidth="1"/>
    <col min="11020" max="11020" width="11" style="465" bestFit="1" customWidth="1"/>
    <col min="11021" max="11021" width="12.109375" style="465" bestFit="1" customWidth="1"/>
    <col min="11022" max="11022" width="18.44140625" style="465" bestFit="1" customWidth="1"/>
    <col min="11023" max="11023" width="11" style="465" bestFit="1" customWidth="1"/>
    <col min="11024" max="11259" width="9.5546875" style="465"/>
    <col min="11260" max="11260" width="38.44140625" style="465" customWidth="1"/>
    <col min="11261" max="11261" width="23.44140625" style="465" bestFit="1" customWidth="1"/>
    <col min="11262" max="11263" width="9.109375" style="465" customWidth="1"/>
    <col min="11264" max="11264" width="11.109375" style="465" bestFit="1" customWidth="1"/>
    <col min="11265" max="11265" width="14.44140625" style="465" bestFit="1" customWidth="1"/>
    <col min="11266" max="11266" width="8" style="465" customWidth="1"/>
    <col min="11267" max="11267" width="11" style="465" bestFit="1" customWidth="1"/>
    <col min="11268" max="11268" width="12.109375" style="465" bestFit="1" customWidth="1"/>
    <col min="11269" max="11269" width="9.109375" style="465" customWidth="1"/>
    <col min="11270" max="11270" width="11" style="465" bestFit="1" customWidth="1"/>
    <col min="11271" max="11271" width="12.109375" style="465" bestFit="1" customWidth="1"/>
    <col min="11272" max="11272" width="7.88671875" style="465" customWidth="1"/>
    <col min="11273" max="11273" width="11" style="465" bestFit="1" customWidth="1"/>
    <col min="11274" max="11274" width="12.109375" style="465" bestFit="1" customWidth="1"/>
    <col min="11275" max="11275" width="8" style="465" bestFit="1" customWidth="1"/>
    <col min="11276" max="11276" width="11" style="465" bestFit="1" customWidth="1"/>
    <col min="11277" max="11277" width="12.109375" style="465" bestFit="1" customWidth="1"/>
    <col min="11278" max="11278" width="18.44140625" style="465" bestFit="1" customWidth="1"/>
    <col min="11279" max="11279" width="11" style="465" bestFit="1" customWidth="1"/>
    <col min="11280" max="11515" width="9.5546875" style="465"/>
    <col min="11516" max="11516" width="38.44140625" style="465" customWidth="1"/>
    <col min="11517" max="11517" width="23.44140625" style="465" bestFit="1" customWidth="1"/>
    <col min="11518" max="11519" width="9.109375" style="465" customWidth="1"/>
    <col min="11520" max="11520" width="11.109375" style="465" bestFit="1" customWidth="1"/>
    <col min="11521" max="11521" width="14.44140625" style="465" bestFit="1" customWidth="1"/>
    <col min="11522" max="11522" width="8" style="465" customWidth="1"/>
    <col min="11523" max="11523" width="11" style="465" bestFit="1" customWidth="1"/>
    <col min="11524" max="11524" width="12.109375" style="465" bestFit="1" customWidth="1"/>
    <col min="11525" max="11525" width="9.109375" style="465" customWidth="1"/>
    <col min="11526" max="11526" width="11" style="465" bestFit="1" customWidth="1"/>
    <col min="11527" max="11527" width="12.109375" style="465" bestFit="1" customWidth="1"/>
    <col min="11528" max="11528" width="7.88671875" style="465" customWidth="1"/>
    <col min="11529" max="11529" width="11" style="465" bestFit="1" customWidth="1"/>
    <col min="11530" max="11530" width="12.109375" style="465" bestFit="1" customWidth="1"/>
    <col min="11531" max="11531" width="8" style="465" bestFit="1" customWidth="1"/>
    <col min="11532" max="11532" width="11" style="465" bestFit="1" customWidth="1"/>
    <col min="11533" max="11533" width="12.109375" style="465" bestFit="1" customWidth="1"/>
    <col min="11534" max="11534" width="18.44140625" style="465" bestFit="1" customWidth="1"/>
    <col min="11535" max="11535" width="11" style="465" bestFit="1" customWidth="1"/>
    <col min="11536" max="11771" width="9.5546875" style="465"/>
    <col min="11772" max="11772" width="38.44140625" style="465" customWidth="1"/>
    <col min="11773" max="11773" width="23.44140625" style="465" bestFit="1" customWidth="1"/>
    <col min="11774" max="11775" width="9.109375" style="465" customWidth="1"/>
    <col min="11776" max="11776" width="11.109375" style="465" bestFit="1" customWidth="1"/>
    <col min="11777" max="11777" width="14.44140625" style="465" bestFit="1" customWidth="1"/>
    <col min="11778" max="11778" width="8" style="465" customWidth="1"/>
    <col min="11779" max="11779" width="11" style="465" bestFit="1" customWidth="1"/>
    <col min="11780" max="11780" width="12.109375" style="465" bestFit="1" customWidth="1"/>
    <col min="11781" max="11781" width="9.109375" style="465" customWidth="1"/>
    <col min="11782" max="11782" width="11" style="465" bestFit="1" customWidth="1"/>
    <col min="11783" max="11783" width="12.109375" style="465" bestFit="1" customWidth="1"/>
    <col min="11784" max="11784" width="7.88671875" style="465" customWidth="1"/>
    <col min="11785" max="11785" width="11" style="465" bestFit="1" customWidth="1"/>
    <col min="11786" max="11786" width="12.109375" style="465" bestFit="1" customWidth="1"/>
    <col min="11787" max="11787" width="8" style="465" bestFit="1" customWidth="1"/>
    <col min="11788" max="11788" width="11" style="465" bestFit="1" customWidth="1"/>
    <col min="11789" max="11789" width="12.109375" style="465" bestFit="1" customWidth="1"/>
    <col min="11790" max="11790" width="18.44140625" style="465" bestFit="1" customWidth="1"/>
    <col min="11791" max="11791" width="11" style="465" bestFit="1" customWidth="1"/>
    <col min="11792" max="12027" width="9.5546875" style="465"/>
    <col min="12028" max="12028" width="38.44140625" style="465" customWidth="1"/>
    <col min="12029" max="12029" width="23.44140625" style="465" bestFit="1" customWidth="1"/>
    <col min="12030" max="12031" width="9.109375" style="465" customWidth="1"/>
    <col min="12032" max="12032" width="11.109375" style="465" bestFit="1" customWidth="1"/>
    <col min="12033" max="12033" width="14.44140625" style="465" bestFit="1" customWidth="1"/>
    <col min="12034" max="12034" width="8" style="465" customWidth="1"/>
    <col min="12035" max="12035" width="11" style="465" bestFit="1" customWidth="1"/>
    <col min="12036" max="12036" width="12.109375" style="465" bestFit="1" customWidth="1"/>
    <col min="12037" max="12037" width="9.109375" style="465" customWidth="1"/>
    <col min="12038" max="12038" width="11" style="465" bestFit="1" customWidth="1"/>
    <col min="12039" max="12039" width="12.109375" style="465" bestFit="1" customWidth="1"/>
    <col min="12040" max="12040" width="7.88671875" style="465" customWidth="1"/>
    <col min="12041" max="12041" width="11" style="465" bestFit="1" customWidth="1"/>
    <col min="12042" max="12042" width="12.109375" style="465" bestFit="1" customWidth="1"/>
    <col min="12043" max="12043" width="8" style="465" bestFit="1" customWidth="1"/>
    <col min="12044" max="12044" width="11" style="465" bestFit="1" customWidth="1"/>
    <col min="12045" max="12045" width="12.109375" style="465" bestFit="1" customWidth="1"/>
    <col min="12046" max="12046" width="18.44140625" style="465" bestFit="1" customWidth="1"/>
    <col min="12047" max="12047" width="11" style="465" bestFit="1" customWidth="1"/>
    <col min="12048" max="12283" width="9.5546875" style="465"/>
    <col min="12284" max="12284" width="38.44140625" style="465" customWidth="1"/>
    <col min="12285" max="12285" width="23.44140625" style="465" bestFit="1" customWidth="1"/>
    <col min="12286" max="12287" width="9.109375" style="465" customWidth="1"/>
    <col min="12288" max="12288" width="11.109375" style="465" bestFit="1" customWidth="1"/>
    <col min="12289" max="12289" width="14.44140625" style="465" bestFit="1" customWidth="1"/>
    <col min="12290" max="12290" width="8" style="465" customWidth="1"/>
    <col min="12291" max="12291" width="11" style="465" bestFit="1" customWidth="1"/>
    <col min="12292" max="12292" width="12.109375" style="465" bestFit="1" customWidth="1"/>
    <col min="12293" max="12293" width="9.109375" style="465" customWidth="1"/>
    <col min="12294" max="12294" width="11" style="465" bestFit="1" customWidth="1"/>
    <col min="12295" max="12295" width="12.109375" style="465" bestFit="1" customWidth="1"/>
    <col min="12296" max="12296" width="7.88671875" style="465" customWidth="1"/>
    <col min="12297" max="12297" width="11" style="465" bestFit="1" customWidth="1"/>
    <col min="12298" max="12298" width="12.109375" style="465" bestFit="1" customWidth="1"/>
    <col min="12299" max="12299" width="8" style="465" bestFit="1" customWidth="1"/>
    <col min="12300" max="12300" width="11" style="465" bestFit="1" customWidth="1"/>
    <col min="12301" max="12301" width="12.109375" style="465" bestFit="1" customWidth="1"/>
    <col min="12302" max="12302" width="18.44140625" style="465" bestFit="1" customWidth="1"/>
    <col min="12303" max="12303" width="11" style="465" bestFit="1" customWidth="1"/>
    <col min="12304" max="12539" width="9.5546875" style="465"/>
    <col min="12540" max="12540" width="38.44140625" style="465" customWidth="1"/>
    <col min="12541" max="12541" width="23.44140625" style="465" bestFit="1" customWidth="1"/>
    <col min="12542" max="12543" width="9.109375" style="465" customWidth="1"/>
    <col min="12544" max="12544" width="11.109375" style="465" bestFit="1" customWidth="1"/>
    <col min="12545" max="12545" width="14.44140625" style="465" bestFit="1" customWidth="1"/>
    <col min="12546" max="12546" width="8" style="465" customWidth="1"/>
    <col min="12547" max="12547" width="11" style="465" bestFit="1" customWidth="1"/>
    <col min="12548" max="12548" width="12.109375" style="465" bestFit="1" customWidth="1"/>
    <col min="12549" max="12549" width="9.109375" style="465" customWidth="1"/>
    <col min="12550" max="12550" width="11" style="465" bestFit="1" customWidth="1"/>
    <col min="12551" max="12551" width="12.109375" style="465" bestFit="1" customWidth="1"/>
    <col min="12552" max="12552" width="7.88671875" style="465" customWidth="1"/>
    <col min="12553" max="12553" width="11" style="465" bestFit="1" customWidth="1"/>
    <col min="12554" max="12554" width="12.109375" style="465" bestFit="1" customWidth="1"/>
    <col min="12555" max="12555" width="8" style="465" bestFit="1" customWidth="1"/>
    <col min="12556" max="12556" width="11" style="465" bestFit="1" customWidth="1"/>
    <col min="12557" max="12557" width="12.109375" style="465" bestFit="1" customWidth="1"/>
    <col min="12558" max="12558" width="18.44140625" style="465" bestFit="1" customWidth="1"/>
    <col min="12559" max="12559" width="11" style="465" bestFit="1" customWidth="1"/>
    <col min="12560" max="12795" width="9.5546875" style="465"/>
    <col min="12796" max="12796" width="38.44140625" style="465" customWidth="1"/>
    <col min="12797" max="12797" width="23.44140625" style="465" bestFit="1" customWidth="1"/>
    <col min="12798" max="12799" width="9.109375" style="465" customWidth="1"/>
    <col min="12800" max="12800" width="11.109375" style="465" bestFit="1" customWidth="1"/>
    <col min="12801" max="12801" width="14.44140625" style="465" bestFit="1" customWidth="1"/>
    <col min="12802" max="12802" width="8" style="465" customWidth="1"/>
    <col min="12803" max="12803" width="11" style="465" bestFit="1" customWidth="1"/>
    <col min="12804" max="12804" width="12.109375" style="465" bestFit="1" customWidth="1"/>
    <col min="12805" max="12805" width="9.109375" style="465" customWidth="1"/>
    <col min="12806" max="12806" width="11" style="465" bestFit="1" customWidth="1"/>
    <col min="12807" max="12807" width="12.109375" style="465" bestFit="1" customWidth="1"/>
    <col min="12808" max="12808" width="7.88671875" style="465" customWidth="1"/>
    <col min="12809" max="12809" width="11" style="465" bestFit="1" customWidth="1"/>
    <col min="12810" max="12810" width="12.109375" style="465" bestFit="1" customWidth="1"/>
    <col min="12811" max="12811" width="8" style="465" bestFit="1" customWidth="1"/>
    <col min="12812" max="12812" width="11" style="465" bestFit="1" customWidth="1"/>
    <col min="12813" max="12813" width="12.109375" style="465" bestFit="1" customWidth="1"/>
    <col min="12814" max="12814" width="18.44140625" style="465" bestFit="1" customWidth="1"/>
    <col min="12815" max="12815" width="11" style="465" bestFit="1" customWidth="1"/>
    <col min="12816" max="13051" width="9.5546875" style="465"/>
    <col min="13052" max="13052" width="38.44140625" style="465" customWidth="1"/>
    <col min="13053" max="13053" width="23.44140625" style="465" bestFit="1" customWidth="1"/>
    <col min="13054" max="13055" width="9.109375" style="465" customWidth="1"/>
    <col min="13056" max="13056" width="11.109375" style="465" bestFit="1" customWidth="1"/>
    <col min="13057" max="13057" width="14.44140625" style="465" bestFit="1" customWidth="1"/>
    <col min="13058" max="13058" width="8" style="465" customWidth="1"/>
    <col min="13059" max="13059" width="11" style="465" bestFit="1" customWidth="1"/>
    <col min="13060" max="13060" width="12.109375" style="465" bestFit="1" customWidth="1"/>
    <col min="13061" max="13061" width="9.109375" style="465" customWidth="1"/>
    <col min="13062" max="13062" width="11" style="465" bestFit="1" customWidth="1"/>
    <col min="13063" max="13063" width="12.109375" style="465" bestFit="1" customWidth="1"/>
    <col min="13064" max="13064" width="7.88671875" style="465" customWidth="1"/>
    <col min="13065" max="13065" width="11" style="465" bestFit="1" customWidth="1"/>
    <col min="13066" max="13066" width="12.109375" style="465" bestFit="1" customWidth="1"/>
    <col min="13067" max="13067" width="8" style="465" bestFit="1" customWidth="1"/>
    <col min="13068" max="13068" width="11" style="465" bestFit="1" customWidth="1"/>
    <col min="13069" max="13069" width="12.109375" style="465" bestFit="1" customWidth="1"/>
    <col min="13070" max="13070" width="18.44140625" style="465" bestFit="1" customWidth="1"/>
    <col min="13071" max="13071" width="11" style="465" bestFit="1" customWidth="1"/>
    <col min="13072" max="13307" width="9.5546875" style="465"/>
    <col min="13308" max="13308" width="38.44140625" style="465" customWidth="1"/>
    <col min="13309" max="13309" width="23.44140625" style="465" bestFit="1" customWidth="1"/>
    <col min="13310" max="13311" width="9.109375" style="465" customWidth="1"/>
    <col min="13312" max="13312" width="11.109375" style="465" bestFit="1" customWidth="1"/>
    <col min="13313" max="13313" width="14.44140625" style="465" bestFit="1" customWidth="1"/>
    <col min="13314" max="13314" width="8" style="465" customWidth="1"/>
    <col min="13315" max="13315" width="11" style="465" bestFit="1" customWidth="1"/>
    <col min="13316" max="13316" width="12.109375" style="465" bestFit="1" customWidth="1"/>
    <col min="13317" max="13317" width="9.109375" style="465" customWidth="1"/>
    <col min="13318" max="13318" width="11" style="465" bestFit="1" customWidth="1"/>
    <col min="13319" max="13319" width="12.109375" style="465" bestFit="1" customWidth="1"/>
    <col min="13320" max="13320" width="7.88671875" style="465" customWidth="1"/>
    <col min="13321" max="13321" width="11" style="465" bestFit="1" customWidth="1"/>
    <col min="13322" max="13322" width="12.109375" style="465" bestFit="1" customWidth="1"/>
    <col min="13323" max="13323" width="8" style="465" bestFit="1" customWidth="1"/>
    <col min="13324" max="13324" width="11" style="465" bestFit="1" customWidth="1"/>
    <col min="13325" max="13325" width="12.109375" style="465" bestFit="1" customWidth="1"/>
    <col min="13326" max="13326" width="18.44140625" style="465" bestFit="1" customWidth="1"/>
    <col min="13327" max="13327" width="11" style="465" bestFit="1" customWidth="1"/>
    <col min="13328" max="13563" width="9.5546875" style="465"/>
    <col min="13564" max="13564" width="38.44140625" style="465" customWidth="1"/>
    <col min="13565" max="13565" width="23.44140625" style="465" bestFit="1" customWidth="1"/>
    <col min="13566" max="13567" width="9.109375" style="465" customWidth="1"/>
    <col min="13568" max="13568" width="11.109375" style="465" bestFit="1" customWidth="1"/>
    <col min="13569" max="13569" width="14.44140625" style="465" bestFit="1" customWidth="1"/>
    <col min="13570" max="13570" width="8" style="465" customWidth="1"/>
    <col min="13571" max="13571" width="11" style="465" bestFit="1" customWidth="1"/>
    <col min="13572" max="13572" width="12.109375" style="465" bestFit="1" customWidth="1"/>
    <col min="13573" max="13573" width="9.109375" style="465" customWidth="1"/>
    <col min="13574" max="13574" width="11" style="465" bestFit="1" customWidth="1"/>
    <col min="13575" max="13575" width="12.109375" style="465" bestFit="1" customWidth="1"/>
    <col min="13576" max="13576" width="7.88671875" style="465" customWidth="1"/>
    <col min="13577" max="13577" width="11" style="465" bestFit="1" customWidth="1"/>
    <col min="13578" max="13578" width="12.109375" style="465" bestFit="1" customWidth="1"/>
    <col min="13579" max="13579" width="8" style="465" bestFit="1" customWidth="1"/>
    <col min="13580" max="13580" width="11" style="465" bestFit="1" customWidth="1"/>
    <col min="13581" max="13581" width="12.109375" style="465" bestFit="1" customWidth="1"/>
    <col min="13582" max="13582" width="18.44140625" style="465" bestFit="1" customWidth="1"/>
    <col min="13583" max="13583" width="11" style="465" bestFit="1" customWidth="1"/>
    <col min="13584" max="13819" width="9.5546875" style="465"/>
    <col min="13820" max="13820" width="38.44140625" style="465" customWidth="1"/>
    <col min="13821" max="13821" width="23.44140625" style="465" bestFit="1" customWidth="1"/>
    <col min="13822" max="13823" width="9.109375" style="465" customWidth="1"/>
    <col min="13824" max="13824" width="11.109375" style="465" bestFit="1" customWidth="1"/>
    <col min="13825" max="13825" width="14.44140625" style="465" bestFit="1" customWidth="1"/>
    <col min="13826" max="13826" width="8" style="465" customWidth="1"/>
    <col min="13827" max="13827" width="11" style="465" bestFit="1" customWidth="1"/>
    <col min="13828" max="13828" width="12.109375" style="465" bestFit="1" customWidth="1"/>
    <col min="13829" max="13829" width="9.109375" style="465" customWidth="1"/>
    <col min="13830" max="13830" width="11" style="465" bestFit="1" customWidth="1"/>
    <col min="13831" max="13831" width="12.109375" style="465" bestFit="1" customWidth="1"/>
    <col min="13832" max="13832" width="7.88671875" style="465" customWidth="1"/>
    <col min="13833" max="13833" width="11" style="465" bestFit="1" customWidth="1"/>
    <col min="13834" max="13834" width="12.109375" style="465" bestFit="1" customWidth="1"/>
    <col min="13835" max="13835" width="8" style="465" bestFit="1" customWidth="1"/>
    <col min="13836" max="13836" width="11" style="465" bestFit="1" customWidth="1"/>
    <col min="13837" max="13837" width="12.109375" style="465" bestFit="1" customWidth="1"/>
    <col min="13838" max="13838" width="18.44140625" style="465" bestFit="1" customWidth="1"/>
    <col min="13839" max="13839" width="11" style="465" bestFit="1" customWidth="1"/>
    <col min="13840" max="14075" width="9.5546875" style="465"/>
    <col min="14076" max="14076" width="38.44140625" style="465" customWidth="1"/>
    <col min="14077" max="14077" width="23.44140625" style="465" bestFit="1" customWidth="1"/>
    <col min="14078" max="14079" width="9.109375" style="465" customWidth="1"/>
    <col min="14080" max="14080" width="11.109375" style="465" bestFit="1" customWidth="1"/>
    <col min="14081" max="14081" width="14.44140625" style="465" bestFit="1" customWidth="1"/>
    <col min="14082" max="14082" width="8" style="465" customWidth="1"/>
    <col min="14083" max="14083" width="11" style="465" bestFit="1" customWidth="1"/>
    <col min="14084" max="14084" width="12.109375" style="465" bestFit="1" customWidth="1"/>
    <col min="14085" max="14085" width="9.109375" style="465" customWidth="1"/>
    <col min="14086" max="14086" width="11" style="465" bestFit="1" customWidth="1"/>
    <col min="14087" max="14087" width="12.109375" style="465" bestFit="1" customWidth="1"/>
    <col min="14088" max="14088" width="7.88671875" style="465" customWidth="1"/>
    <col min="14089" max="14089" width="11" style="465" bestFit="1" customWidth="1"/>
    <col min="14090" max="14090" width="12.109375" style="465" bestFit="1" customWidth="1"/>
    <col min="14091" max="14091" width="8" style="465" bestFit="1" customWidth="1"/>
    <col min="14092" max="14092" width="11" style="465" bestFit="1" customWidth="1"/>
    <col min="14093" max="14093" width="12.109375" style="465" bestFit="1" customWidth="1"/>
    <col min="14094" max="14094" width="18.44140625" style="465" bestFit="1" customWidth="1"/>
    <col min="14095" max="14095" width="11" style="465" bestFit="1" customWidth="1"/>
    <col min="14096" max="14331" width="9.5546875" style="465"/>
    <col min="14332" max="14332" width="38.44140625" style="465" customWidth="1"/>
    <col min="14333" max="14333" width="23.44140625" style="465" bestFit="1" customWidth="1"/>
    <col min="14334" max="14335" width="9.109375" style="465" customWidth="1"/>
    <col min="14336" max="14336" width="11.109375" style="465" bestFit="1" customWidth="1"/>
    <col min="14337" max="14337" width="14.44140625" style="465" bestFit="1" customWidth="1"/>
    <col min="14338" max="14338" width="8" style="465" customWidth="1"/>
    <col min="14339" max="14339" width="11" style="465" bestFit="1" customWidth="1"/>
    <col min="14340" max="14340" width="12.109375" style="465" bestFit="1" customWidth="1"/>
    <col min="14341" max="14341" width="9.109375" style="465" customWidth="1"/>
    <col min="14342" max="14342" width="11" style="465" bestFit="1" customWidth="1"/>
    <col min="14343" max="14343" width="12.109375" style="465" bestFit="1" customWidth="1"/>
    <col min="14344" max="14344" width="7.88671875" style="465" customWidth="1"/>
    <col min="14345" max="14345" width="11" style="465" bestFit="1" customWidth="1"/>
    <col min="14346" max="14346" width="12.109375" style="465" bestFit="1" customWidth="1"/>
    <col min="14347" max="14347" width="8" style="465" bestFit="1" customWidth="1"/>
    <col min="14348" max="14348" width="11" style="465" bestFit="1" customWidth="1"/>
    <col min="14349" max="14349" width="12.109375" style="465" bestFit="1" customWidth="1"/>
    <col min="14350" max="14350" width="18.44140625" style="465" bestFit="1" customWidth="1"/>
    <col min="14351" max="14351" width="11" style="465" bestFit="1" customWidth="1"/>
    <col min="14352" max="14587" width="9.5546875" style="465"/>
    <col min="14588" max="14588" width="38.44140625" style="465" customWidth="1"/>
    <col min="14589" max="14589" width="23.44140625" style="465" bestFit="1" customWidth="1"/>
    <col min="14590" max="14591" width="9.109375" style="465" customWidth="1"/>
    <col min="14592" max="14592" width="11.109375" style="465" bestFit="1" customWidth="1"/>
    <col min="14593" max="14593" width="14.44140625" style="465" bestFit="1" customWidth="1"/>
    <col min="14594" max="14594" width="8" style="465" customWidth="1"/>
    <col min="14595" max="14595" width="11" style="465" bestFit="1" customWidth="1"/>
    <col min="14596" max="14596" width="12.109375" style="465" bestFit="1" customWidth="1"/>
    <col min="14597" max="14597" width="9.109375" style="465" customWidth="1"/>
    <col min="14598" max="14598" width="11" style="465" bestFit="1" customWidth="1"/>
    <col min="14599" max="14599" width="12.109375" style="465" bestFit="1" customWidth="1"/>
    <col min="14600" max="14600" width="7.88671875" style="465" customWidth="1"/>
    <col min="14601" max="14601" width="11" style="465" bestFit="1" customWidth="1"/>
    <col min="14602" max="14602" width="12.109375" style="465" bestFit="1" customWidth="1"/>
    <col min="14603" max="14603" width="8" style="465" bestFit="1" customWidth="1"/>
    <col min="14604" max="14604" width="11" style="465" bestFit="1" customWidth="1"/>
    <col min="14605" max="14605" width="12.109375" style="465" bestFit="1" customWidth="1"/>
    <col min="14606" max="14606" width="18.44140625" style="465" bestFit="1" customWidth="1"/>
    <col min="14607" max="14607" width="11" style="465" bestFit="1" customWidth="1"/>
    <col min="14608" max="14843" width="9.5546875" style="465"/>
    <col min="14844" max="14844" width="38.44140625" style="465" customWidth="1"/>
    <col min="14845" max="14845" width="23.44140625" style="465" bestFit="1" customWidth="1"/>
    <col min="14846" max="14847" width="9.109375" style="465" customWidth="1"/>
    <col min="14848" max="14848" width="11.109375" style="465" bestFit="1" customWidth="1"/>
    <col min="14849" max="14849" width="14.44140625" style="465" bestFit="1" customWidth="1"/>
    <col min="14850" max="14850" width="8" style="465" customWidth="1"/>
    <col min="14851" max="14851" width="11" style="465" bestFit="1" customWidth="1"/>
    <col min="14852" max="14852" width="12.109375" style="465" bestFit="1" customWidth="1"/>
    <col min="14853" max="14853" width="9.109375" style="465" customWidth="1"/>
    <col min="14854" max="14854" width="11" style="465" bestFit="1" customWidth="1"/>
    <col min="14855" max="14855" width="12.109375" style="465" bestFit="1" customWidth="1"/>
    <col min="14856" max="14856" width="7.88671875" style="465" customWidth="1"/>
    <col min="14857" max="14857" width="11" style="465" bestFit="1" customWidth="1"/>
    <col min="14858" max="14858" width="12.109375" style="465" bestFit="1" customWidth="1"/>
    <col min="14859" max="14859" width="8" style="465" bestFit="1" customWidth="1"/>
    <col min="14860" max="14860" width="11" style="465" bestFit="1" customWidth="1"/>
    <col min="14861" max="14861" width="12.109375" style="465" bestFit="1" customWidth="1"/>
    <col min="14862" max="14862" width="18.44140625" style="465" bestFit="1" customWidth="1"/>
    <col min="14863" max="14863" width="11" style="465" bestFit="1" customWidth="1"/>
    <col min="14864" max="15099" width="9.5546875" style="465"/>
    <col min="15100" max="15100" width="38.44140625" style="465" customWidth="1"/>
    <col min="15101" max="15101" width="23.44140625" style="465" bestFit="1" customWidth="1"/>
    <col min="15102" max="15103" width="9.109375" style="465" customWidth="1"/>
    <col min="15104" max="15104" width="11.109375" style="465" bestFit="1" customWidth="1"/>
    <col min="15105" max="15105" width="14.44140625" style="465" bestFit="1" customWidth="1"/>
    <col min="15106" max="15106" width="8" style="465" customWidth="1"/>
    <col min="15107" max="15107" width="11" style="465" bestFit="1" customWidth="1"/>
    <col min="15108" max="15108" width="12.109375" style="465" bestFit="1" customWidth="1"/>
    <col min="15109" max="15109" width="9.109375" style="465" customWidth="1"/>
    <col min="15110" max="15110" width="11" style="465" bestFit="1" customWidth="1"/>
    <col min="15111" max="15111" width="12.109375" style="465" bestFit="1" customWidth="1"/>
    <col min="15112" max="15112" width="7.88671875" style="465" customWidth="1"/>
    <col min="15113" max="15113" width="11" style="465" bestFit="1" customWidth="1"/>
    <col min="15114" max="15114" width="12.109375" style="465" bestFit="1" customWidth="1"/>
    <col min="15115" max="15115" width="8" style="465" bestFit="1" customWidth="1"/>
    <col min="15116" max="15116" width="11" style="465" bestFit="1" customWidth="1"/>
    <col min="15117" max="15117" width="12.109375" style="465" bestFit="1" customWidth="1"/>
    <col min="15118" max="15118" width="18.44140625" style="465" bestFit="1" customWidth="1"/>
    <col min="15119" max="15119" width="11" style="465" bestFit="1" customWidth="1"/>
    <col min="15120" max="15355" width="9.5546875" style="465"/>
    <col min="15356" max="15356" width="38.44140625" style="465" customWidth="1"/>
    <col min="15357" max="15357" width="23.44140625" style="465" bestFit="1" customWidth="1"/>
    <col min="15358" max="15359" width="9.109375" style="465" customWidth="1"/>
    <col min="15360" max="15360" width="11.109375" style="465" bestFit="1" customWidth="1"/>
    <col min="15361" max="15361" width="14.44140625" style="465" bestFit="1" customWidth="1"/>
    <col min="15362" max="15362" width="8" style="465" customWidth="1"/>
    <col min="15363" max="15363" width="11" style="465" bestFit="1" customWidth="1"/>
    <col min="15364" max="15364" width="12.109375" style="465" bestFit="1" customWidth="1"/>
    <col min="15365" max="15365" width="9.109375" style="465" customWidth="1"/>
    <col min="15366" max="15366" width="11" style="465" bestFit="1" customWidth="1"/>
    <col min="15367" max="15367" width="12.109375" style="465" bestFit="1" customWidth="1"/>
    <col min="15368" max="15368" width="7.88671875" style="465" customWidth="1"/>
    <col min="15369" max="15369" width="11" style="465" bestFit="1" customWidth="1"/>
    <col min="15370" max="15370" width="12.109375" style="465" bestFit="1" customWidth="1"/>
    <col min="15371" max="15371" width="8" style="465" bestFit="1" customWidth="1"/>
    <col min="15372" max="15372" width="11" style="465" bestFit="1" customWidth="1"/>
    <col min="15373" max="15373" width="12.109375" style="465" bestFit="1" customWidth="1"/>
    <col min="15374" max="15374" width="18.44140625" style="465" bestFit="1" customWidth="1"/>
    <col min="15375" max="15375" width="11" style="465" bestFit="1" customWidth="1"/>
    <col min="15376" max="15611" width="9.5546875" style="465"/>
    <col min="15612" max="15612" width="38.44140625" style="465" customWidth="1"/>
    <col min="15613" max="15613" width="23.44140625" style="465" bestFit="1" customWidth="1"/>
    <col min="15614" max="15615" width="9.109375" style="465" customWidth="1"/>
    <col min="15616" max="15616" width="11.109375" style="465" bestFit="1" customWidth="1"/>
    <col min="15617" max="15617" width="14.44140625" style="465" bestFit="1" customWidth="1"/>
    <col min="15618" max="15618" width="8" style="465" customWidth="1"/>
    <col min="15619" max="15619" width="11" style="465" bestFit="1" customWidth="1"/>
    <col min="15620" max="15620" width="12.109375" style="465" bestFit="1" customWidth="1"/>
    <col min="15621" max="15621" width="9.109375" style="465" customWidth="1"/>
    <col min="15622" max="15622" width="11" style="465" bestFit="1" customWidth="1"/>
    <col min="15623" max="15623" width="12.109375" style="465" bestFit="1" customWidth="1"/>
    <col min="15624" max="15624" width="7.88671875" style="465" customWidth="1"/>
    <col min="15625" max="15625" width="11" style="465" bestFit="1" customWidth="1"/>
    <col min="15626" max="15626" width="12.109375" style="465" bestFit="1" customWidth="1"/>
    <col min="15627" max="15627" width="8" style="465" bestFit="1" customWidth="1"/>
    <col min="15628" max="15628" width="11" style="465" bestFit="1" customWidth="1"/>
    <col min="15629" max="15629" width="12.109375" style="465" bestFit="1" customWidth="1"/>
    <col min="15630" max="15630" width="18.44140625" style="465" bestFit="1" customWidth="1"/>
    <col min="15631" max="15631" width="11" style="465" bestFit="1" customWidth="1"/>
    <col min="15632" max="15867" width="9.5546875" style="465"/>
    <col min="15868" max="15868" width="38.44140625" style="465" customWidth="1"/>
    <col min="15869" max="15869" width="23.44140625" style="465" bestFit="1" customWidth="1"/>
    <col min="15870" max="15871" width="9.109375" style="465" customWidth="1"/>
    <col min="15872" max="15872" width="11.109375" style="465" bestFit="1" customWidth="1"/>
    <col min="15873" max="15873" width="14.44140625" style="465" bestFit="1" customWidth="1"/>
    <col min="15874" max="15874" width="8" style="465" customWidth="1"/>
    <col min="15875" max="15875" width="11" style="465" bestFit="1" customWidth="1"/>
    <col min="15876" max="15876" width="12.109375" style="465" bestFit="1" customWidth="1"/>
    <col min="15877" max="15877" width="9.109375" style="465" customWidth="1"/>
    <col min="15878" max="15878" width="11" style="465" bestFit="1" customWidth="1"/>
    <col min="15879" max="15879" width="12.109375" style="465" bestFit="1" customWidth="1"/>
    <col min="15880" max="15880" width="7.88671875" style="465" customWidth="1"/>
    <col min="15881" max="15881" width="11" style="465" bestFit="1" customWidth="1"/>
    <col min="15882" max="15882" width="12.109375" style="465" bestFit="1" customWidth="1"/>
    <col min="15883" max="15883" width="8" style="465" bestFit="1" customWidth="1"/>
    <col min="15884" max="15884" width="11" style="465" bestFit="1" customWidth="1"/>
    <col min="15885" max="15885" width="12.109375" style="465" bestFit="1" customWidth="1"/>
    <col min="15886" max="15886" width="18.44140625" style="465" bestFit="1" customWidth="1"/>
    <col min="15887" max="15887" width="11" style="465" bestFit="1" customWidth="1"/>
    <col min="15888" max="16123" width="9.5546875" style="465"/>
    <col min="16124" max="16124" width="38.44140625" style="465" customWidth="1"/>
    <col min="16125" max="16125" width="23.44140625" style="465" bestFit="1" customWidth="1"/>
    <col min="16126" max="16127" width="9.109375" style="465" customWidth="1"/>
    <col min="16128" max="16128" width="11.109375" style="465" bestFit="1" customWidth="1"/>
    <col min="16129" max="16129" width="14.44140625" style="465" bestFit="1" customWidth="1"/>
    <col min="16130" max="16130" width="8" style="465" customWidth="1"/>
    <col min="16131" max="16131" width="11" style="465" bestFit="1" customWidth="1"/>
    <col min="16132" max="16132" width="12.109375" style="465" bestFit="1" customWidth="1"/>
    <col min="16133" max="16133" width="9.109375" style="465" customWidth="1"/>
    <col min="16134" max="16134" width="11" style="465" bestFit="1" customWidth="1"/>
    <col min="16135" max="16135" width="12.109375" style="465" bestFit="1" customWidth="1"/>
    <col min="16136" max="16136" width="7.88671875" style="465" customWidth="1"/>
    <col min="16137" max="16137" width="11" style="465" bestFit="1" customWidth="1"/>
    <col min="16138" max="16138" width="12.109375" style="465" bestFit="1" customWidth="1"/>
    <col min="16139" max="16139" width="8" style="465" bestFit="1" customWidth="1"/>
    <col min="16140" max="16140" width="11" style="465" bestFit="1" customWidth="1"/>
    <col min="16141" max="16141" width="12.109375" style="465" bestFit="1" customWidth="1"/>
    <col min="16142" max="16142" width="18.44140625" style="465" bestFit="1" customWidth="1"/>
    <col min="16143" max="16143" width="11" style="465" bestFit="1" customWidth="1"/>
    <col min="16144" max="16384" width="9.5546875" style="465"/>
  </cols>
  <sheetData>
    <row r="1" spans="1:23" s="453" customFormat="1" ht="14.25" customHeight="1">
      <c r="A1" s="444"/>
      <c r="B1" s="445"/>
      <c r="C1" s="446"/>
      <c r="D1" s="447"/>
      <c r="E1" s="448"/>
      <c r="F1" s="448"/>
      <c r="G1" s="448"/>
      <c r="H1" s="448"/>
      <c r="I1" s="449"/>
      <c r="J1" s="448"/>
      <c r="K1" s="450"/>
      <c r="L1" s="451"/>
      <c r="M1" s="452"/>
      <c r="N1" s="450"/>
      <c r="O1" s="450"/>
      <c r="P1" s="451"/>
      <c r="Q1" s="452"/>
      <c r="R1" s="450"/>
      <c r="S1" s="450"/>
      <c r="T1" s="451"/>
      <c r="U1" s="452"/>
      <c r="V1" s="450"/>
      <c r="W1" s="450"/>
    </row>
    <row r="2" spans="1:23" s="453" customFormat="1" ht="24" customHeight="1">
      <c r="A2" s="454"/>
      <c r="B2" s="455"/>
      <c r="C2" s="904" t="s">
        <v>155</v>
      </c>
      <c r="D2" s="905"/>
      <c r="E2" s="905"/>
      <c r="F2" s="905"/>
      <c r="G2" s="905"/>
      <c r="H2" s="905"/>
      <c r="I2" s="905"/>
      <c r="J2" s="905"/>
      <c r="K2" s="905"/>
      <c r="L2" s="905"/>
      <c r="M2" s="905"/>
      <c r="N2" s="905"/>
      <c r="O2" s="905"/>
      <c r="P2" s="905"/>
      <c r="Q2" s="905"/>
      <c r="R2" s="905"/>
      <c r="S2" s="905"/>
      <c r="T2" s="905"/>
      <c r="U2" s="905"/>
      <c r="V2" s="905"/>
      <c r="W2" s="905"/>
    </row>
    <row r="3" spans="1:23" s="453" customFormat="1" ht="15.3">
      <c r="A3" s="454"/>
      <c r="B3" s="455"/>
      <c r="C3" s="904" t="s">
        <v>125</v>
      </c>
      <c r="D3" s="905"/>
      <c r="E3" s="905"/>
      <c r="F3" s="905"/>
      <c r="G3" s="905"/>
      <c r="H3" s="905"/>
      <c r="I3" s="905"/>
      <c r="J3" s="905"/>
      <c r="K3" s="905"/>
      <c r="L3" s="905"/>
      <c r="M3" s="905"/>
      <c r="N3" s="905"/>
      <c r="O3" s="905"/>
      <c r="P3" s="905"/>
      <c r="Q3" s="905"/>
      <c r="R3" s="905"/>
      <c r="S3" s="905"/>
      <c r="T3" s="905"/>
      <c r="U3" s="905"/>
      <c r="V3" s="905"/>
      <c r="W3" s="905"/>
    </row>
    <row r="4" spans="1:23" s="453" customFormat="1" ht="18" customHeight="1">
      <c r="A4" s="454"/>
      <c r="B4" s="455"/>
      <c r="C4" s="904" t="s">
        <v>156</v>
      </c>
      <c r="D4" s="905"/>
      <c r="E4" s="905"/>
      <c r="F4" s="905"/>
      <c r="G4" s="905"/>
      <c r="H4" s="905"/>
      <c r="I4" s="905"/>
      <c r="J4" s="905"/>
      <c r="K4" s="905"/>
      <c r="L4" s="905"/>
      <c r="M4" s="905"/>
      <c r="N4" s="905"/>
      <c r="O4" s="905"/>
      <c r="P4" s="905"/>
      <c r="Q4" s="905"/>
      <c r="R4" s="905"/>
      <c r="S4" s="905"/>
      <c r="T4" s="905"/>
      <c r="U4" s="905"/>
      <c r="V4" s="905"/>
      <c r="W4" s="905"/>
    </row>
    <row r="5" spans="1:23" s="453" customFormat="1" ht="17.25" customHeight="1">
      <c r="A5" s="454"/>
      <c r="B5" s="455"/>
      <c r="C5" s="904" t="s">
        <v>127</v>
      </c>
      <c r="D5" s="905"/>
      <c r="E5" s="905"/>
      <c r="F5" s="905"/>
      <c r="G5" s="905"/>
      <c r="H5" s="905"/>
      <c r="I5" s="905"/>
      <c r="J5" s="905"/>
      <c r="K5" s="905"/>
      <c r="L5" s="905"/>
      <c r="M5" s="905"/>
      <c r="N5" s="905"/>
      <c r="O5" s="905"/>
      <c r="P5" s="905"/>
      <c r="Q5" s="905"/>
      <c r="R5" s="905"/>
      <c r="S5" s="905"/>
      <c r="T5" s="905"/>
      <c r="U5" s="905"/>
      <c r="V5" s="905"/>
      <c r="W5" s="905"/>
    </row>
    <row r="6" spans="1:23" ht="26.4" customHeight="1">
      <c r="A6" s="456" t="s">
        <v>128</v>
      </c>
      <c r="B6" s="457"/>
    </row>
    <row r="7" spans="1:23">
      <c r="A7" s="466" t="s">
        <v>129</v>
      </c>
      <c r="B7" s="467">
        <v>1.05</v>
      </c>
    </row>
    <row r="8" spans="1:23">
      <c r="A8" s="466" t="s">
        <v>130</v>
      </c>
      <c r="B8" s="467">
        <v>1.05</v>
      </c>
    </row>
    <row r="10" spans="1:23" ht="19.5" customHeight="1">
      <c r="A10" s="909" t="s">
        <v>62</v>
      </c>
      <c r="B10" s="911" t="s">
        <v>63</v>
      </c>
      <c r="C10" s="906" t="s">
        <v>64</v>
      </c>
      <c r="D10" s="907"/>
      <c r="E10" s="907"/>
      <c r="F10" s="908"/>
      <c r="G10" s="906" t="s">
        <v>65</v>
      </c>
      <c r="H10" s="907"/>
      <c r="I10" s="907"/>
      <c r="J10" s="908"/>
      <c r="K10" s="906" t="s">
        <v>66</v>
      </c>
      <c r="L10" s="907"/>
      <c r="M10" s="907"/>
      <c r="N10" s="908"/>
      <c r="O10" s="906" t="s">
        <v>67</v>
      </c>
      <c r="P10" s="907"/>
      <c r="Q10" s="907"/>
      <c r="R10" s="908"/>
      <c r="S10" s="902" t="s">
        <v>69</v>
      </c>
    </row>
    <row r="11" spans="1:23" ht="48" customHeight="1">
      <c r="A11" s="910"/>
      <c r="B11" s="912"/>
      <c r="C11" s="468" t="s">
        <v>70</v>
      </c>
      <c r="D11" s="469" t="s">
        <v>71</v>
      </c>
      <c r="E11" s="470" t="s">
        <v>72</v>
      </c>
      <c r="F11" s="471" t="s">
        <v>69</v>
      </c>
      <c r="G11" s="472" t="s">
        <v>70</v>
      </c>
      <c r="H11" s="473" t="s">
        <v>71</v>
      </c>
      <c r="I11" s="474" t="s">
        <v>72</v>
      </c>
      <c r="J11" s="471" t="s">
        <v>69</v>
      </c>
      <c r="K11" s="468" t="s">
        <v>70</v>
      </c>
      <c r="L11" s="469" t="s">
        <v>71</v>
      </c>
      <c r="M11" s="475" t="s">
        <v>72</v>
      </c>
      <c r="N11" s="471" t="s">
        <v>69</v>
      </c>
      <c r="O11" s="468" t="s">
        <v>70</v>
      </c>
      <c r="P11" s="469" t="s">
        <v>71</v>
      </c>
      <c r="Q11" s="475" t="s">
        <v>72</v>
      </c>
      <c r="R11" s="471" t="s">
        <v>69</v>
      </c>
      <c r="S11" s="903"/>
    </row>
    <row r="12" spans="1:23">
      <c r="A12" s="476" t="s">
        <v>73</v>
      </c>
      <c r="B12" s="477"/>
      <c r="C12" s="478"/>
      <c r="D12" s="479"/>
      <c r="E12" s="480"/>
      <c r="F12" s="481"/>
      <c r="G12" s="482"/>
      <c r="H12" s="483"/>
      <c r="I12" s="484"/>
      <c r="J12" s="481"/>
      <c r="K12" s="485"/>
      <c r="L12" s="479"/>
      <c r="M12" s="486"/>
      <c r="N12" s="481"/>
      <c r="O12" s="485"/>
      <c r="P12" s="479"/>
      <c r="Q12" s="486"/>
      <c r="R12" s="487"/>
      <c r="S12" s="488"/>
    </row>
    <row r="13" spans="1:23" s="496" customFormat="1" ht="15" customHeight="1" outlineLevel="1">
      <c r="A13" s="489" t="s">
        <v>47</v>
      </c>
      <c r="B13" s="490"/>
      <c r="C13" s="491"/>
      <c r="D13" s="492"/>
      <c r="E13" s="493"/>
      <c r="F13" s="494"/>
      <c r="G13" s="491"/>
      <c r="H13" s="492"/>
      <c r="I13" s="493"/>
      <c r="J13" s="494"/>
      <c r="K13" s="491"/>
      <c r="L13" s="492"/>
      <c r="M13" s="493"/>
      <c r="N13" s="494"/>
      <c r="O13" s="491"/>
      <c r="P13" s="492"/>
      <c r="Q13" s="493"/>
      <c r="R13" s="494"/>
      <c r="S13" s="495"/>
      <c r="T13" s="465"/>
    </row>
    <row r="14" spans="1:23" ht="15" customHeight="1" outlineLevel="1">
      <c r="A14" s="497" t="s">
        <v>157</v>
      </c>
      <c r="B14" s="498" t="s">
        <v>147</v>
      </c>
      <c r="C14" s="499">
        <f>162672/12</f>
        <v>13556</v>
      </c>
      <c r="D14" s="500">
        <v>4</v>
      </c>
      <c r="E14" s="501">
        <v>0.3</v>
      </c>
      <c r="F14" s="502">
        <f>+C14*E14*D14</f>
        <v>16267.199999999999</v>
      </c>
      <c r="G14" s="499">
        <f>IF(C14*12*$B$8&lt;=162672,C14*$B$8,162672/12)</f>
        <v>13556</v>
      </c>
      <c r="H14" s="500">
        <v>12</v>
      </c>
      <c r="I14" s="501">
        <v>0.3</v>
      </c>
      <c r="J14" s="502">
        <f>+G14*I14*H14</f>
        <v>48801.599999999999</v>
      </c>
      <c r="K14" s="499">
        <f>IF(G14*12*$B$8&lt;=162672,G14*$B$8,162672/12)</f>
        <v>13556</v>
      </c>
      <c r="L14" s="500">
        <v>12</v>
      </c>
      <c r="M14" s="501">
        <v>0.3</v>
      </c>
      <c r="N14" s="502">
        <f>+K14*M14*L14</f>
        <v>48801.599999999999</v>
      </c>
      <c r="O14" s="499">
        <f>IF(K14*12*$B$8&lt;=162672,K14*$B$8,162672/12)</f>
        <v>13556</v>
      </c>
      <c r="P14" s="500">
        <v>5</v>
      </c>
      <c r="Q14" s="501">
        <v>0.25</v>
      </c>
      <c r="R14" s="502">
        <f>+O14*Q14*P14</f>
        <v>16945</v>
      </c>
      <c r="S14" s="503">
        <f>F14+J14+N14+R14</f>
        <v>130815.4</v>
      </c>
      <c r="T14" s="504"/>
      <c r="U14" s="505"/>
      <c r="W14" s="506"/>
    </row>
    <row r="15" spans="1:23" ht="15" customHeight="1" outlineLevel="1">
      <c r="A15" s="497" t="s">
        <v>158</v>
      </c>
      <c r="B15" s="498" t="s">
        <v>147</v>
      </c>
      <c r="C15" s="499">
        <f>96000/12</f>
        <v>8000</v>
      </c>
      <c r="D15" s="500">
        <v>4</v>
      </c>
      <c r="E15" s="501">
        <v>0.1</v>
      </c>
      <c r="F15" s="502">
        <f>+C15*E15*D15</f>
        <v>3200</v>
      </c>
      <c r="G15" s="499">
        <f>IF(C15*12*$B$8&lt;=162672,C15*$B$8,162672/12)</f>
        <v>8400</v>
      </c>
      <c r="H15" s="500">
        <v>12</v>
      </c>
      <c r="I15" s="501">
        <v>0.1</v>
      </c>
      <c r="J15" s="502">
        <f>+G15*I15*H15</f>
        <v>10080</v>
      </c>
      <c r="K15" s="499">
        <f>IF(G15*12*$B$8&lt;=162672,G15*$B$8,162672/12)</f>
        <v>8820</v>
      </c>
      <c r="L15" s="500">
        <v>12</v>
      </c>
      <c r="M15" s="501">
        <v>0.1</v>
      </c>
      <c r="N15" s="502">
        <f>+K15*M15*L15</f>
        <v>10584</v>
      </c>
      <c r="O15" s="499">
        <f>IF(K15*12*$B$8&lt;=162672,K15*$B$8,162672/12)</f>
        <v>9261</v>
      </c>
      <c r="P15" s="500">
        <v>5</v>
      </c>
      <c r="Q15" s="501">
        <v>0.1</v>
      </c>
      <c r="R15" s="502">
        <f>+O15*Q15*P15</f>
        <v>4630.5</v>
      </c>
      <c r="S15" s="503">
        <f>F15+J15+N15+R15</f>
        <v>28494.5</v>
      </c>
      <c r="T15" s="504"/>
      <c r="U15" s="505"/>
      <c r="W15" s="506"/>
    </row>
    <row r="16" spans="1:23" s="496" customFormat="1" ht="15" customHeight="1">
      <c r="A16" s="507" t="s">
        <v>81</v>
      </c>
      <c r="B16" s="508"/>
      <c r="C16" s="509"/>
      <c r="D16" s="510"/>
      <c r="E16" s="511"/>
      <c r="F16" s="512">
        <f>SUM(F14:F15)</f>
        <v>19467.199999999997</v>
      </c>
      <c r="G16" s="509"/>
      <c r="H16" s="510"/>
      <c r="I16" s="511"/>
      <c r="J16" s="512">
        <f>SUM(J14:J15)</f>
        <v>58881.599999999999</v>
      </c>
      <c r="K16" s="509"/>
      <c r="L16" s="510"/>
      <c r="M16" s="511"/>
      <c r="N16" s="512">
        <f>SUM(N14:N15)</f>
        <v>59385.599999999999</v>
      </c>
      <c r="O16" s="509"/>
      <c r="P16" s="510"/>
      <c r="Q16" s="511"/>
      <c r="R16" s="512">
        <f>SUM(R14:R15)</f>
        <v>21575.5</v>
      </c>
      <c r="S16" s="512">
        <f>SUM(S14:S15)</f>
        <v>159309.9</v>
      </c>
      <c r="T16" s="513"/>
      <c r="W16" s="465"/>
    </row>
    <row r="17" spans="1:23" s="496" customFormat="1" ht="15" customHeight="1" outlineLevel="1">
      <c r="A17" s="489" t="s">
        <v>82</v>
      </c>
      <c r="B17" s="514"/>
      <c r="C17" s="515"/>
      <c r="D17" s="516"/>
      <c r="E17" s="493"/>
      <c r="F17" s="494"/>
      <c r="G17" s="515"/>
      <c r="H17" s="516"/>
      <c r="I17" s="517"/>
      <c r="J17" s="494"/>
      <c r="K17" s="515"/>
      <c r="L17" s="516"/>
      <c r="M17" s="517"/>
      <c r="N17" s="494"/>
      <c r="O17" s="515"/>
      <c r="P17" s="516"/>
      <c r="Q17" s="517"/>
      <c r="R17" s="494"/>
      <c r="S17" s="495"/>
      <c r="T17" s="465"/>
      <c r="W17" s="465"/>
    </row>
    <row r="18" spans="1:23" s="496" customFormat="1" ht="15" customHeight="1" outlineLevel="1">
      <c r="A18" s="518" t="s">
        <v>159</v>
      </c>
      <c r="B18" s="519" t="s">
        <v>109</v>
      </c>
      <c r="C18" s="520">
        <v>0.25</v>
      </c>
      <c r="D18" s="521">
        <f>F16</f>
        <v>19467.199999999997</v>
      </c>
      <c r="E18" s="522">
        <v>1</v>
      </c>
      <c r="F18" s="502">
        <f>+C18*E18*D18</f>
        <v>4866.7999999999993</v>
      </c>
      <c r="G18" s="520">
        <f>$C18</f>
        <v>0.25</v>
      </c>
      <c r="H18" s="521">
        <f>J16</f>
        <v>58881.599999999999</v>
      </c>
      <c r="I18" s="522">
        <v>1</v>
      </c>
      <c r="J18" s="502">
        <f>+G18*I18*H18</f>
        <v>14720.4</v>
      </c>
      <c r="K18" s="520">
        <f>$C18</f>
        <v>0.25</v>
      </c>
      <c r="L18" s="521">
        <f>N16</f>
        <v>59385.599999999999</v>
      </c>
      <c r="M18" s="522">
        <v>1</v>
      </c>
      <c r="N18" s="502">
        <f>+K18*M18*L18</f>
        <v>14846.4</v>
      </c>
      <c r="O18" s="520">
        <f>$C18</f>
        <v>0.25</v>
      </c>
      <c r="P18" s="521">
        <f>R16</f>
        <v>21575.5</v>
      </c>
      <c r="Q18" s="522">
        <v>1</v>
      </c>
      <c r="R18" s="502">
        <f>+O18*Q18*P18</f>
        <v>5393.875</v>
      </c>
      <c r="S18" s="503">
        <f>F18+J18+N18+R18</f>
        <v>39827.474999999999</v>
      </c>
      <c r="T18" s="465"/>
      <c r="W18" s="465"/>
    </row>
    <row r="19" spans="1:23" s="496" customFormat="1" outlineLevel="1">
      <c r="A19" s="523" t="s">
        <v>87</v>
      </c>
      <c r="B19" s="524"/>
      <c r="C19" s="525"/>
      <c r="D19" s="526"/>
      <c r="E19" s="527"/>
      <c r="F19" s="528">
        <f>F18</f>
        <v>4866.7999999999993</v>
      </c>
      <c r="G19" s="525"/>
      <c r="H19" s="526"/>
      <c r="I19" s="527"/>
      <c r="J19" s="528">
        <f>J18</f>
        <v>14720.4</v>
      </c>
      <c r="K19" s="525"/>
      <c r="L19" s="526"/>
      <c r="M19" s="527"/>
      <c r="N19" s="528">
        <f>N18</f>
        <v>14846.4</v>
      </c>
      <c r="O19" s="525"/>
      <c r="P19" s="526"/>
      <c r="Q19" s="527"/>
      <c r="R19" s="528">
        <f>R18</f>
        <v>5393.875</v>
      </c>
      <c r="S19" s="529">
        <f>S18</f>
        <v>39827.474999999999</v>
      </c>
      <c r="T19" s="465"/>
      <c r="U19" s="513"/>
      <c r="W19" s="465"/>
    </row>
    <row r="20" spans="1:23" s="496" customFormat="1" outlineLevel="1">
      <c r="A20" s="489" t="s">
        <v>89</v>
      </c>
      <c r="B20" s="514"/>
      <c r="C20" s="530"/>
      <c r="D20" s="462"/>
      <c r="E20" s="493"/>
      <c r="F20" s="531"/>
      <c r="G20" s="530"/>
      <c r="H20" s="462"/>
      <c r="I20" s="493"/>
      <c r="J20" s="531"/>
      <c r="K20" s="530"/>
      <c r="L20" s="462"/>
      <c r="M20" s="493"/>
      <c r="N20" s="531"/>
      <c r="O20" s="530"/>
      <c r="P20" s="462"/>
      <c r="Q20" s="493"/>
      <c r="R20" s="531"/>
      <c r="S20" s="532"/>
      <c r="T20" s="465"/>
      <c r="U20" s="513"/>
      <c r="W20" s="465"/>
    </row>
    <row r="21" spans="1:23" ht="15" customHeight="1" outlineLevel="1">
      <c r="A21" s="497" t="s">
        <v>160</v>
      </c>
      <c r="B21" s="498" t="s">
        <v>139</v>
      </c>
      <c r="C21" s="499">
        <v>510</v>
      </c>
      <c r="D21" s="500">
        <f>5*D47</f>
        <v>30</v>
      </c>
      <c r="E21" s="501">
        <v>1</v>
      </c>
      <c r="F21" s="502">
        <f t="shared" ref="F21:F22" si="0">+C21*E21*D21</f>
        <v>15300</v>
      </c>
      <c r="G21" s="499">
        <f>+C21*$B$7</f>
        <v>535.5</v>
      </c>
      <c r="H21" s="500">
        <f>5*H47</f>
        <v>60</v>
      </c>
      <c r="I21" s="501">
        <v>1</v>
      </c>
      <c r="J21" s="502">
        <f>+G21*I21*H21</f>
        <v>32130</v>
      </c>
      <c r="K21" s="499">
        <f>+G21*$B$7</f>
        <v>562.27499999999998</v>
      </c>
      <c r="L21" s="500">
        <f>5*L47</f>
        <v>60</v>
      </c>
      <c r="M21" s="501">
        <v>1</v>
      </c>
      <c r="N21" s="502">
        <f>+K21*M21*L21</f>
        <v>33736.5</v>
      </c>
      <c r="O21" s="499">
        <f>+K21*$B$7</f>
        <v>590.38874999999996</v>
      </c>
      <c r="P21" s="500">
        <f>5*P47</f>
        <v>40</v>
      </c>
      <c r="Q21" s="501">
        <v>1</v>
      </c>
      <c r="R21" s="502">
        <f>+O21*Q21*P21</f>
        <v>23615.55</v>
      </c>
      <c r="S21" s="503">
        <f t="shared" ref="S21:S22" si="1">F21+J21+N21+R21</f>
        <v>104782.05</v>
      </c>
      <c r="T21" s="504"/>
      <c r="U21" s="505"/>
      <c r="W21" s="506"/>
    </row>
    <row r="22" spans="1:23" ht="15" customHeight="1" outlineLevel="1">
      <c r="A22" s="497" t="s">
        <v>161</v>
      </c>
      <c r="B22" s="498" t="s">
        <v>139</v>
      </c>
      <c r="C22" s="499">
        <v>510</v>
      </c>
      <c r="D22" s="500">
        <f>3*D48</f>
        <v>18</v>
      </c>
      <c r="E22" s="501">
        <v>1</v>
      </c>
      <c r="F22" s="502">
        <f t="shared" si="0"/>
        <v>9180</v>
      </c>
      <c r="G22" s="499">
        <f>+C22*$B$7</f>
        <v>535.5</v>
      </c>
      <c r="H22" s="500">
        <f>3*H48</f>
        <v>36</v>
      </c>
      <c r="I22" s="501">
        <v>1</v>
      </c>
      <c r="J22" s="502">
        <f t="shared" ref="J22" si="2">+G22*I22*H22</f>
        <v>19278</v>
      </c>
      <c r="K22" s="499">
        <f>+G22*$B$7</f>
        <v>562.27499999999998</v>
      </c>
      <c r="L22" s="500">
        <f>3*L48</f>
        <v>36</v>
      </c>
      <c r="M22" s="501">
        <v>1</v>
      </c>
      <c r="N22" s="502">
        <f t="shared" ref="N22" si="3">+K22*M22*L22</f>
        <v>20241.899999999998</v>
      </c>
      <c r="O22" s="499">
        <f>+K22*$B$7</f>
        <v>590.38874999999996</v>
      </c>
      <c r="P22" s="500">
        <f>3*P48</f>
        <v>24</v>
      </c>
      <c r="Q22" s="501">
        <v>1</v>
      </c>
      <c r="R22" s="502">
        <f t="shared" ref="R22" si="4">+O22*Q22*P22</f>
        <v>14169.329999999998</v>
      </c>
      <c r="S22" s="503">
        <f t="shared" si="1"/>
        <v>62869.229999999996</v>
      </c>
      <c r="T22" s="504"/>
      <c r="U22" s="505"/>
      <c r="W22" s="506"/>
    </row>
    <row r="23" spans="1:23" ht="15" customHeight="1" outlineLevel="1">
      <c r="A23" s="533"/>
      <c r="B23" s="498"/>
      <c r="C23" s="534"/>
      <c r="D23" s="535"/>
      <c r="E23" s="501"/>
      <c r="F23" s="531"/>
      <c r="G23" s="534"/>
      <c r="H23" s="535"/>
      <c r="I23" s="501"/>
      <c r="J23" s="531"/>
      <c r="K23" s="534"/>
      <c r="L23" s="535"/>
      <c r="M23" s="501"/>
      <c r="N23" s="531"/>
      <c r="O23" s="534"/>
      <c r="P23" s="535"/>
      <c r="Q23" s="501"/>
      <c r="R23" s="531"/>
      <c r="S23" s="532"/>
      <c r="T23" s="504"/>
      <c r="U23" s="505"/>
      <c r="W23" s="506"/>
    </row>
    <row r="24" spans="1:23" s="496" customFormat="1" ht="15.3" outlineLevel="1">
      <c r="A24" s="625" t="s">
        <v>162</v>
      </c>
      <c r="B24" s="626"/>
      <c r="C24" s="627"/>
      <c r="D24" s="628"/>
      <c r="E24" s="629"/>
      <c r="F24" s="630"/>
      <c r="G24" s="627"/>
      <c r="H24" s="628"/>
      <c r="I24" s="629"/>
      <c r="J24" s="630"/>
      <c r="K24" s="627"/>
      <c r="L24" s="628"/>
      <c r="M24" s="629"/>
      <c r="N24" s="630"/>
      <c r="O24" s="627"/>
      <c r="P24" s="628"/>
      <c r="Q24" s="629"/>
      <c r="R24" s="630"/>
      <c r="S24" s="631"/>
      <c r="T24" s="465"/>
      <c r="U24" s="513"/>
      <c r="W24" s="465"/>
    </row>
    <row r="25" spans="1:23" ht="15" customHeight="1" outlineLevel="1">
      <c r="A25" s="632" t="s">
        <v>163</v>
      </c>
      <c r="B25" s="633" t="s">
        <v>132</v>
      </c>
      <c r="C25" s="634">
        <f>AVERAGE(400,449,440)</f>
        <v>429.66666666666669</v>
      </c>
      <c r="D25" s="635">
        <f>5*D21</f>
        <v>150</v>
      </c>
      <c r="E25" s="636">
        <v>1</v>
      </c>
      <c r="F25" s="637">
        <f t="shared" ref="F25:F26" si="5">+C25*E25*D25</f>
        <v>64450</v>
      </c>
      <c r="G25" s="634">
        <f>C25</f>
        <v>429.66666666666669</v>
      </c>
      <c r="H25" s="635">
        <f>5*H21</f>
        <v>300</v>
      </c>
      <c r="I25" s="636">
        <v>1</v>
      </c>
      <c r="J25" s="637">
        <f t="shared" ref="J25:J26" si="6">+G25*I25*H25</f>
        <v>128900</v>
      </c>
      <c r="K25" s="634">
        <f>G25</f>
        <v>429.66666666666669</v>
      </c>
      <c r="L25" s="635">
        <f>5*L21</f>
        <v>300</v>
      </c>
      <c r="M25" s="636">
        <v>1</v>
      </c>
      <c r="N25" s="637">
        <f t="shared" ref="N25:N26" si="7">+K25*M25*L25</f>
        <v>128900</v>
      </c>
      <c r="O25" s="634">
        <f>K25</f>
        <v>429.66666666666669</v>
      </c>
      <c r="P25" s="635">
        <f>5*P21</f>
        <v>200</v>
      </c>
      <c r="Q25" s="636">
        <v>1</v>
      </c>
      <c r="R25" s="637">
        <f t="shared" ref="R25:R26" si="8">+O25*Q25*P25</f>
        <v>85933.333333333343</v>
      </c>
      <c r="S25" s="638">
        <f t="shared" ref="S25:S26" si="9">F25+J25+N25+R25</f>
        <v>408183.33333333337</v>
      </c>
      <c r="T25" s="504"/>
      <c r="U25" s="505"/>
      <c r="W25" s="506"/>
    </row>
    <row r="26" spans="1:23" ht="15.3" outlineLevel="1">
      <c r="A26" s="639" t="s">
        <v>164</v>
      </c>
      <c r="B26" s="633" t="s">
        <v>132</v>
      </c>
      <c r="C26" s="634">
        <f>AVERAGE(400,449,440)</f>
        <v>429.66666666666669</v>
      </c>
      <c r="D26" s="635">
        <f>5*D22</f>
        <v>90</v>
      </c>
      <c r="E26" s="636">
        <v>1</v>
      </c>
      <c r="F26" s="637">
        <f t="shared" si="5"/>
        <v>38670</v>
      </c>
      <c r="G26" s="634">
        <f>C26</f>
        <v>429.66666666666669</v>
      </c>
      <c r="H26" s="635">
        <f>5*H22</f>
        <v>180</v>
      </c>
      <c r="I26" s="636">
        <v>1</v>
      </c>
      <c r="J26" s="637">
        <f t="shared" si="6"/>
        <v>77340</v>
      </c>
      <c r="K26" s="634">
        <f>G26</f>
        <v>429.66666666666669</v>
      </c>
      <c r="L26" s="635">
        <f>5*L22</f>
        <v>180</v>
      </c>
      <c r="M26" s="636">
        <v>1</v>
      </c>
      <c r="N26" s="637">
        <f t="shared" si="7"/>
        <v>77340</v>
      </c>
      <c r="O26" s="634">
        <f>K26</f>
        <v>429.66666666666669</v>
      </c>
      <c r="P26" s="635">
        <f>5*P22</f>
        <v>120</v>
      </c>
      <c r="Q26" s="636">
        <v>1</v>
      </c>
      <c r="R26" s="637">
        <f t="shared" si="8"/>
        <v>51560</v>
      </c>
      <c r="S26" s="638">
        <f t="shared" si="9"/>
        <v>244910</v>
      </c>
    </row>
    <row r="27" spans="1:23">
      <c r="A27" s="640" t="s">
        <v>92</v>
      </c>
      <c r="B27" s="641"/>
      <c r="C27" s="642"/>
      <c r="D27" s="643"/>
      <c r="E27" s="644"/>
      <c r="F27" s="645">
        <f>SUM(F20:F26)</f>
        <v>127600</v>
      </c>
      <c r="G27" s="642"/>
      <c r="H27" s="643"/>
      <c r="I27" s="644"/>
      <c r="J27" s="645">
        <f>SUM(J20:J26)</f>
        <v>257648</v>
      </c>
      <c r="K27" s="642"/>
      <c r="L27" s="643"/>
      <c r="M27" s="644"/>
      <c r="N27" s="645">
        <f>SUM(N20:N26)</f>
        <v>260218.4</v>
      </c>
      <c r="O27" s="642"/>
      <c r="P27" s="643"/>
      <c r="Q27" s="644"/>
      <c r="R27" s="645">
        <f>SUM(R20:R26)</f>
        <v>175278.21333333335</v>
      </c>
      <c r="S27" s="646">
        <f>SUM(S20:S26)</f>
        <v>820744.6133333334</v>
      </c>
      <c r="T27" s="513"/>
      <c r="U27" s="496"/>
    </row>
    <row r="28" spans="1:23" ht="15.3" outlineLevel="1">
      <c r="A28" s="625" t="s">
        <v>30</v>
      </c>
      <c r="B28" s="647"/>
      <c r="C28" s="627"/>
      <c r="D28" s="648"/>
      <c r="E28" s="649"/>
      <c r="F28" s="650"/>
      <c r="G28" s="627"/>
      <c r="H28" s="648"/>
      <c r="I28" s="649"/>
      <c r="J28" s="650"/>
      <c r="K28" s="627"/>
      <c r="L28" s="648"/>
      <c r="M28" s="649"/>
      <c r="N28" s="650"/>
      <c r="O28" s="627"/>
      <c r="P28" s="648"/>
      <c r="Q28" s="649"/>
      <c r="R28" s="650"/>
      <c r="S28" s="651"/>
    </row>
    <row r="29" spans="1:23" ht="15.3" outlineLevel="1">
      <c r="A29" s="632" t="s">
        <v>165</v>
      </c>
      <c r="B29" s="633" t="s">
        <v>132</v>
      </c>
      <c r="C29" s="634">
        <v>555</v>
      </c>
      <c r="D29" s="635">
        <f>10*4</f>
        <v>40</v>
      </c>
      <c r="E29" s="636">
        <v>1</v>
      </c>
      <c r="F29" s="637">
        <f t="shared" ref="F29:F33" si="10">+C29*E29*D29</f>
        <v>22200</v>
      </c>
      <c r="G29" s="634">
        <f>IF(C29*$B$8&lt;=623.6,C29*$B$8,623.6)</f>
        <v>582.75</v>
      </c>
      <c r="H29" s="635">
        <f>10*12</f>
        <v>120</v>
      </c>
      <c r="I29" s="636">
        <v>1</v>
      </c>
      <c r="J29" s="637">
        <f>G29*H29*I29</f>
        <v>69930</v>
      </c>
      <c r="K29" s="634">
        <f>IF(G29*$B$8&lt;=623.6,G29*$B$8,623.6)</f>
        <v>611.88750000000005</v>
      </c>
      <c r="L29" s="635">
        <f>10*12</f>
        <v>120</v>
      </c>
      <c r="M29" s="636">
        <v>1</v>
      </c>
      <c r="N29" s="637">
        <f>K29*L29*M29</f>
        <v>73426.5</v>
      </c>
      <c r="O29" s="634">
        <f>IF(K29*$B$8&lt;=623.6,K29*$B$8,623.6)</f>
        <v>623.6</v>
      </c>
      <c r="P29" s="635">
        <f>10*4</f>
        <v>40</v>
      </c>
      <c r="Q29" s="636">
        <v>1</v>
      </c>
      <c r="R29" s="637">
        <f>O29*P29*Q29</f>
        <v>24944</v>
      </c>
      <c r="S29" s="638">
        <f t="shared" ref="S29:S33" si="11">F29+J29+N29+R29</f>
        <v>190500.5</v>
      </c>
    </row>
    <row r="30" spans="1:23" ht="15.3" outlineLevel="1">
      <c r="A30" s="632" t="s">
        <v>166</v>
      </c>
      <c r="B30" s="633" t="s">
        <v>132</v>
      </c>
      <c r="C30" s="634">
        <v>300</v>
      </c>
      <c r="D30" s="635">
        <f>3*4</f>
        <v>12</v>
      </c>
      <c r="E30" s="636">
        <v>1</v>
      </c>
      <c r="F30" s="637">
        <f t="shared" si="10"/>
        <v>3600</v>
      </c>
      <c r="G30" s="634">
        <f t="shared" ref="G30:G33" si="12">IF(C30*$B$8&lt;=623.6,C30*$B$8,623.6)</f>
        <v>315</v>
      </c>
      <c r="H30" s="635">
        <f>3*12</f>
        <v>36</v>
      </c>
      <c r="I30" s="636">
        <v>1</v>
      </c>
      <c r="J30" s="637">
        <f t="shared" ref="J30:J33" si="13">G30*H30*I30</f>
        <v>11340</v>
      </c>
      <c r="K30" s="634">
        <f t="shared" ref="K30:K33" si="14">IF(G30*$B$8&lt;=623.6,G30*$B$8,623.6)</f>
        <v>330.75</v>
      </c>
      <c r="L30" s="635">
        <f>3*12</f>
        <v>36</v>
      </c>
      <c r="M30" s="636">
        <v>1</v>
      </c>
      <c r="N30" s="637">
        <f t="shared" ref="N30:N33" si="15">K30*L30*M30</f>
        <v>11907</v>
      </c>
      <c r="O30" s="634">
        <f t="shared" ref="O30:O33" si="16">IF(K30*$B$8&lt;=623.6,K30*$B$8,623.6)</f>
        <v>347.28750000000002</v>
      </c>
      <c r="P30" s="635">
        <f>6*4</f>
        <v>24</v>
      </c>
      <c r="Q30" s="636">
        <v>1</v>
      </c>
      <c r="R30" s="637">
        <f t="shared" ref="R30:R33" si="17">O30*P30*Q30</f>
        <v>8334.9000000000015</v>
      </c>
      <c r="S30" s="638">
        <f t="shared" si="11"/>
        <v>35181.9</v>
      </c>
    </row>
    <row r="31" spans="1:23" ht="15.75" customHeight="1" outlineLevel="1">
      <c r="A31" s="632" t="s">
        <v>167</v>
      </c>
      <c r="B31" s="633" t="s">
        <v>132</v>
      </c>
      <c r="C31" s="634">
        <v>220</v>
      </c>
      <c r="D31" s="635">
        <f>3*4</f>
        <v>12</v>
      </c>
      <c r="E31" s="636">
        <v>1</v>
      </c>
      <c r="F31" s="637">
        <f t="shared" si="10"/>
        <v>2640</v>
      </c>
      <c r="G31" s="634">
        <f t="shared" si="12"/>
        <v>231</v>
      </c>
      <c r="H31" s="635">
        <f>3*12</f>
        <v>36</v>
      </c>
      <c r="I31" s="636">
        <v>1</v>
      </c>
      <c r="J31" s="637">
        <f t="shared" si="13"/>
        <v>8316</v>
      </c>
      <c r="K31" s="634">
        <f t="shared" si="14"/>
        <v>242.55</v>
      </c>
      <c r="L31" s="635">
        <f>3*12</f>
        <v>36</v>
      </c>
      <c r="M31" s="636">
        <v>1</v>
      </c>
      <c r="N31" s="637">
        <f t="shared" si="15"/>
        <v>8731.8000000000011</v>
      </c>
      <c r="O31" s="634">
        <f t="shared" si="16"/>
        <v>254.67750000000001</v>
      </c>
      <c r="P31" s="635">
        <f>6*4</f>
        <v>24</v>
      </c>
      <c r="Q31" s="636">
        <v>1</v>
      </c>
      <c r="R31" s="637">
        <f t="shared" si="17"/>
        <v>6112.26</v>
      </c>
      <c r="S31" s="638">
        <f t="shared" si="11"/>
        <v>25800.060000000005</v>
      </c>
    </row>
    <row r="32" spans="1:23" ht="15.3" outlineLevel="1">
      <c r="A32" s="632" t="s">
        <v>168</v>
      </c>
      <c r="B32" s="633" t="s">
        <v>132</v>
      </c>
      <c r="C32" s="634">
        <v>155</v>
      </c>
      <c r="D32" s="635">
        <f>5*4</f>
        <v>20</v>
      </c>
      <c r="E32" s="636">
        <v>1</v>
      </c>
      <c r="F32" s="637">
        <f t="shared" si="10"/>
        <v>3100</v>
      </c>
      <c r="G32" s="634">
        <f t="shared" si="12"/>
        <v>162.75</v>
      </c>
      <c r="H32" s="635">
        <f>5*12</f>
        <v>60</v>
      </c>
      <c r="I32" s="636">
        <v>1</v>
      </c>
      <c r="J32" s="637">
        <f t="shared" si="13"/>
        <v>9765</v>
      </c>
      <c r="K32" s="634">
        <f t="shared" si="14"/>
        <v>170.88750000000002</v>
      </c>
      <c r="L32" s="635">
        <f>5*12</f>
        <v>60</v>
      </c>
      <c r="M32" s="636">
        <v>1</v>
      </c>
      <c r="N32" s="637">
        <f t="shared" si="15"/>
        <v>10253.250000000002</v>
      </c>
      <c r="O32" s="634">
        <f t="shared" si="16"/>
        <v>179.43187500000002</v>
      </c>
      <c r="P32" s="635">
        <f>12*4</f>
        <v>48</v>
      </c>
      <c r="Q32" s="636">
        <v>1</v>
      </c>
      <c r="R32" s="637">
        <f t="shared" si="17"/>
        <v>8612.7300000000014</v>
      </c>
      <c r="S32" s="638">
        <f t="shared" si="11"/>
        <v>31730.980000000003</v>
      </c>
    </row>
    <row r="33" spans="1:19" ht="15.3" outlineLevel="1">
      <c r="A33" s="632" t="s">
        <v>169</v>
      </c>
      <c r="B33" s="633" t="s">
        <v>132</v>
      </c>
      <c r="C33" s="634">
        <v>485</v>
      </c>
      <c r="D33" s="635">
        <f>3*4*D48</f>
        <v>72</v>
      </c>
      <c r="E33" s="636">
        <v>1</v>
      </c>
      <c r="F33" s="637">
        <f t="shared" si="10"/>
        <v>34920</v>
      </c>
      <c r="G33" s="634">
        <f t="shared" si="12"/>
        <v>509.25</v>
      </c>
      <c r="H33" s="635">
        <f>3*5*H48</f>
        <v>180</v>
      </c>
      <c r="I33" s="636">
        <v>1</v>
      </c>
      <c r="J33" s="637">
        <f t="shared" si="13"/>
        <v>91665</v>
      </c>
      <c r="K33" s="634">
        <f t="shared" si="14"/>
        <v>534.71249999999998</v>
      </c>
      <c r="L33" s="635">
        <f>3*5*L48</f>
        <v>180</v>
      </c>
      <c r="M33" s="636">
        <v>1</v>
      </c>
      <c r="N33" s="637">
        <f t="shared" si="15"/>
        <v>96248.25</v>
      </c>
      <c r="O33" s="634">
        <f t="shared" si="16"/>
        <v>561.448125</v>
      </c>
      <c r="P33" s="635">
        <f>3*4*P48</f>
        <v>96</v>
      </c>
      <c r="Q33" s="636">
        <v>1</v>
      </c>
      <c r="R33" s="637">
        <f t="shared" si="17"/>
        <v>53899.020000000004</v>
      </c>
      <c r="S33" s="638">
        <f t="shared" si="11"/>
        <v>276732.27</v>
      </c>
    </row>
    <row r="34" spans="1:19" outlineLevel="1">
      <c r="A34" s="640" t="s">
        <v>93</v>
      </c>
      <c r="B34" s="641"/>
      <c r="C34" s="642"/>
      <c r="D34" s="643"/>
      <c r="E34" s="644"/>
      <c r="F34" s="645">
        <f>SUM(F29:F33)</f>
        <v>66460</v>
      </c>
      <c r="G34" s="642"/>
      <c r="H34" s="643"/>
      <c r="I34" s="644"/>
      <c r="J34" s="645">
        <f>SUM(J29:J33)</f>
        <v>191016</v>
      </c>
      <c r="K34" s="642"/>
      <c r="L34" s="643"/>
      <c r="M34" s="644"/>
      <c r="N34" s="645">
        <f>SUM(N29:N33)</f>
        <v>200566.8</v>
      </c>
      <c r="O34" s="642"/>
      <c r="P34" s="643"/>
      <c r="Q34" s="644"/>
      <c r="R34" s="652">
        <f>SUM(R29:R33)</f>
        <v>101902.91</v>
      </c>
      <c r="S34" s="652">
        <f>SUM(S29:S33)</f>
        <v>559945.71</v>
      </c>
    </row>
    <row r="35" spans="1:19" ht="15.3" outlineLevel="1">
      <c r="A35" s="625" t="s">
        <v>31</v>
      </c>
      <c r="B35" s="647"/>
      <c r="C35" s="627"/>
      <c r="D35" s="648"/>
      <c r="E35" s="649"/>
      <c r="F35" s="650"/>
      <c r="G35" s="627"/>
      <c r="H35" s="648"/>
      <c r="I35" s="649"/>
      <c r="J35" s="650"/>
      <c r="K35" s="627"/>
      <c r="L35" s="648"/>
      <c r="M35" s="649"/>
      <c r="N35" s="650"/>
      <c r="O35" s="627"/>
      <c r="P35" s="648"/>
      <c r="Q35" s="649"/>
      <c r="R35" s="650"/>
      <c r="S35" s="651"/>
    </row>
    <row r="36" spans="1:19" ht="15.3" outlineLevel="1">
      <c r="A36" s="653" t="s">
        <v>75</v>
      </c>
      <c r="B36" s="626"/>
      <c r="C36" s="627"/>
      <c r="D36" s="654"/>
      <c r="E36" s="655"/>
      <c r="F36" s="656">
        <f>C36*D36*E36</f>
        <v>0</v>
      </c>
      <c r="G36" s="627"/>
      <c r="H36" s="654"/>
      <c r="I36" s="657"/>
      <c r="J36" s="656">
        <f>G36*H36*I36</f>
        <v>0</v>
      </c>
      <c r="K36" s="658"/>
      <c r="L36" s="659"/>
      <c r="M36" s="657"/>
      <c r="N36" s="656">
        <f>K36*L36*M36</f>
        <v>0</v>
      </c>
      <c r="O36" s="658"/>
      <c r="P36" s="659"/>
      <c r="Q36" s="657"/>
      <c r="R36" s="656">
        <f>O36*P36*Q36</f>
        <v>0</v>
      </c>
      <c r="S36" s="638">
        <f>F36+J36+N36+R36</f>
        <v>0</v>
      </c>
    </row>
    <row r="37" spans="1:19" outlineLevel="1">
      <c r="A37" s="640" t="s">
        <v>95</v>
      </c>
      <c r="B37" s="641"/>
      <c r="C37" s="642"/>
      <c r="D37" s="643"/>
      <c r="E37" s="644"/>
      <c r="F37" s="645">
        <f>SUM(F36:F36)</f>
        <v>0</v>
      </c>
      <c r="G37" s="642"/>
      <c r="H37" s="643"/>
      <c r="I37" s="660"/>
      <c r="J37" s="645">
        <f>SUM(J36:J36)</f>
        <v>0</v>
      </c>
      <c r="K37" s="661"/>
      <c r="L37" s="662"/>
      <c r="M37" s="663"/>
      <c r="N37" s="645">
        <f>SUM(N36:N36)</f>
        <v>0</v>
      </c>
      <c r="O37" s="661"/>
      <c r="P37" s="662"/>
      <c r="Q37" s="663"/>
      <c r="R37" s="645">
        <f>SUM(R36:R36)</f>
        <v>0</v>
      </c>
      <c r="S37" s="664">
        <v>0</v>
      </c>
    </row>
    <row r="38" spans="1:19" ht="15.3" outlineLevel="1">
      <c r="A38" s="625" t="s">
        <v>32</v>
      </c>
      <c r="B38" s="626"/>
      <c r="C38" s="627"/>
      <c r="D38" s="665"/>
      <c r="E38" s="655"/>
      <c r="F38" s="630"/>
      <c r="G38" s="627"/>
      <c r="H38" s="665"/>
      <c r="I38" s="657"/>
      <c r="J38" s="630"/>
      <c r="K38" s="658"/>
      <c r="L38" s="648"/>
      <c r="M38" s="657"/>
      <c r="N38" s="630"/>
      <c r="O38" s="658"/>
      <c r="P38" s="648"/>
      <c r="Q38" s="657"/>
      <c r="R38" s="630"/>
      <c r="S38" s="651"/>
    </row>
    <row r="39" spans="1:19" ht="15.3" outlineLevel="1">
      <c r="A39" s="653" t="s">
        <v>75</v>
      </c>
      <c r="B39" s="626"/>
      <c r="C39" s="627"/>
      <c r="D39" s="654"/>
      <c r="E39" s="655"/>
      <c r="F39" s="656">
        <f>C39*D39*E39</f>
        <v>0</v>
      </c>
      <c r="G39" s="627"/>
      <c r="H39" s="654"/>
      <c r="I39" s="657"/>
      <c r="J39" s="656">
        <f>G39*H39*I39</f>
        <v>0</v>
      </c>
      <c r="K39" s="658"/>
      <c r="L39" s="659"/>
      <c r="M39" s="657"/>
      <c r="N39" s="656">
        <f>K39*L39*M39</f>
        <v>0</v>
      </c>
      <c r="O39" s="658"/>
      <c r="P39" s="659"/>
      <c r="Q39" s="657"/>
      <c r="R39" s="656">
        <f>O39*P39*Q39</f>
        <v>0</v>
      </c>
      <c r="S39" s="638">
        <f>F39+J39+N39+R39</f>
        <v>0</v>
      </c>
    </row>
    <row r="40" spans="1:19" outlineLevel="1">
      <c r="A40" s="640" t="s">
        <v>98</v>
      </c>
      <c r="B40" s="641"/>
      <c r="C40" s="642"/>
      <c r="D40" s="643"/>
      <c r="E40" s="644"/>
      <c r="F40" s="645">
        <f>SUM(F39:F39)</f>
        <v>0</v>
      </c>
      <c r="G40" s="642"/>
      <c r="H40" s="643"/>
      <c r="I40" s="660"/>
      <c r="J40" s="645">
        <f>SUM(J39:J39)</f>
        <v>0</v>
      </c>
      <c r="K40" s="661"/>
      <c r="L40" s="662"/>
      <c r="M40" s="663"/>
      <c r="N40" s="645">
        <f>SUM(N39:N39)</f>
        <v>0</v>
      </c>
      <c r="O40" s="661"/>
      <c r="P40" s="662"/>
      <c r="Q40" s="663"/>
      <c r="R40" s="645">
        <f>SUM(R39:R39)</f>
        <v>0</v>
      </c>
      <c r="S40" s="664">
        <v>0</v>
      </c>
    </row>
    <row r="41" spans="1:19" ht="15.3" outlineLevel="1">
      <c r="A41" s="666" t="s">
        <v>33</v>
      </c>
      <c r="B41" s="647"/>
      <c r="C41" s="627"/>
      <c r="D41" s="665"/>
      <c r="E41" s="649"/>
      <c r="F41" s="650"/>
      <c r="G41" s="627"/>
      <c r="H41" s="665"/>
      <c r="I41" s="667"/>
      <c r="J41" s="650"/>
      <c r="K41" s="658"/>
      <c r="L41" s="648"/>
      <c r="M41" s="668"/>
      <c r="N41" s="650"/>
      <c r="O41" s="658"/>
      <c r="P41" s="648"/>
      <c r="Q41" s="668"/>
      <c r="R41" s="650"/>
      <c r="S41" s="651"/>
    </row>
    <row r="42" spans="1:19" ht="15.3" outlineLevel="1">
      <c r="A42" s="653" t="s">
        <v>75</v>
      </c>
      <c r="B42" s="626"/>
      <c r="C42" s="627"/>
      <c r="D42" s="654"/>
      <c r="E42" s="655"/>
      <c r="F42" s="656">
        <f>C42*D42*E42</f>
        <v>0</v>
      </c>
      <c r="G42" s="627"/>
      <c r="H42" s="654"/>
      <c r="I42" s="657"/>
      <c r="J42" s="656">
        <f>G42*H42*I42</f>
        <v>0</v>
      </c>
      <c r="K42" s="658"/>
      <c r="L42" s="659"/>
      <c r="M42" s="657"/>
      <c r="N42" s="656">
        <f>K42*L42*M42</f>
        <v>0</v>
      </c>
      <c r="O42" s="658"/>
      <c r="P42" s="659"/>
      <c r="Q42" s="657"/>
      <c r="R42" s="656">
        <f>O42*P42*Q42</f>
        <v>0</v>
      </c>
      <c r="S42" s="638">
        <f>F42+J42+N42+R42</f>
        <v>0</v>
      </c>
    </row>
    <row r="43" spans="1:19" outlineLevel="1">
      <c r="A43" s="640" t="s">
        <v>99</v>
      </c>
      <c r="B43" s="641"/>
      <c r="C43" s="642"/>
      <c r="D43" s="643"/>
      <c r="E43" s="644"/>
      <c r="F43" s="645">
        <f>SUM(F42:F42)</f>
        <v>0</v>
      </c>
      <c r="G43" s="642"/>
      <c r="H43" s="643"/>
      <c r="I43" s="660"/>
      <c r="J43" s="645">
        <f>SUM(J42:J42)</f>
        <v>0</v>
      </c>
      <c r="K43" s="661"/>
      <c r="L43" s="662"/>
      <c r="M43" s="663"/>
      <c r="N43" s="645">
        <f>SUM(N42:N42)</f>
        <v>0</v>
      </c>
      <c r="O43" s="661"/>
      <c r="P43" s="662"/>
      <c r="Q43" s="663"/>
      <c r="R43" s="645">
        <f>SUM(R42:R42)</f>
        <v>0</v>
      </c>
      <c r="S43" s="664">
        <v>0</v>
      </c>
    </row>
    <row r="44" spans="1:19" ht="15.3" outlineLevel="1">
      <c r="A44" s="625" t="s">
        <v>100</v>
      </c>
      <c r="B44" s="626"/>
      <c r="C44" s="669"/>
      <c r="D44" s="670"/>
      <c r="E44" s="655"/>
      <c r="F44" s="650"/>
      <c r="G44" s="669"/>
      <c r="H44" s="670"/>
      <c r="I44" s="657"/>
      <c r="J44" s="650"/>
      <c r="K44" s="671"/>
      <c r="L44" s="672"/>
      <c r="M44" s="673"/>
      <c r="N44" s="650"/>
      <c r="O44" s="671"/>
      <c r="P44" s="672"/>
      <c r="Q44" s="673"/>
      <c r="R44" s="650"/>
      <c r="S44" s="651"/>
    </row>
    <row r="45" spans="1:19" ht="15.3" outlineLevel="1">
      <c r="A45" s="674" t="s">
        <v>116</v>
      </c>
      <c r="B45" s="626"/>
      <c r="C45" s="669"/>
      <c r="D45" s="670"/>
      <c r="E45" s="655"/>
      <c r="F45" s="630"/>
      <c r="G45" s="669"/>
      <c r="H45" s="670"/>
      <c r="I45" s="657"/>
      <c r="J45" s="630"/>
      <c r="K45" s="671"/>
      <c r="L45" s="672"/>
      <c r="M45" s="657"/>
      <c r="N45" s="630"/>
      <c r="O45" s="671"/>
      <c r="P45" s="672"/>
      <c r="Q45" s="657"/>
      <c r="R45" s="630"/>
      <c r="S45" s="651"/>
    </row>
    <row r="46" spans="1:19" ht="60.75" customHeight="1" outlineLevel="1">
      <c r="A46" s="675" t="s">
        <v>170</v>
      </c>
      <c r="B46" s="633" t="s">
        <v>116</v>
      </c>
      <c r="C46" s="634">
        <v>500</v>
      </c>
      <c r="D46" s="635">
        <v>6</v>
      </c>
      <c r="E46" s="636">
        <v>1</v>
      </c>
      <c r="F46" s="676">
        <f>C46*D46*E46</f>
        <v>3000</v>
      </c>
      <c r="G46" s="634">
        <f>+C46*$B$7</f>
        <v>525</v>
      </c>
      <c r="H46" s="635">
        <v>12</v>
      </c>
      <c r="I46" s="636">
        <v>1</v>
      </c>
      <c r="J46" s="676">
        <f>G46*H46*I46</f>
        <v>6300</v>
      </c>
      <c r="K46" s="634">
        <f>+G46*$B$7</f>
        <v>551.25</v>
      </c>
      <c r="L46" s="635">
        <v>12</v>
      </c>
      <c r="M46" s="636">
        <v>1</v>
      </c>
      <c r="N46" s="676">
        <f>K46*L46*M46</f>
        <v>6615</v>
      </c>
      <c r="O46" s="634">
        <f>+K46*$B$7</f>
        <v>578.8125</v>
      </c>
      <c r="P46" s="635">
        <v>8</v>
      </c>
      <c r="Q46" s="636">
        <v>1</v>
      </c>
      <c r="R46" s="676">
        <f>O46*P46*Q46</f>
        <v>4630.5</v>
      </c>
      <c r="S46" s="638">
        <f t="shared" ref="S46:S48" si="18">F46+J46+N46+R46</f>
        <v>20545.5</v>
      </c>
    </row>
    <row r="47" spans="1:19" ht="61.2" outlineLevel="1">
      <c r="A47" s="675" t="s">
        <v>171</v>
      </c>
      <c r="B47" s="633" t="s">
        <v>116</v>
      </c>
      <c r="C47" s="634">
        <v>3000</v>
      </c>
      <c r="D47" s="635">
        <v>6</v>
      </c>
      <c r="E47" s="636">
        <v>1</v>
      </c>
      <c r="F47" s="676">
        <f>C47*D47*E47</f>
        <v>18000</v>
      </c>
      <c r="G47" s="634">
        <f t="shared" ref="G47:G48" si="19">+C47*1.05</f>
        <v>3150</v>
      </c>
      <c r="H47" s="635">
        <v>12</v>
      </c>
      <c r="I47" s="636">
        <v>1</v>
      </c>
      <c r="J47" s="676">
        <f>G47*H47*I47</f>
        <v>37800</v>
      </c>
      <c r="K47" s="634">
        <f t="shared" ref="K47:K48" si="20">+G47*1.05</f>
        <v>3307.5</v>
      </c>
      <c r="L47" s="635">
        <v>12</v>
      </c>
      <c r="M47" s="636">
        <v>1</v>
      </c>
      <c r="N47" s="676">
        <f>K47*L47*M47</f>
        <v>39690</v>
      </c>
      <c r="O47" s="634">
        <f t="shared" ref="O47:O48" si="21">+K47*1.05</f>
        <v>3472.875</v>
      </c>
      <c r="P47" s="635">
        <v>8</v>
      </c>
      <c r="Q47" s="636">
        <v>1</v>
      </c>
      <c r="R47" s="676">
        <f>O47*P47*Q47</f>
        <v>27783</v>
      </c>
      <c r="S47" s="638">
        <f t="shared" si="18"/>
        <v>123273</v>
      </c>
    </row>
    <row r="48" spans="1:19" ht="45.9" outlineLevel="1">
      <c r="A48" s="677" t="s">
        <v>172</v>
      </c>
      <c r="B48" s="633" t="s">
        <v>116</v>
      </c>
      <c r="C48" s="678">
        <v>3000</v>
      </c>
      <c r="D48" s="679">
        <v>6</v>
      </c>
      <c r="E48" s="680">
        <v>1</v>
      </c>
      <c r="F48" s="681">
        <f t="shared" ref="F48" si="22">C48*D48*E48</f>
        <v>18000</v>
      </c>
      <c r="G48" s="678">
        <f t="shared" si="19"/>
        <v>3150</v>
      </c>
      <c r="H48" s="679">
        <v>12</v>
      </c>
      <c r="I48" s="680">
        <v>1</v>
      </c>
      <c r="J48" s="681">
        <f t="shared" ref="J48" si="23">G48*H48*I48</f>
        <v>37800</v>
      </c>
      <c r="K48" s="678">
        <f t="shared" si="20"/>
        <v>3307.5</v>
      </c>
      <c r="L48" s="679">
        <v>12</v>
      </c>
      <c r="M48" s="680">
        <v>1</v>
      </c>
      <c r="N48" s="681">
        <f t="shared" ref="N48" si="24">K48*L48*M48</f>
        <v>39690</v>
      </c>
      <c r="O48" s="678">
        <f t="shared" si="21"/>
        <v>3472.875</v>
      </c>
      <c r="P48" s="679">
        <v>8</v>
      </c>
      <c r="Q48" s="680">
        <v>1</v>
      </c>
      <c r="R48" s="681">
        <f t="shared" ref="R48" si="25">O48*P48*Q48</f>
        <v>27783</v>
      </c>
      <c r="S48" s="638">
        <f t="shared" si="18"/>
        <v>123273</v>
      </c>
    </row>
    <row r="49" spans="1:19" outlineLevel="1">
      <c r="A49" s="682" t="s">
        <v>107</v>
      </c>
      <c r="B49" s="641"/>
      <c r="C49" s="683"/>
      <c r="D49" s="684"/>
      <c r="E49" s="685"/>
      <c r="F49" s="686">
        <f>SUM(F46:F48)</f>
        <v>39000</v>
      </c>
      <c r="G49" s="683"/>
      <c r="H49" s="684"/>
      <c r="I49" s="685"/>
      <c r="J49" s="686">
        <f>SUM(J46:J48)</f>
        <v>81900</v>
      </c>
      <c r="K49" s="683"/>
      <c r="L49" s="684"/>
      <c r="M49" s="685"/>
      <c r="N49" s="686">
        <f>SUM(N46:N48)</f>
        <v>85995</v>
      </c>
      <c r="O49" s="683"/>
      <c r="P49" s="684"/>
      <c r="Q49" s="685"/>
      <c r="R49" s="686">
        <f>SUM(R46:R48)</f>
        <v>60196.5</v>
      </c>
      <c r="S49" s="664">
        <f>SUM(S46:S48)</f>
        <v>267091.5</v>
      </c>
    </row>
    <row r="50" spans="1:19" outlineLevel="1">
      <c r="A50" s="546"/>
      <c r="B50" s="547"/>
      <c r="C50" s="540"/>
      <c r="D50" s="541"/>
      <c r="E50" s="537"/>
      <c r="F50" s="548"/>
      <c r="G50" s="540"/>
      <c r="H50" s="541"/>
      <c r="J50" s="548"/>
      <c r="K50" s="542"/>
      <c r="L50" s="543"/>
      <c r="M50" s="544"/>
      <c r="N50" s="548"/>
      <c r="O50" s="542"/>
      <c r="P50" s="543"/>
      <c r="Q50" s="544"/>
      <c r="R50" s="548"/>
      <c r="S50" s="536"/>
    </row>
    <row r="51" spans="1:19" outlineLevel="1">
      <c r="A51" s="549" t="s">
        <v>108</v>
      </c>
      <c r="B51" s="550"/>
      <c r="C51" s="551"/>
      <c r="D51" s="552"/>
      <c r="E51" s="553"/>
      <c r="F51" s="554">
        <f>F16+F19+F27+F40+F43+F34+F49+F37</f>
        <v>257394</v>
      </c>
      <c r="G51" s="551"/>
      <c r="H51" s="552"/>
      <c r="I51" s="555"/>
      <c r="J51" s="554">
        <f>J16+J19+J27+J40+J43+J34+J49+J37</f>
        <v>604166</v>
      </c>
      <c r="K51" s="556"/>
      <c r="L51" s="557"/>
      <c r="M51" s="558"/>
      <c r="N51" s="554">
        <f>N16+N19+N27+N40+N43+N34+N49+N37</f>
        <v>621012.19999999995</v>
      </c>
      <c r="O51" s="556"/>
      <c r="P51" s="557"/>
      <c r="Q51" s="558"/>
      <c r="R51" s="554">
        <f>R16+R19+R27+R40+R43+R34+R49+R37</f>
        <v>364346.99833333335</v>
      </c>
      <c r="S51" s="559">
        <f>S16+S19+S27+S40+S43+S34+S49</f>
        <v>1846919.1983333332</v>
      </c>
    </row>
    <row r="52" spans="1:19">
      <c r="A52" s="560"/>
      <c r="B52" s="547"/>
      <c r="C52" s="540"/>
      <c r="D52" s="541"/>
      <c r="E52" s="537"/>
      <c r="F52" s="548"/>
      <c r="G52" s="540"/>
      <c r="H52" s="541"/>
      <c r="J52" s="548"/>
      <c r="K52" s="542"/>
      <c r="L52" s="543"/>
      <c r="M52" s="544"/>
      <c r="N52" s="548"/>
      <c r="O52" s="542"/>
      <c r="P52" s="543"/>
      <c r="Q52" s="544"/>
      <c r="R52" s="548"/>
      <c r="S52" s="536"/>
    </row>
    <row r="53" spans="1:19">
      <c r="A53" s="561" t="s">
        <v>53</v>
      </c>
      <c r="B53" s="562"/>
      <c r="C53" s="563"/>
      <c r="D53" s="564"/>
      <c r="E53" s="565"/>
      <c r="F53" s="566"/>
      <c r="G53" s="563"/>
      <c r="H53" s="564"/>
      <c r="I53" s="566"/>
      <c r="J53" s="566"/>
      <c r="K53" s="566"/>
      <c r="L53" s="566"/>
      <c r="M53" s="566"/>
      <c r="N53" s="566"/>
      <c r="O53" s="566"/>
      <c r="P53" s="566"/>
      <c r="Q53" s="566"/>
      <c r="R53" s="566"/>
      <c r="S53" s="567"/>
    </row>
    <row r="54" spans="1:19" ht="15" customHeight="1">
      <c r="A54" s="568" t="s">
        <v>173</v>
      </c>
      <c r="B54" s="569" t="s">
        <v>109</v>
      </c>
      <c r="C54" s="570">
        <v>0.15</v>
      </c>
      <c r="D54" s="571">
        <f>F51</f>
        <v>257394</v>
      </c>
      <c r="E54" s="572">
        <v>1</v>
      </c>
      <c r="F54" s="545">
        <f>C54*D54*E54</f>
        <v>38609.1</v>
      </c>
      <c r="G54" s="570">
        <f>$C54</f>
        <v>0.15</v>
      </c>
      <c r="H54" s="571">
        <f>J51</f>
        <v>604166</v>
      </c>
      <c r="I54" s="572">
        <v>1</v>
      </c>
      <c r="J54" s="545">
        <f>G54*H54*I54</f>
        <v>90624.9</v>
      </c>
      <c r="K54" s="570">
        <f>$C54</f>
        <v>0.15</v>
      </c>
      <c r="L54" s="571">
        <f>N51</f>
        <v>621012.19999999995</v>
      </c>
      <c r="M54" s="572">
        <v>1</v>
      </c>
      <c r="N54" s="545">
        <f>K54*L54*M54</f>
        <v>93151.829999999987</v>
      </c>
      <c r="O54" s="570">
        <f>$C54</f>
        <v>0.15</v>
      </c>
      <c r="P54" s="571">
        <f>R51</f>
        <v>364346.99833333335</v>
      </c>
      <c r="Q54" s="572">
        <v>1</v>
      </c>
      <c r="R54" s="545">
        <f>O54*P54*Q54</f>
        <v>54652.049749999998</v>
      </c>
      <c r="S54" s="503">
        <f t="shared" ref="S54" si="26">F54+J54+N54+R54</f>
        <v>277037.87974999996</v>
      </c>
    </row>
    <row r="55" spans="1:19">
      <c r="A55" s="549" t="s">
        <v>112</v>
      </c>
      <c r="B55" s="550"/>
      <c r="C55" s="551"/>
      <c r="D55" s="552"/>
      <c r="E55" s="553"/>
      <c r="F55" s="554">
        <f>SUM(F54:F54)</f>
        <v>38609.1</v>
      </c>
      <c r="G55" s="551"/>
      <c r="H55" s="552"/>
      <c r="I55" s="553"/>
      <c r="J55" s="554">
        <f>SUM(J54:J54)</f>
        <v>90624.9</v>
      </c>
      <c r="K55" s="551"/>
      <c r="L55" s="552"/>
      <c r="M55" s="553"/>
      <c r="N55" s="554">
        <f>SUM(N54:N54)</f>
        <v>93151.829999999987</v>
      </c>
      <c r="O55" s="551"/>
      <c r="P55" s="552"/>
      <c r="Q55" s="553"/>
      <c r="R55" s="554">
        <f>SUM(R54:R54)</f>
        <v>54652.049749999998</v>
      </c>
      <c r="S55" s="573">
        <f>SUM(S54:S54)</f>
        <v>277037.87974999996</v>
      </c>
    </row>
    <row r="56" spans="1:19">
      <c r="A56" s="574"/>
      <c r="B56" s="547"/>
      <c r="C56" s="540"/>
      <c r="D56" s="575"/>
      <c r="E56" s="572"/>
      <c r="F56" s="531"/>
      <c r="G56" s="540"/>
      <c r="H56" s="575"/>
      <c r="I56" s="576"/>
      <c r="J56" s="531"/>
      <c r="K56" s="542"/>
      <c r="L56" s="577"/>
      <c r="M56" s="578"/>
      <c r="N56" s="531"/>
      <c r="O56" s="542"/>
      <c r="P56" s="577"/>
      <c r="Q56" s="578"/>
      <c r="R56" s="531"/>
      <c r="S56" s="536"/>
    </row>
    <row r="57" spans="1:19">
      <c r="A57" s="579" t="s">
        <v>113</v>
      </c>
      <c r="B57" s="580"/>
      <c r="C57" s="581"/>
      <c r="D57" s="582"/>
      <c r="E57" s="583"/>
      <c r="F57" s="584">
        <f>F51+F55</f>
        <v>296003.09999999998</v>
      </c>
      <c r="G57" s="581"/>
      <c r="H57" s="582"/>
      <c r="I57" s="585"/>
      <c r="J57" s="584">
        <f>J51+J55</f>
        <v>694790.9</v>
      </c>
      <c r="K57" s="586"/>
      <c r="L57" s="587"/>
      <c r="M57" s="588"/>
      <c r="N57" s="584">
        <f>N51+N55</f>
        <v>714164.02999999991</v>
      </c>
      <c r="O57" s="586"/>
      <c r="P57" s="587"/>
      <c r="Q57" s="588"/>
      <c r="R57" s="589">
        <f>R51+R55</f>
        <v>418999.04808333336</v>
      </c>
      <c r="S57" s="590">
        <f t="shared" ref="S57:S58" si="27">F57+J57+N57+R57</f>
        <v>2123957.0780833331</v>
      </c>
    </row>
    <row r="58" spans="1:19">
      <c r="A58" s="591" t="s">
        <v>118</v>
      </c>
      <c r="B58" s="592"/>
      <c r="C58" s="593"/>
      <c r="D58" s="594"/>
      <c r="E58" s="595"/>
      <c r="F58" s="596">
        <f t="shared" ref="F58" si="28">C58*D58*E58</f>
        <v>0</v>
      </c>
      <c r="G58" s="593"/>
      <c r="H58" s="594"/>
      <c r="I58" s="597"/>
      <c r="J58" s="596">
        <f t="shared" ref="J58" si="29">G58*H58*I58</f>
        <v>0</v>
      </c>
      <c r="K58" s="598"/>
      <c r="L58" s="599"/>
      <c r="M58" s="600"/>
      <c r="N58" s="596">
        <f t="shared" ref="N58" si="30">K58*L58*M58</f>
        <v>0</v>
      </c>
      <c r="O58" s="598"/>
      <c r="P58" s="599"/>
      <c r="Q58" s="600"/>
      <c r="R58" s="596">
        <f t="shared" ref="R58" si="31">O58*P58*Q58</f>
        <v>0</v>
      </c>
      <c r="S58" s="601">
        <f t="shared" si="27"/>
        <v>0</v>
      </c>
    </row>
    <row r="59" spans="1:19">
      <c r="A59" s="602" t="s">
        <v>114</v>
      </c>
      <c r="B59" s="603"/>
      <c r="C59" s="604"/>
      <c r="D59" s="605"/>
      <c r="E59" s="606"/>
      <c r="F59" s="607">
        <f>F57+F58</f>
        <v>296003.09999999998</v>
      </c>
      <c r="G59" s="604"/>
      <c r="H59" s="605"/>
      <c r="I59" s="608"/>
      <c r="J59" s="607">
        <f>J57+J58</f>
        <v>694790.9</v>
      </c>
      <c r="K59" s="609"/>
      <c r="L59" s="610"/>
      <c r="M59" s="611"/>
      <c r="N59" s="607">
        <f>N57+N58</f>
        <v>714164.02999999991</v>
      </c>
      <c r="O59" s="609"/>
      <c r="P59" s="610"/>
      <c r="Q59" s="611"/>
      <c r="R59" s="612">
        <f>R57+R58</f>
        <v>418999.04808333336</v>
      </c>
      <c r="S59" s="613">
        <f>S57+S58</f>
        <v>2123957.0780833331</v>
      </c>
    </row>
    <row r="60" spans="1:19">
      <c r="A60" s="539"/>
      <c r="B60" s="498"/>
      <c r="C60" s="530"/>
      <c r="D60" s="462"/>
      <c r="E60" s="537"/>
      <c r="F60" s="538"/>
      <c r="G60" s="530"/>
      <c r="J60" s="538"/>
      <c r="K60" s="538"/>
      <c r="M60" s="544"/>
      <c r="N60" s="538"/>
      <c r="O60" s="538"/>
      <c r="Q60" s="544"/>
      <c r="R60" s="538"/>
      <c r="S60" s="536"/>
    </row>
    <row r="61" spans="1:19" ht="30.3" thickBot="1">
      <c r="A61" s="614" t="s">
        <v>115</v>
      </c>
      <c r="B61" s="615"/>
      <c r="C61" s="616"/>
      <c r="D61" s="617"/>
      <c r="E61" s="618"/>
      <c r="F61" s="619"/>
      <c r="G61" s="616"/>
      <c r="H61" s="617"/>
      <c r="I61" s="620"/>
      <c r="J61" s="619"/>
      <c r="K61" s="621"/>
      <c r="L61" s="622"/>
      <c r="M61" s="623"/>
      <c r="N61" s="619"/>
      <c r="O61" s="621"/>
      <c r="P61" s="622"/>
      <c r="Q61" s="623"/>
      <c r="R61" s="619"/>
      <c r="S61" s="624"/>
    </row>
    <row r="62" spans="1:19">
      <c r="C62" s="461"/>
      <c r="D62" s="462"/>
    </row>
    <row r="63" spans="1:19">
      <c r="C63" s="461"/>
      <c r="D63" s="462"/>
    </row>
    <row r="64" spans="1:19">
      <c r="C64" s="461"/>
      <c r="D64" s="462"/>
    </row>
    <row r="65" spans="3:4">
      <c r="C65" s="461"/>
      <c r="D65" s="462"/>
    </row>
    <row r="66" spans="3:4">
      <c r="C66" s="461"/>
      <c r="D66" s="462"/>
    </row>
    <row r="67" spans="3:4">
      <c r="C67" s="461"/>
      <c r="D67" s="462"/>
    </row>
  </sheetData>
  <mergeCells count="11">
    <mergeCell ref="A10:A11"/>
    <mergeCell ref="B10:B11"/>
    <mergeCell ref="C10:F10"/>
    <mergeCell ref="G10:J10"/>
    <mergeCell ref="K10:N10"/>
    <mergeCell ref="S10:S11"/>
    <mergeCell ref="C2:W2"/>
    <mergeCell ref="C3:W3"/>
    <mergeCell ref="C4:W4"/>
    <mergeCell ref="C5:W5"/>
    <mergeCell ref="O10:R10"/>
  </mergeCells>
  <printOptions horizontalCentered="1"/>
  <pageMargins left="0.25" right="0.25" top="0.75" bottom="0.75" header="0.3" footer="0.3"/>
  <pageSetup orientation="portrait" r:id="rId1"/>
  <headerFooter alignWithMargins="0"/>
  <rowBreaks count="1" manualBreakCount="1">
    <brk id="56" max="17" man="1"/>
  </rowBreak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A336"/>
  <sheetViews>
    <sheetView tabSelected="1" zoomScale="85" zoomScaleNormal="85" zoomScaleSheetLayoutView="90" workbookViewId="0">
      <pane ySplit="9" topLeftCell="A24" activePane="bottomLeft" state="frozen"/>
      <selection pane="bottomLeft" activeCell="C34" sqref="C34"/>
    </sheetView>
  </sheetViews>
  <sheetFormatPr defaultColWidth="9.109375" defaultRowHeight="12.6"/>
  <cols>
    <col min="1" max="1" width="13.83203125" style="7" customWidth="1"/>
    <col min="2" max="2" width="22.21875" style="7" customWidth="1"/>
    <col min="3" max="3" width="12.0546875" style="7" customWidth="1"/>
    <col min="4" max="4" width="87.5546875" style="7" customWidth="1"/>
    <col min="5" max="5" width="14.44140625" style="108" customWidth="1"/>
    <col min="6" max="6" width="11.44140625" style="7" customWidth="1"/>
    <col min="7" max="7" width="12.109375" style="7" customWidth="1"/>
    <col min="8" max="8" width="11.109375" style="47" customWidth="1"/>
    <col min="9" max="9" width="14.5546875" style="31" customWidth="1"/>
    <col min="10" max="10" width="14.44140625" style="29" customWidth="1"/>
    <col min="11" max="11" width="8.109375" style="31" customWidth="1"/>
    <col min="12" max="12" width="15.109375" style="31" customWidth="1"/>
    <col min="13" max="13" width="14.44140625" style="29" customWidth="1"/>
    <col min="14" max="14" width="8.109375" style="31" customWidth="1"/>
    <col min="15" max="15" width="15.44140625" style="31" customWidth="1"/>
    <col min="16" max="16" width="14.44140625" style="29" customWidth="1"/>
    <col min="17" max="17" width="6.5546875" style="31" customWidth="1"/>
    <col min="18" max="18" width="15.109375" style="31" customWidth="1"/>
    <col min="19" max="19" width="14.44140625" style="29" customWidth="1"/>
    <col min="20" max="20" width="12.109375" style="31" customWidth="1"/>
    <col min="21" max="21" width="15.44140625" style="31" customWidth="1"/>
    <col min="22" max="22" width="16" style="31" customWidth="1"/>
    <col min="23" max="23" width="11.44140625" style="31" customWidth="1"/>
    <col min="24" max="24" width="11.5546875" style="31" bestFit="1" customWidth="1"/>
    <col min="25" max="25" width="11.5546875" style="5" bestFit="1" customWidth="1"/>
    <col min="26" max="26" width="5.5546875" style="5" bestFit="1" customWidth="1"/>
    <col min="27" max="16384" width="9.109375" style="5"/>
  </cols>
  <sheetData>
    <row r="1" spans="1:24" ht="13.8">
      <c r="A1" s="5"/>
      <c r="B1" s="5"/>
      <c r="C1" s="5"/>
      <c r="D1" s="865" t="s">
        <v>174</v>
      </c>
      <c r="E1" s="865"/>
      <c r="F1" s="865"/>
      <c r="G1" s="865"/>
      <c r="H1" s="865"/>
      <c r="I1" s="865"/>
      <c r="J1" s="865"/>
      <c r="K1" s="865"/>
      <c r="L1" s="865"/>
      <c r="M1" s="865"/>
      <c r="N1" s="865"/>
      <c r="O1" s="865"/>
      <c r="P1" s="865"/>
      <c r="Q1" s="865"/>
      <c r="R1" s="865"/>
      <c r="S1" s="865"/>
      <c r="T1" s="865"/>
      <c r="U1" s="865"/>
      <c r="V1" s="865"/>
      <c r="W1" s="865"/>
      <c r="X1" s="865"/>
    </row>
    <row r="2" spans="1:24" ht="13.8">
      <c r="A2" s="5"/>
      <c r="B2" s="5"/>
      <c r="C2" s="5"/>
      <c r="D2" s="867" t="s">
        <v>175</v>
      </c>
      <c r="E2" s="867"/>
      <c r="F2" s="867"/>
      <c r="G2" s="867"/>
      <c r="H2" s="867"/>
      <c r="I2" s="867"/>
      <c r="J2" s="867"/>
      <c r="K2" s="867"/>
      <c r="L2" s="867"/>
      <c r="M2" s="867"/>
      <c r="N2" s="867"/>
      <c r="O2" s="867"/>
      <c r="P2" s="867"/>
      <c r="Q2" s="867"/>
      <c r="R2" s="867"/>
      <c r="S2" s="867"/>
      <c r="T2" s="867"/>
      <c r="U2" s="867"/>
      <c r="V2" s="867"/>
      <c r="W2" s="867"/>
      <c r="X2" s="867"/>
    </row>
    <row r="3" spans="1:24" ht="13.8">
      <c r="A3" s="5"/>
      <c r="B3" s="5"/>
      <c r="C3" s="5"/>
      <c r="D3" s="865" t="s">
        <v>176</v>
      </c>
      <c r="E3" s="865"/>
      <c r="F3" s="865"/>
      <c r="G3" s="865"/>
      <c r="H3" s="865"/>
      <c r="I3" s="865"/>
      <c r="J3" s="865"/>
      <c r="K3" s="865"/>
      <c r="L3" s="865"/>
      <c r="M3" s="865"/>
      <c r="N3" s="865"/>
      <c r="O3" s="865"/>
      <c r="P3" s="865"/>
      <c r="Q3" s="865"/>
      <c r="R3" s="865"/>
      <c r="S3" s="865"/>
      <c r="T3" s="865"/>
      <c r="U3" s="865"/>
      <c r="V3" s="865"/>
      <c r="W3" s="865"/>
      <c r="X3" s="865"/>
    </row>
    <row r="4" spans="1:24" ht="13.8">
      <c r="A4" s="5"/>
      <c r="B4" s="5"/>
      <c r="C4" s="5"/>
      <c r="D4" s="865" t="s">
        <v>177</v>
      </c>
      <c r="E4" s="865"/>
      <c r="F4" s="865"/>
      <c r="G4" s="865"/>
      <c r="H4" s="865"/>
      <c r="I4" s="865"/>
      <c r="J4" s="865"/>
      <c r="K4" s="865"/>
      <c r="L4" s="865"/>
      <c r="M4" s="865"/>
      <c r="N4" s="865"/>
      <c r="O4" s="865"/>
      <c r="P4" s="865"/>
      <c r="Q4" s="865"/>
      <c r="R4" s="865"/>
      <c r="S4" s="865"/>
      <c r="T4" s="865"/>
      <c r="U4" s="865"/>
      <c r="V4" s="865"/>
      <c r="W4" s="865"/>
      <c r="X4" s="865"/>
    </row>
    <row r="5" spans="1:24" ht="13.8">
      <c r="A5" s="5"/>
      <c r="B5" s="5"/>
      <c r="C5" s="5"/>
      <c r="D5" s="866" t="s">
        <v>178</v>
      </c>
      <c r="E5" s="866"/>
      <c r="F5" s="1"/>
      <c r="G5" s="1"/>
      <c r="H5" s="1"/>
      <c r="I5" s="1"/>
      <c r="J5" s="1"/>
      <c r="K5" s="418"/>
      <c r="L5" s="419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2" customHeight="1">
      <c r="A6" s="862" t="s">
        <v>442</v>
      </c>
      <c r="B6" s="862" t="s">
        <v>448</v>
      </c>
      <c r="C6" s="5"/>
      <c r="D6" s="21" t="s">
        <v>179</v>
      </c>
      <c r="E6" s="99">
        <v>1.05</v>
      </c>
    </row>
    <row r="7" spans="1:24" ht="12" customHeight="1">
      <c r="A7" s="862" t="s">
        <v>443</v>
      </c>
      <c r="B7" s="862" t="s">
        <v>447</v>
      </c>
      <c r="C7" s="5"/>
      <c r="D7" s="21" t="s">
        <v>180</v>
      </c>
      <c r="E7" s="99">
        <v>1.05</v>
      </c>
    </row>
    <row r="8" spans="1:24">
      <c r="C8" s="5"/>
    </row>
    <row r="9" spans="1:24" ht="37.5" thickBot="1">
      <c r="A9" s="863" t="s">
        <v>444</v>
      </c>
      <c r="B9" s="863" t="s">
        <v>445</v>
      </c>
      <c r="C9" s="863" t="s">
        <v>446</v>
      </c>
      <c r="D9" s="398" t="s">
        <v>181</v>
      </c>
      <c r="E9" s="399" t="s">
        <v>182</v>
      </c>
      <c r="F9" s="398" t="s">
        <v>183</v>
      </c>
      <c r="G9" s="398" t="s">
        <v>184</v>
      </c>
      <c r="H9" s="400" t="s">
        <v>185</v>
      </c>
      <c r="I9" s="401" t="s">
        <v>186</v>
      </c>
      <c r="J9" s="399" t="s">
        <v>187</v>
      </c>
      <c r="K9" s="398" t="s">
        <v>184</v>
      </c>
      <c r="L9" s="401" t="s">
        <v>188</v>
      </c>
      <c r="M9" s="399" t="s">
        <v>189</v>
      </c>
      <c r="N9" s="398" t="s">
        <v>184</v>
      </c>
      <c r="O9" s="401" t="s">
        <v>190</v>
      </c>
      <c r="P9" s="399" t="s">
        <v>191</v>
      </c>
      <c r="Q9" s="398" t="s">
        <v>184</v>
      </c>
      <c r="R9" s="401" t="s">
        <v>192</v>
      </c>
      <c r="S9" s="399" t="s">
        <v>193</v>
      </c>
      <c r="T9" s="401" t="s">
        <v>184</v>
      </c>
      <c r="U9" s="401" t="s">
        <v>194</v>
      </c>
      <c r="V9" s="401" t="s">
        <v>195</v>
      </c>
      <c r="W9" s="400" t="s">
        <v>196</v>
      </c>
      <c r="X9" s="400" t="s">
        <v>197</v>
      </c>
    </row>
    <row r="10" spans="1:24">
      <c r="A10" s="33"/>
      <c r="B10" s="33"/>
      <c r="C10" s="33"/>
      <c r="D10" s="33" t="s">
        <v>198</v>
      </c>
      <c r="E10" s="100"/>
      <c r="F10" s="34"/>
      <c r="G10" s="34"/>
      <c r="H10" s="35"/>
      <c r="I10" s="36"/>
      <c r="J10" s="100"/>
      <c r="K10" s="36"/>
      <c r="L10" s="36"/>
      <c r="M10" s="100"/>
      <c r="N10" s="36"/>
      <c r="O10" s="36"/>
      <c r="P10" s="100"/>
      <c r="Q10" s="36"/>
      <c r="R10" s="36"/>
      <c r="S10" s="100"/>
      <c r="T10" s="36"/>
      <c r="U10" s="36"/>
      <c r="V10" s="36"/>
      <c r="W10" s="36"/>
      <c r="X10" s="36"/>
    </row>
    <row r="11" spans="1:24">
      <c r="A11" s="61"/>
      <c r="B11" s="61"/>
      <c r="C11" s="61"/>
      <c r="D11" s="61" t="s">
        <v>199</v>
      </c>
      <c r="E11" s="101"/>
      <c r="F11" s="62"/>
      <c r="G11" s="63"/>
      <c r="H11" s="64"/>
      <c r="I11" s="65"/>
      <c r="J11" s="101"/>
      <c r="K11" s="65"/>
      <c r="L11" s="65"/>
      <c r="M11" s="101"/>
      <c r="N11" s="65"/>
      <c r="O11" s="65"/>
      <c r="P11" s="101"/>
      <c r="Q11" s="65"/>
      <c r="R11" s="65"/>
      <c r="S11" s="101"/>
      <c r="T11" s="65"/>
      <c r="U11" s="65"/>
      <c r="V11" s="65"/>
      <c r="W11" s="65"/>
      <c r="X11" s="65"/>
    </row>
    <row r="12" spans="1:24">
      <c r="A12" s="7" t="s">
        <v>449</v>
      </c>
      <c r="B12" s="7">
        <v>70000</v>
      </c>
      <c r="C12" s="7" t="s">
        <v>488</v>
      </c>
      <c r="D12" s="7" t="s">
        <v>200</v>
      </c>
      <c r="E12" s="103">
        <f>'LOE Breakdown by Year'!D11</f>
        <v>0.5</v>
      </c>
      <c r="F12" s="46" t="s">
        <v>147</v>
      </c>
      <c r="G12" s="40">
        <v>11</v>
      </c>
      <c r="H12" s="40">
        <f>115000/12</f>
        <v>9583.3333333333339</v>
      </c>
      <c r="I12" s="40">
        <f>G12*H12*E12</f>
        <v>52708.333333333336</v>
      </c>
      <c r="J12" s="102">
        <f>'LOE Breakdown by Year'!D36</f>
        <v>0.05</v>
      </c>
      <c r="K12" s="40">
        <v>12</v>
      </c>
      <c r="L12" s="40">
        <f>K12*H12*$E$7*$J12</f>
        <v>6037.5</v>
      </c>
      <c r="M12" s="102">
        <f>'LOE Breakdown by Year'!D61</f>
        <v>0.05</v>
      </c>
      <c r="N12" s="40">
        <v>12</v>
      </c>
      <c r="O12" s="40">
        <f>N12*H12*$M12*$E$7*$E$7</f>
        <v>6339.375</v>
      </c>
      <c r="P12" s="102">
        <f>'LOE Breakdown by Year'!D86</f>
        <v>0.05</v>
      </c>
      <c r="Q12" s="40">
        <v>12</v>
      </c>
      <c r="R12" s="40">
        <f t="shared" ref="R12:R24" si="0">Q12*H12*$P12*$E$7*$E$7*$E$7</f>
        <v>6656.34375</v>
      </c>
      <c r="S12" s="102">
        <f>'LOE Breakdown by Year'!D111</f>
        <v>0</v>
      </c>
      <c r="T12" s="40">
        <v>0</v>
      </c>
      <c r="U12" s="40">
        <f t="shared" ref="U12:U24" si="1">T12*H12*$S12*$E$7*$E$7*$E$7*$E$7</f>
        <v>0</v>
      </c>
      <c r="V12" s="40">
        <f>SUM(R12,O12,L12,I12,U12)</f>
        <v>71741.552083333343</v>
      </c>
      <c r="W12" s="40">
        <v>0</v>
      </c>
      <c r="X12" s="40">
        <f>SUM(V12:W12)</f>
        <v>71741.552083333343</v>
      </c>
    </row>
    <row r="13" spans="1:24">
      <c r="A13" s="7" t="s">
        <v>449</v>
      </c>
      <c r="B13" s="7">
        <v>70000</v>
      </c>
      <c r="C13" s="7" t="s">
        <v>488</v>
      </c>
      <c r="D13" s="7" t="s">
        <v>201</v>
      </c>
      <c r="E13" s="108">
        <f>'LOE Breakdown by Year'!D12</f>
        <v>0.28000000000000003</v>
      </c>
      <c r="F13" s="46" t="s">
        <v>147</v>
      </c>
      <c r="G13" s="40">
        <v>9</v>
      </c>
      <c r="H13" s="40">
        <f>42000/12</f>
        <v>3500</v>
      </c>
      <c r="I13" s="40">
        <f t="shared" ref="I13:I24" si="2">G13*H13*E13</f>
        <v>8820</v>
      </c>
      <c r="J13" s="102">
        <f>'LOE Breakdown by Year'!D37</f>
        <v>0</v>
      </c>
      <c r="K13" s="40">
        <v>12</v>
      </c>
      <c r="L13" s="40">
        <f t="shared" ref="L13:L24" si="3">K13*H13*$E$7*$J13</f>
        <v>0</v>
      </c>
      <c r="M13" s="102">
        <f>'LOE Breakdown by Year'!D62</f>
        <v>0</v>
      </c>
      <c r="N13" s="40">
        <v>12</v>
      </c>
      <c r="O13" s="40">
        <f t="shared" ref="O13:O24" si="4">N13*H13*$M13*$E$7*$E$7</f>
        <v>0</v>
      </c>
      <c r="P13" s="102">
        <f>'LOE Breakdown by Year'!D87</f>
        <v>0</v>
      </c>
      <c r="Q13" s="40">
        <v>12</v>
      </c>
      <c r="R13" s="40">
        <f t="shared" si="0"/>
        <v>0</v>
      </c>
      <c r="S13" s="102">
        <f>'LOE Breakdown by Year'!D112</f>
        <v>0</v>
      </c>
      <c r="T13" s="40">
        <v>0</v>
      </c>
      <c r="U13" s="40">
        <f t="shared" si="1"/>
        <v>0</v>
      </c>
      <c r="V13" s="40">
        <f t="shared" ref="V13:V24" si="5">SUM(R13,O13,L13,I13,U13)</f>
        <v>8820</v>
      </c>
      <c r="W13" s="40">
        <v>0</v>
      </c>
      <c r="X13" s="40">
        <f t="shared" ref="X13:X24" si="6">SUM(V13:W13)</f>
        <v>8820</v>
      </c>
    </row>
    <row r="14" spans="1:24">
      <c r="A14" s="7" t="s">
        <v>449</v>
      </c>
      <c r="B14" s="7">
        <v>70000</v>
      </c>
      <c r="C14" s="7" t="s">
        <v>488</v>
      </c>
      <c r="D14" s="7" t="s">
        <v>202</v>
      </c>
      <c r="E14" s="108">
        <f>'LOE Breakdown by Year'!D13</f>
        <v>0.2</v>
      </c>
      <c r="F14" s="46" t="s">
        <v>147</v>
      </c>
      <c r="G14" s="40">
        <v>8</v>
      </c>
      <c r="H14" s="40">
        <f>34000/12</f>
        <v>2833.3333333333335</v>
      </c>
      <c r="I14" s="40">
        <f t="shared" si="2"/>
        <v>4533.3333333333339</v>
      </c>
      <c r="J14" s="102">
        <f>'LOE Breakdown by Year'!D38</f>
        <v>0</v>
      </c>
      <c r="K14" s="40">
        <v>12</v>
      </c>
      <c r="L14" s="40">
        <f t="shared" si="3"/>
        <v>0</v>
      </c>
      <c r="M14" s="102">
        <f>'LOE Breakdown by Year'!D63</f>
        <v>0</v>
      </c>
      <c r="N14" s="40">
        <v>12</v>
      </c>
      <c r="O14" s="40">
        <f t="shared" si="4"/>
        <v>0</v>
      </c>
      <c r="P14" s="102">
        <f>'LOE Breakdown by Year'!D88</f>
        <v>0</v>
      </c>
      <c r="Q14" s="40">
        <v>12</v>
      </c>
      <c r="R14" s="40">
        <f t="shared" si="0"/>
        <v>0</v>
      </c>
      <c r="S14" s="102">
        <f>'LOE Breakdown by Year'!D113</f>
        <v>0</v>
      </c>
      <c r="T14" s="40">
        <v>0</v>
      </c>
      <c r="U14" s="40">
        <f t="shared" si="1"/>
        <v>0</v>
      </c>
      <c r="V14" s="40">
        <f t="shared" si="5"/>
        <v>4533.3333333333339</v>
      </c>
      <c r="W14" s="40">
        <v>0</v>
      </c>
      <c r="X14" s="40">
        <f t="shared" si="6"/>
        <v>4533.3333333333339</v>
      </c>
    </row>
    <row r="15" spans="1:24">
      <c r="A15" s="7" t="s">
        <v>449</v>
      </c>
      <c r="B15" s="7">
        <v>70000</v>
      </c>
      <c r="C15" s="7" t="s">
        <v>488</v>
      </c>
      <c r="D15" s="7" t="s">
        <v>203</v>
      </c>
      <c r="E15" s="108">
        <f>'LOE Breakdown by Year'!D14</f>
        <v>0.2</v>
      </c>
      <c r="F15" s="46" t="s">
        <v>147</v>
      </c>
      <c r="G15" s="40">
        <v>8</v>
      </c>
      <c r="H15" s="40">
        <f>34000/12</f>
        <v>2833.3333333333335</v>
      </c>
      <c r="I15" s="40">
        <f t="shared" si="2"/>
        <v>4533.3333333333339</v>
      </c>
      <c r="J15" s="102">
        <f>'LOE Breakdown by Year'!D39</f>
        <v>0</v>
      </c>
      <c r="K15" s="40">
        <v>12</v>
      </c>
      <c r="L15" s="40">
        <f t="shared" si="3"/>
        <v>0</v>
      </c>
      <c r="M15" s="102">
        <f>'LOE Breakdown by Year'!D64</f>
        <v>0</v>
      </c>
      <c r="N15" s="40">
        <v>12</v>
      </c>
      <c r="O15" s="40">
        <f t="shared" si="4"/>
        <v>0</v>
      </c>
      <c r="P15" s="102">
        <f>'LOE Breakdown by Year'!D89</f>
        <v>0</v>
      </c>
      <c r="Q15" s="40">
        <v>12</v>
      </c>
      <c r="R15" s="40">
        <f t="shared" si="0"/>
        <v>0</v>
      </c>
      <c r="S15" s="102">
        <f>'LOE Breakdown by Year'!D114</f>
        <v>0</v>
      </c>
      <c r="T15" s="40">
        <v>0</v>
      </c>
      <c r="U15" s="40">
        <f t="shared" si="1"/>
        <v>0</v>
      </c>
      <c r="V15" s="40">
        <f t="shared" si="5"/>
        <v>4533.3333333333339</v>
      </c>
      <c r="W15" s="40">
        <v>0</v>
      </c>
      <c r="X15" s="40">
        <f t="shared" si="6"/>
        <v>4533.3333333333339</v>
      </c>
    </row>
    <row r="16" spans="1:24">
      <c r="A16" s="7" t="s">
        <v>449</v>
      </c>
      <c r="B16" s="7">
        <v>70000</v>
      </c>
      <c r="C16" s="7" t="s">
        <v>488</v>
      </c>
      <c r="D16" s="7" t="s">
        <v>204</v>
      </c>
      <c r="E16" s="108">
        <f>'LOE Breakdown by Year'!D15</f>
        <v>0.2</v>
      </c>
      <c r="F16" s="46" t="s">
        <v>147</v>
      </c>
      <c r="G16" s="40">
        <v>8</v>
      </c>
      <c r="H16" s="40">
        <f>32000/12</f>
        <v>2666.6666666666665</v>
      </c>
      <c r="I16" s="40">
        <f t="shared" si="2"/>
        <v>4266.666666666667</v>
      </c>
      <c r="J16" s="102">
        <f>'LOE Breakdown by Year'!D40</f>
        <v>0</v>
      </c>
      <c r="K16" s="40">
        <v>12</v>
      </c>
      <c r="L16" s="40">
        <f t="shared" si="3"/>
        <v>0</v>
      </c>
      <c r="M16" s="102">
        <f>'LOE Breakdown by Year'!D65</f>
        <v>0</v>
      </c>
      <c r="N16" s="40">
        <v>12</v>
      </c>
      <c r="O16" s="40">
        <f t="shared" si="4"/>
        <v>0</v>
      </c>
      <c r="P16" s="102">
        <f>'LOE Breakdown by Year'!D90</f>
        <v>0</v>
      </c>
      <c r="Q16" s="40">
        <v>12</v>
      </c>
      <c r="R16" s="40">
        <f t="shared" si="0"/>
        <v>0</v>
      </c>
      <c r="S16" s="102">
        <f>'LOE Breakdown by Year'!D115</f>
        <v>0</v>
      </c>
      <c r="T16" s="40">
        <v>0</v>
      </c>
      <c r="U16" s="40">
        <f t="shared" si="1"/>
        <v>0</v>
      </c>
      <c r="V16" s="40">
        <f t="shared" si="5"/>
        <v>4266.666666666667</v>
      </c>
      <c r="W16" s="40">
        <v>0</v>
      </c>
      <c r="X16" s="40">
        <f t="shared" si="6"/>
        <v>4266.666666666667</v>
      </c>
    </row>
    <row r="17" spans="1:24">
      <c r="A17" s="7" t="s">
        <v>449</v>
      </c>
      <c r="B17" s="7">
        <v>70000</v>
      </c>
      <c r="C17" s="7" t="s">
        <v>488</v>
      </c>
      <c r="D17" s="7" t="s">
        <v>205</v>
      </c>
      <c r="E17" s="108">
        <f>'LOE Breakdown by Year'!D16</f>
        <v>0.35</v>
      </c>
      <c r="F17" s="46" t="s">
        <v>147</v>
      </c>
      <c r="G17" s="40">
        <v>10</v>
      </c>
      <c r="H17" s="40">
        <f>42000/12</f>
        <v>3500</v>
      </c>
      <c r="I17" s="40">
        <f t="shared" si="2"/>
        <v>12250</v>
      </c>
      <c r="J17" s="102">
        <f>'LOE Breakdown by Year'!D41</f>
        <v>0.05</v>
      </c>
      <c r="K17" s="40">
        <v>12</v>
      </c>
      <c r="L17" s="40">
        <f t="shared" si="3"/>
        <v>2205</v>
      </c>
      <c r="M17" s="102">
        <f>'LOE Breakdown by Year'!D66</f>
        <v>0.05</v>
      </c>
      <c r="N17" s="40">
        <v>12</v>
      </c>
      <c r="O17" s="40">
        <f t="shared" si="4"/>
        <v>2315.25</v>
      </c>
      <c r="P17" s="102">
        <f>'LOE Breakdown by Year'!D91</f>
        <v>0.05</v>
      </c>
      <c r="Q17" s="40">
        <v>12</v>
      </c>
      <c r="R17" s="40">
        <f t="shared" si="0"/>
        <v>2431.0125000000003</v>
      </c>
      <c r="S17" s="102">
        <f>'LOE Breakdown by Year'!D116</f>
        <v>0</v>
      </c>
      <c r="T17" s="40">
        <v>0</v>
      </c>
      <c r="U17" s="40">
        <f t="shared" si="1"/>
        <v>0</v>
      </c>
      <c r="V17" s="40">
        <f t="shared" si="5"/>
        <v>19201.262500000001</v>
      </c>
      <c r="W17" s="40">
        <v>0</v>
      </c>
      <c r="X17" s="40">
        <f t="shared" si="6"/>
        <v>19201.262500000001</v>
      </c>
    </row>
    <row r="18" spans="1:24">
      <c r="A18" s="7" t="s">
        <v>449</v>
      </c>
      <c r="B18" s="7">
        <v>70000</v>
      </c>
      <c r="C18" s="7" t="s">
        <v>488</v>
      </c>
      <c r="D18" s="7" t="s">
        <v>206</v>
      </c>
      <c r="E18" s="108">
        <f>'LOE Breakdown by Year'!D17</f>
        <v>0.2</v>
      </c>
      <c r="F18" s="46" t="s">
        <v>147</v>
      </c>
      <c r="G18" s="40">
        <v>8</v>
      </c>
      <c r="H18" s="40">
        <f>24000/12</f>
        <v>2000</v>
      </c>
      <c r="I18" s="40">
        <f t="shared" si="2"/>
        <v>3200</v>
      </c>
      <c r="J18" s="102">
        <f>'LOE Breakdown by Year'!D42</f>
        <v>0.05</v>
      </c>
      <c r="K18" s="40">
        <v>12</v>
      </c>
      <c r="L18" s="40">
        <f t="shared" si="3"/>
        <v>1260</v>
      </c>
      <c r="M18" s="102">
        <f>'LOE Breakdown by Year'!D67</f>
        <v>0.05</v>
      </c>
      <c r="N18" s="40">
        <v>12</v>
      </c>
      <c r="O18" s="40">
        <f t="shared" si="4"/>
        <v>1323</v>
      </c>
      <c r="P18" s="102">
        <f>'LOE Breakdown by Year'!D92</f>
        <v>0.05</v>
      </c>
      <c r="Q18" s="40">
        <v>12</v>
      </c>
      <c r="R18" s="40">
        <f t="shared" si="0"/>
        <v>1389.15</v>
      </c>
      <c r="S18" s="102">
        <f>'LOE Breakdown by Year'!D117</f>
        <v>0</v>
      </c>
      <c r="T18" s="40">
        <v>0</v>
      </c>
      <c r="U18" s="40">
        <f t="shared" si="1"/>
        <v>0</v>
      </c>
      <c r="V18" s="40">
        <f t="shared" si="5"/>
        <v>7172.15</v>
      </c>
      <c r="W18" s="40">
        <v>0</v>
      </c>
      <c r="X18" s="40">
        <f t="shared" si="6"/>
        <v>7172.15</v>
      </c>
    </row>
    <row r="19" spans="1:24">
      <c r="A19" s="7" t="s">
        <v>449</v>
      </c>
      <c r="B19" s="7">
        <v>70000</v>
      </c>
      <c r="C19" s="7" t="s">
        <v>488</v>
      </c>
      <c r="D19" s="7" t="s">
        <v>207</v>
      </c>
      <c r="E19" s="108">
        <f>'LOE Breakdown by Year'!D18</f>
        <v>0.35</v>
      </c>
      <c r="F19" s="46" t="s">
        <v>147</v>
      </c>
      <c r="G19" s="40">
        <v>10</v>
      </c>
      <c r="H19" s="40">
        <f>42000/12</f>
        <v>3500</v>
      </c>
      <c r="I19" s="40">
        <f t="shared" si="2"/>
        <v>12250</v>
      </c>
      <c r="J19" s="102">
        <f>'LOE Breakdown by Year'!D43</f>
        <v>0.05</v>
      </c>
      <c r="K19" s="40">
        <v>12</v>
      </c>
      <c r="L19" s="40">
        <f t="shared" si="3"/>
        <v>2205</v>
      </c>
      <c r="M19" s="102">
        <f>'LOE Breakdown by Year'!D68</f>
        <v>0.05</v>
      </c>
      <c r="N19" s="40">
        <v>12</v>
      </c>
      <c r="O19" s="40">
        <f t="shared" si="4"/>
        <v>2315.25</v>
      </c>
      <c r="P19" s="102">
        <f>'LOE Breakdown by Year'!D93</f>
        <v>0.05</v>
      </c>
      <c r="Q19" s="40">
        <v>12</v>
      </c>
      <c r="R19" s="40">
        <f t="shared" si="0"/>
        <v>2431.0125000000003</v>
      </c>
      <c r="S19" s="102">
        <f>'LOE Breakdown by Year'!D118</f>
        <v>0</v>
      </c>
      <c r="T19" s="40">
        <v>0</v>
      </c>
      <c r="U19" s="40">
        <f t="shared" si="1"/>
        <v>0</v>
      </c>
      <c r="V19" s="40">
        <f t="shared" si="5"/>
        <v>19201.262500000001</v>
      </c>
      <c r="W19" s="40">
        <v>0</v>
      </c>
      <c r="X19" s="40">
        <f t="shared" si="6"/>
        <v>19201.262500000001</v>
      </c>
    </row>
    <row r="20" spans="1:24">
      <c r="A20" s="7" t="s">
        <v>449</v>
      </c>
      <c r="B20" s="7">
        <v>70000</v>
      </c>
      <c r="C20" s="7" t="s">
        <v>488</v>
      </c>
      <c r="D20" s="7" t="s">
        <v>208</v>
      </c>
      <c r="E20" s="108">
        <f>'LOE Breakdown by Year'!D19</f>
        <v>0.2</v>
      </c>
      <c r="F20" s="46" t="s">
        <v>147</v>
      </c>
      <c r="G20" s="40">
        <v>8</v>
      </c>
      <c r="H20" s="40">
        <f>24000/12</f>
        <v>2000</v>
      </c>
      <c r="I20" s="40">
        <f t="shared" si="2"/>
        <v>3200</v>
      </c>
      <c r="J20" s="102">
        <f>'LOE Breakdown by Year'!D44</f>
        <v>0</v>
      </c>
      <c r="K20" s="40">
        <v>12</v>
      </c>
      <c r="L20" s="40">
        <f t="shared" si="3"/>
        <v>0</v>
      </c>
      <c r="M20" s="102">
        <f>'LOE Breakdown by Year'!D69</f>
        <v>0</v>
      </c>
      <c r="N20" s="40">
        <v>12</v>
      </c>
      <c r="O20" s="40">
        <f t="shared" si="4"/>
        <v>0</v>
      </c>
      <c r="P20" s="102">
        <f>'LOE Breakdown by Year'!D94</f>
        <v>0</v>
      </c>
      <c r="Q20" s="40">
        <v>12</v>
      </c>
      <c r="R20" s="40">
        <f t="shared" si="0"/>
        <v>0</v>
      </c>
      <c r="S20" s="102">
        <f>'LOE Breakdown by Year'!D119</f>
        <v>0</v>
      </c>
      <c r="T20" s="40">
        <v>0</v>
      </c>
      <c r="U20" s="40">
        <f t="shared" si="1"/>
        <v>0</v>
      </c>
      <c r="V20" s="40">
        <f t="shared" si="5"/>
        <v>3200</v>
      </c>
      <c r="W20" s="40">
        <v>0</v>
      </c>
      <c r="X20" s="40">
        <f t="shared" si="6"/>
        <v>3200</v>
      </c>
    </row>
    <row r="21" spans="1:24">
      <c r="A21" s="7" t="s">
        <v>449</v>
      </c>
      <c r="B21" s="7">
        <v>70000</v>
      </c>
      <c r="C21" s="7" t="s">
        <v>488</v>
      </c>
      <c r="D21" s="7" t="s">
        <v>209</v>
      </c>
      <c r="E21" s="108">
        <f>'LOE Breakdown by Year'!D20</f>
        <v>0.35</v>
      </c>
      <c r="F21" s="46" t="s">
        <v>147</v>
      </c>
      <c r="G21" s="40">
        <v>10</v>
      </c>
      <c r="H21" s="40">
        <f>32000/12</f>
        <v>2666.6666666666665</v>
      </c>
      <c r="I21" s="40">
        <f t="shared" si="2"/>
        <v>9333.3333333333321</v>
      </c>
      <c r="J21" s="102">
        <f>'LOE Breakdown by Year'!D45</f>
        <v>0.05</v>
      </c>
      <c r="K21" s="40">
        <v>12</v>
      </c>
      <c r="L21" s="40">
        <f t="shared" si="3"/>
        <v>1680</v>
      </c>
      <c r="M21" s="102">
        <f>'LOE Breakdown by Year'!D70</f>
        <v>0.05</v>
      </c>
      <c r="N21" s="40">
        <v>12</v>
      </c>
      <c r="O21" s="40">
        <f t="shared" si="4"/>
        <v>1764</v>
      </c>
      <c r="P21" s="102">
        <f>'LOE Breakdown by Year'!D95</f>
        <v>0.05</v>
      </c>
      <c r="Q21" s="40">
        <v>12</v>
      </c>
      <c r="R21" s="40">
        <f t="shared" si="0"/>
        <v>1852.2</v>
      </c>
      <c r="S21" s="102">
        <f>'LOE Breakdown by Year'!D120</f>
        <v>0</v>
      </c>
      <c r="T21" s="40">
        <v>0</v>
      </c>
      <c r="U21" s="40">
        <f t="shared" si="1"/>
        <v>0</v>
      </c>
      <c r="V21" s="40">
        <f t="shared" si="5"/>
        <v>14629.533333333333</v>
      </c>
      <c r="W21" s="40">
        <v>0</v>
      </c>
      <c r="X21" s="40">
        <f t="shared" si="6"/>
        <v>14629.533333333333</v>
      </c>
    </row>
    <row r="22" spans="1:24">
      <c r="A22" s="7" t="s">
        <v>449</v>
      </c>
      <c r="B22" s="7">
        <v>70000</v>
      </c>
      <c r="C22" s="7" t="s">
        <v>488</v>
      </c>
      <c r="D22" s="7" t="s">
        <v>210</v>
      </c>
      <c r="E22" s="108">
        <f>'LOE Breakdown by Year'!D21</f>
        <v>0.28000000000000003</v>
      </c>
      <c r="F22" s="46" t="s">
        <v>147</v>
      </c>
      <c r="G22" s="40">
        <v>9</v>
      </c>
      <c r="H22" s="40">
        <f>32000/12</f>
        <v>2666.6666666666665</v>
      </c>
      <c r="I22" s="40">
        <f t="shared" si="2"/>
        <v>6720.0000000000009</v>
      </c>
      <c r="J22" s="102">
        <f>'LOE Breakdown by Year'!D46</f>
        <v>0</v>
      </c>
      <c r="K22" s="40">
        <v>12</v>
      </c>
      <c r="L22" s="40">
        <f t="shared" si="3"/>
        <v>0</v>
      </c>
      <c r="M22" s="102">
        <f>'LOE Breakdown by Year'!D71</f>
        <v>0</v>
      </c>
      <c r="N22" s="40">
        <v>12</v>
      </c>
      <c r="O22" s="40">
        <f t="shared" si="4"/>
        <v>0</v>
      </c>
      <c r="P22" s="102">
        <f>'LOE Breakdown by Year'!D96</f>
        <v>0</v>
      </c>
      <c r="Q22" s="40">
        <v>12</v>
      </c>
      <c r="R22" s="40">
        <f t="shared" si="0"/>
        <v>0</v>
      </c>
      <c r="S22" s="102">
        <f>'LOE Breakdown by Year'!D121</f>
        <v>0</v>
      </c>
      <c r="T22" s="40">
        <v>0</v>
      </c>
      <c r="U22" s="40">
        <f t="shared" si="1"/>
        <v>0</v>
      </c>
      <c r="V22" s="40">
        <f t="shared" si="5"/>
        <v>6720.0000000000009</v>
      </c>
      <c r="W22" s="40">
        <v>0</v>
      </c>
      <c r="X22" s="40">
        <f t="shared" si="6"/>
        <v>6720.0000000000009</v>
      </c>
    </row>
    <row r="23" spans="1:24">
      <c r="A23" s="7" t="s">
        <v>449</v>
      </c>
      <c r="B23" s="7">
        <v>70000</v>
      </c>
      <c r="C23" s="7" t="s">
        <v>488</v>
      </c>
      <c r="D23" s="7" t="s">
        <v>211</v>
      </c>
      <c r="E23" s="108">
        <f>'LOE Breakdown by Year'!D22</f>
        <v>0.28000000000000003</v>
      </c>
      <c r="F23" s="46" t="s">
        <v>147</v>
      </c>
      <c r="G23" s="40">
        <v>9</v>
      </c>
      <c r="H23" s="40">
        <f>24000/12</f>
        <v>2000</v>
      </c>
      <c r="I23" s="40">
        <f t="shared" si="2"/>
        <v>5040.0000000000009</v>
      </c>
      <c r="J23" s="102">
        <f>'LOE Breakdown by Year'!D47</f>
        <v>0</v>
      </c>
      <c r="K23" s="40">
        <v>12</v>
      </c>
      <c r="L23" s="40">
        <f t="shared" si="3"/>
        <v>0</v>
      </c>
      <c r="M23" s="102">
        <f>'LOE Breakdown by Year'!D72</f>
        <v>0</v>
      </c>
      <c r="N23" s="40">
        <v>12</v>
      </c>
      <c r="O23" s="40">
        <f t="shared" si="4"/>
        <v>0</v>
      </c>
      <c r="P23" s="102">
        <f>'LOE Breakdown by Year'!D97</f>
        <v>0</v>
      </c>
      <c r="Q23" s="40">
        <v>12</v>
      </c>
      <c r="R23" s="40">
        <f t="shared" si="0"/>
        <v>0</v>
      </c>
      <c r="S23" s="102">
        <f>'LOE Breakdown by Year'!D122</f>
        <v>0</v>
      </c>
      <c r="T23" s="40">
        <v>0</v>
      </c>
      <c r="U23" s="40">
        <f t="shared" si="1"/>
        <v>0</v>
      </c>
      <c r="V23" s="40">
        <f t="shared" si="5"/>
        <v>5040.0000000000009</v>
      </c>
      <c r="W23" s="40">
        <v>0</v>
      </c>
      <c r="X23" s="40">
        <f t="shared" si="6"/>
        <v>5040.0000000000009</v>
      </c>
    </row>
    <row r="24" spans="1:24">
      <c r="A24" s="7" t="s">
        <v>449</v>
      </c>
      <c r="B24" s="7">
        <v>70000</v>
      </c>
      <c r="C24" s="7" t="s">
        <v>488</v>
      </c>
      <c r="D24" s="7" t="s">
        <v>212</v>
      </c>
      <c r="E24" s="103">
        <f>'LOE Breakdown by Year'!D23</f>
        <v>0</v>
      </c>
      <c r="F24" s="46" t="s">
        <v>147</v>
      </c>
      <c r="G24" s="40">
        <v>7</v>
      </c>
      <c r="H24" s="40">
        <f>6000/12</f>
        <v>500</v>
      </c>
      <c r="I24" s="40">
        <f t="shared" si="2"/>
        <v>0</v>
      </c>
      <c r="J24" s="102">
        <f>'LOE Breakdown by Year'!D48</f>
        <v>0</v>
      </c>
      <c r="K24" s="40">
        <v>12</v>
      </c>
      <c r="L24" s="40">
        <f t="shared" si="3"/>
        <v>0</v>
      </c>
      <c r="M24" s="102">
        <f>'LOE Breakdown by Year'!D73</f>
        <v>0</v>
      </c>
      <c r="N24" s="40">
        <v>12</v>
      </c>
      <c r="O24" s="40">
        <f t="shared" si="4"/>
        <v>0</v>
      </c>
      <c r="P24" s="102">
        <f>'LOE Breakdown by Year'!D98</f>
        <v>0</v>
      </c>
      <c r="Q24" s="40">
        <v>12</v>
      </c>
      <c r="R24" s="40">
        <f t="shared" si="0"/>
        <v>0</v>
      </c>
      <c r="S24" s="102">
        <f>'LOE Breakdown by Year'!D123</f>
        <v>0</v>
      </c>
      <c r="T24" s="40">
        <v>0</v>
      </c>
      <c r="U24" s="40">
        <f t="shared" si="1"/>
        <v>0</v>
      </c>
      <c r="V24" s="40">
        <f t="shared" si="5"/>
        <v>0</v>
      </c>
      <c r="W24" s="40">
        <v>0</v>
      </c>
      <c r="X24" s="40">
        <f t="shared" si="6"/>
        <v>0</v>
      </c>
    </row>
    <row r="25" spans="1:24">
      <c r="A25" s="427"/>
      <c r="B25" s="427"/>
      <c r="C25" s="427"/>
      <c r="D25" s="427" t="s">
        <v>213</v>
      </c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</row>
    <row r="26" spans="1:24">
      <c r="A26" s="7" t="s">
        <v>449</v>
      </c>
      <c r="B26" s="7">
        <v>50000</v>
      </c>
      <c r="C26" s="7" t="s">
        <v>450</v>
      </c>
      <c r="D26" s="7" t="s">
        <v>214</v>
      </c>
      <c r="E26" s="108">
        <f>'LOE Breakdown by Year'!D25</f>
        <v>0.02</v>
      </c>
      <c r="F26" s="46" t="s">
        <v>147</v>
      </c>
      <c r="G26" s="40">
        <v>12</v>
      </c>
      <c r="H26" s="39">
        <f>162000/12</f>
        <v>13500</v>
      </c>
      <c r="I26" s="40">
        <f>G26*H26*E26</f>
        <v>3240</v>
      </c>
      <c r="J26" s="108">
        <f>'LOE Breakdown by Year'!D50</f>
        <v>0.02</v>
      </c>
      <c r="K26" s="40">
        <v>12</v>
      </c>
      <c r="L26" s="40">
        <f>K26*H26*$E$7*$J26</f>
        <v>3402</v>
      </c>
      <c r="M26" s="108">
        <f>'LOE Breakdown by Year'!D75</f>
        <v>0.02</v>
      </c>
      <c r="N26" s="40">
        <v>12</v>
      </c>
      <c r="O26" s="40">
        <f>N26*H26*$M26*$E$7*$E$7</f>
        <v>3572.1000000000004</v>
      </c>
      <c r="P26" s="108">
        <f>'LOE Breakdown by Year'!D100</f>
        <v>0.02</v>
      </c>
      <c r="Q26" s="40">
        <v>12</v>
      </c>
      <c r="R26" s="40">
        <f>Q26*H26*$P26*$E$7*$E$7*$E$7</f>
        <v>3750.7050000000004</v>
      </c>
      <c r="S26" s="108">
        <f>'LOE Breakdown by Year'!D125</f>
        <v>0</v>
      </c>
      <c r="T26" s="40">
        <v>0</v>
      </c>
      <c r="U26" s="40">
        <f>T26*H26*$S26*$E$7*$E$7*$E$7*$E$7</f>
        <v>0</v>
      </c>
      <c r="V26" s="40">
        <f>SUM(R26,O26,L26,I26,U26)</f>
        <v>13964.805</v>
      </c>
      <c r="W26" s="40">
        <v>0</v>
      </c>
      <c r="X26" s="40">
        <f>SUM(V26:W26)</f>
        <v>13964.805</v>
      </c>
    </row>
    <row r="27" spans="1:24">
      <c r="A27" s="7" t="s">
        <v>449</v>
      </c>
      <c r="B27" s="7">
        <v>50000</v>
      </c>
      <c r="C27" s="7" t="s">
        <v>450</v>
      </c>
      <c r="D27" s="7" t="s">
        <v>215</v>
      </c>
      <c r="E27" s="102">
        <f>'LOE Breakdown by Year'!D26</f>
        <v>0.12</v>
      </c>
      <c r="F27" s="46" t="s">
        <v>147</v>
      </c>
      <c r="G27" s="40">
        <v>12</v>
      </c>
      <c r="H27" s="39">
        <f>150000/12</f>
        <v>12500</v>
      </c>
      <c r="I27" s="40">
        <f>G27*H27*E27</f>
        <v>18000</v>
      </c>
      <c r="J27" s="102">
        <f>'LOE Breakdown by Year'!D51</f>
        <v>0.05</v>
      </c>
      <c r="K27" s="40">
        <v>12</v>
      </c>
      <c r="L27" s="40">
        <f>K27*H27*$E$7*$J27</f>
        <v>7875</v>
      </c>
      <c r="M27" s="102">
        <f>'LOE Breakdown by Year'!D76</f>
        <v>0.05</v>
      </c>
      <c r="N27" s="40">
        <v>12</v>
      </c>
      <c r="O27" s="40">
        <f>N27*H27*$M27*$E$7*$E$7</f>
        <v>8268.75</v>
      </c>
      <c r="P27" s="102">
        <f>'LOE Breakdown by Year'!D101</f>
        <v>0.05</v>
      </c>
      <c r="Q27" s="40">
        <v>12</v>
      </c>
      <c r="R27" s="40">
        <f>Q27*H27*$P27*$E$7*$E$7*$E$7</f>
        <v>8682.1875</v>
      </c>
      <c r="S27" s="102">
        <f>'LOE Breakdown by Year'!D126</f>
        <v>0</v>
      </c>
      <c r="T27" s="40">
        <v>0</v>
      </c>
      <c r="U27" s="40">
        <f>T27*H27*$S27*$E$7*$E$7*$E$7*$E$7</f>
        <v>0</v>
      </c>
      <c r="V27" s="40">
        <f>SUM(R27,O27,L27,I27,U27)</f>
        <v>42825.9375</v>
      </c>
      <c r="W27" s="40">
        <v>0</v>
      </c>
      <c r="X27" s="40">
        <f>SUM(V27:W27)</f>
        <v>42825.9375</v>
      </c>
    </row>
    <row r="28" spans="1:24">
      <c r="A28" s="7" t="s">
        <v>449</v>
      </c>
      <c r="B28" s="7">
        <v>50000</v>
      </c>
      <c r="C28" s="7" t="s">
        <v>450</v>
      </c>
      <c r="D28" s="7" t="s">
        <v>216</v>
      </c>
      <c r="E28" s="102">
        <f>'LOE Breakdown by Year'!D27</f>
        <v>0.5</v>
      </c>
      <c r="F28" s="46" t="s">
        <v>147</v>
      </c>
      <c r="G28" s="40">
        <v>12</v>
      </c>
      <c r="H28" s="39">
        <f>90000/12</f>
        <v>7500</v>
      </c>
      <c r="I28" s="40">
        <f>G28*H28*E28</f>
        <v>45000</v>
      </c>
      <c r="J28" s="102">
        <f>'LOE Breakdown by Year'!D52</f>
        <v>0.05</v>
      </c>
      <c r="K28" s="40">
        <v>12</v>
      </c>
      <c r="L28" s="40">
        <f>K28*H28*$E$7*$J28</f>
        <v>4725</v>
      </c>
      <c r="M28" s="102">
        <f>'LOE Breakdown by Year'!D77</f>
        <v>0.05</v>
      </c>
      <c r="N28" s="40">
        <v>12</v>
      </c>
      <c r="O28" s="40">
        <f>N28*H28*$M28*$E$7*$E$7</f>
        <v>4961.25</v>
      </c>
      <c r="P28" s="102">
        <f>'LOE Breakdown by Year'!D102</f>
        <v>0.05</v>
      </c>
      <c r="Q28" s="40">
        <v>12</v>
      </c>
      <c r="R28" s="40">
        <f>Q28*H28*$P28*$E$7*$E$7*$E$7</f>
        <v>5209.3125</v>
      </c>
      <c r="S28" s="102">
        <f>'LOE Breakdown by Year'!D127</f>
        <v>0</v>
      </c>
      <c r="T28" s="40">
        <v>0</v>
      </c>
      <c r="U28" s="40">
        <f t="shared" ref="U28:U29" si="7">T28*H28*$S28*$E$7*$E$7*$E$7*$E$7</f>
        <v>0</v>
      </c>
      <c r="V28" s="40">
        <f t="shared" ref="V28:V29" si="8">SUM(R28,O28,L28,I28,U28)</f>
        <v>59895.5625</v>
      </c>
      <c r="W28" s="40">
        <v>0</v>
      </c>
      <c r="X28" s="40">
        <f>SUM(V28:W28)</f>
        <v>59895.5625</v>
      </c>
    </row>
    <row r="29" spans="1:24">
      <c r="A29" s="7" t="s">
        <v>449</v>
      </c>
      <c r="B29" s="7">
        <v>50000</v>
      </c>
      <c r="C29" s="7" t="s">
        <v>450</v>
      </c>
      <c r="D29" s="7" t="s">
        <v>217</v>
      </c>
      <c r="E29" s="102">
        <f>'LOE Breakdown by Year'!D28</f>
        <v>0.12</v>
      </c>
      <c r="F29" s="46" t="s">
        <v>147</v>
      </c>
      <c r="G29" s="40">
        <v>12</v>
      </c>
      <c r="H29" s="39">
        <f>110000/12</f>
        <v>9166.6666666666661</v>
      </c>
      <c r="I29" s="40">
        <f>G29*H29*E29</f>
        <v>13200</v>
      </c>
      <c r="J29" s="102">
        <f>'LOE Breakdown by Year'!D53</f>
        <v>0.05</v>
      </c>
      <c r="K29" s="40">
        <v>12</v>
      </c>
      <c r="L29" s="40">
        <f>K29*H29*$E$7*$J29</f>
        <v>5775</v>
      </c>
      <c r="M29" s="102">
        <f>'LOE Breakdown by Year'!D78</f>
        <v>0.05</v>
      </c>
      <c r="N29" s="40">
        <v>12</v>
      </c>
      <c r="O29" s="40">
        <f>N29*H29*$M29*$E$7*$E$7</f>
        <v>6063.75</v>
      </c>
      <c r="P29" s="102">
        <f>'LOE Breakdown by Year'!D103</f>
        <v>0.05</v>
      </c>
      <c r="Q29" s="40">
        <v>12</v>
      </c>
      <c r="R29" s="40">
        <f>Q29*H29*$P29*$E$7*$E$7*$E$7</f>
        <v>6366.9375</v>
      </c>
      <c r="S29" s="102">
        <f>'LOE Breakdown by Year'!D128</f>
        <v>0</v>
      </c>
      <c r="T29" s="40">
        <v>0</v>
      </c>
      <c r="U29" s="40">
        <f t="shared" si="7"/>
        <v>0</v>
      </c>
      <c r="V29" s="40">
        <f t="shared" si="8"/>
        <v>31405.6875</v>
      </c>
      <c r="W29" s="40">
        <v>0</v>
      </c>
      <c r="X29" s="40">
        <f>SUM(V29:W29)</f>
        <v>31405.6875</v>
      </c>
    </row>
    <row r="30" spans="1:24">
      <c r="A30" s="7" t="s">
        <v>449</v>
      </c>
      <c r="B30" s="7">
        <v>50000</v>
      </c>
      <c r="C30" s="7" t="s">
        <v>450</v>
      </c>
      <c r="D30" s="7" t="s">
        <v>218</v>
      </c>
      <c r="E30" s="102">
        <f>'LOE Breakdown by Year'!D29</f>
        <v>0.35</v>
      </c>
      <c r="F30" s="46" t="s">
        <v>147</v>
      </c>
      <c r="G30" s="40">
        <v>12</v>
      </c>
      <c r="H30" s="39">
        <f>90000/12</f>
        <v>7500</v>
      </c>
      <c r="I30" s="40">
        <f>G30*H30*E30</f>
        <v>31499.999999999996</v>
      </c>
      <c r="J30" s="102">
        <f>'LOE Breakdown by Year'!D54</f>
        <v>0.05</v>
      </c>
      <c r="K30" s="40">
        <v>12</v>
      </c>
      <c r="L30" s="40">
        <f t="shared" ref="L30" si="9">K30*H30*$E$7*$J30</f>
        <v>4725</v>
      </c>
      <c r="M30" s="102">
        <f>'LOE Breakdown by Year'!D79</f>
        <v>0.05</v>
      </c>
      <c r="N30" s="40">
        <v>12</v>
      </c>
      <c r="O30" s="40">
        <f>N30*H30*$M30*$E$7*$E$7</f>
        <v>4961.25</v>
      </c>
      <c r="P30" s="102">
        <f>'LOE Breakdown by Year'!D104</f>
        <v>0.05</v>
      </c>
      <c r="Q30" s="40">
        <v>12</v>
      </c>
      <c r="R30" s="40">
        <f>Q30*H30*$P30*$E$7*$E$7*$E$7</f>
        <v>5209.3125</v>
      </c>
      <c r="S30" s="102">
        <f>'LOE Breakdown by Year'!D129</f>
        <v>0</v>
      </c>
      <c r="T30" s="40">
        <v>0</v>
      </c>
      <c r="U30" s="40">
        <f t="shared" ref="U30" si="10">T30*H30*$S30*$E$7*$E$7*$E$7*$E$7</f>
        <v>0</v>
      </c>
      <c r="V30" s="40">
        <f t="shared" ref="V30" si="11">SUM(R30,O30,L30,I30,U30)</f>
        <v>46395.5625</v>
      </c>
      <c r="W30" s="40">
        <v>0</v>
      </c>
      <c r="X30" s="40">
        <f>SUM(V30:W30)</f>
        <v>46395.5625</v>
      </c>
    </row>
    <row r="31" spans="1:24">
      <c r="A31" s="7" t="s">
        <v>449</v>
      </c>
      <c r="B31" s="7">
        <v>50000</v>
      </c>
      <c r="C31" s="7" t="s">
        <v>450</v>
      </c>
      <c r="E31" s="102"/>
      <c r="F31" s="46"/>
      <c r="G31" s="40"/>
      <c r="H31" s="40"/>
      <c r="I31" s="40"/>
      <c r="J31" s="102"/>
      <c r="K31" s="40"/>
      <c r="L31" s="40"/>
      <c r="M31" s="102"/>
      <c r="N31" s="40"/>
      <c r="O31" s="40"/>
      <c r="P31" s="102"/>
      <c r="Q31" s="40"/>
      <c r="R31" s="40"/>
      <c r="S31" s="102"/>
      <c r="T31" s="40"/>
      <c r="U31" s="40"/>
      <c r="V31" s="40"/>
      <c r="W31" s="40"/>
      <c r="X31" s="40"/>
    </row>
    <row r="32" spans="1:24" ht="12.9" thickBot="1">
      <c r="A32" s="436"/>
      <c r="B32" s="436"/>
      <c r="C32" s="436"/>
      <c r="D32" s="436" t="s">
        <v>219</v>
      </c>
      <c r="E32" s="437"/>
      <c r="F32" s="436"/>
      <c r="G32" s="436"/>
      <c r="H32" s="436"/>
      <c r="I32" s="435">
        <f>SUM(I12:I30)</f>
        <v>237795</v>
      </c>
      <c r="J32" s="437"/>
      <c r="K32" s="435"/>
      <c r="L32" s="435">
        <f>SUM(L12:L30)</f>
        <v>39889.5</v>
      </c>
      <c r="M32" s="437"/>
      <c r="N32" s="435"/>
      <c r="O32" s="435">
        <f>SUM(O12:O30)</f>
        <v>41883.974999999999</v>
      </c>
      <c r="P32" s="437"/>
      <c r="Q32" s="435"/>
      <c r="R32" s="435">
        <f>SUM(R12:R30)</f>
        <v>43978.173750000002</v>
      </c>
      <c r="S32" s="437"/>
      <c r="T32" s="435"/>
      <c r="U32" s="435">
        <f>SUM(U12:U30)</f>
        <v>0</v>
      </c>
      <c r="V32" s="435">
        <f>SUM(V12:V30)</f>
        <v>363546.64874999999</v>
      </c>
      <c r="W32" s="435">
        <f>SUM(W12:W30)</f>
        <v>0</v>
      </c>
      <c r="X32" s="435">
        <f>SUM(X12:X30)</f>
        <v>363546.64874999999</v>
      </c>
    </row>
    <row r="33" spans="1:26">
      <c r="A33" s="67"/>
      <c r="B33" s="67"/>
      <c r="C33" s="67"/>
      <c r="D33" s="67"/>
      <c r="E33" s="104"/>
      <c r="F33" s="67"/>
      <c r="G33" s="54"/>
      <c r="H33" s="54"/>
      <c r="I33" s="54"/>
      <c r="J33" s="104"/>
      <c r="K33" s="54"/>
      <c r="L33" s="54"/>
      <c r="M33" s="104"/>
      <c r="N33" s="54"/>
      <c r="O33" s="54"/>
      <c r="P33" s="104"/>
      <c r="Q33" s="54"/>
      <c r="R33" s="54"/>
      <c r="S33" s="104"/>
      <c r="T33" s="54"/>
      <c r="U33" s="54"/>
      <c r="V33" s="54"/>
      <c r="W33" s="54"/>
      <c r="X33" s="54"/>
    </row>
    <row r="34" spans="1:26">
      <c r="A34" s="34"/>
      <c r="B34" s="34"/>
      <c r="C34" s="34"/>
      <c r="D34" s="34" t="s">
        <v>220</v>
      </c>
      <c r="E34" s="105"/>
      <c r="F34" s="34"/>
      <c r="G34" s="34"/>
      <c r="H34" s="35"/>
      <c r="I34" s="36"/>
      <c r="J34" s="105"/>
      <c r="K34" s="36"/>
      <c r="L34" s="36"/>
      <c r="M34" s="105"/>
      <c r="N34" s="36"/>
      <c r="O34" s="36"/>
      <c r="P34" s="105"/>
      <c r="Q34" s="36"/>
      <c r="R34" s="36"/>
      <c r="S34" s="105"/>
      <c r="T34" s="36"/>
      <c r="U34" s="36"/>
      <c r="V34" s="36"/>
      <c r="W34" s="36"/>
      <c r="X34" s="36"/>
    </row>
    <row r="35" spans="1:26">
      <c r="A35" s="7" t="s">
        <v>451</v>
      </c>
      <c r="B35" s="7">
        <v>70015</v>
      </c>
      <c r="C35" s="7" t="s">
        <v>488</v>
      </c>
      <c r="D35" s="7" t="s">
        <v>221</v>
      </c>
      <c r="E35" s="103"/>
      <c r="F35" s="68" t="s">
        <v>109</v>
      </c>
      <c r="G35" s="40"/>
      <c r="H35" s="55">
        <v>0.29599999999999999</v>
      </c>
      <c r="I35" s="40">
        <f>SUM(I12:I24)*$H$35</f>
        <v>37549.08</v>
      </c>
      <c r="J35" s="103"/>
      <c r="K35" s="40"/>
      <c r="L35" s="40">
        <f>SUM(L12:L24)*$H$35</f>
        <v>3962.7</v>
      </c>
      <c r="M35" s="103"/>
      <c r="N35" s="40"/>
      <c r="O35" s="40">
        <f>SUM(O12:O24)*$H$35</f>
        <v>4160.835</v>
      </c>
      <c r="P35" s="103"/>
      <c r="Q35" s="40"/>
      <c r="R35" s="40">
        <f>SUM(R12:R24)*$H$35</f>
        <v>4368.8767500000004</v>
      </c>
      <c r="S35" s="103"/>
      <c r="T35" s="40"/>
      <c r="U35" s="40">
        <f>SUM(U12:U24)*$H$35</f>
        <v>0</v>
      </c>
      <c r="V35" s="40">
        <f t="shared" ref="V35" si="12">SUM(R35,O35,L35,I35,U35)</f>
        <v>50041.491750000001</v>
      </c>
      <c r="W35" s="54">
        <v>0</v>
      </c>
      <c r="X35" s="40">
        <f t="shared" ref="X35" si="13">SUM(V35:W35)</f>
        <v>50041.491750000001</v>
      </c>
    </row>
    <row r="36" spans="1:26">
      <c r="A36" s="7" t="s">
        <v>451</v>
      </c>
      <c r="B36" s="7">
        <v>50900</v>
      </c>
      <c r="C36" s="7" t="s">
        <v>450</v>
      </c>
      <c r="D36" s="7" t="s">
        <v>222</v>
      </c>
      <c r="E36" s="103"/>
      <c r="F36" s="68" t="s">
        <v>109</v>
      </c>
      <c r="G36" s="394"/>
      <c r="H36" s="55">
        <v>0.23469999999999999</v>
      </c>
      <c r="I36" s="40">
        <f>(SUM(I26:I30))*$H$36</f>
        <v>26037.617999999999</v>
      </c>
      <c r="J36" s="103"/>
      <c r="K36" s="40"/>
      <c r="L36" s="40">
        <f>(SUM(L26:L30))*$H$36</f>
        <v>6220.0194000000001</v>
      </c>
      <c r="M36" s="103"/>
      <c r="N36" s="40"/>
      <c r="O36" s="40">
        <f>(SUM(O26:O30))*$H$36</f>
        <v>6531.0203699999993</v>
      </c>
      <c r="P36" s="103"/>
      <c r="Q36" s="40"/>
      <c r="R36" s="40">
        <f>(SUM(R26:R30))*$H$36</f>
        <v>6857.5713885000005</v>
      </c>
      <c r="S36" s="103"/>
      <c r="T36" s="40"/>
      <c r="U36" s="40">
        <f>(SUM(U26:U30))*$H$36</f>
        <v>0</v>
      </c>
      <c r="V36" s="40">
        <f>SUM(R36,O36,L36,I36,U36)</f>
        <v>45646.229158499998</v>
      </c>
      <c r="W36" s="54">
        <v>0</v>
      </c>
      <c r="X36" s="40">
        <f t="shared" ref="X36" si="14">SUM(V36:W36)</f>
        <v>45646.229158499998</v>
      </c>
    </row>
    <row r="37" spans="1:26">
      <c r="A37" s="41"/>
      <c r="B37" s="41"/>
      <c r="C37" s="41"/>
      <c r="D37" s="41"/>
      <c r="E37" s="106"/>
      <c r="I37" s="40"/>
      <c r="J37" s="106"/>
      <c r="K37" s="40"/>
      <c r="L37" s="40"/>
      <c r="M37" s="106"/>
      <c r="N37" s="40"/>
      <c r="O37" s="40"/>
      <c r="P37" s="106"/>
      <c r="Q37" s="40"/>
      <c r="R37" s="40"/>
      <c r="S37" s="106"/>
      <c r="T37" s="40"/>
      <c r="U37" s="40"/>
      <c r="V37" s="40"/>
      <c r="W37" s="40"/>
      <c r="X37" s="40"/>
    </row>
    <row r="38" spans="1:26" ht="12.9" thickBot="1">
      <c r="A38" s="404"/>
      <c r="B38" s="404"/>
      <c r="C38" s="404"/>
      <c r="D38" s="404" t="s">
        <v>223</v>
      </c>
      <c r="E38" s="405"/>
      <c r="F38" s="402"/>
      <c r="G38" s="404"/>
      <c r="H38" s="406"/>
      <c r="I38" s="403">
        <f>SUM(I35:I37)</f>
        <v>63586.698000000004</v>
      </c>
      <c r="J38" s="405"/>
      <c r="K38" s="403"/>
      <c r="L38" s="403">
        <f>SUM(L35:L37)</f>
        <v>10182.7194</v>
      </c>
      <c r="M38" s="405"/>
      <c r="N38" s="403"/>
      <c r="O38" s="403">
        <f>SUM(O35:O37)</f>
        <v>10691.855369999999</v>
      </c>
      <c r="P38" s="405"/>
      <c r="Q38" s="403"/>
      <c r="R38" s="403">
        <f>SUM(R35:R37)</f>
        <v>11226.4481385</v>
      </c>
      <c r="S38" s="405"/>
      <c r="T38" s="403"/>
      <c r="U38" s="403">
        <f>SUM(U35:U37)</f>
        <v>0</v>
      </c>
      <c r="V38" s="403">
        <f>SUM(V35:V37)</f>
        <v>95687.720908499992</v>
      </c>
      <c r="W38" s="403">
        <f>SUM(W35:W37)</f>
        <v>0</v>
      </c>
      <c r="X38" s="403">
        <f>SUM(X35:X37)</f>
        <v>95687.720908499992</v>
      </c>
    </row>
    <row r="39" spans="1:26">
      <c r="A39" s="67"/>
      <c r="B39" s="67"/>
      <c r="C39" s="67"/>
      <c r="D39" s="67"/>
      <c r="E39" s="104"/>
      <c r="F39" s="67"/>
      <c r="G39" s="54"/>
      <c r="H39" s="54"/>
      <c r="I39" s="54"/>
      <c r="J39" s="104"/>
      <c r="K39" s="54"/>
      <c r="L39" s="54"/>
      <c r="M39" s="104"/>
      <c r="N39" s="54"/>
      <c r="O39" s="54"/>
      <c r="P39" s="104"/>
      <c r="Q39" s="54"/>
      <c r="R39" s="54"/>
      <c r="S39" s="104"/>
      <c r="T39" s="54"/>
      <c r="U39" s="54"/>
      <c r="V39" s="54"/>
      <c r="W39" s="54"/>
      <c r="X39" s="54"/>
    </row>
    <row r="40" spans="1:26">
      <c r="A40" s="34"/>
      <c r="B40" s="34"/>
      <c r="C40" s="34"/>
      <c r="D40" s="34" t="s">
        <v>29</v>
      </c>
      <c r="E40" s="105"/>
      <c r="F40" s="34"/>
      <c r="G40" s="34"/>
      <c r="H40" s="35"/>
      <c r="I40" s="36"/>
      <c r="J40" s="105"/>
      <c r="K40" s="36"/>
      <c r="L40" s="36"/>
      <c r="M40" s="105"/>
      <c r="N40" s="36"/>
      <c r="O40" s="36"/>
      <c r="P40" s="105"/>
      <c r="Q40" s="36"/>
      <c r="R40" s="36"/>
      <c r="S40" s="105"/>
      <c r="T40" s="36"/>
      <c r="U40" s="36"/>
      <c r="V40" s="36"/>
      <c r="W40" s="36"/>
      <c r="X40" s="36"/>
    </row>
    <row r="41" spans="1:26">
      <c r="A41" s="61"/>
      <c r="B41" s="61"/>
      <c r="C41" s="61"/>
      <c r="D41" s="61" t="s">
        <v>224</v>
      </c>
      <c r="E41" s="107"/>
      <c r="F41" s="69"/>
      <c r="G41" s="70"/>
      <c r="H41" s="66"/>
      <c r="I41" s="66"/>
      <c r="J41" s="107"/>
      <c r="K41" s="66"/>
      <c r="L41" s="66"/>
      <c r="M41" s="107"/>
      <c r="N41" s="66"/>
      <c r="O41" s="66"/>
      <c r="P41" s="107"/>
      <c r="Q41" s="66"/>
      <c r="R41" s="66"/>
      <c r="S41" s="107"/>
      <c r="T41" s="66"/>
      <c r="U41" s="66"/>
      <c r="V41" s="66"/>
      <c r="W41" s="66"/>
      <c r="X41" s="859"/>
    </row>
    <row r="42" spans="1:26">
      <c r="A42" s="7" t="s">
        <v>452</v>
      </c>
      <c r="B42" s="7">
        <v>86040</v>
      </c>
      <c r="C42" s="7" t="s">
        <v>450</v>
      </c>
      <c r="D42" s="7" t="s">
        <v>225</v>
      </c>
      <c r="E42" s="106"/>
      <c r="F42" s="7" t="s">
        <v>139</v>
      </c>
      <c r="G42" s="40">
        <v>3</v>
      </c>
      <c r="H42" s="40">
        <v>1800</v>
      </c>
      <c r="I42" s="40">
        <f>G42*H42</f>
        <v>5400</v>
      </c>
      <c r="J42" s="106"/>
      <c r="K42" s="40">
        <v>2</v>
      </c>
      <c r="L42" s="40">
        <f>H42*K42*$E$6</f>
        <v>3780</v>
      </c>
      <c r="M42" s="106"/>
      <c r="N42" s="40">
        <v>2</v>
      </c>
      <c r="O42" s="40">
        <f>H42*N42*$E$6*$E$6</f>
        <v>3969</v>
      </c>
      <c r="P42" s="106"/>
      <c r="Q42" s="40">
        <v>2</v>
      </c>
      <c r="R42" s="40">
        <f>H42*Q42*$E$6*$E$6*$E$6</f>
        <v>4167.45</v>
      </c>
      <c r="S42" s="106"/>
      <c r="T42" s="40">
        <v>0</v>
      </c>
      <c r="U42" s="40">
        <f>T42*H42*$E$6*$E$6*$E$6*$E$6</f>
        <v>0</v>
      </c>
      <c r="V42" s="40">
        <f t="shared" ref="V42:V57" si="15">SUM(R42,O42,L42,I42,U42)</f>
        <v>17316.45</v>
      </c>
      <c r="W42" s="40" t="s">
        <v>226</v>
      </c>
      <c r="X42" s="860">
        <f>SUM(V42:W42)</f>
        <v>17316.45</v>
      </c>
    </row>
    <row r="43" spans="1:26" ht="25.2">
      <c r="A43" s="7" t="s">
        <v>453</v>
      </c>
      <c r="B43" s="864" t="s">
        <v>454</v>
      </c>
      <c r="C43" s="7" t="s">
        <v>450</v>
      </c>
      <c r="D43" s="7" t="s">
        <v>227</v>
      </c>
      <c r="F43" s="7" t="s">
        <v>132</v>
      </c>
      <c r="G43" s="40">
        <f>G42*10</f>
        <v>30</v>
      </c>
      <c r="H43" s="40">
        <f xml:space="preserve"> 180 + (0.9*145)</f>
        <v>310.5</v>
      </c>
      <c r="I43" s="40">
        <f>G43*H43</f>
        <v>9315</v>
      </c>
      <c r="J43" s="108"/>
      <c r="K43" s="40">
        <f>K42*10</f>
        <v>20</v>
      </c>
      <c r="L43" s="40">
        <f>H43*K43*$E$6</f>
        <v>6520.5</v>
      </c>
      <c r="M43" s="108"/>
      <c r="N43" s="40">
        <f>N42*10</f>
        <v>20</v>
      </c>
      <c r="O43" s="40">
        <f>H43*N43*$E$6*$E$6</f>
        <v>6846.5250000000005</v>
      </c>
      <c r="P43" s="108"/>
      <c r="Q43" s="40">
        <f>Q42*10</f>
        <v>20</v>
      </c>
      <c r="R43" s="40">
        <f>H43*Q43*$E$6*$E$6*$E$6</f>
        <v>7188.8512500000006</v>
      </c>
      <c r="S43" s="108"/>
      <c r="T43" s="40">
        <f>T42*10</f>
        <v>0</v>
      </c>
      <c r="U43" s="40">
        <f>T43*H43*$E$6*$E$6*$E$6*$E$6</f>
        <v>0</v>
      </c>
      <c r="V43" s="40">
        <f t="shared" si="15"/>
        <v>29870.876250000001</v>
      </c>
      <c r="W43" s="40" t="s">
        <v>226</v>
      </c>
      <c r="X43" s="860">
        <f>SUM(V43:W43)</f>
        <v>29870.876250000001</v>
      </c>
      <c r="Z43" s="417"/>
    </row>
    <row r="44" spans="1:26">
      <c r="A44" s="7" t="s">
        <v>453</v>
      </c>
      <c r="B44" s="7">
        <v>86000</v>
      </c>
      <c r="C44" s="7" t="s">
        <v>450</v>
      </c>
      <c r="D44" s="7" t="s">
        <v>228</v>
      </c>
      <c r="E44" s="106"/>
      <c r="F44" s="7" t="s">
        <v>139</v>
      </c>
      <c r="G44" s="40">
        <f>G42</f>
        <v>3</v>
      </c>
      <c r="H44" s="40">
        <v>150</v>
      </c>
      <c r="I44" s="40">
        <f>G44*H44</f>
        <v>450</v>
      </c>
      <c r="J44" s="108"/>
      <c r="K44" s="40">
        <f>K42</f>
        <v>2</v>
      </c>
      <c r="L44" s="40">
        <f>H44*K44*$E$6</f>
        <v>315</v>
      </c>
      <c r="M44" s="108"/>
      <c r="N44" s="40">
        <f>N42</f>
        <v>2</v>
      </c>
      <c r="O44" s="40">
        <f>H44*N44*$E$6*$E$6</f>
        <v>330.75</v>
      </c>
      <c r="P44" s="108"/>
      <c r="Q44" s="40">
        <f>Q42</f>
        <v>2</v>
      </c>
      <c r="R44" s="40">
        <f>H44*Q44*$E$6*$E$6*$E$6</f>
        <v>347.28750000000002</v>
      </c>
      <c r="S44" s="108"/>
      <c r="T44" s="40">
        <f>T42</f>
        <v>0</v>
      </c>
      <c r="U44" s="40">
        <f>T44*H44*$E$6*$E$6*$E$6*$E$6</f>
        <v>0</v>
      </c>
      <c r="V44" s="40">
        <f t="shared" si="15"/>
        <v>1443.0374999999999</v>
      </c>
      <c r="W44" s="40" t="s">
        <v>226</v>
      </c>
      <c r="X44" s="860">
        <f>SUM(V44:W44)</f>
        <v>1443.0374999999999</v>
      </c>
      <c r="Z44" s="417"/>
    </row>
    <row r="45" spans="1:26">
      <c r="A45" s="7" t="s">
        <v>453</v>
      </c>
      <c r="B45" s="7">
        <v>86050</v>
      </c>
      <c r="C45" s="7" t="s">
        <v>450</v>
      </c>
      <c r="D45" s="7" t="s">
        <v>229</v>
      </c>
      <c r="F45" s="7" t="s">
        <v>139</v>
      </c>
      <c r="G45" s="40">
        <f>G42</f>
        <v>3</v>
      </c>
      <c r="H45" s="40">
        <v>150</v>
      </c>
      <c r="I45" s="40">
        <f>G45*H45</f>
        <v>450</v>
      </c>
      <c r="J45" s="108"/>
      <c r="K45" s="40">
        <f>K42</f>
        <v>2</v>
      </c>
      <c r="L45" s="40">
        <f>H45*K45*$E$6</f>
        <v>315</v>
      </c>
      <c r="M45" s="108"/>
      <c r="N45" s="40">
        <f>N42</f>
        <v>2</v>
      </c>
      <c r="O45" s="40">
        <f>H45*N45*$E$6*$E$6</f>
        <v>330.75</v>
      </c>
      <c r="P45" s="108"/>
      <c r="Q45" s="40">
        <f>Q42</f>
        <v>2</v>
      </c>
      <c r="R45" s="40">
        <f>H45*Q45*$E$6*$E$6*$E$6</f>
        <v>347.28750000000002</v>
      </c>
      <c r="S45" s="108"/>
      <c r="T45" s="40">
        <f>T42</f>
        <v>0</v>
      </c>
      <c r="U45" s="40">
        <f>T45*H45*$E$6*$E$6*$E$6*$E$6</f>
        <v>0</v>
      </c>
      <c r="V45" s="40">
        <f t="shared" si="15"/>
        <v>1443.0374999999999</v>
      </c>
      <c r="W45" s="40" t="s">
        <v>226</v>
      </c>
      <c r="X45" s="860">
        <f>SUM(V45:W45)</f>
        <v>1443.0374999999999</v>
      </c>
      <c r="Z45" s="417"/>
    </row>
    <row r="46" spans="1:26">
      <c r="A46" s="7" t="s">
        <v>453</v>
      </c>
      <c r="B46" s="7">
        <v>86050</v>
      </c>
      <c r="C46" s="7" t="s">
        <v>450</v>
      </c>
      <c r="D46" s="7" t="s">
        <v>230</v>
      </c>
      <c r="F46" s="7" t="s">
        <v>139</v>
      </c>
      <c r="G46" s="40">
        <f>G42</f>
        <v>3</v>
      </c>
      <c r="H46" s="40">
        <v>160</v>
      </c>
      <c r="I46" s="40">
        <f>G46*H46</f>
        <v>480</v>
      </c>
      <c r="J46" s="108"/>
      <c r="K46" s="40">
        <f>K42</f>
        <v>2</v>
      </c>
      <c r="L46" s="40">
        <f t="shared" ref="L46" si="16">H46*K46*$E$6</f>
        <v>336</v>
      </c>
      <c r="M46" s="108"/>
      <c r="N46" s="40">
        <f>N42</f>
        <v>2</v>
      </c>
      <c r="O46" s="40">
        <f>H46*N46*$E$6*$E$6</f>
        <v>352.8</v>
      </c>
      <c r="P46" s="108"/>
      <c r="Q46" s="40">
        <f>Q42</f>
        <v>2</v>
      </c>
      <c r="R46" s="40">
        <f>H46*Q46*$E$6*$E$6*$E$6</f>
        <v>370.44000000000005</v>
      </c>
      <c r="S46" s="108"/>
      <c r="T46" s="40">
        <f>T42</f>
        <v>0</v>
      </c>
      <c r="U46" s="40">
        <f t="shared" ref="U46" si="17">T46*H46*$E$6*$E$6*$E$6*$E$6</f>
        <v>0</v>
      </c>
      <c r="V46" s="40">
        <f t="shared" ref="V46" si="18">SUM(R46,O46,L46,I46,U46)</f>
        <v>1539.24</v>
      </c>
      <c r="W46" s="40"/>
      <c r="X46" s="860">
        <f>SUM(V46:W46)</f>
        <v>1539.24</v>
      </c>
      <c r="Z46" s="417"/>
    </row>
    <row r="47" spans="1:26">
      <c r="A47" s="61"/>
      <c r="B47" s="61"/>
      <c r="C47" s="61"/>
      <c r="D47" s="61" t="s">
        <v>231</v>
      </c>
      <c r="E47" s="107"/>
      <c r="F47" s="69"/>
      <c r="G47" s="66"/>
      <c r="H47" s="66"/>
      <c r="I47" s="66"/>
      <c r="J47" s="107"/>
      <c r="K47" s="66"/>
      <c r="L47" s="66"/>
      <c r="M47" s="107"/>
      <c r="N47" s="66"/>
      <c r="O47" s="66"/>
      <c r="P47" s="107"/>
      <c r="Q47" s="66"/>
      <c r="R47" s="66"/>
      <c r="S47" s="107"/>
      <c r="T47" s="66"/>
      <c r="U47" s="66"/>
      <c r="V47" s="66"/>
      <c r="W47" s="66"/>
      <c r="X47" s="859"/>
    </row>
    <row r="48" spans="1:26">
      <c r="A48" s="7" t="s">
        <v>455</v>
      </c>
      <c r="B48" s="7">
        <v>86040</v>
      </c>
      <c r="C48" s="7" t="s">
        <v>488</v>
      </c>
      <c r="D48" s="7" t="s">
        <v>232</v>
      </c>
      <c r="E48" s="106"/>
      <c r="F48" s="7" t="s">
        <v>139</v>
      </c>
      <c r="G48" s="40">
        <v>3</v>
      </c>
      <c r="H48" s="40">
        <v>1800</v>
      </c>
      <c r="I48" s="40">
        <f>G48*H48</f>
        <v>5400</v>
      </c>
      <c r="J48" s="106"/>
      <c r="K48" s="40">
        <v>3</v>
      </c>
      <c r="L48" s="40">
        <f>H48*K48*$E$6</f>
        <v>5670</v>
      </c>
      <c r="M48" s="106"/>
      <c r="N48" s="40">
        <v>3</v>
      </c>
      <c r="O48" s="40">
        <f>H48*N48*$E$6*$E$6</f>
        <v>5953.5</v>
      </c>
      <c r="P48" s="106"/>
      <c r="Q48" s="40">
        <v>3</v>
      </c>
      <c r="R48" s="40">
        <f>H48*Q48*$E$6*$E$6*$E$6</f>
        <v>6251.1750000000002</v>
      </c>
      <c r="S48" s="106"/>
      <c r="T48" s="40">
        <v>0</v>
      </c>
      <c r="U48" s="40">
        <f>T48*H48*$E$6*$E$6*$E$6*$E$6</f>
        <v>0</v>
      </c>
      <c r="V48" s="40">
        <f t="shared" si="15"/>
        <v>23274.674999999999</v>
      </c>
      <c r="W48" s="40" t="s">
        <v>226</v>
      </c>
      <c r="X48" s="860">
        <f>SUM(V48:W48)</f>
        <v>23274.674999999999</v>
      </c>
      <c r="Z48" s="417"/>
    </row>
    <row r="49" spans="1:24" ht="25.2">
      <c r="A49" s="7" t="s">
        <v>455</v>
      </c>
      <c r="B49" s="864" t="s">
        <v>454</v>
      </c>
      <c r="C49" s="7" t="s">
        <v>488</v>
      </c>
      <c r="D49" s="7" t="s">
        <v>233</v>
      </c>
      <c r="F49" s="7" t="s">
        <v>132</v>
      </c>
      <c r="G49" s="40">
        <f>7*G48</f>
        <v>21</v>
      </c>
      <c r="H49" s="40">
        <f xml:space="preserve"> 180 + (0.9*92)</f>
        <v>262.8</v>
      </c>
      <c r="I49" s="40">
        <f>G49*H49</f>
        <v>5518.8</v>
      </c>
      <c r="J49" s="108"/>
      <c r="K49" s="40">
        <f>7*K48</f>
        <v>21</v>
      </c>
      <c r="L49" s="40">
        <f>H49*K49*$E$6</f>
        <v>5794.7400000000007</v>
      </c>
      <c r="M49" s="108"/>
      <c r="N49" s="40">
        <f>7*N48</f>
        <v>21</v>
      </c>
      <c r="O49" s="40">
        <f>H49*N49*$E$6*$E$6</f>
        <v>6084.4770000000008</v>
      </c>
      <c r="P49" s="108"/>
      <c r="Q49" s="40">
        <f>7*Q48</f>
        <v>21</v>
      </c>
      <c r="R49" s="40">
        <f>H49*Q49*$E$6*$E$6*$E$6</f>
        <v>6388.7008500000011</v>
      </c>
      <c r="S49" s="108"/>
      <c r="T49" s="40">
        <f>7*T48</f>
        <v>0</v>
      </c>
      <c r="U49" s="40">
        <f>T49*H49*$E$6*$E$6*$E$6*$E$6</f>
        <v>0</v>
      </c>
      <c r="V49" s="40">
        <f t="shared" si="15"/>
        <v>23786.717850000001</v>
      </c>
      <c r="W49" s="40" t="s">
        <v>226</v>
      </c>
      <c r="X49" s="860">
        <f>SUM(V49:W49)</f>
        <v>23786.717850000001</v>
      </c>
    </row>
    <row r="50" spans="1:24">
      <c r="A50" s="7" t="s">
        <v>455</v>
      </c>
      <c r="B50" s="7">
        <v>86000</v>
      </c>
      <c r="C50" s="7" t="s">
        <v>488</v>
      </c>
      <c r="D50" s="7" t="s">
        <v>234</v>
      </c>
      <c r="F50" s="7" t="s">
        <v>139</v>
      </c>
      <c r="G50" s="40">
        <f>G48</f>
        <v>3</v>
      </c>
      <c r="H50" s="40">
        <v>250</v>
      </c>
      <c r="I50" s="40">
        <f>G50*H50</f>
        <v>750</v>
      </c>
      <c r="J50" s="108"/>
      <c r="K50" s="40">
        <f>K48</f>
        <v>3</v>
      </c>
      <c r="L50" s="40">
        <f>H50*K50*$E$6</f>
        <v>787.5</v>
      </c>
      <c r="M50" s="108"/>
      <c r="N50" s="40">
        <f>N48</f>
        <v>3</v>
      </c>
      <c r="O50" s="40">
        <f>H50*N50*$E$6*$E$6</f>
        <v>826.875</v>
      </c>
      <c r="P50" s="108"/>
      <c r="Q50" s="40">
        <f>Q48</f>
        <v>3</v>
      </c>
      <c r="R50" s="40">
        <f>H50*Q50*$E$6*$E$6*$E$6</f>
        <v>868.21875</v>
      </c>
      <c r="S50" s="108"/>
      <c r="T50" s="40">
        <f>T48</f>
        <v>0</v>
      </c>
      <c r="U50" s="40">
        <f>T50*H50*$E$6*$E$6*$E$6*$E$6</f>
        <v>0</v>
      </c>
      <c r="V50" s="40">
        <f t="shared" si="15"/>
        <v>3232.59375</v>
      </c>
      <c r="W50" s="40" t="s">
        <v>226</v>
      </c>
      <c r="X50" s="860">
        <f>SUM(V50:W50)</f>
        <v>3232.59375</v>
      </c>
    </row>
    <row r="51" spans="1:24">
      <c r="A51" s="7" t="s">
        <v>455</v>
      </c>
      <c r="B51" s="7">
        <v>86050</v>
      </c>
      <c r="C51" s="7" t="s">
        <v>488</v>
      </c>
      <c r="D51" s="7" t="s">
        <v>235</v>
      </c>
      <c r="F51" s="7" t="s">
        <v>139</v>
      </c>
      <c r="G51" s="40">
        <f>G48</f>
        <v>3</v>
      </c>
      <c r="H51" s="40">
        <v>150</v>
      </c>
      <c r="I51" s="40">
        <f>G51*H51</f>
        <v>450</v>
      </c>
      <c r="J51" s="108"/>
      <c r="K51" s="40">
        <f>K48</f>
        <v>3</v>
      </c>
      <c r="L51" s="40">
        <f>H51*K51*$E$6</f>
        <v>472.5</v>
      </c>
      <c r="M51" s="108"/>
      <c r="N51" s="40">
        <f>N48</f>
        <v>3</v>
      </c>
      <c r="O51" s="40">
        <f>H51*N51*$E$6*$E$6</f>
        <v>496.125</v>
      </c>
      <c r="P51" s="108"/>
      <c r="Q51" s="40">
        <f>Q48</f>
        <v>3</v>
      </c>
      <c r="R51" s="40">
        <f>H51*Q51*$E$6*$E$6*$E$6</f>
        <v>520.93124999999998</v>
      </c>
      <c r="S51" s="108"/>
      <c r="T51" s="40">
        <f>T48</f>
        <v>0</v>
      </c>
      <c r="U51" s="40">
        <f>T51*H51*$E$6*$E$6*$E$6*$E$6</f>
        <v>0</v>
      </c>
      <c r="V51" s="40">
        <f t="shared" si="15"/>
        <v>1939.5562500000001</v>
      </c>
      <c r="W51" s="40" t="s">
        <v>226</v>
      </c>
      <c r="X51" s="860">
        <f>SUM(V51:W51)</f>
        <v>1939.5562500000001</v>
      </c>
    </row>
    <row r="52" spans="1:24">
      <c r="A52" s="7" t="s">
        <v>455</v>
      </c>
      <c r="B52" s="7">
        <v>86050</v>
      </c>
      <c r="C52" s="7" t="s">
        <v>488</v>
      </c>
      <c r="D52" s="7" t="s">
        <v>236</v>
      </c>
      <c r="F52" s="7" t="s">
        <v>139</v>
      </c>
      <c r="G52" s="40">
        <v>4</v>
      </c>
      <c r="H52" s="40">
        <v>185</v>
      </c>
      <c r="I52" s="40">
        <f>G52*H52</f>
        <v>740</v>
      </c>
      <c r="J52" s="108"/>
      <c r="K52" s="40">
        <v>2</v>
      </c>
      <c r="L52" s="40">
        <f>H52*K52*$E$6</f>
        <v>388.5</v>
      </c>
      <c r="M52" s="108"/>
      <c r="N52" s="40">
        <v>0</v>
      </c>
      <c r="O52" s="40">
        <f>H52*N52*$E$6*$E$6</f>
        <v>0</v>
      </c>
      <c r="P52" s="108"/>
      <c r="Q52" s="40">
        <v>0</v>
      </c>
      <c r="R52" s="40">
        <f>H52*Q52*$E$6*$E$6*$E$6</f>
        <v>0</v>
      </c>
      <c r="S52" s="108"/>
      <c r="T52" s="40">
        <v>0</v>
      </c>
      <c r="U52" s="40">
        <f t="shared" ref="U52" si="19">T52*H52*$E$6*$E$6*$E$6*$E$6</f>
        <v>0</v>
      </c>
      <c r="V52" s="40">
        <f t="shared" si="15"/>
        <v>1128.5</v>
      </c>
      <c r="W52" s="40"/>
      <c r="X52" s="860">
        <f t="shared" ref="X52" si="20">SUM(V52:W52)</f>
        <v>1128.5</v>
      </c>
    </row>
    <row r="53" spans="1:24">
      <c r="A53" s="61"/>
      <c r="B53" s="61"/>
      <c r="C53" s="61"/>
      <c r="D53" s="61" t="s">
        <v>237</v>
      </c>
      <c r="E53" s="107"/>
      <c r="F53" s="69"/>
      <c r="G53" s="66"/>
      <c r="H53" s="66"/>
      <c r="I53" s="66"/>
      <c r="J53" s="107"/>
      <c r="K53" s="66"/>
      <c r="L53" s="66"/>
      <c r="M53" s="107"/>
      <c r="N53" s="66"/>
      <c r="O53" s="66"/>
      <c r="P53" s="107"/>
      <c r="Q53" s="66"/>
      <c r="R53" s="66"/>
      <c r="S53" s="107"/>
      <c r="T53" s="66"/>
      <c r="U53" s="66"/>
      <c r="V53" s="66"/>
      <c r="W53" s="66"/>
      <c r="X53" s="859"/>
    </row>
    <row r="54" spans="1:24">
      <c r="A54" s="7" t="s">
        <v>457</v>
      </c>
      <c r="B54" s="7">
        <v>86000</v>
      </c>
      <c r="C54" s="7" t="s">
        <v>488</v>
      </c>
      <c r="D54" s="7" t="s">
        <v>238</v>
      </c>
      <c r="E54" s="106"/>
      <c r="F54" s="7" t="s">
        <v>147</v>
      </c>
      <c r="G54" s="40">
        <v>3</v>
      </c>
      <c r="H54" s="40">
        <v>50</v>
      </c>
      <c r="I54" s="40">
        <f>G54*H54</f>
        <v>150</v>
      </c>
      <c r="J54" s="106"/>
      <c r="K54" s="40">
        <v>12</v>
      </c>
      <c r="L54" s="40">
        <f>H54*K54*$E$6</f>
        <v>630</v>
      </c>
      <c r="M54" s="106"/>
      <c r="N54" s="40">
        <v>12</v>
      </c>
      <c r="O54" s="40">
        <f>H54*N54*$E$6*$E$6</f>
        <v>661.5</v>
      </c>
      <c r="P54" s="106"/>
      <c r="Q54" s="40">
        <v>12</v>
      </c>
      <c r="R54" s="40">
        <f>H54*Q54*$E$6*$E$6*$E$6</f>
        <v>694.57500000000005</v>
      </c>
      <c r="S54" s="106"/>
      <c r="T54" s="40">
        <v>0</v>
      </c>
      <c r="U54" s="40">
        <f>T54*H54*$E$6*$E$6*$E$6*$E$6</f>
        <v>0</v>
      </c>
      <c r="V54" s="40">
        <f t="shared" ref="V54:V55" si="21">SUM(R54,O54,L54,I54,U54)</f>
        <v>2136.0749999999998</v>
      </c>
      <c r="W54" s="40" t="s">
        <v>226</v>
      </c>
      <c r="X54" s="860">
        <f>SUM(V54:W54)</f>
        <v>2136.0749999999998</v>
      </c>
    </row>
    <row r="55" spans="1:24">
      <c r="A55" s="7" t="s">
        <v>456</v>
      </c>
      <c r="B55" s="7">
        <v>86040</v>
      </c>
      <c r="C55" s="7" t="s">
        <v>488</v>
      </c>
      <c r="D55" s="7" t="s">
        <v>239</v>
      </c>
      <c r="F55" s="7" t="s">
        <v>139</v>
      </c>
      <c r="G55" s="40">
        <f>12*3</f>
        <v>36</v>
      </c>
      <c r="H55" s="40">
        <v>250</v>
      </c>
      <c r="I55" s="40">
        <f>G55*H55</f>
        <v>9000</v>
      </c>
      <c r="J55" s="108"/>
      <c r="K55" s="40">
        <f>12*3</f>
        <v>36</v>
      </c>
      <c r="L55" s="40">
        <f>H55*K55*$E$6</f>
        <v>9450</v>
      </c>
      <c r="M55" s="108"/>
      <c r="N55" s="40">
        <f>12*3</f>
        <v>36</v>
      </c>
      <c r="O55" s="40">
        <f>H55*N55*$E$6*$E$6</f>
        <v>9922.5</v>
      </c>
      <c r="P55" s="108"/>
      <c r="Q55" s="40">
        <f>12*3</f>
        <v>36</v>
      </c>
      <c r="R55" s="40">
        <f>H55*Q55*$E$6*$E$6*$E$6</f>
        <v>10418.625</v>
      </c>
      <c r="S55" s="108"/>
      <c r="T55" s="40">
        <v>0</v>
      </c>
      <c r="U55" s="40">
        <f>T55*H55*$E$6*$E$6*$E$6*$E$6</f>
        <v>0</v>
      </c>
      <c r="V55" s="40">
        <f t="shared" si="21"/>
        <v>38791.125</v>
      </c>
      <c r="W55" s="40" t="s">
        <v>226</v>
      </c>
      <c r="X55" s="860">
        <f>SUM(V55:W55)</f>
        <v>38791.125</v>
      </c>
    </row>
    <row r="56" spans="1:24">
      <c r="A56" s="7" t="s">
        <v>456</v>
      </c>
      <c r="B56" s="7">
        <v>86000</v>
      </c>
      <c r="C56" s="7" t="s">
        <v>488</v>
      </c>
      <c r="D56" s="7" t="s">
        <v>240</v>
      </c>
      <c r="F56" s="7" t="s">
        <v>139</v>
      </c>
      <c r="G56" s="40">
        <f>12*3</f>
        <v>36</v>
      </c>
      <c r="H56" s="40">
        <v>30</v>
      </c>
      <c r="I56" s="40">
        <f>G56*H56</f>
        <v>1080</v>
      </c>
      <c r="J56" s="108"/>
      <c r="K56" s="40">
        <f>12*3</f>
        <v>36</v>
      </c>
      <c r="L56" s="40">
        <f>H56*K56*$E$6</f>
        <v>1134</v>
      </c>
      <c r="M56" s="108"/>
      <c r="N56" s="40">
        <f>12*3</f>
        <v>36</v>
      </c>
      <c r="O56" s="40">
        <f>H56*N56*$E$6*$E$6</f>
        <v>1190.7</v>
      </c>
      <c r="P56" s="108"/>
      <c r="Q56" s="40">
        <f>12*3</f>
        <v>36</v>
      </c>
      <c r="R56" s="40">
        <f>H56*Q56*$E$6*$E$6*$E$6</f>
        <v>1250.2350000000001</v>
      </c>
      <c r="S56" s="108"/>
      <c r="T56" s="40">
        <v>0</v>
      </c>
      <c r="U56" s="40">
        <f>T56*H56*$E$6*$E$6*$E$6*$E$6</f>
        <v>0</v>
      </c>
      <c r="V56" s="40">
        <f t="shared" si="15"/>
        <v>4654.9350000000004</v>
      </c>
      <c r="W56" s="40" t="s">
        <v>226</v>
      </c>
      <c r="X56" s="860">
        <f>SUM(V56:W56)</f>
        <v>4654.9350000000004</v>
      </c>
    </row>
    <row r="57" spans="1:24" ht="25.2">
      <c r="A57" s="7" t="s">
        <v>456</v>
      </c>
      <c r="B57" s="864" t="s">
        <v>454</v>
      </c>
      <c r="C57" s="7" t="s">
        <v>488</v>
      </c>
      <c r="D57" s="7" t="s">
        <v>241</v>
      </c>
      <c r="F57" s="7" t="s">
        <v>132</v>
      </c>
      <c r="G57" s="40">
        <f>4*G56</f>
        <v>144</v>
      </c>
      <c r="H57" s="40">
        <f>(131*50%)+80</f>
        <v>145.5</v>
      </c>
      <c r="I57" s="40">
        <f>G57*H57</f>
        <v>20952</v>
      </c>
      <c r="J57" s="108"/>
      <c r="K57" s="40">
        <f>4*K56</f>
        <v>144</v>
      </c>
      <c r="L57" s="40">
        <f>H57*K57*$E$6</f>
        <v>21999.600000000002</v>
      </c>
      <c r="M57" s="108"/>
      <c r="N57" s="40">
        <f>4*N56</f>
        <v>144</v>
      </c>
      <c r="O57" s="40">
        <f>H57*N57*$E$6*$E$6</f>
        <v>23099.58</v>
      </c>
      <c r="P57" s="108"/>
      <c r="Q57" s="40">
        <f>4*Q56</f>
        <v>144</v>
      </c>
      <c r="R57" s="40">
        <f>H57*Q57*$E$6*$E$6*$E$6</f>
        <v>24254.559000000001</v>
      </c>
      <c r="S57" s="108"/>
      <c r="T57" s="40">
        <f>4*T56</f>
        <v>0</v>
      </c>
      <c r="U57" s="40">
        <f>T57*H57*$E$6*$E$6*$E$6*$E$6</f>
        <v>0</v>
      </c>
      <c r="V57" s="40">
        <f t="shared" si="15"/>
        <v>90305.739000000001</v>
      </c>
      <c r="W57" s="40" t="s">
        <v>226</v>
      </c>
      <c r="X57" s="860">
        <f>SUM(V57:W57)</f>
        <v>90305.739000000001</v>
      </c>
    </row>
    <row r="58" spans="1:24" ht="12.9" thickBot="1">
      <c r="A58" s="402"/>
      <c r="B58" s="402"/>
      <c r="C58" s="402"/>
      <c r="D58" s="402" t="s">
        <v>242</v>
      </c>
      <c r="E58" s="405"/>
      <c r="F58" s="407"/>
      <c r="G58" s="407"/>
      <c r="H58" s="406"/>
      <c r="I58" s="403">
        <f>SUM(I41:I57)</f>
        <v>60135.8</v>
      </c>
      <c r="J58" s="405"/>
      <c r="K58" s="403"/>
      <c r="L58" s="403">
        <f>SUM(L41:L57)</f>
        <v>57593.340000000011</v>
      </c>
      <c r="M58" s="405"/>
      <c r="N58" s="403"/>
      <c r="O58" s="403">
        <f>SUM(O41:O57)</f>
        <v>60065.082000000002</v>
      </c>
      <c r="P58" s="405"/>
      <c r="Q58" s="403"/>
      <c r="R58" s="403">
        <f>SUM(R41:R57)</f>
        <v>63068.336100000008</v>
      </c>
      <c r="S58" s="405"/>
      <c r="T58" s="403"/>
      <c r="U58" s="403">
        <f>SUM(U41:U57)</f>
        <v>0</v>
      </c>
      <c r="V58" s="403">
        <f>SUM(V41:V57)</f>
        <v>240862.55809999997</v>
      </c>
      <c r="W58" s="403">
        <f>SUM(W41:W57)</f>
        <v>0</v>
      </c>
      <c r="X58" s="403">
        <f>SUM(X41:X57)</f>
        <v>240862.55809999997</v>
      </c>
    </row>
    <row r="59" spans="1:24">
      <c r="A59" s="67"/>
      <c r="B59" s="67"/>
      <c r="C59" s="67"/>
      <c r="D59" s="67"/>
      <c r="E59" s="104"/>
      <c r="F59" s="67"/>
      <c r="G59" s="54"/>
      <c r="H59" s="54"/>
      <c r="I59" s="54"/>
      <c r="J59" s="104"/>
      <c r="K59" s="54"/>
      <c r="L59" s="54"/>
      <c r="M59" s="104"/>
      <c r="N59" s="54"/>
      <c r="O59" s="54"/>
      <c r="P59" s="104"/>
      <c r="Q59" s="54"/>
      <c r="R59" s="54"/>
      <c r="S59" s="104"/>
      <c r="T59" s="54"/>
      <c r="U59" s="54"/>
      <c r="V59" s="54"/>
      <c r="W59" s="54"/>
      <c r="X59" s="54"/>
    </row>
    <row r="60" spans="1:24">
      <c r="A60" s="34"/>
      <c r="B60" s="34"/>
      <c r="C60" s="34"/>
      <c r="D60" s="34" t="s">
        <v>30</v>
      </c>
      <c r="E60" s="105"/>
      <c r="F60" s="34"/>
      <c r="G60" s="34"/>
      <c r="H60" s="35"/>
      <c r="I60" s="36"/>
      <c r="J60" s="105"/>
      <c r="K60" s="36"/>
      <c r="L60" s="36"/>
      <c r="M60" s="105"/>
      <c r="N60" s="36"/>
      <c r="O60" s="36"/>
      <c r="P60" s="105"/>
      <c r="Q60" s="36"/>
      <c r="R60" s="36"/>
      <c r="S60" s="105"/>
      <c r="T60" s="36"/>
      <c r="U60" s="36"/>
      <c r="V60" s="36"/>
      <c r="W60" s="36"/>
      <c r="X60" s="36"/>
    </row>
    <row r="61" spans="1:24">
      <c r="A61" s="5" t="s">
        <v>458</v>
      </c>
      <c r="B61" s="7">
        <v>81010</v>
      </c>
      <c r="C61" s="7" t="s">
        <v>450</v>
      </c>
      <c r="D61" s="7" t="s">
        <v>243</v>
      </c>
      <c r="E61" s="106"/>
      <c r="F61" s="68" t="s">
        <v>109</v>
      </c>
      <c r="G61" s="40">
        <v>10790000</v>
      </c>
      <c r="H61" s="134">
        <v>1.67E-2</v>
      </c>
      <c r="I61" s="40">
        <f>G61*H61</f>
        <v>180193</v>
      </c>
      <c r="J61" s="106"/>
      <c r="K61" s="40">
        <v>0</v>
      </c>
      <c r="L61" s="40">
        <v>0</v>
      </c>
      <c r="M61" s="106"/>
      <c r="N61" s="40">
        <v>0</v>
      </c>
      <c r="O61" s="40">
        <f t="shared" ref="O61:O63" si="22">N61*H61</f>
        <v>0</v>
      </c>
      <c r="P61" s="106"/>
      <c r="Q61" s="40">
        <v>0</v>
      </c>
      <c r="R61" s="40">
        <f t="shared" ref="R61:R63" si="23">Q61*H61</f>
        <v>0</v>
      </c>
      <c r="S61" s="106"/>
      <c r="T61" s="40">
        <v>0</v>
      </c>
      <c r="U61" s="40">
        <f t="shared" ref="U61:U62" si="24">T61*H61</f>
        <v>0</v>
      </c>
      <c r="V61" s="40">
        <f t="shared" ref="V61:V63" si="25">SUM(R61,O61,L61,I61,U61)</f>
        <v>180193</v>
      </c>
      <c r="W61" s="40">
        <v>0</v>
      </c>
      <c r="X61" s="40">
        <f t="shared" ref="X61:X63" si="26">V61+W61</f>
        <v>180193</v>
      </c>
    </row>
    <row r="62" spans="1:24">
      <c r="A62" s="5" t="s">
        <v>459</v>
      </c>
      <c r="B62" s="7">
        <v>81010</v>
      </c>
      <c r="C62" s="7" t="s">
        <v>450</v>
      </c>
      <c r="D62" s="7" t="s">
        <v>244</v>
      </c>
      <c r="E62" s="106"/>
      <c r="F62" s="45" t="s">
        <v>146</v>
      </c>
      <c r="G62" s="40">
        <v>0</v>
      </c>
      <c r="H62" s="40">
        <v>60000</v>
      </c>
      <c r="I62" s="40">
        <f t="shared" ref="I62:I68" si="27">G62*H62</f>
        <v>0</v>
      </c>
      <c r="J62" s="106"/>
      <c r="K62" s="40">
        <v>1</v>
      </c>
      <c r="L62" s="40">
        <f t="shared" ref="L62:L63" si="28">K62*H62</f>
        <v>60000</v>
      </c>
      <c r="M62" s="106"/>
      <c r="N62" s="40">
        <v>0</v>
      </c>
      <c r="O62" s="40">
        <f t="shared" si="22"/>
        <v>0</v>
      </c>
      <c r="P62" s="106"/>
      <c r="Q62" s="40">
        <v>0</v>
      </c>
      <c r="R62" s="40">
        <f t="shared" si="23"/>
        <v>0</v>
      </c>
      <c r="S62" s="106"/>
      <c r="T62" s="40">
        <v>0</v>
      </c>
      <c r="U62" s="40">
        <f t="shared" si="24"/>
        <v>0</v>
      </c>
      <c r="V62" s="40">
        <f t="shared" si="25"/>
        <v>60000</v>
      </c>
      <c r="W62" s="40">
        <v>0</v>
      </c>
      <c r="X62" s="40">
        <f t="shared" si="26"/>
        <v>60000</v>
      </c>
    </row>
    <row r="63" spans="1:24">
      <c r="A63" s="5" t="s">
        <v>460</v>
      </c>
      <c r="B63" s="7">
        <v>82100</v>
      </c>
      <c r="C63" s="7" t="s">
        <v>450</v>
      </c>
      <c r="D63" s="7" t="s">
        <v>245</v>
      </c>
      <c r="E63" s="106"/>
      <c r="F63" s="45" t="s">
        <v>246</v>
      </c>
      <c r="G63" s="40">
        <v>1</v>
      </c>
      <c r="H63" s="40">
        <v>13000</v>
      </c>
      <c r="I63" s="40">
        <f t="shared" ref="I63" si="29">G63*H63</f>
        <v>13000</v>
      </c>
      <c r="J63" s="106"/>
      <c r="K63" s="40">
        <v>1</v>
      </c>
      <c r="L63" s="40">
        <f t="shared" si="28"/>
        <v>13000</v>
      </c>
      <c r="M63" s="106"/>
      <c r="N63" s="40">
        <v>1</v>
      </c>
      <c r="O63" s="40">
        <f t="shared" si="22"/>
        <v>13000</v>
      </c>
      <c r="P63" s="106"/>
      <c r="Q63" s="40">
        <v>1</v>
      </c>
      <c r="R63" s="40">
        <f t="shared" si="23"/>
        <v>13000</v>
      </c>
      <c r="S63" s="106"/>
      <c r="T63" s="40">
        <v>0</v>
      </c>
      <c r="U63" s="40">
        <f>T63*H63</f>
        <v>0</v>
      </c>
      <c r="V63" s="40">
        <f t="shared" si="25"/>
        <v>52000</v>
      </c>
      <c r="W63" s="40">
        <v>0</v>
      </c>
      <c r="X63" s="40">
        <f t="shared" si="26"/>
        <v>52000</v>
      </c>
    </row>
    <row r="64" spans="1:24" ht="25.2">
      <c r="A64" s="7" t="s">
        <v>466</v>
      </c>
      <c r="B64" s="7" t="s">
        <v>465</v>
      </c>
      <c r="C64" s="7" t="s">
        <v>488</v>
      </c>
      <c r="D64" s="7" t="s">
        <v>247</v>
      </c>
      <c r="E64" s="106"/>
      <c r="F64" s="45" t="s">
        <v>147</v>
      </c>
      <c r="G64" s="40">
        <v>12</v>
      </c>
      <c r="H64" s="40">
        <v>2000</v>
      </c>
      <c r="I64" s="40">
        <f>G64*H64</f>
        <v>24000</v>
      </c>
      <c r="J64" s="106"/>
      <c r="K64" s="40">
        <v>12</v>
      </c>
      <c r="L64" s="40">
        <f>K64*H64</f>
        <v>24000</v>
      </c>
      <c r="M64" s="106"/>
      <c r="N64" s="40">
        <v>12</v>
      </c>
      <c r="O64" s="40">
        <f t="shared" ref="O64:O68" si="30">N64*H64</f>
        <v>24000</v>
      </c>
      <c r="P64" s="106"/>
      <c r="Q64" s="40">
        <v>12</v>
      </c>
      <c r="R64" s="40">
        <f t="shared" ref="R64:R68" si="31">Q64*H64</f>
        <v>24000</v>
      </c>
      <c r="S64" s="106"/>
      <c r="T64" s="40">
        <v>0</v>
      </c>
      <c r="U64" s="40">
        <f>T64*H64</f>
        <v>0</v>
      </c>
      <c r="V64" s="40">
        <f t="shared" ref="V64:V81" si="32">SUM(R64,O64,L64,I64,U64)</f>
        <v>96000</v>
      </c>
      <c r="W64" s="40">
        <v>0</v>
      </c>
      <c r="X64" s="40">
        <f t="shared" ref="X64" si="33">V64+W64</f>
        <v>96000</v>
      </c>
    </row>
    <row r="65" spans="1:25">
      <c r="A65" s="5" t="s">
        <v>461</v>
      </c>
      <c r="B65" s="7">
        <v>81010</v>
      </c>
      <c r="C65" s="7" t="s">
        <v>488</v>
      </c>
      <c r="D65" s="7" t="s">
        <v>248</v>
      </c>
      <c r="E65" s="106"/>
      <c r="F65" s="45" t="s">
        <v>246</v>
      </c>
      <c r="G65" s="40">
        <v>1</v>
      </c>
      <c r="H65" s="40">
        <v>3000</v>
      </c>
      <c r="I65" s="40">
        <f t="shared" si="27"/>
        <v>3000</v>
      </c>
      <c r="J65" s="106"/>
      <c r="K65" s="40">
        <v>1</v>
      </c>
      <c r="L65" s="40">
        <f t="shared" ref="L65:L68" si="34">K65*H65</f>
        <v>3000</v>
      </c>
      <c r="M65" s="106"/>
      <c r="N65" s="40">
        <v>1</v>
      </c>
      <c r="O65" s="40">
        <f t="shared" si="30"/>
        <v>3000</v>
      </c>
      <c r="P65" s="106"/>
      <c r="Q65" s="40">
        <v>1</v>
      </c>
      <c r="R65" s="40">
        <f t="shared" si="31"/>
        <v>3000</v>
      </c>
      <c r="S65" s="106"/>
      <c r="T65" s="40">
        <v>0</v>
      </c>
      <c r="U65" s="40">
        <f>T65*H65</f>
        <v>0</v>
      </c>
      <c r="V65" s="40">
        <f t="shared" si="32"/>
        <v>12000</v>
      </c>
      <c r="W65" s="40">
        <v>0</v>
      </c>
      <c r="X65" s="40">
        <f>V65+W65</f>
        <v>12000</v>
      </c>
    </row>
    <row r="66" spans="1:25">
      <c r="A66" s="7" t="s">
        <v>464</v>
      </c>
      <c r="B66" s="7">
        <v>81010</v>
      </c>
      <c r="C66" s="7" t="s">
        <v>450</v>
      </c>
      <c r="D66" s="7" t="s">
        <v>249</v>
      </c>
      <c r="E66" s="106"/>
      <c r="F66" s="45" t="s">
        <v>147</v>
      </c>
      <c r="G66" s="40">
        <v>12</v>
      </c>
      <c r="H66" s="40">
        <v>500</v>
      </c>
      <c r="I66" s="40">
        <f>G66*H66</f>
        <v>6000</v>
      </c>
      <c r="J66" s="106"/>
      <c r="K66" s="40">
        <v>12</v>
      </c>
      <c r="L66" s="40">
        <f t="shared" ref="L66" si="35">K66*H66</f>
        <v>6000</v>
      </c>
      <c r="M66" s="106"/>
      <c r="N66" s="40">
        <v>12</v>
      </c>
      <c r="O66" s="40">
        <f t="shared" ref="O66" si="36">N66*H66</f>
        <v>6000</v>
      </c>
      <c r="P66" s="106"/>
      <c r="Q66" s="40">
        <v>12</v>
      </c>
      <c r="R66" s="40">
        <f t="shared" ref="R66" si="37">Q66*H66</f>
        <v>6000</v>
      </c>
      <c r="S66" s="106"/>
      <c r="T66" s="40">
        <v>0</v>
      </c>
      <c r="U66" s="40">
        <f>T66*H66</f>
        <v>0</v>
      </c>
      <c r="V66" s="40">
        <f t="shared" ref="V66" si="38">SUM(R66,O66,L66,I66,U66)</f>
        <v>24000</v>
      </c>
      <c r="W66" s="40">
        <v>0</v>
      </c>
      <c r="X66" s="40">
        <f t="shared" ref="X66" si="39">V66+W66</f>
        <v>24000</v>
      </c>
    </row>
    <row r="67" spans="1:25">
      <c r="A67" s="7" t="s">
        <v>462</v>
      </c>
      <c r="B67" s="7">
        <v>86110</v>
      </c>
      <c r="C67" s="7" t="s">
        <v>488</v>
      </c>
      <c r="D67" s="7" t="s">
        <v>250</v>
      </c>
      <c r="E67" s="106"/>
      <c r="F67" s="45" t="s">
        <v>246</v>
      </c>
      <c r="G67" s="40">
        <v>1</v>
      </c>
      <c r="H67" s="40">
        <v>1000</v>
      </c>
      <c r="I67" s="40">
        <f t="shared" si="27"/>
        <v>1000</v>
      </c>
      <c r="J67" s="106"/>
      <c r="K67" s="40">
        <v>1</v>
      </c>
      <c r="L67" s="40">
        <f t="shared" ref="L67" si="40">K67*H67</f>
        <v>1000</v>
      </c>
      <c r="M67" s="106"/>
      <c r="N67" s="40">
        <v>1</v>
      </c>
      <c r="O67" s="40">
        <f t="shared" ref="O67" si="41">N67*H67</f>
        <v>1000</v>
      </c>
      <c r="P67" s="106"/>
      <c r="Q67" s="40">
        <v>1</v>
      </c>
      <c r="R67" s="40">
        <f t="shared" ref="R67" si="42">Q67*H67</f>
        <v>1000</v>
      </c>
      <c r="S67" s="106"/>
      <c r="T67" s="40">
        <v>0</v>
      </c>
      <c r="U67" s="40">
        <f>T67*H67</f>
        <v>0</v>
      </c>
      <c r="V67" s="40">
        <f t="shared" ref="V67" si="43">SUM(R67,O67,L67,I67,U67)</f>
        <v>4000</v>
      </c>
      <c r="W67" s="40">
        <v>0</v>
      </c>
      <c r="X67" s="40">
        <f>V67+W67</f>
        <v>4000</v>
      </c>
    </row>
    <row r="68" spans="1:25">
      <c r="A68" s="5" t="s">
        <v>463</v>
      </c>
      <c r="B68" s="7">
        <v>81000</v>
      </c>
      <c r="C68" s="7" t="s">
        <v>489</v>
      </c>
      <c r="D68" s="7" t="s">
        <v>251</v>
      </c>
      <c r="E68" s="106"/>
      <c r="F68" s="45" t="s">
        <v>132</v>
      </c>
      <c r="G68" s="40">
        <v>15</v>
      </c>
      <c r="H68" s="40">
        <v>520</v>
      </c>
      <c r="I68" s="40">
        <f t="shared" si="27"/>
        <v>7800</v>
      </c>
      <c r="J68" s="106"/>
      <c r="K68" s="40">
        <v>15</v>
      </c>
      <c r="L68" s="40">
        <f t="shared" si="34"/>
        <v>7800</v>
      </c>
      <c r="M68" s="106"/>
      <c r="N68" s="40">
        <v>15</v>
      </c>
      <c r="O68" s="40">
        <f t="shared" si="30"/>
        <v>7800</v>
      </c>
      <c r="P68" s="106"/>
      <c r="Q68" s="40">
        <v>15</v>
      </c>
      <c r="R68" s="40">
        <f t="shared" si="31"/>
        <v>7800</v>
      </c>
      <c r="S68" s="106"/>
      <c r="T68" s="40">
        <v>0</v>
      </c>
      <c r="U68" s="40">
        <f t="shared" ref="U68" si="44">T68*H68</f>
        <v>0</v>
      </c>
      <c r="V68" s="40">
        <f t="shared" si="32"/>
        <v>31200</v>
      </c>
      <c r="W68" s="40">
        <v>0</v>
      </c>
      <c r="X68" s="40">
        <f t="shared" ref="X68" si="45">V68+W68</f>
        <v>31200</v>
      </c>
      <c r="Y68" s="417"/>
    </row>
    <row r="69" spans="1:25">
      <c r="A69" s="72"/>
      <c r="B69" s="72"/>
      <c r="C69" s="72"/>
      <c r="D69" s="72" t="s">
        <v>252</v>
      </c>
      <c r="E69" s="109"/>
      <c r="F69" s="73"/>
      <c r="G69" s="74"/>
      <c r="H69" s="75"/>
      <c r="I69" s="76"/>
      <c r="J69" s="109"/>
      <c r="K69" s="76"/>
      <c r="L69" s="76"/>
      <c r="M69" s="109"/>
      <c r="N69" s="76"/>
      <c r="O69" s="76"/>
      <c r="P69" s="109"/>
      <c r="Q69" s="76"/>
      <c r="R69" s="76"/>
      <c r="S69" s="109"/>
      <c r="T69" s="76"/>
      <c r="U69" s="76"/>
      <c r="V69" s="76"/>
      <c r="W69" s="76"/>
      <c r="X69" s="76"/>
    </row>
    <row r="70" spans="1:25">
      <c r="A70" s="77"/>
      <c r="B70" s="77"/>
      <c r="C70" s="77"/>
      <c r="D70" s="77" t="s">
        <v>253</v>
      </c>
      <c r="E70" s="107"/>
      <c r="F70" s="69"/>
      <c r="G70" s="69"/>
      <c r="H70" s="70"/>
      <c r="I70" s="78"/>
      <c r="J70" s="107"/>
      <c r="K70" s="78"/>
      <c r="L70" s="78"/>
      <c r="M70" s="107"/>
      <c r="N70" s="78"/>
      <c r="O70" s="78"/>
      <c r="P70" s="107"/>
      <c r="Q70" s="78"/>
      <c r="R70" s="78"/>
      <c r="S70" s="107"/>
      <c r="T70" s="78"/>
      <c r="U70" s="78"/>
      <c r="V70" s="66"/>
      <c r="W70" s="66"/>
      <c r="X70" s="78"/>
    </row>
    <row r="71" spans="1:25">
      <c r="A71" s="5" t="s">
        <v>467</v>
      </c>
      <c r="B71" s="7">
        <v>81010</v>
      </c>
      <c r="C71" s="7" t="s">
        <v>450</v>
      </c>
      <c r="D71" s="7" t="s">
        <v>254</v>
      </c>
      <c r="E71" s="106"/>
      <c r="F71" s="46" t="s">
        <v>146</v>
      </c>
      <c r="G71" s="40">
        <v>1</v>
      </c>
      <c r="H71" s="40">
        <v>150000</v>
      </c>
      <c r="I71" s="40">
        <f>G71*H71</f>
        <v>150000</v>
      </c>
      <c r="J71" s="106"/>
      <c r="K71" s="40">
        <v>0</v>
      </c>
      <c r="L71" s="40">
        <f>K71*H71</f>
        <v>0</v>
      </c>
      <c r="M71" s="106"/>
      <c r="N71" s="40">
        <v>0</v>
      </c>
      <c r="O71" s="40">
        <f>N71*H71</f>
        <v>0</v>
      </c>
      <c r="P71" s="106"/>
      <c r="Q71" s="40">
        <v>0</v>
      </c>
      <c r="R71" s="40">
        <f>Q71*H71</f>
        <v>0</v>
      </c>
      <c r="S71" s="106"/>
      <c r="T71" s="40">
        <v>0</v>
      </c>
      <c r="U71" s="40">
        <f>T71*H71</f>
        <v>0</v>
      </c>
      <c r="V71" s="40">
        <f t="shared" ref="V71:V73" si="46">SUM(R71,O71,L71,I71,U71)</f>
        <v>150000</v>
      </c>
      <c r="W71" s="40">
        <v>0</v>
      </c>
      <c r="X71" s="40">
        <f t="shared" ref="X71" si="47">V71+W71</f>
        <v>150000</v>
      </c>
    </row>
    <row r="72" spans="1:25">
      <c r="A72" s="5" t="s">
        <v>468</v>
      </c>
      <c r="B72" s="7">
        <v>81010</v>
      </c>
      <c r="C72" s="7" t="s">
        <v>450</v>
      </c>
      <c r="D72" s="7" t="s">
        <v>255</v>
      </c>
      <c r="E72" s="106"/>
      <c r="F72" s="46" t="s">
        <v>146</v>
      </c>
      <c r="G72" s="40">
        <v>0</v>
      </c>
      <c r="H72" s="40">
        <v>160000</v>
      </c>
      <c r="I72" s="40">
        <f t="shared" ref="I72:I73" si="48">G72*H72</f>
        <v>0</v>
      </c>
      <c r="J72" s="106"/>
      <c r="K72" s="40">
        <v>0</v>
      </c>
      <c r="L72" s="40">
        <f>K72*H72</f>
        <v>0</v>
      </c>
      <c r="M72" s="106"/>
      <c r="N72" s="40">
        <v>1</v>
      </c>
      <c r="O72" s="40">
        <f>N72*H72</f>
        <v>160000</v>
      </c>
      <c r="P72" s="106"/>
      <c r="Q72" s="40">
        <v>0</v>
      </c>
      <c r="R72" s="40">
        <f>Q72*H72</f>
        <v>0</v>
      </c>
      <c r="S72" s="106"/>
      <c r="T72" s="40">
        <v>0</v>
      </c>
      <c r="U72" s="40">
        <f>T72*H72</f>
        <v>0</v>
      </c>
      <c r="V72" s="40">
        <f t="shared" si="46"/>
        <v>160000</v>
      </c>
      <c r="W72" s="40">
        <v>0</v>
      </c>
      <c r="X72" s="40">
        <f>V72+W72</f>
        <v>160000</v>
      </c>
    </row>
    <row r="73" spans="1:25">
      <c r="A73" s="5" t="s">
        <v>469</v>
      </c>
      <c r="B73" s="7">
        <v>81010</v>
      </c>
      <c r="C73" s="7" t="s">
        <v>450</v>
      </c>
      <c r="D73" s="7" t="s">
        <v>256</v>
      </c>
      <c r="E73" s="106"/>
      <c r="F73" s="46" t="s">
        <v>146</v>
      </c>
      <c r="G73" s="40">
        <v>0</v>
      </c>
      <c r="H73" s="40">
        <v>175000</v>
      </c>
      <c r="I73" s="40">
        <f t="shared" si="48"/>
        <v>0</v>
      </c>
      <c r="J73" s="106"/>
      <c r="K73" s="40">
        <v>0</v>
      </c>
      <c r="L73" s="40">
        <f>K73*H73</f>
        <v>0</v>
      </c>
      <c r="M73" s="106"/>
      <c r="N73" s="40">
        <v>0</v>
      </c>
      <c r="O73" s="40">
        <f>N73*H73</f>
        <v>0</v>
      </c>
      <c r="P73" s="106"/>
      <c r="Q73" s="40">
        <v>1</v>
      </c>
      <c r="R73" s="40">
        <f>Q73*H73</f>
        <v>175000</v>
      </c>
      <c r="S73" s="106"/>
      <c r="T73" s="40">
        <v>0</v>
      </c>
      <c r="U73" s="40">
        <f>T73*H73</f>
        <v>0</v>
      </c>
      <c r="V73" s="40">
        <f t="shared" si="46"/>
        <v>175000</v>
      </c>
      <c r="W73" s="40">
        <v>0</v>
      </c>
      <c r="X73" s="40">
        <f t="shared" ref="X73" si="49">V73+W73</f>
        <v>175000</v>
      </c>
    </row>
    <row r="74" spans="1:25">
      <c r="A74" s="77"/>
      <c r="B74" s="77"/>
      <c r="C74" s="77"/>
      <c r="D74" s="77" t="s">
        <v>257</v>
      </c>
      <c r="E74" s="107"/>
      <c r="F74" s="69"/>
      <c r="G74" s="69"/>
      <c r="H74" s="70"/>
      <c r="I74" s="78"/>
      <c r="J74" s="107"/>
      <c r="K74" s="78"/>
      <c r="L74" s="78"/>
      <c r="M74" s="107"/>
      <c r="N74" s="78"/>
      <c r="O74" s="78"/>
      <c r="P74" s="107"/>
      <c r="Q74" s="78"/>
      <c r="R74" s="78"/>
      <c r="S74" s="107"/>
      <c r="T74" s="78"/>
      <c r="U74" s="78"/>
      <c r="V74" s="66"/>
      <c r="W74" s="66"/>
      <c r="X74" s="78"/>
    </row>
    <row r="75" spans="1:25" ht="12" customHeight="1">
      <c r="A75" s="7" t="s">
        <v>470</v>
      </c>
      <c r="B75" s="864" t="s">
        <v>471</v>
      </c>
      <c r="C75" s="41" t="s">
        <v>488</v>
      </c>
      <c r="D75" s="41" t="s">
        <v>258</v>
      </c>
      <c r="E75" s="106"/>
      <c r="F75" s="7" t="s">
        <v>259</v>
      </c>
      <c r="G75" s="7">
        <v>1</v>
      </c>
      <c r="H75" s="47">
        <v>2000</v>
      </c>
      <c r="I75" s="31">
        <f>G75*H75</f>
        <v>2000</v>
      </c>
      <c r="J75" s="106"/>
      <c r="K75" s="40">
        <v>0</v>
      </c>
      <c r="L75" s="40">
        <f>K75*H75</f>
        <v>0</v>
      </c>
      <c r="M75" s="106"/>
      <c r="N75" s="40">
        <v>0</v>
      </c>
      <c r="O75" s="40">
        <f>N75*H75</f>
        <v>0</v>
      </c>
      <c r="P75" s="106"/>
      <c r="Q75" s="40">
        <v>0</v>
      </c>
      <c r="R75" s="40">
        <f>Q75*H75</f>
        <v>0</v>
      </c>
      <c r="S75" s="106"/>
      <c r="T75" s="40">
        <v>0</v>
      </c>
      <c r="U75" s="40">
        <f>T75*H75</f>
        <v>0</v>
      </c>
      <c r="V75" s="40">
        <f t="shared" si="32"/>
        <v>2000</v>
      </c>
      <c r="W75" s="40" t="s">
        <v>226</v>
      </c>
      <c r="X75" s="40">
        <f>SUM(V75:W75)</f>
        <v>2000</v>
      </c>
    </row>
    <row r="76" spans="1:25" ht="12" customHeight="1">
      <c r="A76" s="7" t="s">
        <v>470</v>
      </c>
      <c r="B76" s="864" t="s">
        <v>471</v>
      </c>
      <c r="C76" s="41" t="s">
        <v>488</v>
      </c>
      <c r="D76" s="41" t="s">
        <v>260</v>
      </c>
      <c r="E76" s="106"/>
      <c r="F76" s="7" t="s">
        <v>246</v>
      </c>
      <c r="G76" s="7">
        <v>0</v>
      </c>
      <c r="H76" s="47">
        <v>1000</v>
      </c>
      <c r="I76" s="31">
        <f>G76*H76</f>
        <v>0</v>
      </c>
      <c r="J76" s="106"/>
      <c r="K76" s="40">
        <v>1</v>
      </c>
      <c r="L76" s="40">
        <f>K76*H76</f>
        <v>1000</v>
      </c>
      <c r="M76" s="106"/>
      <c r="N76" s="40">
        <v>1</v>
      </c>
      <c r="O76" s="40">
        <f>N76*H76</f>
        <v>1000</v>
      </c>
      <c r="P76" s="106"/>
      <c r="Q76" s="40">
        <v>1</v>
      </c>
      <c r="R76" s="40">
        <f>Q76*H76</f>
        <v>1000</v>
      </c>
      <c r="S76" s="106"/>
      <c r="T76" s="40">
        <v>0</v>
      </c>
      <c r="U76" s="40">
        <f>T76*H76</f>
        <v>0</v>
      </c>
      <c r="V76" s="40">
        <f t="shared" ref="V76" si="50">SUM(R76,O76,L76,I76,U76)</f>
        <v>3000</v>
      </c>
      <c r="W76" s="40" t="s">
        <v>226</v>
      </c>
      <c r="X76" s="40">
        <f>SUM(V76:W76)</f>
        <v>3000</v>
      </c>
    </row>
    <row r="77" spans="1:25">
      <c r="A77" s="7" t="s">
        <v>470</v>
      </c>
      <c r="B77" s="864">
        <v>87000</v>
      </c>
      <c r="C77" s="41" t="s">
        <v>488</v>
      </c>
      <c r="D77" s="41" t="s">
        <v>261</v>
      </c>
      <c r="E77" s="106"/>
      <c r="F77" s="7" t="s">
        <v>262</v>
      </c>
      <c r="G77" s="7">
        <v>1</v>
      </c>
      <c r="H77" s="47">
        <v>2500</v>
      </c>
      <c r="I77" s="31">
        <f>G77*H77</f>
        <v>2500</v>
      </c>
      <c r="J77" s="106"/>
      <c r="K77" s="40">
        <v>1</v>
      </c>
      <c r="L77" s="40">
        <f>K77*H77</f>
        <v>2500</v>
      </c>
      <c r="M77" s="106"/>
      <c r="N77" s="40">
        <v>1</v>
      </c>
      <c r="O77" s="40">
        <f>N77*H77</f>
        <v>2500</v>
      </c>
      <c r="P77" s="106"/>
      <c r="Q77" s="40">
        <v>1</v>
      </c>
      <c r="R77" s="40">
        <f>Q77*H77</f>
        <v>2500</v>
      </c>
      <c r="S77" s="106"/>
      <c r="T77" s="40">
        <v>0</v>
      </c>
      <c r="U77" s="40">
        <f>T77*H77</f>
        <v>0</v>
      </c>
      <c r="V77" s="40">
        <f t="shared" si="32"/>
        <v>10000</v>
      </c>
      <c r="W77" s="40" t="s">
        <v>226</v>
      </c>
      <c r="X77" s="40">
        <f>SUM(V77:W77)</f>
        <v>10000</v>
      </c>
    </row>
    <row r="78" spans="1:25">
      <c r="A78" s="77"/>
      <c r="B78" s="77"/>
      <c r="C78" s="77"/>
      <c r="D78" s="77" t="s">
        <v>263</v>
      </c>
      <c r="E78" s="107"/>
      <c r="F78" s="79"/>
      <c r="G78" s="80"/>
      <c r="H78" s="80"/>
      <c r="I78" s="80"/>
      <c r="J78" s="107"/>
      <c r="K78" s="80"/>
      <c r="L78" s="80"/>
      <c r="M78" s="107"/>
      <c r="N78" s="80"/>
      <c r="O78" s="80"/>
      <c r="P78" s="107"/>
      <c r="Q78" s="80"/>
      <c r="R78" s="80"/>
      <c r="S78" s="107"/>
      <c r="T78" s="80"/>
      <c r="U78" s="80"/>
      <c r="V78" s="66"/>
      <c r="W78" s="66"/>
      <c r="X78" s="80"/>
    </row>
    <row r="79" spans="1:25">
      <c r="A79" s="5" t="s">
        <v>472</v>
      </c>
      <c r="B79" s="7">
        <v>87000</v>
      </c>
      <c r="C79" s="41" t="s">
        <v>488</v>
      </c>
      <c r="D79" s="7" t="s">
        <v>264</v>
      </c>
      <c r="F79" s="7" t="s">
        <v>246</v>
      </c>
      <c r="G79" s="40">
        <v>1</v>
      </c>
      <c r="H79" s="40">
        <v>500</v>
      </c>
      <c r="I79" s="40">
        <f>G79*H79</f>
        <v>500</v>
      </c>
      <c r="J79" s="108"/>
      <c r="K79" s="40">
        <v>1</v>
      </c>
      <c r="L79" s="40">
        <f>K79*H79</f>
        <v>500</v>
      </c>
      <c r="M79" s="108"/>
      <c r="N79" s="40">
        <v>1</v>
      </c>
      <c r="O79" s="40">
        <f>N79*H79</f>
        <v>500</v>
      </c>
      <c r="P79" s="108"/>
      <c r="Q79" s="40">
        <v>1</v>
      </c>
      <c r="R79" s="40">
        <f>Q79*H79</f>
        <v>500</v>
      </c>
      <c r="S79" s="108"/>
      <c r="T79" s="40">
        <v>0</v>
      </c>
      <c r="U79" s="40">
        <f>T79*H79</f>
        <v>0</v>
      </c>
      <c r="V79" s="40">
        <f t="shared" ref="V79:V80" si="51">SUM(R79,O79,L79,I79,U79)</f>
        <v>2000</v>
      </c>
      <c r="W79" s="54">
        <v>0</v>
      </c>
      <c r="X79" s="40">
        <f>SUM(V79:W79)</f>
        <v>2000</v>
      </c>
    </row>
    <row r="80" spans="1:25">
      <c r="A80" s="5" t="s">
        <v>472</v>
      </c>
      <c r="B80" s="7">
        <v>89400</v>
      </c>
      <c r="C80" s="41" t="s">
        <v>488</v>
      </c>
      <c r="D80" s="7" t="s">
        <v>265</v>
      </c>
      <c r="F80" s="7" t="s">
        <v>246</v>
      </c>
      <c r="G80" s="40">
        <v>1</v>
      </c>
      <c r="H80" s="40">
        <v>5500</v>
      </c>
      <c r="I80" s="40">
        <f>G80*H80</f>
        <v>5500</v>
      </c>
      <c r="J80" s="108"/>
      <c r="K80" s="40">
        <v>0</v>
      </c>
      <c r="L80" s="40">
        <f t="shared" ref="L80:L81" si="52">K80*H80</f>
        <v>0</v>
      </c>
      <c r="M80" s="108"/>
      <c r="N80" s="40">
        <v>0</v>
      </c>
      <c r="O80" s="40">
        <f t="shared" ref="O80:O81" si="53">N80*H80</f>
        <v>0</v>
      </c>
      <c r="P80" s="108"/>
      <c r="Q80" s="40">
        <v>0</v>
      </c>
      <c r="R80" s="40">
        <f t="shared" ref="R80:R81" si="54">Q80*H80</f>
        <v>0</v>
      </c>
      <c r="S80" s="108"/>
      <c r="T80" s="40">
        <v>0</v>
      </c>
      <c r="U80" s="40">
        <f t="shared" ref="U80:U81" si="55">T80*H80</f>
        <v>0</v>
      </c>
      <c r="V80" s="40">
        <f t="shared" si="51"/>
        <v>5500</v>
      </c>
      <c r="W80" s="54">
        <v>0</v>
      </c>
      <c r="X80" s="40">
        <f>SUM(V80:W80)</f>
        <v>5500</v>
      </c>
    </row>
    <row r="81" spans="1:25">
      <c r="A81" s="5" t="s">
        <v>472</v>
      </c>
      <c r="B81" s="7">
        <v>89400</v>
      </c>
      <c r="C81" s="41" t="s">
        <v>488</v>
      </c>
      <c r="D81" s="7" t="s">
        <v>266</v>
      </c>
      <c r="F81" s="7" t="s">
        <v>246</v>
      </c>
      <c r="G81" s="40">
        <v>1</v>
      </c>
      <c r="H81" s="40">
        <v>6500</v>
      </c>
      <c r="I81" s="40">
        <f>G81*H81</f>
        <v>6500</v>
      </c>
      <c r="J81" s="108"/>
      <c r="K81" s="40">
        <v>1</v>
      </c>
      <c r="L81" s="40">
        <f t="shared" si="52"/>
        <v>6500</v>
      </c>
      <c r="M81" s="108"/>
      <c r="N81" s="40">
        <v>1</v>
      </c>
      <c r="O81" s="40">
        <f t="shared" si="53"/>
        <v>6500</v>
      </c>
      <c r="P81" s="108"/>
      <c r="Q81" s="40">
        <v>1</v>
      </c>
      <c r="R81" s="40">
        <f t="shared" si="54"/>
        <v>6500</v>
      </c>
      <c r="S81" s="108"/>
      <c r="T81" s="40">
        <v>0</v>
      </c>
      <c r="U81" s="40">
        <f t="shared" si="55"/>
        <v>0</v>
      </c>
      <c r="V81" s="40">
        <f t="shared" si="32"/>
        <v>26000</v>
      </c>
      <c r="W81" s="54">
        <v>0</v>
      </c>
      <c r="X81" s="40">
        <f>SUM(V81:W81)</f>
        <v>26000</v>
      </c>
    </row>
    <row r="82" spans="1:25" s="83" customFormat="1" ht="12.3">
      <c r="A82" s="72"/>
      <c r="B82" s="72"/>
      <c r="C82" s="72"/>
      <c r="D82" s="72" t="s">
        <v>267</v>
      </c>
      <c r="E82" s="109"/>
      <c r="F82" s="81"/>
      <c r="G82" s="82"/>
      <c r="H82" s="82"/>
      <c r="I82" s="82">
        <f>SUM(I70:I81)</f>
        <v>167000</v>
      </c>
      <c r="J82" s="109"/>
      <c r="K82" s="82"/>
      <c r="L82" s="82">
        <f>SUM(L70:L81)</f>
        <v>10500</v>
      </c>
      <c r="M82" s="109"/>
      <c r="N82" s="82"/>
      <c r="O82" s="82">
        <f>SUM(O70:O81)</f>
        <v>170500</v>
      </c>
      <c r="P82" s="109"/>
      <c r="Q82" s="82"/>
      <c r="R82" s="82">
        <f>SUM(R70:R81)</f>
        <v>185500</v>
      </c>
      <c r="S82" s="109"/>
      <c r="T82" s="82"/>
      <c r="U82" s="82">
        <f>SUM(U70:U81)</f>
        <v>0</v>
      </c>
      <c r="V82" s="82">
        <f>SUM(V70:V81)</f>
        <v>533500</v>
      </c>
      <c r="W82" s="82">
        <f>SUM(W70:W81)</f>
        <v>0</v>
      </c>
      <c r="X82" s="82">
        <f>SUM(X70:X81)</f>
        <v>533500</v>
      </c>
      <c r="Y82" s="395">
        <f>X82/'USDA Budget Summary'!E60</f>
        <v>4.3132585042264963E-2</v>
      </c>
    </row>
    <row r="83" spans="1:25">
      <c r="E83" s="106"/>
      <c r="F83" s="45"/>
      <c r="G83" s="40"/>
      <c r="H83" s="40"/>
      <c r="I83" s="40"/>
      <c r="J83" s="106"/>
      <c r="K83" s="40"/>
      <c r="L83" s="40"/>
      <c r="M83" s="106"/>
      <c r="N83" s="40"/>
      <c r="O83" s="40"/>
      <c r="P83" s="106"/>
      <c r="Q83" s="40"/>
      <c r="R83" s="40"/>
      <c r="S83" s="106"/>
      <c r="T83" s="40"/>
      <c r="U83" s="40"/>
      <c r="V83" s="40"/>
      <c r="W83" s="40"/>
      <c r="X83" s="40"/>
    </row>
    <row r="84" spans="1:25" ht="12.9" thickBot="1">
      <c r="A84" s="402"/>
      <c r="B84" s="402"/>
      <c r="C84" s="402"/>
      <c r="D84" s="402" t="s">
        <v>268</v>
      </c>
      <c r="E84" s="405"/>
      <c r="F84" s="407"/>
      <c r="G84" s="407"/>
      <c r="H84" s="406"/>
      <c r="I84" s="403">
        <f>SUM(I61:I81)</f>
        <v>401993</v>
      </c>
      <c r="J84" s="405"/>
      <c r="K84" s="403"/>
      <c r="L84" s="403">
        <f>SUM(L61:L81)</f>
        <v>125300</v>
      </c>
      <c r="M84" s="405"/>
      <c r="N84" s="403"/>
      <c r="O84" s="403">
        <f>SUM(O61:O81)</f>
        <v>225300</v>
      </c>
      <c r="P84" s="405"/>
      <c r="Q84" s="403"/>
      <c r="R84" s="403">
        <f>SUM(R61:R81)</f>
        <v>240300</v>
      </c>
      <c r="S84" s="405"/>
      <c r="T84" s="403"/>
      <c r="U84" s="403">
        <f>SUM(U61:U81)</f>
        <v>0</v>
      </c>
      <c r="V84" s="403">
        <f>SUM(V61:V81)</f>
        <v>992893</v>
      </c>
      <c r="W84" s="403">
        <f>SUM(W61:W81)</f>
        <v>0</v>
      </c>
      <c r="X84" s="403">
        <f>SUM(X61:X81)</f>
        <v>992893</v>
      </c>
    </row>
    <row r="85" spans="1:25">
      <c r="A85" s="67"/>
      <c r="B85" s="67"/>
      <c r="C85" s="67"/>
      <c r="D85" s="67"/>
      <c r="E85" s="104"/>
      <c r="F85" s="67"/>
      <c r="G85" s="54"/>
      <c r="H85" s="54"/>
      <c r="I85" s="54"/>
      <c r="J85" s="104"/>
      <c r="K85" s="54"/>
      <c r="L85" s="54"/>
      <c r="M85" s="104"/>
      <c r="N85" s="54"/>
      <c r="O85" s="54"/>
      <c r="P85" s="104"/>
      <c r="Q85" s="54"/>
      <c r="R85" s="54"/>
      <c r="S85" s="104"/>
      <c r="T85" s="54"/>
      <c r="U85" s="54"/>
      <c r="V85" s="54"/>
      <c r="W85" s="54"/>
      <c r="X85" s="54"/>
    </row>
    <row r="86" spans="1:25">
      <c r="A86" s="34"/>
      <c r="B86" s="34"/>
      <c r="C86" s="34"/>
      <c r="D86" s="34" t="s">
        <v>31</v>
      </c>
      <c r="E86" s="105"/>
      <c r="F86" s="34"/>
      <c r="G86" s="34"/>
      <c r="H86" s="35"/>
      <c r="I86" s="36"/>
      <c r="J86" s="105"/>
      <c r="K86" s="36"/>
      <c r="L86" s="36"/>
      <c r="M86" s="105"/>
      <c r="N86" s="36"/>
      <c r="O86" s="36"/>
      <c r="P86" s="105"/>
      <c r="Q86" s="36"/>
      <c r="R86" s="36"/>
      <c r="S86" s="105"/>
      <c r="T86" s="36"/>
      <c r="U86" s="36"/>
      <c r="V86" s="36"/>
      <c r="W86" s="36"/>
      <c r="X86" s="36"/>
    </row>
    <row r="87" spans="1:25">
      <c r="A87" s="5" t="s">
        <v>473</v>
      </c>
      <c r="B87" s="7">
        <v>85200</v>
      </c>
      <c r="C87" s="7" t="s">
        <v>488</v>
      </c>
      <c r="D87" s="7" t="s">
        <v>269</v>
      </c>
      <c r="E87" s="106"/>
      <c r="F87" s="46" t="s">
        <v>146</v>
      </c>
      <c r="G87" s="40">
        <v>1</v>
      </c>
      <c r="H87" s="40">
        <v>60000</v>
      </c>
      <c r="I87" s="40">
        <f>G87*H87</f>
        <v>60000</v>
      </c>
      <c r="J87" s="106"/>
      <c r="K87" s="40">
        <v>0</v>
      </c>
      <c r="L87" s="40">
        <f>K87*H87</f>
        <v>0</v>
      </c>
      <c r="M87" s="106"/>
      <c r="N87" s="40">
        <v>0</v>
      </c>
      <c r="O87" s="40">
        <f>N87*H87</f>
        <v>0</v>
      </c>
      <c r="P87" s="106"/>
      <c r="Q87" s="40">
        <v>0</v>
      </c>
      <c r="R87" s="40">
        <f>Q87*H87</f>
        <v>0</v>
      </c>
      <c r="S87" s="106"/>
      <c r="T87" s="40">
        <v>0</v>
      </c>
      <c r="U87" s="40">
        <f>T87*K87</f>
        <v>0</v>
      </c>
      <c r="V87" s="40">
        <f t="shared" ref="V87" si="56">SUM(R87,O87,L87,I87,U87)</f>
        <v>60000</v>
      </c>
      <c r="W87" s="40">
        <v>0</v>
      </c>
      <c r="X87" s="40">
        <f>V87+W87</f>
        <v>60000</v>
      </c>
    </row>
    <row r="88" spans="1:25">
      <c r="E88" s="106"/>
      <c r="F88" s="45"/>
      <c r="G88" s="40"/>
      <c r="H88" s="40"/>
      <c r="I88" s="40"/>
      <c r="J88" s="106"/>
      <c r="K88" s="40"/>
      <c r="L88" s="40"/>
      <c r="M88" s="106"/>
      <c r="N88" s="40"/>
      <c r="O88" s="40"/>
      <c r="P88" s="106"/>
      <c r="Q88" s="40"/>
      <c r="R88" s="40"/>
      <c r="S88" s="106"/>
      <c r="T88" s="40"/>
      <c r="U88" s="40"/>
      <c r="V88" s="40"/>
      <c r="W88" s="40"/>
      <c r="X88" s="40"/>
    </row>
    <row r="89" spans="1:25" ht="12.9" thickBot="1">
      <c r="A89" s="402"/>
      <c r="B89" s="402"/>
      <c r="C89" s="402"/>
      <c r="D89" s="402" t="s">
        <v>270</v>
      </c>
      <c r="E89" s="405"/>
      <c r="F89" s="407"/>
      <c r="G89" s="407"/>
      <c r="H89" s="406"/>
      <c r="I89" s="403">
        <f>SUM(I87:I87)</f>
        <v>60000</v>
      </c>
      <c r="J89" s="405"/>
      <c r="K89" s="403"/>
      <c r="L89" s="403">
        <f>SUM(L87:L87)</f>
        <v>0</v>
      </c>
      <c r="M89" s="405"/>
      <c r="N89" s="403"/>
      <c r="O89" s="403">
        <f>SUM(O87:O87)</f>
        <v>0</v>
      </c>
      <c r="P89" s="405"/>
      <c r="Q89" s="403"/>
      <c r="R89" s="403">
        <f>SUM(R87:R87)</f>
        <v>0</v>
      </c>
      <c r="S89" s="405"/>
      <c r="T89" s="403"/>
      <c r="U89" s="403">
        <f>SUM(U87:U87)</f>
        <v>0</v>
      </c>
      <c r="V89" s="403">
        <f>SUM(V87:V88)</f>
        <v>60000</v>
      </c>
      <c r="W89" s="403">
        <f>SUM(W87:W87)</f>
        <v>0</v>
      </c>
      <c r="X89" s="408">
        <f>SUM(V89:W89)</f>
        <v>60000</v>
      </c>
    </row>
    <row r="90" spans="1:25">
      <c r="A90" s="67"/>
      <c r="B90" s="67"/>
      <c r="C90" s="67"/>
      <c r="D90" s="67"/>
      <c r="E90" s="104"/>
      <c r="F90" s="67"/>
      <c r="G90" s="54"/>
      <c r="H90" s="54"/>
      <c r="I90" s="54"/>
      <c r="J90" s="104"/>
      <c r="K90" s="54"/>
      <c r="L90" s="54"/>
      <c r="M90" s="104"/>
      <c r="N90" s="54"/>
      <c r="O90" s="54"/>
      <c r="P90" s="104"/>
      <c r="Q90" s="54"/>
      <c r="R90" s="54"/>
      <c r="S90" s="104"/>
      <c r="T90" s="54"/>
      <c r="U90" s="54"/>
      <c r="V90" s="54"/>
      <c r="W90" s="54"/>
      <c r="X90" s="54"/>
    </row>
    <row r="91" spans="1:25">
      <c r="A91" s="34"/>
      <c r="B91" s="34"/>
      <c r="C91" s="34"/>
      <c r="D91" s="34" t="s">
        <v>271</v>
      </c>
      <c r="E91" s="105"/>
      <c r="F91" s="34"/>
      <c r="G91" s="34"/>
      <c r="H91" s="35"/>
      <c r="I91" s="36"/>
      <c r="J91" s="105"/>
      <c r="K91" s="36"/>
      <c r="L91" s="36"/>
      <c r="M91" s="105"/>
      <c r="N91" s="36"/>
      <c r="O91" s="36"/>
      <c r="P91" s="105"/>
      <c r="Q91" s="36"/>
      <c r="R91" s="36"/>
      <c r="S91" s="105"/>
      <c r="T91" s="36"/>
      <c r="U91" s="36"/>
      <c r="V91" s="36"/>
      <c r="W91" s="36"/>
      <c r="X91" s="36"/>
    </row>
    <row r="92" spans="1:25">
      <c r="A92" s="77"/>
      <c r="B92" s="77"/>
      <c r="C92" s="77"/>
      <c r="D92" s="77" t="s">
        <v>272</v>
      </c>
      <c r="E92" s="114"/>
      <c r="F92" s="77"/>
      <c r="G92" s="77"/>
      <c r="H92" s="77"/>
      <c r="I92" s="77"/>
      <c r="J92" s="114"/>
      <c r="K92" s="77"/>
      <c r="L92" s="77"/>
      <c r="M92" s="114"/>
      <c r="N92" s="77"/>
      <c r="O92" s="77"/>
      <c r="P92" s="114"/>
      <c r="Q92" s="77"/>
      <c r="R92" s="77"/>
      <c r="S92" s="114"/>
      <c r="T92" s="77"/>
      <c r="U92" s="77"/>
      <c r="V92" s="77"/>
      <c r="W92" s="77"/>
      <c r="X92" s="77"/>
    </row>
    <row r="93" spans="1:25">
      <c r="A93" s="7" t="s">
        <v>475</v>
      </c>
      <c r="B93" s="7">
        <v>90900</v>
      </c>
      <c r="C93" s="7" t="s">
        <v>450</v>
      </c>
      <c r="D93" s="7" t="s">
        <v>273</v>
      </c>
      <c r="E93" s="106"/>
      <c r="F93" s="45" t="s">
        <v>147</v>
      </c>
      <c r="G93" s="40">
        <v>12</v>
      </c>
      <c r="H93" s="40">
        <v>250</v>
      </c>
      <c r="I93" s="40">
        <f>G93*H93</f>
        <v>3000</v>
      </c>
      <c r="J93" s="106"/>
      <c r="K93" s="40">
        <v>12</v>
      </c>
      <c r="L93" s="40">
        <f>K93*H93*$E$6</f>
        <v>3150</v>
      </c>
      <c r="M93" s="106"/>
      <c r="N93" s="40">
        <v>12</v>
      </c>
      <c r="O93" s="40">
        <f>N93*H93*$E$6*$E$6</f>
        <v>3307.5</v>
      </c>
      <c r="P93" s="106"/>
      <c r="Q93" s="40">
        <v>12</v>
      </c>
      <c r="R93" s="40">
        <f>Q93*H93*$E$6*$E$6*$E$6</f>
        <v>3472.875</v>
      </c>
      <c r="S93" s="106"/>
      <c r="T93" s="40">
        <v>0</v>
      </c>
      <c r="U93" s="40">
        <f t="shared" ref="U93" si="57">T93*H93*$E$6*$E$6*$E$6*$E$6</f>
        <v>0</v>
      </c>
      <c r="V93" s="40">
        <f t="shared" ref="V93" si="58">SUM(R93,O93,L93,I93,U93)</f>
        <v>12930.375</v>
      </c>
      <c r="W93" s="40">
        <v>0</v>
      </c>
      <c r="X93" s="40">
        <f t="shared" ref="X93" si="59">V93+W93</f>
        <v>12930.375</v>
      </c>
    </row>
    <row r="94" spans="1:25">
      <c r="A94" s="7" t="s">
        <v>476</v>
      </c>
      <c r="B94" s="7">
        <v>82030</v>
      </c>
      <c r="C94" s="7" t="s">
        <v>450</v>
      </c>
      <c r="D94" s="7" t="s">
        <v>274</v>
      </c>
      <c r="E94" s="106"/>
      <c r="F94" s="45" t="s">
        <v>147</v>
      </c>
      <c r="G94" s="40">
        <v>12</v>
      </c>
      <c r="H94" s="40">
        <f>(2.25*50)</f>
        <v>112.5</v>
      </c>
      <c r="I94" s="40">
        <f>G94*H94</f>
        <v>1350</v>
      </c>
      <c r="J94" s="106"/>
      <c r="K94" s="40">
        <v>12</v>
      </c>
      <c r="L94" s="40">
        <f>K94*H94*$E$6</f>
        <v>1417.5</v>
      </c>
      <c r="M94" s="106"/>
      <c r="N94" s="40">
        <v>12</v>
      </c>
      <c r="O94" s="40">
        <f>N94*H94*$E$6*$E$6</f>
        <v>1488.375</v>
      </c>
      <c r="P94" s="106"/>
      <c r="Q94" s="40">
        <v>12</v>
      </c>
      <c r="R94" s="40">
        <f>Q94*H94*$E$6*$E$6*$E$6</f>
        <v>1562.79375</v>
      </c>
      <c r="S94" s="106"/>
      <c r="T94" s="40">
        <v>0</v>
      </c>
      <c r="U94" s="40">
        <f>T94*H94*$E$6*$E$6*$E$6*$E$6</f>
        <v>0</v>
      </c>
      <c r="V94" s="40">
        <f t="shared" ref="V94" si="60">SUM(R94,O94,L94,I94,U94)</f>
        <v>5818.6687499999998</v>
      </c>
      <c r="W94" s="40">
        <v>0</v>
      </c>
      <c r="X94" s="40">
        <f t="shared" ref="X94" si="61">V94+W94</f>
        <v>5818.6687499999998</v>
      </c>
    </row>
    <row r="95" spans="1:25">
      <c r="A95" s="77"/>
      <c r="B95" s="77"/>
      <c r="C95" s="77"/>
      <c r="D95" s="77" t="s">
        <v>275</v>
      </c>
      <c r="E95" s="114"/>
      <c r="F95" s="77"/>
      <c r="G95" s="77"/>
      <c r="H95" s="77"/>
      <c r="I95" s="77"/>
      <c r="J95" s="114"/>
      <c r="K95" s="77"/>
      <c r="L95" s="77"/>
      <c r="M95" s="114"/>
      <c r="N95" s="77"/>
      <c r="O95" s="77"/>
      <c r="P95" s="114"/>
      <c r="Q95" s="77"/>
      <c r="R95" s="77"/>
      <c r="S95" s="114"/>
      <c r="T95" s="77"/>
      <c r="U95" s="77"/>
      <c r="V95" s="77"/>
      <c r="W95" s="77"/>
      <c r="X95" s="77"/>
    </row>
    <row r="96" spans="1:25">
      <c r="A96" s="7" t="s">
        <v>490</v>
      </c>
      <c r="B96" s="7">
        <v>90900</v>
      </c>
      <c r="C96" s="7" t="s">
        <v>488</v>
      </c>
      <c r="D96" s="7" t="s">
        <v>276</v>
      </c>
      <c r="F96" s="45" t="s">
        <v>147</v>
      </c>
      <c r="G96" s="40">
        <v>6</v>
      </c>
      <c r="H96" s="40">
        <v>50</v>
      </c>
      <c r="I96" s="40">
        <f>G96*H96</f>
        <v>300</v>
      </c>
      <c r="J96" s="108"/>
      <c r="K96" s="40">
        <v>12</v>
      </c>
      <c r="L96" s="40">
        <f>K96*H96*$E$6</f>
        <v>630</v>
      </c>
      <c r="M96" s="108"/>
      <c r="N96" s="40">
        <v>12</v>
      </c>
      <c r="O96" s="40">
        <f>N96*H96*$E$6*$E$6</f>
        <v>661.5</v>
      </c>
      <c r="P96" s="108"/>
      <c r="Q96" s="40">
        <v>9</v>
      </c>
      <c r="R96" s="40">
        <f>Q96*H96*$E$6*$E$6*$E$6</f>
        <v>520.93124999999998</v>
      </c>
      <c r="S96" s="108"/>
      <c r="T96" s="40">
        <v>0</v>
      </c>
      <c r="U96" s="40">
        <f>T96*H96*$E$6*$E$6*$E$6*$E$6</f>
        <v>0</v>
      </c>
      <c r="V96" s="40">
        <f>SUM(R96,O96,L96,I96,U96)</f>
        <v>2112.4312500000001</v>
      </c>
      <c r="W96" s="40">
        <v>0</v>
      </c>
      <c r="X96" s="40">
        <f>V96+W96</f>
        <v>2112.4312500000001</v>
      </c>
    </row>
    <row r="97" spans="1:25">
      <c r="A97" s="7" t="s">
        <v>477</v>
      </c>
      <c r="B97" s="7">
        <v>82030</v>
      </c>
      <c r="C97" s="7" t="s">
        <v>488</v>
      </c>
      <c r="D97" s="7" t="s">
        <v>277</v>
      </c>
      <c r="E97" s="106"/>
      <c r="F97" s="45" t="s">
        <v>147</v>
      </c>
      <c r="G97" s="40">
        <v>3</v>
      </c>
      <c r="H97" s="40">
        <f>(25*13)+50</f>
        <v>375</v>
      </c>
      <c r="I97" s="40">
        <f>G97*H97</f>
        <v>1125</v>
      </c>
      <c r="J97" s="108"/>
      <c r="K97" s="40">
        <v>12</v>
      </c>
      <c r="L97" s="40">
        <f>K97*H97*$E$6</f>
        <v>4725</v>
      </c>
      <c r="M97" s="108"/>
      <c r="N97" s="40">
        <v>12</v>
      </c>
      <c r="O97" s="40">
        <f t="shared" ref="O97:O102" si="62">N97*H97*$E$6*$E$6</f>
        <v>4961.25</v>
      </c>
      <c r="P97" s="108"/>
      <c r="Q97" s="40">
        <v>9</v>
      </c>
      <c r="R97" s="40">
        <f t="shared" ref="R97:R102" si="63">Q97*H97*$E$6*$E$6*$E$6</f>
        <v>3906.984375</v>
      </c>
      <c r="S97" s="108"/>
      <c r="T97" s="40">
        <v>0</v>
      </c>
      <c r="U97" s="40">
        <f>T97*H97*$E$6*$E$6*$E$6*$E$6</f>
        <v>0</v>
      </c>
      <c r="V97" s="40">
        <f t="shared" ref="V97:V98" si="64">SUM(R97,O97,L97,I97,U97)</f>
        <v>14718.234375</v>
      </c>
      <c r="W97" s="40">
        <v>0</v>
      </c>
      <c r="X97" s="40">
        <f t="shared" ref="X97:X98" si="65">V97+W97</f>
        <v>14718.234375</v>
      </c>
    </row>
    <row r="98" spans="1:25">
      <c r="A98" s="5" t="s">
        <v>478</v>
      </c>
      <c r="B98" s="7">
        <v>85180</v>
      </c>
      <c r="C98" s="7" t="s">
        <v>488</v>
      </c>
      <c r="D98" s="442" t="s">
        <v>278</v>
      </c>
      <c r="E98" s="106"/>
      <c r="F98" s="45" t="s">
        <v>147</v>
      </c>
      <c r="G98" s="40">
        <v>3</v>
      </c>
      <c r="H98" s="40">
        <v>2150</v>
      </c>
      <c r="I98" s="40">
        <f>G98*H98</f>
        <v>6450</v>
      </c>
      <c r="J98" s="106"/>
      <c r="K98" s="40">
        <v>12</v>
      </c>
      <c r="L98" s="40">
        <f>K98*H98*$E$6</f>
        <v>27090</v>
      </c>
      <c r="M98" s="106"/>
      <c r="N98" s="40">
        <v>12</v>
      </c>
      <c r="O98" s="40">
        <f t="shared" si="62"/>
        <v>28444.5</v>
      </c>
      <c r="P98" s="106"/>
      <c r="Q98" s="40">
        <v>9</v>
      </c>
      <c r="R98" s="40">
        <f t="shared" si="63"/>
        <v>22400.043750000001</v>
      </c>
      <c r="S98" s="106"/>
      <c r="T98" s="40">
        <v>0</v>
      </c>
      <c r="U98" s="40">
        <f>T98*H98*$E$6*$E$6*$E$6*$E$6</f>
        <v>0</v>
      </c>
      <c r="V98" s="40">
        <f t="shared" si="64"/>
        <v>84384.543749999997</v>
      </c>
      <c r="W98" s="40">
        <v>0</v>
      </c>
      <c r="X98" s="40">
        <f t="shared" si="65"/>
        <v>84384.543749999997</v>
      </c>
    </row>
    <row r="99" spans="1:25">
      <c r="A99" s="7" t="s">
        <v>479</v>
      </c>
      <c r="B99" s="7">
        <v>82350</v>
      </c>
      <c r="C99" s="7" t="s">
        <v>488</v>
      </c>
      <c r="D99" s="7" t="s">
        <v>279</v>
      </c>
      <c r="F99" s="45" t="s">
        <v>147</v>
      </c>
      <c r="G99" s="40">
        <v>3</v>
      </c>
      <c r="H99" s="40">
        <v>20</v>
      </c>
      <c r="I99" s="40">
        <f t="shared" ref="I99:I103" si="66">G99*H99</f>
        <v>60</v>
      </c>
      <c r="J99" s="108"/>
      <c r="K99" s="40">
        <v>12</v>
      </c>
      <c r="L99" s="40">
        <f t="shared" ref="L99" si="67">K99*H99*$E$6</f>
        <v>252</v>
      </c>
      <c r="M99" s="108"/>
      <c r="N99" s="40">
        <v>12</v>
      </c>
      <c r="O99" s="40">
        <f t="shared" si="62"/>
        <v>264.60000000000002</v>
      </c>
      <c r="P99" s="108"/>
      <c r="Q99" s="40">
        <v>9</v>
      </c>
      <c r="R99" s="40">
        <f t="shared" si="63"/>
        <v>208.37250000000003</v>
      </c>
      <c r="S99" s="108"/>
      <c r="T99" s="40">
        <v>0</v>
      </c>
      <c r="U99" s="40">
        <f>T99*H99*$E$6*$E$6*$E$6*$E$6</f>
        <v>0</v>
      </c>
      <c r="V99" s="40">
        <f t="shared" ref="V99" si="68">SUM(R99,O99,L99,I99,U99)</f>
        <v>784.97250000000008</v>
      </c>
      <c r="W99" s="40">
        <v>0</v>
      </c>
      <c r="X99" s="40">
        <f t="shared" ref="X99:X103" si="69">V99+W99</f>
        <v>784.97250000000008</v>
      </c>
    </row>
    <row r="100" spans="1:25">
      <c r="A100" s="5" t="s">
        <v>480</v>
      </c>
      <c r="B100" s="7">
        <v>90450</v>
      </c>
      <c r="C100" s="7" t="s">
        <v>488</v>
      </c>
      <c r="D100" s="7" t="s">
        <v>280</v>
      </c>
      <c r="E100" s="106"/>
      <c r="F100" s="45" t="s">
        <v>246</v>
      </c>
      <c r="G100" s="40">
        <v>1</v>
      </c>
      <c r="H100" s="40">
        <v>300</v>
      </c>
      <c r="I100" s="40">
        <f t="shared" si="66"/>
        <v>300</v>
      </c>
      <c r="J100" s="108"/>
      <c r="K100" s="40">
        <v>1</v>
      </c>
      <c r="L100" s="40">
        <f>K100*H100*$E$6</f>
        <v>315</v>
      </c>
      <c r="M100" s="108"/>
      <c r="N100" s="40">
        <v>1</v>
      </c>
      <c r="O100" s="40">
        <f t="shared" si="62"/>
        <v>330.75</v>
      </c>
      <c r="P100" s="108"/>
      <c r="Q100" s="40">
        <v>1</v>
      </c>
      <c r="R100" s="40">
        <f t="shared" si="63"/>
        <v>347.28750000000002</v>
      </c>
      <c r="S100" s="108"/>
      <c r="T100" s="40">
        <v>0</v>
      </c>
      <c r="U100" s="40">
        <f>T100*H100*$E$6*$E$6*$E$6*$E$6</f>
        <v>0</v>
      </c>
      <c r="V100" s="40">
        <f t="shared" ref="V100:V103" si="70">SUM(R100,O100,L100,I100,U100)</f>
        <v>1293.0374999999999</v>
      </c>
      <c r="W100" s="40">
        <v>0</v>
      </c>
      <c r="X100" s="40">
        <f t="shared" si="69"/>
        <v>1293.0374999999999</v>
      </c>
    </row>
    <row r="101" spans="1:25">
      <c r="A101" s="7" t="s">
        <v>481</v>
      </c>
      <c r="B101" s="7">
        <v>87010</v>
      </c>
      <c r="C101" s="7" t="s">
        <v>488</v>
      </c>
      <c r="D101" s="5" t="s">
        <v>281</v>
      </c>
      <c r="E101" s="106"/>
      <c r="F101" s="45" t="s">
        <v>282</v>
      </c>
      <c r="G101" s="40">
        <f>((6*4)*5)</f>
        <v>120</v>
      </c>
      <c r="H101" s="40">
        <v>20</v>
      </c>
      <c r="I101" s="40">
        <f t="shared" si="66"/>
        <v>2400</v>
      </c>
      <c r="J101" s="106"/>
      <c r="K101" s="40">
        <v>160</v>
      </c>
      <c r="L101" s="40">
        <f>K101*H101*$E$6</f>
        <v>3360</v>
      </c>
      <c r="M101" s="106"/>
      <c r="N101" s="40">
        <v>160</v>
      </c>
      <c r="O101" s="40">
        <f t="shared" si="62"/>
        <v>3528</v>
      </c>
      <c r="P101" s="106"/>
      <c r="Q101" s="40">
        <v>160</v>
      </c>
      <c r="R101" s="40">
        <f t="shared" si="63"/>
        <v>3704.4</v>
      </c>
      <c r="S101" s="106"/>
      <c r="T101" s="40">
        <v>0</v>
      </c>
      <c r="U101" s="40">
        <f t="shared" ref="U101" si="71">T101*H101*$E$6*$E$6*$E$6*$E$6</f>
        <v>0</v>
      </c>
      <c r="V101" s="40">
        <f t="shared" si="70"/>
        <v>12992.4</v>
      </c>
      <c r="W101" s="40">
        <v>0</v>
      </c>
      <c r="X101" s="40">
        <f t="shared" si="69"/>
        <v>12992.4</v>
      </c>
    </row>
    <row r="102" spans="1:25">
      <c r="A102" s="7" t="s">
        <v>483</v>
      </c>
      <c r="B102" s="7">
        <v>82105</v>
      </c>
      <c r="C102" s="7" t="s">
        <v>488</v>
      </c>
      <c r="D102" s="7" t="s">
        <v>283</v>
      </c>
      <c r="E102" s="106"/>
      <c r="F102" s="45" t="s">
        <v>147</v>
      </c>
      <c r="G102" s="40">
        <v>9</v>
      </c>
      <c r="H102" s="40">
        <v>1500</v>
      </c>
      <c r="I102" s="40">
        <f t="shared" ref="I102" si="72">G102*H102</f>
        <v>13500</v>
      </c>
      <c r="J102" s="106"/>
      <c r="K102" s="40">
        <v>12</v>
      </c>
      <c r="L102" s="40">
        <f>K102*H102*$E$6</f>
        <v>18900</v>
      </c>
      <c r="M102" s="106"/>
      <c r="N102" s="40">
        <v>12</v>
      </c>
      <c r="O102" s="40">
        <f t="shared" si="62"/>
        <v>19845</v>
      </c>
      <c r="P102" s="106"/>
      <c r="Q102" s="40">
        <v>9</v>
      </c>
      <c r="R102" s="40">
        <f t="shared" si="63"/>
        <v>15627.9375</v>
      </c>
      <c r="S102" s="106"/>
      <c r="T102" s="40">
        <v>0</v>
      </c>
      <c r="U102" s="40">
        <f t="shared" ref="U102" si="73">T102*H102*$E$6*$E$6*$E$6*$E$6</f>
        <v>0</v>
      </c>
      <c r="V102" s="40">
        <f t="shared" ref="V102" si="74">SUM(R102,O102,L102,I102,U102)</f>
        <v>67872.9375</v>
      </c>
      <c r="W102" s="40">
        <v>0</v>
      </c>
      <c r="X102" s="40">
        <f t="shared" ref="X102" si="75">V102+W102</f>
        <v>67872.9375</v>
      </c>
    </row>
    <row r="103" spans="1:25">
      <c r="A103" s="5" t="s">
        <v>482</v>
      </c>
      <c r="B103" s="7">
        <v>89400</v>
      </c>
      <c r="C103" s="7" t="s">
        <v>488</v>
      </c>
      <c r="D103" s="45" t="s">
        <v>284</v>
      </c>
      <c r="E103" s="106"/>
      <c r="F103" s="45" t="s">
        <v>147</v>
      </c>
      <c r="G103" s="40">
        <v>12</v>
      </c>
      <c r="H103" s="40">
        <f>(19*15)+((2884/12)*2)+(6*15)+(122*3)+(100*1)+200</f>
        <v>1521.6666666666667</v>
      </c>
      <c r="I103" s="40">
        <f t="shared" si="66"/>
        <v>18260</v>
      </c>
      <c r="J103" s="106"/>
      <c r="K103" s="40">
        <v>12</v>
      </c>
      <c r="L103" s="40">
        <f>K103*H103*$E$6</f>
        <v>19173</v>
      </c>
      <c r="M103" s="106"/>
      <c r="N103" s="40">
        <v>12</v>
      </c>
      <c r="O103" s="40">
        <f t="shared" ref="O103" si="76">N103*H103*$E$6*$E$6</f>
        <v>20131.650000000001</v>
      </c>
      <c r="P103" s="106"/>
      <c r="Q103" s="40">
        <v>9</v>
      </c>
      <c r="R103" s="40">
        <f t="shared" ref="R103" si="77">Q103*H103*$E$6*$E$6*$E$6</f>
        <v>15853.674375000002</v>
      </c>
      <c r="S103" s="106"/>
      <c r="T103" s="40">
        <v>0</v>
      </c>
      <c r="U103" s="40">
        <f t="shared" ref="U103" si="78">T103*H103*$E$6*$E$6*$E$6*$E$6</f>
        <v>0</v>
      </c>
      <c r="V103" s="40">
        <f t="shared" si="70"/>
        <v>73418.324374999997</v>
      </c>
      <c r="W103" s="40">
        <v>0</v>
      </c>
      <c r="X103" s="40">
        <f t="shared" si="69"/>
        <v>73418.324374999997</v>
      </c>
    </row>
    <row r="104" spans="1:25">
      <c r="E104" s="106"/>
      <c r="F104" s="45"/>
      <c r="J104" s="106"/>
      <c r="M104" s="106"/>
      <c r="P104" s="106"/>
      <c r="S104" s="106"/>
    </row>
    <row r="105" spans="1:25" ht="12.9" thickBot="1">
      <c r="A105" s="402"/>
      <c r="B105" s="402"/>
      <c r="C105" s="402"/>
      <c r="D105" s="402" t="s">
        <v>285</v>
      </c>
      <c r="E105" s="405"/>
      <c r="F105" s="402"/>
      <c r="G105" s="402"/>
      <c r="H105" s="409"/>
      <c r="I105" s="410">
        <f>SUM(I93:I104)</f>
        <v>46745</v>
      </c>
      <c r="J105" s="405"/>
      <c r="K105" s="410"/>
      <c r="L105" s="410">
        <f>SUM(L93:L104)</f>
        <v>79012.5</v>
      </c>
      <c r="M105" s="405"/>
      <c r="N105" s="410"/>
      <c r="O105" s="410">
        <f>SUM(O93:O104)</f>
        <v>82963.125</v>
      </c>
      <c r="P105" s="405"/>
      <c r="Q105" s="410"/>
      <c r="R105" s="410">
        <f>SUM(R93:R104)</f>
        <v>67605.3</v>
      </c>
      <c r="S105" s="405"/>
      <c r="T105" s="410"/>
      <c r="U105" s="410">
        <f>SUM(U93:U104)</f>
        <v>0</v>
      </c>
      <c r="V105" s="410">
        <f>SUM(V93:V104)</f>
        <v>276325.92500000005</v>
      </c>
      <c r="W105" s="410">
        <f>SUM(W93:W104)</f>
        <v>0</v>
      </c>
      <c r="X105" s="410">
        <f>SUM(X93:X104)</f>
        <v>276325.92500000005</v>
      </c>
    </row>
    <row r="106" spans="1:25">
      <c r="A106" s="67"/>
      <c r="B106" s="67"/>
      <c r="C106" s="67"/>
      <c r="D106" s="67"/>
      <c r="E106" s="104"/>
      <c r="F106" s="67"/>
      <c r="G106" s="54"/>
      <c r="H106" s="54"/>
      <c r="I106" s="54"/>
      <c r="J106" s="104"/>
      <c r="K106" s="54"/>
      <c r="L106" s="54"/>
      <c r="M106" s="104"/>
      <c r="N106" s="54"/>
      <c r="O106" s="54"/>
      <c r="P106" s="104"/>
      <c r="Q106" s="54"/>
      <c r="R106" s="54"/>
      <c r="S106" s="104"/>
      <c r="T106" s="54"/>
      <c r="U106" s="54"/>
      <c r="V106" s="54"/>
      <c r="W106" s="54"/>
      <c r="X106" s="54"/>
    </row>
    <row r="107" spans="1:25">
      <c r="A107" s="34"/>
      <c r="B107" s="34"/>
      <c r="C107" s="34"/>
      <c r="D107" s="34" t="s">
        <v>148</v>
      </c>
      <c r="E107" s="105"/>
      <c r="F107" s="34"/>
      <c r="G107" s="34"/>
      <c r="H107" s="35"/>
      <c r="I107" s="36"/>
      <c r="J107" s="105"/>
      <c r="K107" s="36"/>
      <c r="L107" s="36"/>
      <c r="M107" s="105"/>
      <c r="N107" s="36"/>
      <c r="O107" s="36"/>
      <c r="P107" s="105"/>
      <c r="Q107" s="36"/>
      <c r="R107" s="36"/>
      <c r="S107" s="105"/>
      <c r="T107" s="36"/>
      <c r="U107" s="36"/>
      <c r="V107" s="36"/>
      <c r="W107" s="36"/>
      <c r="X107" s="36"/>
    </row>
    <row r="108" spans="1:25">
      <c r="A108" s="7" t="s">
        <v>484</v>
      </c>
      <c r="B108" s="7">
        <v>82401</v>
      </c>
      <c r="C108" s="7" t="s">
        <v>491</v>
      </c>
      <c r="D108" s="7" t="s">
        <v>286</v>
      </c>
      <c r="E108" s="106"/>
      <c r="F108" s="46" t="s">
        <v>146</v>
      </c>
      <c r="G108" s="40">
        <v>12</v>
      </c>
      <c r="H108" s="40">
        <v>600</v>
      </c>
      <c r="I108" s="40">
        <f t="shared" ref="I108:I112" si="79">G108*H108</f>
        <v>7200</v>
      </c>
      <c r="J108" s="106"/>
      <c r="K108" s="40">
        <v>0</v>
      </c>
      <c r="L108" s="40">
        <f t="shared" ref="L108:L110" si="80">K108*H108</f>
        <v>0</v>
      </c>
      <c r="M108" s="106"/>
      <c r="N108" s="40">
        <v>0</v>
      </c>
      <c r="O108" s="40">
        <f t="shared" ref="O108:O110" si="81">N108*H108</f>
        <v>0</v>
      </c>
      <c r="P108" s="106"/>
      <c r="Q108" s="40">
        <v>0</v>
      </c>
      <c r="R108" s="40">
        <f t="shared" ref="R108:R110" si="82">Q108*H108</f>
        <v>0</v>
      </c>
      <c r="S108" s="106"/>
      <c r="T108" s="40">
        <v>0</v>
      </c>
      <c r="U108" s="40">
        <f t="shared" ref="U108:U110" si="83">T108*K108</f>
        <v>0</v>
      </c>
      <c r="V108" s="40">
        <f t="shared" ref="V108:V112" si="84">SUM(R108,O108,L108,I108,U108)</f>
        <v>7200</v>
      </c>
      <c r="W108" s="40">
        <v>0</v>
      </c>
      <c r="X108" s="40">
        <f t="shared" ref="X108:X112" si="85">V108+W108</f>
        <v>7200</v>
      </c>
    </row>
    <row r="109" spans="1:25">
      <c r="A109" s="7" t="s">
        <v>484</v>
      </c>
      <c r="B109" s="7">
        <v>82401</v>
      </c>
      <c r="C109" s="7" t="s">
        <v>491</v>
      </c>
      <c r="D109" s="7" t="s">
        <v>287</v>
      </c>
      <c r="E109" s="106"/>
      <c r="F109" s="46" t="s">
        <v>146</v>
      </c>
      <c r="G109" s="40">
        <v>2</v>
      </c>
      <c r="H109" s="40">
        <v>335</v>
      </c>
      <c r="I109" s="40">
        <f>G109*H109</f>
        <v>670</v>
      </c>
      <c r="J109" s="106"/>
      <c r="K109" s="40">
        <v>0</v>
      </c>
      <c r="L109" s="40">
        <f>K109*H109</f>
        <v>0</v>
      </c>
      <c r="M109" s="106"/>
      <c r="N109" s="40">
        <v>0</v>
      </c>
      <c r="O109" s="40">
        <f>N109*H109</f>
        <v>0</v>
      </c>
      <c r="P109" s="106"/>
      <c r="Q109" s="40">
        <v>0</v>
      </c>
      <c r="R109" s="40">
        <f>Q109*H109</f>
        <v>0</v>
      </c>
      <c r="S109" s="106"/>
      <c r="T109" s="40">
        <v>0</v>
      </c>
      <c r="U109" s="40">
        <f>T109*K109</f>
        <v>0</v>
      </c>
      <c r="V109" s="40">
        <f t="shared" si="84"/>
        <v>670</v>
      </c>
      <c r="W109" s="40">
        <v>0</v>
      </c>
      <c r="X109" s="40">
        <f>V109+W109</f>
        <v>670</v>
      </c>
    </row>
    <row r="110" spans="1:25">
      <c r="A110" s="7" t="s">
        <v>484</v>
      </c>
      <c r="B110" s="7">
        <v>82401</v>
      </c>
      <c r="C110" s="7" t="s">
        <v>491</v>
      </c>
      <c r="D110" s="7" t="s">
        <v>288</v>
      </c>
      <c r="E110" s="106"/>
      <c r="F110" s="46" t="s">
        <v>146</v>
      </c>
      <c r="G110" s="40">
        <v>1</v>
      </c>
      <c r="H110" s="40">
        <v>416.63</v>
      </c>
      <c r="I110" s="40">
        <f t="shared" si="79"/>
        <v>416.63</v>
      </c>
      <c r="J110" s="106"/>
      <c r="K110" s="40">
        <v>0</v>
      </c>
      <c r="L110" s="40">
        <f t="shared" si="80"/>
        <v>0</v>
      </c>
      <c r="M110" s="106"/>
      <c r="N110" s="40">
        <v>0</v>
      </c>
      <c r="O110" s="40">
        <f t="shared" si="81"/>
        <v>0</v>
      </c>
      <c r="P110" s="106"/>
      <c r="Q110" s="40">
        <v>0</v>
      </c>
      <c r="R110" s="40">
        <f t="shared" si="82"/>
        <v>0</v>
      </c>
      <c r="S110" s="106"/>
      <c r="T110" s="40">
        <v>0</v>
      </c>
      <c r="U110" s="40">
        <f t="shared" si="83"/>
        <v>0</v>
      </c>
      <c r="V110" s="40">
        <f t="shared" si="84"/>
        <v>416.63</v>
      </c>
      <c r="W110" s="40">
        <v>0</v>
      </c>
      <c r="X110" s="40">
        <f t="shared" si="85"/>
        <v>416.63</v>
      </c>
      <c r="Y110" s="417"/>
    </row>
    <row r="111" spans="1:25">
      <c r="A111" s="7" t="s">
        <v>484</v>
      </c>
      <c r="B111" s="7">
        <v>82401</v>
      </c>
      <c r="C111" s="7" t="s">
        <v>491</v>
      </c>
      <c r="D111" s="7" t="s">
        <v>289</v>
      </c>
      <c r="E111" s="106"/>
      <c r="F111" s="46" t="s">
        <v>146</v>
      </c>
      <c r="G111" s="40">
        <v>5</v>
      </c>
      <c r="H111" s="40">
        <v>80</v>
      </c>
      <c r="I111" s="40">
        <f t="shared" ref="I111" si="86">G111*H111</f>
        <v>400</v>
      </c>
      <c r="J111" s="106"/>
      <c r="K111" s="40">
        <v>0</v>
      </c>
      <c r="L111" s="40">
        <f t="shared" ref="L111" si="87">K111*H111</f>
        <v>0</v>
      </c>
      <c r="M111" s="106"/>
      <c r="N111" s="40">
        <v>0</v>
      </c>
      <c r="O111" s="40">
        <f t="shared" ref="O111" si="88">N111*H111</f>
        <v>0</v>
      </c>
      <c r="P111" s="106"/>
      <c r="Q111" s="40">
        <v>0</v>
      </c>
      <c r="R111" s="40">
        <f t="shared" ref="R111" si="89">Q111*H111</f>
        <v>0</v>
      </c>
      <c r="S111" s="106"/>
      <c r="T111" s="40">
        <v>0</v>
      </c>
      <c r="U111" s="40">
        <f t="shared" ref="U111" si="90">T111*K111</f>
        <v>0</v>
      </c>
      <c r="V111" s="40">
        <f t="shared" ref="V111" si="91">SUM(R111,O111,L111,I111,U111)</f>
        <v>400</v>
      </c>
      <c r="W111" s="40">
        <v>0</v>
      </c>
      <c r="X111" s="40">
        <f t="shared" ref="X111" si="92">V111+W111</f>
        <v>400</v>
      </c>
    </row>
    <row r="112" spans="1:25">
      <c r="A112" s="7" t="s">
        <v>484</v>
      </c>
      <c r="B112" s="7">
        <v>82401</v>
      </c>
      <c r="C112" s="7" t="s">
        <v>491</v>
      </c>
      <c r="D112" s="7" t="s">
        <v>290</v>
      </c>
      <c r="E112" s="106"/>
      <c r="F112" s="45" t="s">
        <v>147</v>
      </c>
      <c r="G112" s="40">
        <v>12</v>
      </c>
      <c r="H112" s="40">
        <f>100+35</f>
        <v>135</v>
      </c>
      <c r="I112" s="40">
        <f t="shared" si="79"/>
        <v>1620</v>
      </c>
      <c r="J112" s="108"/>
      <c r="K112" s="40">
        <v>12</v>
      </c>
      <c r="L112" s="40">
        <f>K112*H112*$E$6</f>
        <v>1701</v>
      </c>
      <c r="M112" s="108"/>
      <c r="N112" s="40">
        <v>12</v>
      </c>
      <c r="O112" s="40">
        <f t="shared" ref="O112" si="93">N112*H112*$E$6*$E$6</f>
        <v>1786.0500000000002</v>
      </c>
      <c r="P112" s="108"/>
      <c r="Q112" s="40">
        <v>12</v>
      </c>
      <c r="R112" s="40">
        <f t="shared" ref="R112" si="94">Q112*H112*$E$6*$E$6*$E$6</f>
        <v>1875.3525000000002</v>
      </c>
      <c r="S112" s="108"/>
      <c r="T112" s="40">
        <v>0</v>
      </c>
      <c r="U112" s="40">
        <f t="shared" ref="U112" si="95">T112*H112*$E$6*$E$6*$E$6*$E$6</f>
        <v>0</v>
      </c>
      <c r="V112" s="40">
        <f t="shared" si="84"/>
        <v>6982.4025000000001</v>
      </c>
      <c r="W112" s="40">
        <v>0</v>
      </c>
      <c r="X112" s="40">
        <f t="shared" si="85"/>
        <v>6982.4025000000001</v>
      </c>
    </row>
    <row r="113" spans="1:25">
      <c r="E113" s="106"/>
      <c r="F113" s="45"/>
      <c r="J113" s="106"/>
      <c r="M113" s="106"/>
      <c r="P113" s="106"/>
      <c r="S113" s="106"/>
    </row>
    <row r="114" spans="1:25" ht="12.9" thickBot="1">
      <c r="A114" s="402"/>
      <c r="B114" s="402"/>
      <c r="C114" s="402"/>
      <c r="D114" s="402" t="s">
        <v>291</v>
      </c>
      <c r="E114" s="405"/>
      <c r="F114" s="402"/>
      <c r="G114" s="402"/>
      <c r="H114" s="409"/>
      <c r="I114" s="410">
        <f>SUM(I108:I113)</f>
        <v>10306.629999999999</v>
      </c>
      <c r="J114" s="405"/>
      <c r="K114" s="410"/>
      <c r="L114" s="410">
        <f>SUM(L108:L113)</f>
        <v>1701</v>
      </c>
      <c r="M114" s="405"/>
      <c r="N114" s="410"/>
      <c r="O114" s="410">
        <f>SUM(O108:O113)</f>
        <v>1786.0500000000002</v>
      </c>
      <c r="P114" s="405"/>
      <c r="Q114" s="410"/>
      <c r="R114" s="410">
        <f>SUM(R108:R113)</f>
        <v>1875.3525000000002</v>
      </c>
      <c r="S114" s="405"/>
      <c r="T114" s="410"/>
      <c r="U114" s="410">
        <f>SUM(U108:U113)</f>
        <v>0</v>
      </c>
      <c r="V114" s="410">
        <f>SUM(V108:V113)</f>
        <v>15669.032499999999</v>
      </c>
      <c r="W114" s="410">
        <f>SUM(W108:W113)</f>
        <v>0</v>
      </c>
      <c r="X114" s="410">
        <f>SUM(X108:X113)</f>
        <v>15669.032499999999</v>
      </c>
    </row>
    <row r="115" spans="1:25">
      <c r="A115" s="67"/>
      <c r="B115" s="67"/>
      <c r="C115" s="67"/>
      <c r="D115" s="67"/>
      <c r="E115" s="104"/>
      <c r="F115" s="67"/>
      <c r="G115" s="54"/>
      <c r="H115" s="54"/>
      <c r="I115" s="54"/>
      <c r="J115" s="104"/>
      <c r="K115" s="54"/>
      <c r="L115" s="54"/>
      <c r="M115" s="104"/>
      <c r="N115" s="54"/>
      <c r="O115" s="54"/>
      <c r="P115" s="104"/>
      <c r="Q115" s="54"/>
      <c r="R115" s="54"/>
      <c r="S115" s="104"/>
      <c r="T115" s="54"/>
      <c r="U115" s="54"/>
      <c r="V115" s="54"/>
      <c r="W115" s="54"/>
      <c r="X115" s="54"/>
    </row>
    <row r="116" spans="1:25">
      <c r="A116" s="34"/>
      <c r="B116" s="34"/>
      <c r="C116" s="34"/>
      <c r="D116" s="34" t="s">
        <v>34</v>
      </c>
      <c r="E116" s="105"/>
      <c r="F116" s="34"/>
      <c r="G116" s="34"/>
      <c r="H116" s="35"/>
      <c r="I116" s="36"/>
      <c r="J116" s="105"/>
      <c r="K116" s="36"/>
      <c r="L116" s="36"/>
      <c r="M116" s="105"/>
      <c r="N116" s="36"/>
      <c r="O116" s="36"/>
      <c r="P116" s="105"/>
      <c r="Q116" s="36"/>
      <c r="R116" s="36"/>
      <c r="S116" s="105"/>
      <c r="T116" s="36"/>
      <c r="U116" s="36"/>
      <c r="V116" s="36"/>
      <c r="W116" s="36"/>
      <c r="X116" s="36"/>
    </row>
    <row r="117" spans="1:25">
      <c r="A117" s="7" t="s">
        <v>485</v>
      </c>
      <c r="B117" s="7">
        <v>87000</v>
      </c>
      <c r="C117" s="7" t="s">
        <v>491</v>
      </c>
      <c r="D117" s="7" t="s">
        <v>292</v>
      </c>
      <c r="E117" s="106"/>
      <c r="F117" s="45" t="s">
        <v>146</v>
      </c>
      <c r="G117" s="40">
        <v>3</v>
      </c>
      <c r="H117" s="40">
        <v>1500</v>
      </c>
      <c r="I117" s="40">
        <f>G117*H117</f>
        <v>4500</v>
      </c>
      <c r="J117" s="106"/>
      <c r="K117" s="40">
        <v>3</v>
      </c>
      <c r="L117" s="40">
        <f t="shared" ref="L117" si="96">K117*H117</f>
        <v>4500</v>
      </c>
      <c r="M117" s="108"/>
      <c r="N117" s="40">
        <v>3</v>
      </c>
      <c r="O117" s="40">
        <f t="shared" ref="O117" si="97">N117*H117</f>
        <v>4500</v>
      </c>
      <c r="P117" s="108"/>
      <c r="Q117" s="40">
        <v>3</v>
      </c>
      <c r="R117" s="40">
        <f t="shared" ref="R117" si="98">Q117*H117</f>
        <v>4500</v>
      </c>
      <c r="S117" s="108"/>
      <c r="T117" s="40">
        <v>0</v>
      </c>
      <c r="U117" s="40">
        <f>T117*H117</f>
        <v>0</v>
      </c>
      <c r="V117" s="40">
        <f>SUM(R117,O117,L117,I117,U117)</f>
        <v>18000</v>
      </c>
      <c r="W117" s="40">
        <v>0</v>
      </c>
      <c r="X117" s="40">
        <f>V117+W117</f>
        <v>18000</v>
      </c>
    </row>
    <row r="118" spans="1:25">
      <c r="A118" s="77"/>
      <c r="B118" s="77"/>
      <c r="C118" s="77"/>
      <c r="D118" s="77" t="s">
        <v>117</v>
      </c>
      <c r="E118" s="114"/>
      <c r="F118" s="77"/>
      <c r="G118" s="77"/>
      <c r="H118" s="77"/>
      <c r="I118" s="77"/>
      <c r="J118" s="114"/>
      <c r="K118" s="77"/>
      <c r="L118" s="77"/>
      <c r="M118" s="114"/>
      <c r="N118" s="77"/>
      <c r="O118" s="77"/>
      <c r="P118" s="114"/>
      <c r="Q118" s="77"/>
      <c r="R118" s="77"/>
      <c r="S118" s="114"/>
      <c r="T118" s="77"/>
      <c r="U118" s="77"/>
      <c r="V118" s="77"/>
      <c r="W118" s="77"/>
      <c r="X118" s="77"/>
    </row>
    <row r="119" spans="1:25">
      <c r="A119" s="7" t="s">
        <v>486</v>
      </c>
      <c r="B119" s="7">
        <v>85105</v>
      </c>
      <c r="C119" s="7" t="s">
        <v>488</v>
      </c>
      <c r="D119" s="7" t="s">
        <v>293</v>
      </c>
      <c r="E119" s="106"/>
      <c r="F119" s="45" t="s">
        <v>246</v>
      </c>
      <c r="G119" s="40">
        <v>1</v>
      </c>
      <c r="H119" s="40">
        <v>1000</v>
      </c>
      <c r="I119" s="40">
        <f t="shared" ref="I119" si="99">G119*H119</f>
        <v>1000</v>
      </c>
      <c r="J119" s="106"/>
      <c r="K119" s="40">
        <v>1</v>
      </c>
      <c r="L119" s="40">
        <f t="shared" ref="L119:L120" si="100">K119*H119*$E$6</f>
        <v>1050</v>
      </c>
      <c r="M119" s="106"/>
      <c r="N119" s="40">
        <v>1</v>
      </c>
      <c r="O119" s="40">
        <f t="shared" ref="O119:O120" si="101">N119*H119*$E$6*$E$6</f>
        <v>1102.5</v>
      </c>
      <c r="P119" s="106"/>
      <c r="Q119" s="40">
        <v>1</v>
      </c>
      <c r="R119" s="40">
        <f t="shared" ref="R119:R120" si="102">Q119*H119*$E$6*$E$6*$E$6</f>
        <v>1157.625</v>
      </c>
      <c r="S119" s="106"/>
      <c r="T119" s="40">
        <v>0</v>
      </c>
      <c r="U119" s="40">
        <f t="shared" ref="U119:U120" si="103">T119*H119*$E$6*$E$6*$E$6*$E$6</f>
        <v>0</v>
      </c>
      <c r="V119" s="40">
        <f>SUM(R119,O119,L119,I119,U119)</f>
        <v>4310.125</v>
      </c>
      <c r="W119" s="40">
        <v>0</v>
      </c>
      <c r="X119" s="40">
        <f>V119+W119</f>
        <v>4310.125</v>
      </c>
    </row>
    <row r="120" spans="1:25">
      <c r="A120" s="7" t="s">
        <v>486</v>
      </c>
      <c r="B120" s="7">
        <v>85105</v>
      </c>
      <c r="C120" s="7" t="s">
        <v>488</v>
      </c>
      <c r="D120" s="7" t="s">
        <v>294</v>
      </c>
      <c r="E120" s="106"/>
      <c r="F120" s="45" t="s">
        <v>246</v>
      </c>
      <c r="G120" s="40">
        <v>1</v>
      </c>
      <c r="H120" s="40">
        <v>650</v>
      </c>
      <c r="I120" s="40">
        <f>G120*H120</f>
        <v>650</v>
      </c>
      <c r="J120" s="106"/>
      <c r="K120" s="40">
        <v>1</v>
      </c>
      <c r="L120" s="40">
        <f t="shared" si="100"/>
        <v>682.5</v>
      </c>
      <c r="M120" s="106"/>
      <c r="N120" s="40">
        <v>1</v>
      </c>
      <c r="O120" s="40">
        <f t="shared" si="101"/>
        <v>716.625</v>
      </c>
      <c r="P120" s="106"/>
      <c r="Q120" s="40">
        <v>1</v>
      </c>
      <c r="R120" s="40">
        <f t="shared" si="102"/>
        <v>752.45625000000007</v>
      </c>
      <c r="S120" s="106"/>
      <c r="T120" s="40">
        <v>0</v>
      </c>
      <c r="U120" s="40">
        <f t="shared" si="103"/>
        <v>0</v>
      </c>
      <c r="V120" s="40">
        <f t="shared" ref="V120" si="104">SUM(R120,O120,L120,I120,U120)</f>
        <v>2801.5812500000002</v>
      </c>
      <c r="W120" s="40">
        <v>0</v>
      </c>
      <c r="X120" s="40">
        <f>V120+W120</f>
        <v>2801.5812500000002</v>
      </c>
    </row>
    <row r="121" spans="1:25">
      <c r="A121" s="77"/>
      <c r="B121" s="77"/>
      <c r="C121" s="77"/>
      <c r="D121" s="77" t="s">
        <v>106</v>
      </c>
      <c r="E121" s="114"/>
      <c r="F121" s="77"/>
      <c r="G121" s="77"/>
      <c r="H121" s="77"/>
      <c r="I121" s="77"/>
      <c r="J121" s="114"/>
      <c r="K121" s="77"/>
      <c r="L121" s="77"/>
      <c r="M121" s="114"/>
      <c r="N121" s="77"/>
      <c r="O121" s="77"/>
      <c r="P121" s="114"/>
      <c r="Q121" s="77"/>
      <c r="R121" s="77"/>
      <c r="S121" s="114"/>
      <c r="T121" s="77"/>
      <c r="U121" s="77"/>
      <c r="V121" s="77"/>
      <c r="W121" s="77"/>
      <c r="X121" s="77"/>
    </row>
    <row r="122" spans="1:25">
      <c r="A122" s="7" t="s">
        <v>487</v>
      </c>
      <c r="B122" s="7">
        <v>89500</v>
      </c>
      <c r="C122" s="7" t="s">
        <v>450</v>
      </c>
      <c r="D122" s="7" t="s">
        <v>295</v>
      </c>
      <c r="E122" s="106"/>
      <c r="F122" s="45" t="s">
        <v>246</v>
      </c>
      <c r="G122" s="40">
        <v>1</v>
      </c>
      <c r="H122" s="40">
        <v>10000</v>
      </c>
      <c r="I122" s="40">
        <f>G122*H122</f>
        <v>10000</v>
      </c>
      <c r="J122" s="106"/>
      <c r="K122" s="40">
        <v>1</v>
      </c>
      <c r="L122" s="40">
        <f t="shared" ref="L122:L123" si="105">K122*H122*$E$6</f>
        <v>10500</v>
      </c>
      <c r="M122" s="106"/>
      <c r="N122" s="40">
        <v>1</v>
      </c>
      <c r="O122" s="40">
        <f t="shared" ref="O122:O123" si="106">N122*H122*$E$6*$E$6</f>
        <v>11025</v>
      </c>
      <c r="P122" s="106"/>
      <c r="Q122" s="40">
        <v>1</v>
      </c>
      <c r="R122" s="40">
        <f t="shared" ref="R122:R123" si="107">Q122*H122*$E$6*$E$6*$E$6</f>
        <v>11576.25</v>
      </c>
      <c r="S122" s="106"/>
      <c r="T122" s="40">
        <v>0</v>
      </c>
      <c r="U122" s="40">
        <f t="shared" ref="U122:U123" si="108">T122*H122*$E$6*$E$6*$E$6*$E$6</f>
        <v>0</v>
      </c>
      <c r="V122" s="40">
        <f t="shared" ref="V122:V123" si="109">SUM(R122,O122,L122,I122,U122)</f>
        <v>43101.25</v>
      </c>
      <c r="W122" s="40">
        <v>0</v>
      </c>
      <c r="X122" s="40">
        <f>V122+W122</f>
        <v>43101.25</v>
      </c>
    </row>
    <row r="123" spans="1:25">
      <c r="A123" s="7" t="s">
        <v>487</v>
      </c>
      <c r="B123" s="7">
        <v>89500</v>
      </c>
      <c r="C123" s="7" t="s">
        <v>488</v>
      </c>
      <c r="D123" s="7" t="s">
        <v>296</v>
      </c>
      <c r="E123" s="106"/>
      <c r="F123" s="45" t="s">
        <v>297</v>
      </c>
      <c r="G123" s="40">
        <v>1</v>
      </c>
      <c r="H123" s="40">
        <v>25</v>
      </c>
      <c r="I123" s="40">
        <f>G123*H123</f>
        <v>25</v>
      </c>
      <c r="J123" s="106"/>
      <c r="K123" s="40">
        <v>1</v>
      </c>
      <c r="L123" s="40">
        <f t="shared" si="105"/>
        <v>26.25</v>
      </c>
      <c r="M123" s="106"/>
      <c r="N123" s="40">
        <v>1</v>
      </c>
      <c r="O123" s="40">
        <f t="shared" si="106"/>
        <v>27.5625</v>
      </c>
      <c r="P123" s="106"/>
      <c r="Q123" s="40">
        <v>1</v>
      </c>
      <c r="R123" s="40">
        <f t="shared" si="107"/>
        <v>28.940625000000001</v>
      </c>
      <c r="S123" s="106"/>
      <c r="T123" s="40">
        <v>0</v>
      </c>
      <c r="U123" s="40">
        <f t="shared" si="108"/>
        <v>0</v>
      </c>
      <c r="V123" s="40">
        <f t="shared" si="109"/>
        <v>107.753125</v>
      </c>
      <c r="W123" s="40">
        <v>0</v>
      </c>
      <c r="X123" s="40">
        <f>V123+W123</f>
        <v>107.753125</v>
      </c>
    </row>
    <row r="124" spans="1:25">
      <c r="A124" s="7" t="s">
        <v>487</v>
      </c>
      <c r="B124" s="7">
        <v>89500</v>
      </c>
      <c r="C124" s="7" t="s">
        <v>488</v>
      </c>
      <c r="D124" s="7" t="s">
        <v>298</v>
      </c>
      <c r="E124" s="106"/>
      <c r="F124" s="45" t="s">
        <v>297</v>
      </c>
      <c r="G124" s="40">
        <v>1</v>
      </c>
      <c r="H124" s="40">
        <v>800</v>
      </c>
      <c r="I124" s="40">
        <f>G124*H124</f>
        <v>800</v>
      </c>
      <c r="J124" s="106"/>
      <c r="K124" s="40">
        <v>1</v>
      </c>
      <c r="L124" s="40">
        <f t="shared" ref="L124" si="110">K124*H124*$E$6</f>
        <v>840</v>
      </c>
      <c r="M124" s="106"/>
      <c r="N124" s="40">
        <v>1</v>
      </c>
      <c r="O124" s="40">
        <f t="shared" ref="O124" si="111">N124*H124*$E$6*$E$6</f>
        <v>882</v>
      </c>
      <c r="P124" s="106"/>
      <c r="Q124" s="40">
        <v>1</v>
      </c>
      <c r="R124" s="40">
        <f t="shared" ref="R124" si="112">Q124*H124*$E$6*$E$6*$E$6</f>
        <v>926.1</v>
      </c>
      <c r="S124" s="106"/>
      <c r="T124" s="40">
        <v>0</v>
      </c>
      <c r="U124" s="40">
        <f t="shared" ref="U124" si="113">T124*H124*$E$6*$E$6*$E$6*$E$6</f>
        <v>0</v>
      </c>
      <c r="V124" s="40">
        <f t="shared" ref="V124" si="114">SUM(R124,O124,L124,I124,U124)</f>
        <v>3448.1</v>
      </c>
      <c r="W124" s="40">
        <v>0</v>
      </c>
      <c r="X124" s="40">
        <f>V124+W124</f>
        <v>3448.1</v>
      </c>
    </row>
    <row r="125" spans="1:25">
      <c r="E125" s="106"/>
      <c r="F125" s="45"/>
      <c r="G125" s="40"/>
      <c r="H125" s="40"/>
      <c r="I125" s="40"/>
      <c r="J125" s="106"/>
      <c r="K125" s="40"/>
      <c r="L125" s="40"/>
      <c r="M125" s="106"/>
      <c r="N125" s="40"/>
      <c r="O125" s="40"/>
      <c r="P125" s="106"/>
      <c r="Q125" s="40"/>
      <c r="R125" s="40"/>
      <c r="S125" s="106"/>
      <c r="T125" s="40"/>
      <c r="U125" s="40"/>
      <c r="V125" s="40"/>
      <c r="W125" s="40"/>
      <c r="X125" s="40"/>
    </row>
    <row r="126" spans="1:25" ht="12.9" thickBot="1">
      <c r="A126" s="402"/>
      <c r="B126" s="402"/>
      <c r="C126" s="402"/>
      <c r="D126" s="402" t="s">
        <v>299</v>
      </c>
      <c r="E126" s="405"/>
      <c r="F126" s="402"/>
      <c r="G126" s="402"/>
      <c r="H126" s="409"/>
      <c r="I126" s="410">
        <f>SUM(I117:I124)</f>
        <v>16975</v>
      </c>
      <c r="J126" s="405"/>
      <c r="K126" s="410"/>
      <c r="L126" s="410">
        <f>SUM(L117:L124)</f>
        <v>17598.75</v>
      </c>
      <c r="M126" s="405"/>
      <c r="N126" s="410"/>
      <c r="O126" s="410">
        <f>SUM(O117:O124)</f>
        <v>18253.6875</v>
      </c>
      <c r="P126" s="405"/>
      <c r="Q126" s="410"/>
      <c r="R126" s="410">
        <f>SUM(R117:R124)</f>
        <v>18941.371874999997</v>
      </c>
      <c r="S126" s="405"/>
      <c r="T126" s="410"/>
      <c r="U126" s="410">
        <f>SUM(U117:U124)</f>
        <v>0</v>
      </c>
      <c r="V126" s="410">
        <f>SUM(V117:V124)</f>
        <v>71768.809375000012</v>
      </c>
      <c r="W126" s="410">
        <f>SUM(W117:W124)</f>
        <v>0</v>
      </c>
      <c r="X126" s="410">
        <f>SUM(X117:X124)</f>
        <v>71768.809375000012</v>
      </c>
      <c r="Y126" s="417"/>
    </row>
    <row r="127" spans="1:25">
      <c r="A127" s="67"/>
      <c r="B127" s="67"/>
      <c r="C127" s="67"/>
      <c r="D127" s="67"/>
      <c r="E127" s="104"/>
      <c r="F127" s="67"/>
      <c r="G127" s="54"/>
      <c r="H127" s="54"/>
      <c r="I127" s="54"/>
      <c r="J127" s="104"/>
      <c r="K127" s="54"/>
      <c r="L127" s="54"/>
      <c r="M127" s="104"/>
      <c r="N127" s="54"/>
      <c r="O127" s="54"/>
      <c r="P127" s="104"/>
      <c r="Q127" s="54"/>
      <c r="R127" s="54"/>
      <c r="S127" s="104"/>
      <c r="T127" s="54"/>
      <c r="U127" s="54"/>
      <c r="V127" s="54"/>
      <c r="W127" s="54"/>
      <c r="X127" s="54"/>
    </row>
    <row r="128" spans="1:25">
      <c r="A128" s="84"/>
      <c r="B128" s="84"/>
      <c r="C128" s="84"/>
      <c r="D128" s="84" t="str">
        <f>'USDA Budget Summary'!A28</f>
        <v xml:space="preserve">Activity 1: Increase Agricultural Productivity &amp; Trade through Livestock Production </v>
      </c>
      <c r="E128" s="110"/>
      <c r="F128" s="34"/>
      <c r="G128" s="34"/>
      <c r="H128" s="35"/>
      <c r="I128" s="85"/>
      <c r="J128" s="110"/>
      <c r="K128" s="85"/>
      <c r="L128" s="85"/>
      <c r="M128" s="110"/>
      <c r="N128" s="85"/>
      <c r="O128" s="85"/>
      <c r="P128" s="110"/>
      <c r="Q128" s="85"/>
      <c r="R128" s="85"/>
      <c r="S128" s="110"/>
      <c r="T128" s="85"/>
      <c r="U128" s="85"/>
      <c r="V128" s="85"/>
      <c r="W128" s="86"/>
      <c r="X128" s="85"/>
    </row>
    <row r="129" spans="1:24">
      <c r="A129" s="87"/>
      <c r="B129" s="87"/>
      <c r="C129" s="87"/>
      <c r="D129" s="87" t="s">
        <v>300</v>
      </c>
      <c r="E129" s="111"/>
      <c r="F129" s="88"/>
      <c r="G129" s="89"/>
      <c r="H129" s="89"/>
      <c r="I129" s="89"/>
      <c r="J129" s="111"/>
      <c r="K129" s="89"/>
      <c r="L129" s="89"/>
      <c r="M129" s="111"/>
      <c r="N129" s="89"/>
      <c r="O129" s="89"/>
      <c r="P129" s="111"/>
      <c r="Q129" s="89"/>
      <c r="R129" s="89"/>
      <c r="S129" s="111"/>
      <c r="T129" s="89"/>
      <c r="U129" s="89"/>
      <c r="V129" s="89"/>
      <c r="W129" s="89"/>
      <c r="X129" s="89"/>
    </row>
    <row r="130" spans="1:24">
      <c r="A130" s="37"/>
      <c r="B130" s="37"/>
      <c r="C130" s="37"/>
      <c r="D130" s="37" t="s">
        <v>301</v>
      </c>
      <c r="E130" s="112"/>
      <c r="F130" s="42"/>
      <c r="G130" s="43"/>
      <c r="H130" s="43"/>
      <c r="I130" s="43"/>
      <c r="J130" s="112"/>
      <c r="K130" s="43"/>
      <c r="L130" s="43"/>
      <c r="M130" s="112"/>
      <c r="N130" s="43"/>
      <c r="O130" s="43"/>
      <c r="P130" s="112"/>
      <c r="Q130" s="43"/>
      <c r="R130" s="43"/>
      <c r="S130" s="112"/>
      <c r="T130" s="43"/>
      <c r="U130" s="43"/>
      <c r="V130" s="43"/>
      <c r="W130" s="43"/>
      <c r="X130" s="43"/>
    </row>
    <row r="131" spans="1:24">
      <c r="A131" s="7" t="s">
        <v>492</v>
      </c>
      <c r="B131" s="7">
        <v>70000</v>
      </c>
      <c r="C131" s="7" t="s">
        <v>488</v>
      </c>
      <c r="D131" s="7" t="str">
        <f t="shared" ref="D131:D143" si="115">D12</f>
        <v>Key Personnel: Chief of Party</v>
      </c>
      <c r="E131" s="102">
        <f>'LOE Breakdown by Year'!E11</f>
        <v>0.2</v>
      </c>
      <c r="F131" s="46" t="s">
        <v>147</v>
      </c>
      <c r="G131" s="40">
        <f t="shared" ref="G131:H143" si="116">G12</f>
        <v>11</v>
      </c>
      <c r="H131" s="40">
        <f t="shared" si="116"/>
        <v>9583.3333333333339</v>
      </c>
      <c r="I131" s="40">
        <f t="shared" ref="I131" si="117">G131*H131*E131</f>
        <v>21083.333333333336</v>
      </c>
      <c r="J131" s="102">
        <f>'LOE Breakdown by Year'!E36</f>
        <v>0.2</v>
      </c>
      <c r="K131" s="40">
        <f t="shared" ref="K131:K143" si="118">K12</f>
        <v>12</v>
      </c>
      <c r="L131" s="40">
        <f>K131*H131*$E$7*$J131</f>
        <v>24150</v>
      </c>
      <c r="M131" s="102">
        <f>'LOE Breakdown by Year'!E61</f>
        <v>0.2</v>
      </c>
      <c r="N131" s="40">
        <f t="shared" ref="N131:N143" si="119">N12</f>
        <v>12</v>
      </c>
      <c r="O131" s="40">
        <f t="shared" ref="O131" si="120">N131*H131*$M131*$E$7*$E$7</f>
        <v>25357.5</v>
      </c>
      <c r="P131" s="102">
        <f>'LOE Breakdown by Year'!E86</f>
        <v>0.3</v>
      </c>
      <c r="Q131" s="40">
        <f t="shared" ref="Q131:Q143" si="121">Q12</f>
        <v>12</v>
      </c>
      <c r="R131" s="40">
        <f t="shared" ref="R131" si="122">Q131*H131*$P131*$E$7*$E$7*$E$7</f>
        <v>39938.0625</v>
      </c>
      <c r="S131" s="102">
        <f>'LOE Breakdown by Year'!E111</f>
        <v>0</v>
      </c>
      <c r="T131" s="40">
        <f t="shared" ref="T131:T143" si="123">T12</f>
        <v>0</v>
      </c>
      <c r="U131" s="40">
        <f t="shared" ref="U131" si="124">T131*H131*$S131*$E$7*$E$7*$E$7*$E$7</f>
        <v>0</v>
      </c>
      <c r="V131" s="40">
        <f t="shared" ref="V131" si="125">SUM(R131,O131,L131,I131,U131)</f>
        <v>110528.89583333334</v>
      </c>
      <c r="W131" s="40">
        <v>0</v>
      </c>
      <c r="X131" s="40">
        <f t="shared" ref="X131" si="126">SUM(V131:W131)</f>
        <v>110528.89583333334</v>
      </c>
    </row>
    <row r="132" spans="1:24">
      <c r="A132" s="7" t="s">
        <v>492</v>
      </c>
      <c r="B132" s="7">
        <v>70000</v>
      </c>
      <c r="C132" s="7" t="s">
        <v>488</v>
      </c>
      <c r="D132" s="7" t="str">
        <f t="shared" si="115"/>
        <v>Technical Director</v>
      </c>
      <c r="E132" s="102">
        <f>'LOE Breakdown by Year'!E12</f>
        <v>0.22</v>
      </c>
      <c r="F132" s="46" t="s">
        <v>147</v>
      </c>
      <c r="G132" s="40">
        <f t="shared" si="116"/>
        <v>9</v>
      </c>
      <c r="H132" s="40">
        <f t="shared" si="116"/>
        <v>3500</v>
      </c>
      <c r="I132" s="40">
        <f t="shared" ref="I132:I143" si="127">G132*H132*E132</f>
        <v>6930</v>
      </c>
      <c r="J132" s="102">
        <f>'LOE Breakdown by Year'!E37</f>
        <v>0.2</v>
      </c>
      <c r="K132" s="40">
        <f t="shared" si="118"/>
        <v>12</v>
      </c>
      <c r="L132" s="40">
        <f t="shared" ref="L132:L143" si="128">K132*H132*$E$7*$J132</f>
        <v>8820</v>
      </c>
      <c r="M132" s="102">
        <f>'LOE Breakdown by Year'!E62</f>
        <v>0.2</v>
      </c>
      <c r="N132" s="40">
        <f t="shared" si="119"/>
        <v>12</v>
      </c>
      <c r="O132" s="40">
        <f t="shared" ref="O132:O143" si="129">N132*H132*$M132*$E$7*$E$7</f>
        <v>9261</v>
      </c>
      <c r="P132" s="102">
        <f>'LOE Breakdown by Year'!E87</f>
        <v>0.3</v>
      </c>
      <c r="Q132" s="40">
        <f t="shared" si="121"/>
        <v>12</v>
      </c>
      <c r="R132" s="40">
        <f t="shared" ref="R132:R143" si="130">Q132*H132*$P132*$E$7*$E$7*$E$7</f>
        <v>14586.075000000001</v>
      </c>
      <c r="S132" s="102">
        <f>'LOE Breakdown by Year'!E112</f>
        <v>0</v>
      </c>
      <c r="T132" s="40">
        <f t="shared" si="123"/>
        <v>0</v>
      </c>
      <c r="U132" s="40">
        <f t="shared" ref="U132:U143" si="131">T132*H132*$S132*$E$7*$E$7*$E$7*$E$7</f>
        <v>0</v>
      </c>
      <c r="V132" s="40">
        <f t="shared" ref="V132:V143" si="132">SUM(R132,O132,L132,I132,U132)</f>
        <v>39597.074999999997</v>
      </c>
      <c r="W132" s="40">
        <v>0</v>
      </c>
      <c r="X132" s="40">
        <f t="shared" ref="X132:X143" si="133">SUM(V132:W132)</f>
        <v>39597.074999999997</v>
      </c>
    </row>
    <row r="133" spans="1:24" hidden="1">
      <c r="A133" s="7" t="s">
        <v>492</v>
      </c>
      <c r="B133" s="7">
        <v>70000</v>
      </c>
      <c r="C133" s="7" t="s">
        <v>488</v>
      </c>
      <c r="D133" s="7" t="str">
        <f t="shared" si="115"/>
        <v>Technical Lead - Activity 2 US Exports</v>
      </c>
      <c r="E133" s="102">
        <f>'LOE Breakdown by Year'!E13</f>
        <v>0</v>
      </c>
      <c r="F133" s="46" t="s">
        <v>147</v>
      </c>
      <c r="G133" s="40">
        <f t="shared" si="116"/>
        <v>8</v>
      </c>
      <c r="H133" s="40">
        <f t="shared" si="116"/>
        <v>2833.3333333333335</v>
      </c>
      <c r="I133" s="40">
        <f t="shared" si="127"/>
        <v>0</v>
      </c>
      <c r="J133" s="102">
        <f>'LOE Breakdown by Year'!E38</f>
        <v>0</v>
      </c>
      <c r="K133" s="40">
        <f t="shared" si="118"/>
        <v>12</v>
      </c>
      <c r="L133" s="40">
        <f t="shared" si="128"/>
        <v>0</v>
      </c>
      <c r="M133" s="102">
        <f>'LOE Breakdown by Year'!E63</f>
        <v>0</v>
      </c>
      <c r="N133" s="40">
        <f t="shared" si="119"/>
        <v>12</v>
      </c>
      <c r="O133" s="40">
        <f t="shared" si="129"/>
        <v>0</v>
      </c>
      <c r="P133" s="102">
        <f>'LOE Breakdown by Year'!E88</f>
        <v>0</v>
      </c>
      <c r="Q133" s="40">
        <f t="shared" si="121"/>
        <v>12</v>
      </c>
      <c r="R133" s="40">
        <f t="shared" si="130"/>
        <v>0</v>
      </c>
      <c r="S133" s="102">
        <f>'LOE Breakdown by Year'!E113</f>
        <v>0</v>
      </c>
      <c r="T133" s="40">
        <f t="shared" si="123"/>
        <v>0</v>
      </c>
      <c r="U133" s="40">
        <f t="shared" si="131"/>
        <v>0</v>
      </c>
      <c r="V133" s="40">
        <f t="shared" si="132"/>
        <v>0</v>
      </c>
      <c r="W133" s="40">
        <v>0</v>
      </c>
      <c r="X133" s="40">
        <f t="shared" si="133"/>
        <v>0</v>
      </c>
    </row>
    <row r="134" spans="1:24" hidden="1">
      <c r="A134" s="7" t="s">
        <v>492</v>
      </c>
      <c r="B134" s="7">
        <v>70000</v>
      </c>
      <c r="C134" s="7" t="s">
        <v>488</v>
      </c>
      <c r="D134" s="7" t="str">
        <f t="shared" si="115"/>
        <v>Technical Lead - Activity 2 Access to Finance Specialist</v>
      </c>
      <c r="E134" s="102">
        <f>'LOE Breakdown by Year'!E14</f>
        <v>0</v>
      </c>
      <c r="F134" s="46" t="s">
        <v>147</v>
      </c>
      <c r="G134" s="40">
        <f t="shared" si="116"/>
        <v>8</v>
      </c>
      <c r="H134" s="40">
        <f t="shared" si="116"/>
        <v>2833.3333333333335</v>
      </c>
      <c r="I134" s="40">
        <f t="shared" si="127"/>
        <v>0</v>
      </c>
      <c r="J134" s="102">
        <f>'LOE Breakdown by Year'!E39</f>
        <v>0</v>
      </c>
      <c r="K134" s="40">
        <f t="shared" si="118"/>
        <v>12</v>
      </c>
      <c r="L134" s="40">
        <f t="shared" si="128"/>
        <v>0</v>
      </c>
      <c r="M134" s="102">
        <f>'LOE Breakdown by Year'!E64</f>
        <v>0</v>
      </c>
      <c r="N134" s="40">
        <f t="shared" si="119"/>
        <v>12</v>
      </c>
      <c r="O134" s="40">
        <f t="shared" si="129"/>
        <v>0</v>
      </c>
      <c r="P134" s="102">
        <f>'LOE Breakdown by Year'!E89</f>
        <v>0</v>
      </c>
      <c r="Q134" s="40">
        <f t="shared" si="121"/>
        <v>12</v>
      </c>
      <c r="R134" s="40">
        <f t="shared" si="130"/>
        <v>0</v>
      </c>
      <c r="S134" s="102">
        <f>'LOE Breakdown by Year'!E114</f>
        <v>0</v>
      </c>
      <c r="T134" s="40">
        <f t="shared" si="123"/>
        <v>0</v>
      </c>
      <c r="U134" s="40">
        <f t="shared" si="131"/>
        <v>0</v>
      </c>
      <c r="V134" s="40">
        <f t="shared" si="132"/>
        <v>0</v>
      </c>
      <c r="W134" s="40">
        <v>0</v>
      </c>
      <c r="X134" s="40">
        <f t="shared" si="133"/>
        <v>0</v>
      </c>
    </row>
    <row r="135" spans="1:24">
      <c r="A135" s="7" t="s">
        <v>492</v>
      </c>
      <c r="B135" s="7">
        <v>70000</v>
      </c>
      <c r="C135" s="7" t="s">
        <v>488</v>
      </c>
      <c r="D135" s="7" t="str">
        <f t="shared" si="115"/>
        <v>Communications/Strategic Partnerships Manager</v>
      </c>
      <c r="E135" s="102">
        <f>'LOE Breakdown by Year'!E15</f>
        <v>0.3</v>
      </c>
      <c r="F135" s="46" t="s">
        <v>147</v>
      </c>
      <c r="G135" s="40">
        <f t="shared" si="116"/>
        <v>8</v>
      </c>
      <c r="H135" s="40">
        <f t="shared" si="116"/>
        <v>2666.6666666666665</v>
      </c>
      <c r="I135" s="40">
        <f t="shared" si="127"/>
        <v>6399.9999999999991</v>
      </c>
      <c r="J135" s="102">
        <f>'LOE Breakdown by Year'!E40</f>
        <v>0.4</v>
      </c>
      <c r="K135" s="40">
        <f t="shared" si="118"/>
        <v>12</v>
      </c>
      <c r="L135" s="40">
        <f t="shared" si="128"/>
        <v>13440</v>
      </c>
      <c r="M135" s="102">
        <f>'LOE Breakdown by Year'!E65</f>
        <v>0.4</v>
      </c>
      <c r="N135" s="40">
        <f t="shared" si="119"/>
        <v>12</v>
      </c>
      <c r="O135" s="40">
        <f t="shared" si="129"/>
        <v>14112</v>
      </c>
      <c r="P135" s="102">
        <f>'LOE Breakdown by Year'!E90</f>
        <v>0.5</v>
      </c>
      <c r="Q135" s="40">
        <f t="shared" si="121"/>
        <v>12</v>
      </c>
      <c r="R135" s="40">
        <f t="shared" si="130"/>
        <v>18522</v>
      </c>
      <c r="S135" s="102">
        <f>'LOE Breakdown by Year'!E115</f>
        <v>0</v>
      </c>
      <c r="T135" s="40">
        <f t="shared" si="123"/>
        <v>0</v>
      </c>
      <c r="U135" s="40">
        <f t="shared" si="131"/>
        <v>0</v>
      </c>
      <c r="V135" s="40">
        <f t="shared" si="132"/>
        <v>52474</v>
      </c>
      <c r="W135" s="40">
        <v>0</v>
      </c>
      <c r="X135" s="40">
        <f t="shared" si="133"/>
        <v>52474</v>
      </c>
    </row>
    <row r="136" spans="1:24">
      <c r="A136" s="7" t="s">
        <v>492</v>
      </c>
      <c r="B136" s="7">
        <v>70000</v>
      </c>
      <c r="C136" s="7" t="s">
        <v>488</v>
      </c>
      <c r="D136" s="7" t="str">
        <f t="shared" si="115"/>
        <v xml:space="preserve">M&amp;E Director </v>
      </c>
      <c r="E136" s="102">
        <f>'LOE Breakdown by Year'!E16</f>
        <v>0.2</v>
      </c>
      <c r="F136" s="46" t="s">
        <v>147</v>
      </c>
      <c r="G136" s="40">
        <f t="shared" si="116"/>
        <v>10</v>
      </c>
      <c r="H136" s="40">
        <f t="shared" si="116"/>
        <v>3500</v>
      </c>
      <c r="I136" s="40">
        <f t="shared" si="127"/>
        <v>7000</v>
      </c>
      <c r="J136" s="102">
        <f>'LOE Breakdown by Year'!E41</f>
        <v>0.25</v>
      </c>
      <c r="K136" s="40">
        <f t="shared" si="118"/>
        <v>12</v>
      </c>
      <c r="L136" s="40">
        <f t="shared" si="128"/>
        <v>11025</v>
      </c>
      <c r="M136" s="102">
        <f>'LOE Breakdown by Year'!E66</f>
        <v>0.25</v>
      </c>
      <c r="N136" s="40">
        <f t="shared" si="119"/>
        <v>12</v>
      </c>
      <c r="O136" s="40">
        <f t="shared" si="129"/>
        <v>11576.25</v>
      </c>
      <c r="P136" s="102">
        <f>'LOE Breakdown by Year'!E91</f>
        <v>0.35</v>
      </c>
      <c r="Q136" s="40">
        <f t="shared" si="121"/>
        <v>12</v>
      </c>
      <c r="R136" s="40">
        <f t="shared" si="130"/>
        <v>17017.087499999998</v>
      </c>
      <c r="S136" s="102">
        <f>'LOE Breakdown by Year'!E116</f>
        <v>0</v>
      </c>
      <c r="T136" s="40">
        <f t="shared" si="123"/>
        <v>0</v>
      </c>
      <c r="U136" s="40">
        <f t="shared" si="131"/>
        <v>0</v>
      </c>
      <c r="V136" s="40">
        <f t="shared" si="132"/>
        <v>46618.337499999994</v>
      </c>
      <c r="W136" s="40">
        <v>0</v>
      </c>
      <c r="X136" s="40">
        <f t="shared" si="133"/>
        <v>46618.337499999994</v>
      </c>
    </row>
    <row r="137" spans="1:24">
      <c r="A137" s="7" t="s">
        <v>492</v>
      </c>
      <c r="B137" s="7">
        <v>70000</v>
      </c>
      <c r="C137" s="7" t="s">
        <v>488</v>
      </c>
      <c r="D137" s="7" t="str">
        <f t="shared" si="115"/>
        <v>M&amp;E Specialist</v>
      </c>
      <c r="E137" s="102">
        <f>'LOE Breakdown by Year'!E17</f>
        <v>0.25</v>
      </c>
      <c r="F137" s="46" t="s">
        <v>147</v>
      </c>
      <c r="G137" s="40">
        <f t="shared" si="116"/>
        <v>8</v>
      </c>
      <c r="H137" s="40">
        <f t="shared" si="116"/>
        <v>2000</v>
      </c>
      <c r="I137" s="40">
        <f t="shared" si="127"/>
        <v>4000</v>
      </c>
      <c r="J137" s="102">
        <f>'LOE Breakdown by Year'!E42</f>
        <v>0.25</v>
      </c>
      <c r="K137" s="40">
        <f t="shared" si="118"/>
        <v>12</v>
      </c>
      <c r="L137" s="40">
        <f t="shared" si="128"/>
        <v>6300</v>
      </c>
      <c r="M137" s="102">
        <f>'LOE Breakdown by Year'!E67</f>
        <v>0.25</v>
      </c>
      <c r="N137" s="40">
        <f t="shared" si="119"/>
        <v>12</v>
      </c>
      <c r="O137" s="40">
        <f t="shared" si="129"/>
        <v>6615</v>
      </c>
      <c r="P137" s="102">
        <f>'LOE Breakdown by Year'!E92</f>
        <v>0.35</v>
      </c>
      <c r="Q137" s="40">
        <f t="shared" si="121"/>
        <v>12</v>
      </c>
      <c r="R137" s="40">
        <f t="shared" si="130"/>
        <v>9724.0500000000011</v>
      </c>
      <c r="S137" s="102">
        <f>'LOE Breakdown by Year'!E117</f>
        <v>0</v>
      </c>
      <c r="T137" s="40">
        <f t="shared" si="123"/>
        <v>0</v>
      </c>
      <c r="U137" s="40">
        <f t="shared" si="131"/>
        <v>0</v>
      </c>
      <c r="V137" s="40">
        <f t="shared" si="132"/>
        <v>26639.050000000003</v>
      </c>
      <c r="W137" s="40">
        <v>0</v>
      </c>
      <c r="X137" s="40">
        <f t="shared" si="133"/>
        <v>26639.050000000003</v>
      </c>
    </row>
    <row r="138" spans="1:24">
      <c r="A138" s="7" t="s">
        <v>492</v>
      </c>
      <c r="B138" s="7">
        <v>70000</v>
      </c>
      <c r="C138" s="7" t="s">
        <v>488</v>
      </c>
      <c r="D138" s="7" t="str">
        <f t="shared" si="115"/>
        <v xml:space="preserve">Key Personnel: Finance &amp; Administration (F&amp;A) Director </v>
      </c>
      <c r="E138" s="102">
        <f>'LOE Breakdown by Year'!E18</f>
        <v>0.2</v>
      </c>
      <c r="F138" s="46" t="s">
        <v>147</v>
      </c>
      <c r="G138" s="40">
        <f t="shared" si="116"/>
        <v>10</v>
      </c>
      <c r="H138" s="40">
        <f t="shared" si="116"/>
        <v>3500</v>
      </c>
      <c r="I138" s="40">
        <f t="shared" si="127"/>
        <v>7000</v>
      </c>
      <c r="J138" s="102">
        <f>'LOE Breakdown by Year'!E43</f>
        <v>0.3</v>
      </c>
      <c r="K138" s="40">
        <f t="shared" si="118"/>
        <v>12</v>
      </c>
      <c r="L138" s="40">
        <f t="shared" si="128"/>
        <v>13230</v>
      </c>
      <c r="M138" s="102">
        <f>'LOE Breakdown by Year'!E68</f>
        <v>0.3</v>
      </c>
      <c r="N138" s="40">
        <f t="shared" si="119"/>
        <v>12</v>
      </c>
      <c r="O138" s="40">
        <f t="shared" si="129"/>
        <v>13891.5</v>
      </c>
      <c r="P138" s="102">
        <f>'LOE Breakdown by Year'!E93</f>
        <v>0.4</v>
      </c>
      <c r="Q138" s="40">
        <f t="shared" si="121"/>
        <v>12</v>
      </c>
      <c r="R138" s="40">
        <f t="shared" si="130"/>
        <v>19448.100000000002</v>
      </c>
      <c r="S138" s="102">
        <f>'LOE Breakdown by Year'!E118</f>
        <v>0</v>
      </c>
      <c r="T138" s="40">
        <f t="shared" si="123"/>
        <v>0</v>
      </c>
      <c r="U138" s="40">
        <f t="shared" si="131"/>
        <v>0</v>
      </c>
      <c r="V138" s="40">
        <f t="shared" si="132"/>
        <v>53569.600000000006</v>
      </c>
      <c r="W138" s="40">
        <v>0</v>
      </c>
      <c r="X138" s="40">
        <f t="shared" si="133"/>
        <v>53569.600000000006</v>
      </c>
    </row>
    <row r="139" spans="1:24">
      <c r="A139" s="7" t="s">
        <v>492</v>
      </c>
      <c r="B139" s="7">
        <v>70000</v>
      </c>
      <c r="C139" s="7" t="s">
        <v>488</v>
      </c>
      <c r="D139" s="7" t="str">
        <f t="shared" si="115"/>
        <v xml:space="preserve">Accountant </v>
      </c>
      <c r="E139" s="102">
        <f>'LOE Breakdown by Year'!E19</f>
        <v>0.25</v>
      </c>
      <c r="F139" s="46" t="s">
        <v>147</v>
      </c>
      <c r="G139" s="40">
        <f t="shared" si="116"/>
        <v>8</v>
      </c>
      <c r="H139" s="40">
        <f t="shared" si="116"/>
        <v>2000</v>
      </c>
      <c r="I139" s="40">
        <f t="shared" si="127"/>
        <v>4000</v>
      </c>
      <c r="J139" s="102">
        <f>'LOE Breakdown by Year'!E44</f>
        <v>0.25</v>
      </c>
      <c r="K139" s="40">
        <f t="shared" si="118"/>
        <v>12</v>
      </c>
      <c r="L139" s="40">
        <f t="shared" si="128"/>
        <v>6300</v>
      </c>
      <c r="M139" s="102">
        <f>'LOE Breakdown by Year'!E69</f>
        <v>0.25</v>
      </c>
      <c r="N139" s="40">
        <f t="shared" si="119"/>
        <v>12</v>
      </c>
      <c r="O139" s="40">
        <f t="shared" si="129"/>
        <v>6615</v>
      </c>
      <c r="P139" s="102">
        <f>'LOE Breakdown by Year'!E94</f>
        <v>0.4</v>
      </c>
      <c r="Q139" s="40">
        <f t="shared" si="121"/>
        <v>12</v>
      </c>
      <c r="R139" s="40">
        <f t="shared" si="130"/>
        <v>11113.2</v>
      </c>
      <c r="S139" s="102">
        <f>'LOE Breakdown by Year'!E119</f>
        <v>0</v>
      </c>
      <c r="T139" s="40">
        <f t="shared" si="123"/>
        <v>0</v>
      </c>
      <c r="U139" s="40">
        <f t="shared" si="131"/>
        <v>0</v>
      </c>
      <c r="V139" s="40">
        <f t="shared" si="132"/>
        <v>28028.2</v>
      </c>
      <c r="W139" s="40">
        <v>0</v>
      </c>
      <c r="X139" s="40">
        <f t="shared" si="133"/>
        <v>28028.2</v>
      </c>
    </row>
    <row r="140" spans="1:24">
      <c r="A140" s="7" t="s">
        <v>492</v>
      </c>
      <c r="B140" s="7">
        <v>70000</v>
      </c>
      <c r="C140" s="7" t="s">
        <v>488</v>
      </c>
      <c r="D140" s="7" t="str">
        <f t="shared" si="115"/>
        <v>Administration/ HR Manager</v>
      </c>
      <c r="E140" s="102">
        <f>'LOE Breakdown by Year'!E20</f>
        <v>0.15</v>
      </c>
      <c r="F140" s="46" t="s">
        <v>147</v>
      </c>
      <c r="G140" s="40">
        <f t="shared" si="116"/>
        <v>10</v>
      </c>
      <c r="H140" s="40">
        <f t="shared" si="116"/>
        <v>2666.6666666666665</v>
      </c>
      <c r="I140" s="40">
        <f t="shared" si="127"/>
        <v>3999.9999999999995</v>
      </c>
      <c r="J140" s="102">
        <f>'LOE Breakdown by Year'!E45</f>
        <v>0.25</v>
      </c>
      <c r="K140" s="40">
        <f t="shared" si="118"/>
        <v>12</v>
      </c>
      <c r="L140" s="40">
        <f t="shared" si="128"/>
        <v>8400</v>
      </c>
      <c r="M140" s="102">
        <f>'LOE Breakdown by Year'!E70</f>
        <v>0.25</v>
      </c>
      <c r="N140" s="40">
        <f t="shared" si="119"/>
        <v>12</v>
      </c>
      <c r="O140" s="40">
        <f t="shared" si="129"/>
        <v>8820</v>
      </c>
      <c r="P140" s="102">
        <f>'LOE Breakdown by Year'!E95</f>
        <v>0.35</v>
      </c>
      <c r="Q140" s="40">
        <f t="shared" si="121"/>
        <v>12</v>
      </c>
      <c r="R140" s="40">
        <f t="shared" si="130"/>
        <v>12965.400000000001</v>
      </c>
      <c r="S140" s="102">
        <f>'LOE Breakdown by Year'!E120</f>
        <v>0</v>
      </c>
      <c r="T140" s="40">
        <f t="shared" si="123"/>
        <v>0</v>
      </c>
      <c r="U140" s="40">
        <f t="shared" si="131"/>
        <v>0</v>
      </c>
      <c r="V140" s="40">
        <f t="shared" si="132"/>
        <v>34185.4</v>
      </c>
      <c r="W140" s="40">
        <v>0</v>
      </c>
      <c r="X140" s="40">
        <f t="shared" si="133"/>
        <v>34185.4</v>
      </c>
    </row>
    <row r="141" spans="1:24">
      <c r="A141" s="7" t="s">
        <v>492</v>
      </c>
      <c r="B141" s="7">
        <v>70000</v>
      </c>
      <c r="C141" s="7" t="s">
        <v>488</v>
      </c>
      <c r="D141" s="7" t="str">
        <f t="shared" si="115"/>
        <v>Grants &amp; Contracts Manager</v>
      </c>
      <c r="E141" s="102">
        <f>'LOE Breakdown by Year'!E21</f>
        <v>0.21</v>
      </c>
      <c r="F141" s="46" t="s">
        <v>147</v>
      </c>
      <c r="G141" s="40">
        <f t="shared" si="116"/>
        <v>9</v>
      </c>
      <c r="H141" s="40">
        <f t="shared" si="116"/>
        <v>2666.6666666666665</v>
      </c>
      <c r="I141" s="40">
        <f t="shared" si="127"/>
        <v>5040</v>
      </c>
      <c r="J141" s="102">
        <f>'LOE Breakdown by Year'!E46</f>
        <v>0.3</v>
      </c>
      <c r="K141" s="40">
        <f t="shared" si="118"/>
        <v>12</v>
      </c>
      <c r="L141" s="40">
        <f t="shared" si="128"/>
        <v>10080</v>
      </c>
      <c r="M141" s="102">
        <f>'LOE Breakdown by Year'!E71</f>
        <v>0.3</v>
      </c>
      <c r="N141" s="40">
        <f t="shared" si="119"/>
        <v>12</v>
      </c>
      <c r="O141" s="40">
        <f t="shared" si="129"/>
        <v>10584</v>
      </c>
      <c r="P141" s="102">
        <f>'LOE Breakdown by Year'!E96</f>
        <v>0.4</v>
      </c>
      <c r="Q141" s="40">
        <f t="shared" si="121"/>
        <v>12</v>
      </c>
      <c r="R141" s="40">
        <f t="shared" si="130"/>
        <v>14817.6</v>
      </c>
      <c r="S141" s="102">
        <f>'LOE Breakdown by Year'!E121</f>
        <v>0</v>
      </c>
      <c r="T141" s="40">
        <f t="shared" si="123"/>
        <v>0</v>
      </c>
      <c r="U141" s="40">
        <f t="shared" si="131"/>
        <v>0</v>
      </c>
      <c r="V141" s="40">
        <f t="shared" si="132"/>
        <v>40521.599999999999</v>
      </c>
      <c r="W141" s="40">
        <v>0</v>
      </c>
      <c r="X141" s="40">
        <f t="shared" si="133"/>
        <v>40521.599999999999</v>
      </c>
    </row>
    <row r="142" spans="1:24">
      <c r="A142" s="7" t="s">
        <v>492</v>
      </c>
      <c r="B142" s="7">
        <v>70000</v>
      </c>
      <c r="C142" s="7" t="s">
        <v>488</v>
      </c>
      <c r="D142" s="7" t="str">
        <f t="shared" si="115"/>
        <v>Compliance &amp; Procurement Specialist</v>
      </c>
      <c r="E142" s="102">
        <f>'LOE Breakdown by Year'!E22</f>
        <v>0.21</v>
      </c>
      <c r="F142" s="46" t="s">
        <v>147</v>
      </c>
      <c r="G142" s="40">
        <f t="shared" si="116"/>
        <v>9</v>
      </c>
      <c r="H142" s="40">
        <f t="shared" si="116"/>
        <v>2000</v>
      </c>
      <c r="I142" s="40">
        <f t="shared" si="127"/>
        <v>3780</v>
      </c>
      <c r="J142" s="102">
        <f>'LOE Breakdown by Year'!E47</f>
        <v>0.3</v>
      </c>
      <c r="K142" s="40">
        <f t="shared" si="118"/>
        <v>12</v>
      </c>
      <c r="L142" s="40">
        <f t="shared" si="128"/>
        <v>7560</v>
      </c>
      <c r="M142" s="102">
        <f>'LOE Breakdown by Year'!E72</f>
        <v>0.3</v>
      </c>
      <c r="N142" s="40">
        <f t="shared" si="119"/>
        <v>12</v>
      </c>
      <c r="O142" s="40">
        <f t="shared" si="129"/>
        <v>7938</v>
      </c>
      <c r="P142" s="102">
        <f>'LOE Breakdown by Year'!E97</f>
        <v>0.4</v>
      </c>
      <c r="Q142" s="40">
        <f t="shared" si="121"/>
        <v>12</v>
      </c>
      <c r="R142" s="40">
        <f t="shared" si="130"/>
        <v>11113.2</v>
      </c>
      <c r="S142" s="102">
        <f>'LOE Breakdown by Year'!E122</f>
        <v>0</v>
      </c>
      <c r="T142" s="40">
        <f t="shared" si="123"/>
        <v>0</v>
      </c>
      <c r="U142" s="40">
        <f t="shared" si="131"/>
        <v>0</v>
      </c>
      <c r="V142" s="40">
        <f t="shared" si="132"/>
        <v>30391.200000000001</v>
      </c>
      <c r="W142" s="40">
        <v>0</v>
      </c>
      <c r="X142" s="40">
        <f t="shared" si="133"/>
        <v>30391.200000000001</v>
      </c>
    </row>
    <row r="143" spans="1:24">
      <c r="A143" s="7" t="s">
        <v>492</v>
      </c>
      <c r="B143" s="7">
        <v>70000</v>
      </c>
      <c r="C143" s="7" t="s">
        <v>488</v>
      </c>
      <c r="D143" s="7" t="str">
        <f t="shared" si="115"/>
        <v>Driver</v>
      </c>
      <c r="E143" s="102">
        <f>'LOE Breakdown by Year'!E23</f>
        <v>0.25</v>
      </c>
      <c r="F143" s="46" t="s">
        <v>147</v>
      </c>
      <c r="G143" s="40">
        <f t="shared" si="116"/>
        <v>7</v>
      </c>
      <c r="H143" s="40">
        <f t="shared" si="116"/>
        <v>500</v>
      </c>
      <c r="I143" s="40">
        <f t="shared" si="127"/>
        <v>875</v>
      </c>
      <c r="J143" s="102">
        <f>'LOE Breakdown by Year'!E48</f>
        <v>0.25</v>
      </c>
      <c r="K143" s="40">
        <f t="shared" si="118"/>
        <v>12</v>
      </c>
      <c r="L143" s="40">
        <f t="shared" si="128"/>
        <v>1575</v>
      </c>
      <c r="M143" s="102">
        <f>'LOE Breakdown by Year'!E73</f>
        <v>0.25</v>
      </c>
      <c r="N143" s="40">
        <f t="shared" si="119"/>
        <v>12</v>
      </c>
      <c r="O143" s="40">
        <f t="shared" si="129"/>
        <v>1653.75</v>
      </c>
      <c r="P143" s="102">
        <f>'LOE Breakdown by Year'!E98</f>
        <v>0.35</v>
      </c>
      <c r="Q143" s="40">
        <f t="shared" si="121"/>
        <v>12</v>
      </c>
      <c r="R143" s="40">
        <f t="shared" si="130"/>
        <v>2431.0125000000003</v>
      </c>
      <c r="S143" s="102">
        <f>'LOE Breakdown by Year'!E123</f>
        <v>0</v>
      </c>
      <c r="T143" s="40">
        <f t="shared" si="123"/>
        <v>0</v>
      </c>
      <c r="U143" s="40">
        <f t="shared" si="131"/>
        <v>0</v>
      </c>
      <c r="V143" s="40">
        <f t="shared" si="132"/>
        <v>6534.7625000000007</v>
      </c>
      <c r="W143" s="40">
        <v>0</v>
      </c>
      <c r="X143" s="40">
        <f t="shared" si="133"/>
        <v>6534.7625000000007</v>
      </c>
    </row>
    <row r="144" spans="1:24">
      <c r="A144" s="427"/>
      <c r="B144" s="427"/>
      <c r="C144" s="427"/>
      <c r="D144" s="427" t="s">
        <v>213</v>
      </c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</row>
    <row r="145" spans="1:25">
      <c r="A145" s="7" t="s">
        <v>492</v>
      </c>
      <c r="B145" s="7">
        <v>50000</v>
      </c>
      <c r="C145" s="7" t="s">
        <v>450</v>
      </c>
      <c r="D145" s="7" t="str">
        <f>D26</f>
        <v>Senior Vice President of Programs</v>
      </c>
      <c r="E145" s="108">
        <f>'LOE Breakdown by Year'!E25</f>
        <v>0.01</v>
      </c>
      <c r="F145" s="46" t="s">
        <v>147</v>
      </c>
      <c r="G145" s="40">
        <f t="shared" ref="G145:H149" si="134">G26</f>
        <v>12</v>
      </c>
      <c r="H145" s="40">
        <f t="shared" si="134"/>
        <v>13500</v>
      </c>
      <c r="I145" s="40">
        <f>G145*H145*E145</f>
        <v>1620</v>
      </c>
      <c r="J145" s="108">
        <f>'LOE Breakdown by Year'!E50</f>
        <v>0.01</v>
      </c>
      <c r="K145" s="40">
        <f>K26</f>
        <v>12</v>
      </c>
      <c r="L145" s="40">
        <f>K145*H145*$E$7*$J145</f>
        <v>1701</v>
      </c>
      <c r="M145" s="108">
        <f>'LOE Breakdown by Year'!E75</f>
        <v>0.01</v>
      </c>
      <c r="N145" s="40">
        <f>N26</f>
        <v>12</v>
      </c>
      <c r="O145" s="40">
        <f>N145*H145*$M145*$E$7*$E$7</f>
        <v>1786.0500000000002</v>
      </c>
      <c r="P145" s="108">
        <f>'LOE Breakdown by Year'!E100</f>
        <v>0.01</v>
      </c>
      <c r="Q145" s="40">
        <f>Q26</f>
        <v>12</v>
      </c>
      <c r="R145" s="40">
        <f>Q145*H145*$P145*$E$7*$E$7*$E$7</f>
        <v>1875.3525000000002</v>
      </c>
      <c r="S145" s="108">
        <f>'LOE Breakdown by Year'!E125</f>
        <v>0</v>
      </c>
      <c r="T145" s="40">
        <f>T26</f>
        <v>0</v>
      </c>
      <c r="U145" s="40">
        <f>T145*H145*$S145*$E$7*$E$7*$E$7*$E$7</f>
        <v>0</v>
      </c>
      <c r="V145" s="40">
        <f>SUM(R145,O145,L145,I145,U145)</f>
        <v>6982.4025000000001</v>
      </c>
      <c r="W145" s="40">
        <v>0</v>
      </c>
      <c r="X145" s="40">
        <f>SUM(V145:W145)</f>
        <v>6982.4025000000001</v>
      </c>
    </row>
    <row r="146" spans="1:25">
      <c r="A146" s="7" t="s">
        <v>492</v>
      </c>
      <c r="B146" s="7">
        <v>50000</v>
      </c>
      <c r="C146" s="7" t="s">
        <v>450</v>
      </c>
      <c r="D146" s="7" t="str">
        <f>D27</f>
        <v xml:space="preserve">Senior Program Director </v>
      </c>
      <c r="E146" s="102">
        <f>'LOE Breakdown by Year'!E26</f>
        <v>0.04</v>
      </c>
      <c r="F146" s="46" t="s">
        <v>147</v>
      </c>
      <c r="G146" s="40">
        <f t="shared" si="134"/>
        <v>12</v>
      </c>
      <c r="H146" s="40">
        <f t="shared" si="134"/>
        <v>12500</v>
      </c>
      <c r="I146" s="40">
        <f t="shared" ref="I146:I149" si="135">G146*H146*E146</f>
        <v>6000</v>
      </c>
      <c r="J146" s="102">
        <f>'LOE Breakdown by Year'!E51</f>
        <v>0.05</v>
      </c>
      <c r="K146" s="40">
        <f>K27</f>
        <v>12</v>
      </c>
      <c r="L146" s="40">
        <f t="shared" ref="L146:L149" si="136">K146*H146*$E$7*$J146</f>
        <v>7875</v>
      </c>
      <c r="M146" s="102">
        <f>'LOE Breakdown by Year'!E76</f>
        <v>0.05</v>
      </c>
      <c r="N146" s="40">
        <f>N27</f>
        <v>12</v>
      </c>
      <c r="O146" s="40">
        <f t="shared" ref="O146" si="137">N146*H146*$M146*$E$7*$E$7</f>
        <v>8268.75</v>
      </c>
      <c r="P146" s="102">
        <f>'LOE Breakdown by Year'!E101</f>
        <v>0.05</v>
      </c>
      <c r="Q146" s="40">
        <f>Q27</f>
        <v>12</v>
      </c>
      <c r="R146" s="40">
        <f t="shared" ref="R146" si="138">Q146*H146*$P146*$E$7*$E$7*$E$7</f>
        <v>8682.1875</v>
      </c>
      <c r="S146" s="102">
        <f>'LOE Breakdown by Year'!E126</f>
        <v>0</v>
      </c>
      <c r="T146" s="40">
        <f>T27</f>
        <v>0</v>
      </c>
      <c r="U146" s="40">
        <f t="shared" ref="U146:U149" si="139">T146*H146*$S146*$E$7*$E$7*$E$7*$E$7</f>
        <v>0</v>
      </c>
      <c r="V146" s="40">
        <f>SUM(R146,O146,L146,I146,U146)</f>
        <v>30825.9375</v>
      </c>
      <c r="W146" s="40">
        <v>0</v>
      </c>
      <c r="X146" s="40">
        <f>SUM(V146:W146)</f>
        <v>30825.9375</v>
      </c>
    </row>
    <row r="147" spans="1:25">
      <c r="A147" s="7" t="s">
        <v>492</v>
      </c>
      <c r="B147" s="7">
        <v>50000</v>
      </c>
      <c r="C147" s="7" t="s">
        <v>450</v>
      </c>
      <c r="D147" s="7" t="str">
        <f>D28</f>
        <v>Associate Director</v>
      </c>
      <c r="E147" s="102">
        <f>'LOE Breakdown by Year'!E27</f>
        <v>0.05</v>
      </c>
      <c r="F147" s="46" t="s">
        <v>147</v>
      </c>
      <c r="G147" s="40">
        <f t="shared" si="134"/>
        <v>12</v>
      </c>
      <c r="H147" s="40">
        <f t="shared" si="134"/>
        <v>7500</v>
      </c>
      <c r="I147" s="40">
        <f t="shared" si="135"/>
        <v>4500</v>
      </c>
      <c r="J147" s="102">
        <f>'LOE Breakdown by Year'!E52</f>
        <v>0.2</v>
      </c>
      <c r="K147" s="40">
        <f>K28</f>
        <v>12</v>
      </c>
      <c r="L147" s="40">
        <f t="shared" si="136"/>
        <v>18900</v>
      </c>
      <c r="M147" s="102">
        <f>'LOE Breakdown by Year'!E77</f>
        <v>0.2</v>
      </c>
      <c r="N147" s="40">
        <f>N28</f>
        <v>12</v>
      </c>
      <c r="O147" s="40">
        <f t="shared" ref="O147:O149" si="140">N147*H147*$M147*$E$7*$E$7</f>
        <v>19845</v>
      </c>
      <c r="P147" s="102">
        <f>'LOE Breakdown by Year'!E102</f>
        <v>0.2</v>
      </c>
      <c r="Q147" s="40">
        <f>Q28</f>
        <v>12</v>
      </c>
      <c r="R147" s="40">
        <f t="shared" ref="R147:R149" si="141">Q147*H147*$P147*$E$7*$E$7*$E$7</f>
        <v>20837.25</v>
      </c>
      <c r="S147" s="102">
        <f>'LOE Breakdown by Year'!E127</f>
        <v>0</v>
      </c>
      <c r="T147" s="40">
        <f>T28</f>
        <v>0</v>
      </c>
      <c r="U147" s="40">
        <f t="shared" si="139"/>
        <v>0</v>
      </c>
      <c r="V147" s="40">
        <f t="shared" ref="V147:V148" si="142">SUM(R147,O147,L147,I147,U147)</f>
        <v>64082.25</v>
      </c>
      <c r="W147" s="40">
        <v>0</v>
      </c>
      <c r="X147" s="40">
        <f t="shared" ref="X147:X149" si="143">SUM(V147:W147)</f>
        <v>64082.25</v>
      </c>
    </row>
    <row r="148" spans="1:25">
      <c r="A148" s="7" t="s">
        <v>492</v>
      </c>
      <c r="B148" s="7">
        <v>50000</v>
      </c>
      <c r="C148" s="7" t="s">
        <v>450</v>
      </c>
      <c r="D148" s="7" t="str">
        <f>D29</f>
        <v>Compliance &amp; Contracts Director</v>
      </c>
      <c r="E148" s="102">
        <f>'LOE Breakdown by Year'!E28</f>
        <v>0.04</v>
      </c>
      <c r="F148" s="46" t="s">
        <v>147</v>
      </c>
      <c r="G148" s="40">
        <f t="shared" si="134"/>
        <v>12</v>
      </c>
      <c r="H148" s="40">
        <f t="shared" si="134"/>
        <v>9166.6666666666661</v>
      </c>
      <c r="I148" s="40">
        <f t="shared" si="135"/>
        <v>4400</v>
      </c>
      <c r="J148" s="102">
        <f>'LOE Breakdown by Year'!E53</f>
        <v>0.05</v>
      </c>
      <c r="K148" s="40">
        <f>K29</f>
        <v>12</v>
      </c>
      <c r="L148" s="40">
        <f t="shared" si="136"/>
        <v>5775</v>
      </c>
      <c r="M148" s="102">
        <f>'LOE Breakdown by Year'!E78</f>
        <v>0.05</v>
      </c>
      <c r="N148" s="40">
        <f>N29</f>
        <v>12</v>
      </c>
      <c r="O148" s="40">
        <f t="shared" si="140"/>
        <v>6063.75</v>
      </c>
      <c r="P148" s="102">
        <f>'LOE Breakdown by Year'!E103</f>
        <v>0.05</v>
      </c>
      <c r="Q148" s="40">
        <f>Q29</f>
        <v>12</v>
      </c>
      <c r="R148" s="40">
        <f t="shared" si="141"/>
        <v>6366.9375</v>
      </c>
      <c r="S148" s="102">
        <f>'LOE Breakdown by Year'!E128</f>
        <v>0</v>
      </c>
      <c r="T148" s="40">
        <f>T29</f>
        <v>0</v>
      </c>
      <c r="U148" s="40">
        <f t="shared" si="139"/>
        <v>0</v>
      </c>
      <c r="V148" s="40">
        <f t="shared" si="142"/>
        <v>22605.6875</v>
      </c>
      <c r="W148" s="40">
        <v>0</v>
      </c>
      <c r="X148" s="40">
        <f t="shared" si="143"/>
        <v>22605.6875</v>
      </c>
    </row>
    <row r="149" spans="1:25">
      <c r="A149" s="7" t="s">
        <v>492</v>
      </c>
      <c r="B149" s="7">
        <v>50000</v>
      </c>
      <c r="C149" s="7" t="s">
        <v>450</v>
      </c>
      <c r="D149" s="7" t="str">
        <f>D30</f>
        <v>Finance, HR, &amp; Administration Home Office Support</v>
      </c>
      <c r="E149" s="102">
        <f>'LOE Breakdown by Year'!E29</f>
        <v>0.08</v>
      </c>
      <c r="F149" s="46" t="s">
        <v>147</v>
      </c>
      <c r="G149" s="40">
        <f t="shared" si="134"/>
        <v>12</v>
      </c>
      <c r="H149" s="40">
        <f t="shared" si="134"/>
        <v>7500</v>
      </c>
      <c r="I149" s="40">
        <f t="shared" si="135"/>
        <v>7200</v>
      </c>
      <c r="J149" s="102">
        <f>'LOE Breakdown by Year'!E54</f>
        <v>0.15</v>
      </c>
      <c r="K149" s="40">
        <f>K30</f>
        <v>12</v>
      </c>
      <c r="L149" s="40">
        <f t="shared" si="136"/>
        <v>14175</v>
      </c>
      <c r="M149" s="102">
        <f>'LOE Breakdown by Year'!E79</f>
        <v>0.15</v>
      </c>
      <c r="N149" s="40">
        <f>N30</f>
        <v>12</v>
      </c>
      <c r="O149" s="40">
        <f t="shared" si="140"/>
        <v>14883.75</v>
      </c>
      <c r="P149" s="102">
        <f>'LOE Breakdown by Year'!E104</f>
        <v>0.15</v>
      </c>
      <c r="Q149" s="40">
        <f>Q30</f>
        <v>12</v>
      </c>
      <c r="R149" s="40">
        <f t="shared" si="141"/>
        <v>15627.9375</v>
      </c>
      <c r="S149" s="102">
        <f>'LOE Breakdown by Year'!E129</f>
        <v>0</v>
      </c>
      <c r="T149" s="40">
        <f>T30</f>
        <v>0</v>
      </c>
      <c r="U149" s="40">
        <f t="shared" si="139"/>
        <v>0</v>
      </c>
      <c r="V149" s="40">
        <f>SUM(R149,O149,L149,I149,U149)</f>
        <v>51886.6875</v>
      </c>
      <c r="W149" s="40">
        <v>0</v>
      </c>
      <c r="X149" s="40">
        <f t="shared" si="143"/>
        <v>51886.6875</v>
      </c>
    </row>
    <row r="150" spans="1:25">
      <c r="A150" s="37"/>
      <c r="B150" s="37"/>
      <c r="C150" s="37"/>
      <c r="D150" s="37" t="s">
        <v>302</v>
      </c>
      <c r="E150" s="112"/>
      <c r="F150" s="42"/>
      <c r="G150" s="43"/>
      <c r="H150" s="43"/>
      <c r="I150" s="44">
        <f>SUM(I131:I149)</f>
        <v>93828.333333333343</v>
      </c>
      <c r="J150" s="112"/>
      <c r="K150" s="44"/>
      <c r="L150" s="44">
        <f>SUM(L131:L149)</f>
        <v>159306</v>
      </c>
      <c r="M150" s="112"/>
      <c r="N150" s="44"/>
      <c r="O150" s="44">
        <f>SUM(O131:O149)</f>
        <v>167271.29999999999</v>
      </c>
      <c r="P150" s="112"/>
      <c r="Q150" s="44"/>
      <c r="R150" s="44">
        <f>SUM(R131:R149)</f>
        <v>225065.45250000004</v>
      </c>
      <c r="S150" s="112"/>
      <c r="T150" s="44"/>
      <c r="U150" s="44">
        <f>SUM(U131:U149)</f>
        <v>0</v>
      </c>
      <c r="V150" s="44">
        <f>SUM(V131:V149)</f>
        <v>645471.08583333343</v>
      </c>
      <c r="W150" s="44">
        <f>SUM(W131:W149)</f>
        <v>0</v>
      </c>
      <c r="X150" s="44">
        <f>SUM(X131:X149)</f>
        <v>645471.08583333343</v>
      </c>
    </row>
    <row r="151" spans="1:25">
      <c r="A151" s="90"/>
      <c r="B151" s="90"/>
      <c r="C151" s="90"/>
      <c r="D151" s="90"/>
      <c r="E151" s="113"/>
      <c r="F151" s="67"/>
      <c r="G151" s="54"/>
      <c r="H151" s="54"/>
      <c r="I151" s="54"/>
      <c r="J151" s="113"/>
      <c r="K151" s="54"/>
      <c r="L151" s="54"/>
      <c r="M151" s="113"/>
      <c r="N151" s="54"/>
      <c r="O151" s="54"/>
      <c r="P151" s="113"/>
      <c r="Q151" s="54"/>
      <c r="R151" s="54"/>
      <c r="S151" s="113"/>
      <c r="T151" s="54"/>
      <c r="U151" s="54"/>
      <c r="V151" s="54"/>
      <c r="W151" s="54"/>
      <c r="X151" s="54"/>
    </row>
    <row r="152" spans="1:25">
      <c r="A152" s="37"/>
      <c r="B152" s="37"/>
      <c r="C152" s="37"/>
      <c r="D152" s="37" t="s">
        <v>303</v>
      </c>
      <c r="E152" s="112"/>
      <c r="F152" s="42"/>
      <c r="G152" s="43"/>
      <c r="H152" s="43"/>
      <c r="I152" s="44"/>
      <c r="J152" s="112"/>
      <c r="K152" s="44"/>
      <c r="L152" s="44"/>
      <c r="M152" s="112"/>
      <c r="N152" s="44"/>
      <c r="O152" s="44"/>
      <c r="P152" s="112"/>
      <c r="Q152" s="44"/>
      <c r="R152" s="44"/>
      <c r="S152" s="112"/>
      <c r="T152" s="44"/>
      <c r="U152" s="44"/>
      <c r="V152" s="44"/>
      <c r="W152" s="44"/>
      <c r="X152" s="44"/>
    </row>
    <row r="153" spans="1:25">
      <c r="A153" s="442" t="s">
        <v>495</v>
      </c>
      <c r="B153" s="7">
        <v>70015</v>
      </c>
      <c r="C153" s="7" t="s">
        <v>488</v>
      </c>
      <c r="D153" s="442" t="str">
        <f>$D$35</f>
        <v>Fringe Benefits CCN - Nigeria</v>
      </c>
      <c r="E153" s="103"/>
      <c r="F153" s="68" t="s">
        <v>109</v>
      </c>
      <c r="G153" s="40"/>
      <c r="H153" s="433">
        <f>$H$35</f>
        <v>0.29599999999999999</v>
      </c>
      <c r="I153" s="40">
        <f>SUM(I131:I143)*$H$153</f>
        <v>20752.066666666669</v>
      </c>
      <c r="J153" s="103"/>
      <c r="K153" s="40"/>
      <c r="L153" s="40">
        <f>SUM(L131:L143)*$H$153</f>
        <v>32820.479999999996</v>
      </c>
      <c r="M153" s="103"/>
      <c r="N153" s="40"/>
      <c r="O153" s="40">
        <f>SUM(O131:O143)*$H$153</f>
        <v>34461.504000000001</v>
      </c>
      <c r="P153" s="103"/>
      <c r="Q153" s="40"/>
      <c r="R153" s="40">
        <f>SUM(R131:R143)*$H$153</f>
        <v>50816.033100000008</v>
      </c>
      <c r="S153" s="103"/>
      <c r="T153" s="40"/>
      <c r="U153" s="40">
        <f>SUM(U131:U143)*$H$153</f>
        <v>0</v>
      </c>
      <c r="V153" s="40">
        <f>SUM(R153,O153,L153,I153,U153)</f>
        <v>138850.08376666668</v>
      </c>
      <c r="W153" s="54">
        <v>0</v>
      </c>
      <c r="X153" s="40">
        <f t="shared" ref="X153" si="144">SUM(V153:W153)</f>
        <v>138850.08376666668</v>
      </c>
    </row>
    <row r="154" spans="1:25">
      <c r="A154" s="7" t="s">
        <v>495</v>
      </c>
      <c r="B154" s="7">
        <v>50900</v>
      </c>
      <c r="C154" s="7" t="s">
        <v>450</v>
      </c>
      <c r="D154" s="7" t="str">
        <f>$D$36</f>
        <v>Fringe Benefits - HO</v>
      </c>
      <c r="E154" s="103"/>
      <c r="F154" s="68" t="s">
        <v>109</v>
      </c>
      <c r="G154" s="40"/>
      <c r="H154" s="433">
        <f>$H$36</f>
        <v>0.23469999999999999</v>
      </c>
      <c r="I154" s="40">
        <f>(SUM(I145:I149))*$H$154</f>
        <v>5567.0839999999998</v>
      </c>
      <c r="J154" s="103"/>
      <c r="K154" s="40"/>
      <c r="L154" s="40">
        <f>(SUM(L145:L149))*$H$154</f>
        <v>11365.582199999999</v>
      </c>
      <c r="M154" s="103"/>
      <c r="N154" s="40"/>
      <c r="O154" s="40">
        <f>(SUM(O145:O149))*$H$154</f>
        <v>11933.86131</v>
      </c>
      <c r="P154" s="103"/>
      <c r="Q154" s="40"/>
      <c r="R154" s="40">
        <f>(SUM(R145:R149))*$H$154</f>
        <v>12530.5543755</v>
      </c>
      <c r="S154" s="103"/>
      <c r="T154" s="40"/>
      <c r="U154" s="40">
        <f>(SUM(U145:U149))*$H$154</f>
        <v>0</v>
      </c>
      <c r="V154" s="40">
        <f t="shared" ref="V154" si="145">SUM(R154,O154,L154,I154,U154)</f>
        <v>41397.081885500003</v>
      </c>
      <c r="W154" s="54">
        <v>0</v>
      </c>
      <c r="X154" s="40">
        <f t="shared" ref="X154" si="146">SUM(V154:W154)</f>
        <v>41397.081885500003</v>
      </c>
    </row>
    <row r="155" spans="1:25">
      <c r="A155" s="37"/>
      <c r="B155" s="37"/>
      <c r="C155" s="37"/>
      <c r="D155" s="37" t="s">
        <v>304</v>
      </c>
      <c r="E155" s="112"/>
      <c r="F155" s="42"/>
      <c r="G155" s="43"/>
      <c r="H155" s="43"/>
      <c r="I155" s="44">
        <f>SUM(I153:I154)</f>
        <v>26319.150666666668</v>
      </c>
      <c r="J155" s="112"/>
      <c r="K155" s="44"/>
      <c r="L155" s="44">
        <f>SUM(L153:L154)</f>
        <v>44186.062199999993</v>
      </c>
      <c r="M155" s="112"/>
      <c r="N155" s="44"/>
      <c r="O155" s="44">
        <f>SUM(O153:O154)</f>
        <v>46395.365310000001</v>
      </c>
      <c r="P155" s="112"/>
      <c r="Q155" s="44"/>
      <c r="R155" s="44">
        <f>SUM(R153:R154)</f>
        <v>63346.587475500011</v>
      </c>
      <c r="S155" s="112"/>
      <c r="T155" s="44"/>
      <c r="U155" s="44">
        <f>SUM(U153:U154)</f>
        <v>0</v>
      </c>
      <c r="V155" s="44">
        <f>SUM(V153:V154)</f>
        <v>180247.16565216667</v>
      </c>
      <c r="W155" s="44">
        <f>SUM(W153:W154)</f>
        <v>0</v>
      </c>
      <c r="X155" s="44">
        <f>SUM(X153:X154)</f>
        <v>180247.16565216667</v>
      </c>
    </row>
    <row r="156" spans="1:25">
      <c r="A156" s="90"/>
      <c r="B156" s="90"/>
      <c r="C156" s="90"/>
      <c r="D156" s="90"/>
      <c r="E156" s="113"/>
      <c r="F156" s="67"/>
      <c r="G156" s="54"/>
      <c r="H156" s="54"/>
      <c r="I156" s="91"/>
      <c r="J156" s="113"/>
      <c r="K156" s="91"/>
      <c r="L156" s="91"/>
      <c r="M156" s="113"/>
      <c r="N156" s="91"/>
      <c r="O156" s="91"/>
      <c r="P156" s="113"/>
      <c r="Q156" s="91"/>
      <c r="R156" s="91"/>
      <c r="S156" s="113"/>
      <c r="T156" s="91"/>
      <c r="U156" s="91"/>
      <c r="V156" s="91"/>
      <c r="W156" s="91"/>
      <c r="X156" s="91"/>
    </row>
    <row r="157" spans="1:25">
      <c r="A157" s="37"/>
      <c r="B157" s="37"/>
      <c r="C157" s="37"/>
      <c r="D157" s="37" t="s">
        <v>305</v>
      </c>
      <c r="E157" s="112"/>
      <c r="F157" s="42"/>
      <c r="G157" s="43"/>
      <c r="H157" s="43"/>
      <c r="I157" s="43"/>
      <c r="J157" s="112"/>
      <c r="K157" s="43"/>
      <c r="L157" s="43"/>
      <c r="M157" s="112"/>
      <c r="N157" s="43"/>
      <c r="O157" s="43"/>
      <c r="P157" s="112"/>
      <c r="Q157" s="43"/>
      <c r="R157" s="43"/>
      <c r="S157" s="112"/>
      <c r="T157" s="43"/>
      <c r="U157" s="43"/>
      <c r="V157" s="43"/>
      <c r="W157" s="43"/>
      <c r="X157" s="43"/>
    </row>
    <row r="158" spans="1:25">
      <c r="A158" s="7" t="s">
        <v>501</v>
      </c>
      <c r="B158" s="7">
        <v>81010</v>
      </c>
      <c r="C158" s="7" t="s">
        <v>488</v>
      </c>
      <c r="D158" s="7" t="s">
        <v>306</v>
      </c>
      <c r="E158" s="106"/>
      <c r="F158" s="45" t="s">
        <v>246</v>
      </c>
      <c r="G158" s="40">
        <v>0</v>
      </c>
      <c r="H158" s="40">
        <v>160000</v>
      </c>
      <c r="I158" s="40">
        <f t="shared" ref="I158" si="147">G158*H158</f>
        <v>0</v>
      </c>
      <c r="J158" s="106"/>
      <c r="K158" s="434">
        <v>0.5</v>
      </c>
      <c r="L158" s="40">
        <f t="shared" ref="L158" si="148">K158*H158</f>
        <v>80000</v>
      </c>
      <c r="M158" s="106"/>
      <c r="N158" s="40">
        <v>1</v>
      </c>
      <c r="O158" s="40">
        <f t="shared" ref="O158" si="149">N158*H158</f>
        <v>160000</v>
      </c>
      <c r="P158" s="106"/>
      <c r="Q158" s="40">
        <v>1</v>
      </c>
      <c r="R158" s="40">
        <f t="shared" ref="R158" si="150">Q158*H158</f>
        <v>160000</v>
      </c>
      <c r="S158" s="106"/>
      <c r="T158" s="434"/>
      <c r="U158" s="40">
        <f t="shared" ref="U158" si="151">T158*H158</f>
        <v>0</v>
      </c>
      <c r="V158" s="40">
        <f t="shared" ref="V158" si="152">SUM(R158,O158,L158,I158,U158)</f>
        <v>400000</v>
      </c>
      <c r="W158" s="40">
        <v>0</v>
      </c>
      <c r="X158" s="40">
        <f t="shared" ref="X158" si="153">V158+W158</f>
        <v>400000</v>
      </c>
      <c r="Y158" s="417"/>
    </row>
    <row r="159" spans="1:25">
      <c r="A159" s="7" t="s">
        <v>500</v>
      </c>
      <c r="B159" s="7">
        <v>86110</v>
      </c>
      <c r="C159" s="7" t="s">
        <v>488</v>
      </c>
      <c r="D159" s="7" t="s">
        <v>250</v>
      </c>
      <c r="E159" s="106"/>
      <c r="F159" s="45" t="s">
        <v>246</v>
      </c>
      <c r="G159" s="40">
        <v>1</v>
      </c>
      <c r="H159" s="40">
        <v>2000</v>
      </c>
      <c r="I159" s="40">
        <f>G159*H159</f>
        <v>2000</v>
      </c>
      <c r="J159" s="106"/>
      <c r="K159" s="40">
        <v>1</v>
      </c>
      <c r="L159" s="40">
        <f>K159*H159</f>
        <v>2000</v>
      </c>
      <c r="M159" s="106"/>
      <c r="N159" s="40">
        <v>1</v>
      </c>
      <c r="O159" s="40">
        <f>N159*H159</f>
        <v>2000</v>
      </c>
      <c r="P159" s="106"/>
      <c r="Q159" s="40">
        <v>1</v>
      </c>
      <c r="R159" s="40">
        <f>Q159*H159</f>
        <v>2000</v>
      </c>
      <c r="S159" s="106"/>
      <c r="T159" s="40">
        <v>0</v>
      </c>
      <c r="U159" s="40">
        <f>T159*H159</f>
        <v>0</v>
      </c>
      <c r="V159" s="40">
        <f>SUM(R159,O159,L159,I159,U159)</f>
        <v>8000</v>
      </c>
      <c r="W159" s="40">
        <v>0</v>
      </c>
      <c r="X159" s="40">
        <f>V159+W159</f>
        <v>8000</v>
      </c>
    </row>
    <row r="160" spans="1:25">
      <c r="A160" s="37"/>
      <c r="B160" s="37"/>
      <c r="C160" s="37"/>
      <c r="D160" s="37" t="s">
        <v>307</v>
      </c>
      <c r="E160" s="112"/>
      <c r="F160" s="42"/>
      <c r="G160" s="43"/>
      <c r="H160" s="44"/>
      <c r="I160" s="44">
        <f>SUM(I158:I159)</f>
        <v>2000</v>
      </c>
      <c r="J160" s="112"/>
      <c r="K160" s="44"/>
      <c r="L160" s="44">
        <f>SUM(L158:L159)</f>
        <v>82000</v>
      </c>
      <c r="M160" s="112"/>
      <c r="N160" s="44"/>
      <c r="O160" s="44">
        <f>SUM(O158:O159)</f>
        <v>162000</v>
      </c>
      <c r="P160" s="112"/>
      <c r="Q160" s="44"/>
      <c r="R160" s="44">
        <f>SUM(R158:R159)</f>
        <v>162000</v>
      </c>
      <c r="S160" s="112"/>
      <c r="T160" s="44"/>
      <c r="U160" s="44">
        <f>SUM(U158:U159)</f>
        <v>0</v>
      </c>
      <c r="V160" s="44">
        <f>SUM(V158:V159)</f>
        <v>408000</v>
      </c>
      <c r="W160" s="44">
        <f>SUM(W158:W159)</f>
        <v>0</v>
      </c>
      <c r="X160" s="44">
        <f>SUM(X158:X159)</f>
        <v>408000</v>
      </c>
    </row>
    <row r="161" spans="1:24">
      <c r="A161" s="90"/>
      <c r="B161" s="90"/>
      <c r="C161" s="90"/>
      <c r="D161" s="90"/>
      <c r="E161" s="113"/>
      <c r="F161" s="67"/>
      <c r="G161" s="54"/>
      <c r="H161" s="54"/>
      <c r="I161" s="91"/>
      <c r="J161" s="113"/>
      <c r="K161" s="91"/>
      <c r="L161" s="91"/>
      <c r="M161" s="113"/>
      <c r="N161" s="91"/>
      <c r="O161" s="91"/>
      <c r="P161" s="113"/>
      <c r="Q161" s="91"/>
      <c r="R161" s="91"/>
      <c r="S161" s="113"/>
      <c r="T161" s="91"/>
      <c r="U161" s="91"/>
      <c r="V161" s="91"/>
      <c r="W161" s="91"/>
      <c r="X161" s="91"/>
    </row>
    <row r="162" spans="1:24" hidden="1">
      <c r="A162" s="37"/>
      <c r="B162" s="37"/>
      <c r="C162" s="37"/>
      <c r="D162" s="37" t="s">
        <v>308</v>
      </c>
      <c r="E162" s="112"/>
      <c r="F162" s="42"/>
      <c r="G162" s="43"/>
      <c r="H162" s="43"/>
      <c r="I162" s="43"/>
      <c r="J162" s="112"/>
      <c r="K162" s="43"/>
      <c r="L162" s="43"/>
      <c r="M162" s="112"/>
      <c r="N162" s="43"/>
      <c r="O162" s="43"/>
      <c r="P162" s="112"/>
      <c r="Q162" s="43"/>
      <c r="R162" s="43"/>
      <c r="S162" s="112"/>
      <c r="T162" s="43"/>
      <c r="U162" s="43"/>
      <c r="V162" s="43"/>
      <c r="W162" s="43"/>
      <c r="X162" s="43"/>
    </row>
    <row r="163" spans="1:24" hidden="1">
      <c r="D163" s="7" t="s">
        <v>75</v>
      </c>
      <c r="E163" s="106"/>
      <c r="F163" s="46" t="s">
        <v>146</v>
      </c>
      <c r="G163" s="40">
        <v>0</v>
      </c>
      <c r="H163" s="40">
        <v>0</v>
      </c>
      <c r="I163" s="40">
        <f>G163*H163</f>
        <v>0</v>
      </c>
      <c r="J163" s="106"/>
      <c r="K163" s="40">
        <v>0</v>
      </c>
      <c r="L163" s="40">
        <f>K163*H163</f>
        <v>0</v>
      </c>
      <c r="M163" s="106"/>
      <c r="N163" s="40">
        <v>0</v>
      </c>
      <c r="O163" s="40">
        <f>N163*H163</f>
        <v>0</v>
      </c>
      <c r="P163" s="106"/>
      <c r="Q163" s="40">
        <v>0</v>
      </c>
      <c r="R163" s="40">
        <f>Q163*H163</f>
        <v>0</v>
      </c>
      <c r="S163" s="106"/>
      <c r="T163" s="40">
        <v>0</v>
      </c>
      <c r="U163" s="40">
        <f>T163*K163</f>
        <v>0</v>
      </c>
      <c r="V163" s="40">
        <f t="shared" ref="V163" si="154">SUM(R163,O163,L163,I163,U163)</f>
        <v>0</v>
      </c>
      <c r="W163" s="40">
        <v>0</v>
      </c>
      <c r="X163" s="40">
        <f>V163+W163</f>
        <v>0</v>
      </c>
    </row>
    <row r="164" spans="1:24" hidden="1">
      <c r="A164" s="37"/>
      <c r="B164" s="37"/>
      <c r="C164" s="37"/>
      <c r="D164" s="37" t="s">
        <v>309</v>
      </c>
      <c r="E164" s="112"/>
      <c r="F164" s="42"/>
      <c r="G164" s="43"/>
      <c r="H164" s="44"/>
      <c r="I164" s="44">
        <f>SUM(I163:I163)</f>
        <v>0</v>
      </c>
      <c r="J164" s="115"/>
      <c r="K164" s="44"/>
      <c r="L164" s="44">
        <f>SUM(L163:L163)</f>
        <v>0</v>
      </c>
      <c r="M164" s="115"/>
      <c r="N164" s="44"/>
      <c r="O164" s="44">
        <f>SUM(O163:O163)</f>
        <v>0</v>
      </c>
      <c r="P164" s="115"/>
      <c r="Q164" s="44"/>
      <c r="R164" s="44">
        <f>SUM(R163:R163)</f>
        <v>0</v>
      </c>
      <c r="S164" s="115"/>
      <c r="T164" s="44"/>
      <c r="U164" s="44">
        <f>SUM(U163:U163)</f>
        <v>0</v>
      </c>
      <c r="V164" s="44">
        <f>SUM(V163:V163)</f>
        <v>0</v>
      </c>
      <c r="W164" s="44">
        <f>SUM(W163:W163)</f>
        <v>0</v>
      </c>
      <c r="X164" s="44">
        <f>SUM(X163:X163)</f>
        <v>0</v>
      </c>
    </row>
    <row r="165" spans="1:24" hidden="1">
      <c r="A165" s="90"/>
      <c r="B165" s="90"/>
      <c r="C165" s="90"/>
      <c r="D165" s="90"/>
      <c r="E165" s="113"/>
      <c r="F165" s="67"/>
      <c r="G165" s="54"/>
      <c r="H165" s="54"/>
      <c r="I165" s="54"/>
      <c r="J165" s="113"/>
      <c r="K165" s="54"/>
      <c r="L165" s="54"/>
      <c r="M165" s="113"/>
      <c r="N165" s="54"/>
      <c r="O165" s="54"/>
      <c r="P165" s="113"/>
      <c r="Q165" s="54"/>
      <c r="R165" s="54"/>
      <c r="S165" s="113"/>
      <c r="T165" s="54"/>
      <c r="U165" s="54"/>
      <c r="V165" s="54"/>
      <c r="W165" s="54"/>
      <c r="X165" s="54"/>
    </row>
    <row r="166" spans="1:24">
      <c r="A166" s="37"/>
      <c r="B166" s="37"/>
      <c r="C166" s="37"/>
      <c r="D166" s="37" t="s">
        <v>310</v>
      </c>
      <c r="E166" s="112"/>
      <c r="F166" s="42"/>
      <c r="G166" s="43"/>
      <c r="H166" s="43"/>
      <c r="I166" s="43"/>
      <c r="J166" s="112"/>
      <c r="K166" s="43"/>
      <c r="L166" s="43"/>
      <c r="M166" s="112"/>
      <c r="N166" s="43"/>
      <c r="O166" s="43"/>
      <c r="P166" s="112"/>
      <c r="Q166" s="43"/>
      <c r="R166" s="43"/>
      <c r="S166" s="112"/>
      <c r="T166" s="43"/>
      <c r="U166" s="43"/>
      <c r="V166" s="43"/>
      <c r="W166" s="43"/>
      <c r="X166" s="43"/>
    </row>
    <row r="167" spans="1:24">
      <c r="A167" s="7" t="s">
        <v>502</v>
      </c>
      <c r="B167" s="7">
        <v>86000</v>
      </c>
      <c r="C167" s="7" t="s">
        <v>488</v>
      </c>
      <c r="D167" s="7" t="s">
        <v>311</v>
      </c>
      <c r="E167" s="106"/>
      <c r="F167" s="7" t="s">
        <v>147</v>
      </c>
      <c r="G167" s="40">
        <f>G$54</f>
        <v>3</v>
      </c>
      <c r="H167" s="40">
        <v>60</v>
      </c>
      <c r="I167" s="40">
        <f t="shared" ref="I167" si="155">G167*H167</f>
        <v>180</v>
      </c>
      <c r="J167" s="40"/>
      <c r="K167" s="40">
        <f>K$54</f>
        <v>12</v>
      </c>
      <c r="L167" s="40">
        <f t="shared" ref="L167:L168" si="156">H167*K167*$E$6</f>
        <v>756</v>
      </c>
      <c r="M167" s="106"/>
      <c r="N167" s="40">
        <f>N$54</f>
        <v>12</v>
      </c>
      <c r="O167" s="40">
        <f t="shared" ref="O167:O168" si="157">H167*N167*$E$6*$E$6</f>
        <v>793.80000000000007</v>
      </c>
      <c r="P167" s="106"/>
      <c r="Q167" s="40">
        <f>Q$54</f>
        <v>12</v>
      </c>
      <c r="R167" s="40">
        <f t="shared" ref="R167:R168" si="158">H167*Q167*$E$6*$E$6*$E$6</f>
        <v>833.49000000000012</v>
      </c>
      <c r="S167" s="106"/>
      <c r="T167" s="40">
        <f>T$54</f>
        <v>0</v>
      </c>
      <c r="U167" s="40">
        <f t="shared" ref="U167" si="159">H167*T167*$E$6*$E$6*$E$6*$E$6</f>
        <v>0</v>
      </c>
      <c r="V167" s="40">
        <f t="shared" ref="V167:V168" si="160">SUM(R167,O167,L167,I167,U167)</f>
        <v>2563.29</v>
      </c>
      <c r="W167" s="40" t="s">
        <v>226</v>
      </c>
      <c r="X167" s="40">
        <f t="shared" ref="X167" si="161">SUM(V167:W167)</f>
        <v>2563.29</v>
      </c>
    </row>
    <row r="168" spans="1:24">
      <c r="A168" s="7" t="s">
        <v>515</v>
      </c>
      <c r="B168" s="7">
        <v>86000</v>
      </c>
      <c r="C168" s="7" t="s">
        <v>488</v>
      </c>
      <c r="D168" s="7" t="s">
        <v>312</v>
      </c>
      <c r="F168" s="7" t="s">
        <v>147</v>
      </c>
      <c r="G168" s="40">
        <v>6</v>
      </c>
      <c r="H168" s="40">
        <v>300</v>
      </c>
      <c r="I168" s="40">
        <f>G168*H168</f>
        <v>1800</v>
      </c>
      <c r="J168" s="108"/>
      <c r="K168" s="40">
        <v>12</v>
      </c>
      <c r="L168" s="40">
        <f t="shared" si="156"/>
        <v>3780</v>
      </c>
      <c r="M168" s="108"/>
      <c r="N168" s="40">
        <v>12</v>
      </c>
      <c r="O168" s="40">
        <f t="shared" si="157"/>
        <v>3969</v>
      </c>
      <c r="P168" s="108"/>
      <c r="Q168" s="40">
        <v>12</v>
      </c>
      <c r="R168" s="40">
        <f t="shared" si="158"/>
        <v>4167.45</v>
      </c>
      <c r="S168" s="108"/>
      <c r="T168" s="40">
        <v>0</v>
      </c>
      <c r="U168" s="40">
        <f t="shared" ref="U168" si="162">T168*H168*$E$6*$E$6*$E$6*$E$6</f>
        <v>0</v>
      </c>
      <c r="V168" s="40">
        <f t="shared" si="160"/>
        <v>13716.45</v>
      </c>
      <c r="W168" s="40" t="s">
        <v>226</v>
      </c>
      <c r="X168" s="40">
        <f>SUM(V168:W168)</f>
        <v>13716.45</v>
      </c>
    </row>
    <row r="169" spans="1:24">
      <c r="A169" s="7" t="s">
        <v>505</v>
      </c>
      <c r="B169" s="7">
        <v>86040</v>
      </c>
      <c r="C169" s="7" t="s">
        <v>488</v>
      </c>
      <c r="D169" s="7" t="s">
        <v>313</v>
      </c>
      <c r="F169" s="7" t="s">
        <v>139</v>
      </c>
      <c r="G169" s="40">
        <f>2*6</f>
        <v>12</v>
      </c>
      <c r="H169" s="40">
        <v>250</v>
      </c>
      <c r="I169" s="40">
        <f>G169*H169</f>
        <v>3000</v>
      </c>
      <c r="J169" s="108"/>
      <c r="K169" s="40">
        <f>12*2</f>
        <v>24</v>
      </c>
      <c r="L169" s="40">
        <f>H169*K169*$E$6</f>
        <v>6300</v>
      </c>
      <c r="M169" s="108"/>
      <c r="N169" s="40">
        <f>12*2</f>
        <v>24</v>
      </c>
      <c r="O169" s="40">
        <f>H169*N169*$E$6*$E$6</f>
        <v>6615</v>
      </c>
      <c r="P169" s="108"/>
      <c r="Q169" s="40">
        <f>12*2</f>
        <v>24</v>
      </c>
      <c r="R169" s="40">
        <f>H169*Q169*$E$6*$E$6*$E$6</f>
        <v>6945.75</v>
      </c>
      <c r="S169" s="108"/>
      <c r="T169" s="40">
        <v>0</v>
      </c>
      <c r="U169" s="40">
        <f>T169*H169*$E$6*$E$6*$E$6*$E$6</f>
        <v>0</v>
      </c>
      <c r="V169" s="40">
        <f>SUM(R169,O169,L169,I169,U169)</f>
        <v>22860.75</v>
      </c>
      <c r="W169" s="40" t="s">
        <v>226</v>
      </c>
      <c r="X169" s="40">
        <f>SUM(V169:W169)</f>
        <v>22860.75</v>
      </c>
    </row>
    <row r="170" spans="1:24">
      <c r="A170" s="7" t="s">
        <v>505</v>
      </c>
      <c r="B170" s="7">
        <v>86000</v>
      </c>
      <c r="C170" s="7" t="s">
        <v>488</v>
      </c>
      <c r="D170" s="7" t="s">
        <v>314</v>
      </c>
      <c r="F170" s="7" t="s">
        <v>139</v>
      </c>
      <c r="G170" s="40">
        <f>G169</f>
        <v>12</v>
      </c>
      <c r="H170" s="40">
        <v>30</v>
      </c>
      <c r="I170" s="40">
        <f>G170*H170</f>
        <v>360</v>
      </c>
      <c r="J170" s="108"/>
      <c r="K170" s="40">
        <f>K169</f>
        <v>24</v>
      </c>
      <c r="L170" s="40">
        <f>H170*K170*$E$6</f>
        <v>756</v>
      </c>
      <c r="M170" s="108"/>
      <c r="N170" s="40">
        <f>N169</f>
        <v>24</v>
      </c>
      <c r="O170" s="40">
        <f>H170*N170*$E$6*$E$6</f>
        <v>793.80000000000007</v>
      </c>
      <c r="P170" s="108"/>
      <c r="Q170" s="40">
        <f>Q169</f>
        <v>24</v>
      </c>
      <c r="R170" s="40">
        <f>H170*Q170*$E$6*$E$6*$E$6</f>
        <v>833.49000000000012</v>
      </c>
      <c r="S170" s="108"/>
      <c r="T170" s="40">
        <v>0</v>
      </c>
      <c r="U170" s="40">
        <f>T170*H170*$E$6*$E$6*$E$6*$E$6</f>
        <v>0</v>
      </c>
      <c r="V170" s="40">
        <f>SUM(R170,O170,L170,I170,U170)</f>
        <v>2743.29</v>
      </c>
      <c r="W170" s="40" t="s">
        <v>226</v>
      </c>
      <c r="X170" s="40">
        <f>SUM(V170:W170)</f>
        <v>2743.29</v>
      </c>
    </row>
    <row r="171" spans="1:24" ht="25.2">
      <c r="A171" s="7" t="s">
        <v>505</v>
      </c>
      <c r="B171" s="864" t="s">
        <v>506</v>
      </c>
      <c r="C171" s="7" t="s">
        <v>488</v>
      </c>
      <c r="D171" s="7" t="s">
        <v>315</v>
      </c>
      <c r="F171" s="7" t="s">
        <v>132</v>
      </c>
      <c r="G171" s="40">
        <f>3*G170</f>
        <v>36</v>
      </c>
      <c r="H171" s="40">
        <f>(131*50%)+80</f>
        <v>145.5</v>
      </c>
      <c r="I171" s="40">
        <f>G171*H171</f>
        <v>5238</v>
      </c>
      <c r="J171" s="108"/>
      <c r="K171" s="40">
        <f>3*K170</f>
        <v>72</v>
      </c>
      <c r="L171" s="40">
        <f>H171*K171*$E$6</f>
        <v>10999.800000000001</v>
      </c>
      <c r="M171" s="108"/>
      <c r="N171" s="40">
        <f>3*N170</f>
        <v>72</v>
      </c>
      <c r="O171" s="40">
        <f>H171*N171*$E$6*$E$6</f>
        <v>11549.79</v>
      </c>
      <c r="P171" s="108"/>
      <c r="Q171" s="40">
        <f>3*Q170</f>
        <v>72</v>
      </c>
      <c r="R171" s="40">
        <f>H171*Q171*$E$6*$E$6*$E$6</f>
        <v>12127.279500000001</v>
      </c>
      <c r="S171" s="108"/>
      <c r="T171" s="40">
        <f>4*T170</f>
        <v>0</v>
      </c>
      <c r="U171" s="40">
        <f>T171*H171*$E$6*$E$6*$E$6*$E$6</f>
        <v>0</v>
      </c>
      <c r="V171" s="40">
        <f>SUM(R171,O171,L171,I171,U171)</f>
        <v>39914.869500000001</v>
      </c>
      <c r="W171" s="40" t="s">
        <v>226</v>
      </c>
      <c r="X171" s="40">
        <f>SUM(V171:W171)</f>
        <v>39914.869500000001</v>
      </c>
    </row>
    <row r="172" spans="1:24">
      <c r="A172" s="37"/>
      <c r="B172" s="37"/>
      <c r="C172" s="37"/>
      <c r="D172" s="37" t="s">
        <v>316</v>
      </c>
      <c r="E172" s="112"/>
      <c r="F172" s="42"/>
      <c r="G172" s="43"/>
      <c r="H172" s="43"/>
      <c r="I172" s="44">
        <f>SUM(I167:I171)</f>
        <v>10578</v>
      </c>
      <c r="J172" s="112"/>
      <c r="K172" s="44"/>
      <c r="L172" s="44">
        <f>SUM(L167:L171)</f>
        <v>22591.800000000003</v>
      </c>
      <c r="M172" s="112"/>
      <c r="N172" s="44"/>
      <c r="O172" s="44">
        <f>SUM(O167:O171)</f>
        <v>23721.39</v>
      </c>
      <c r="P172" s="112"/>
      <c r="Q172" s="44"/>
      <c r="R172" s="44">
        <f>SUM(R167:R171)</f>
        <v>24907.459499999997</v>
      </c>
      <c r="S172" s="112"/>
      <c r="T172" s="44"/>
      <c r="U172" s="44">
        <f>SUM(U167:U168)</f>
        <v>0</v>
      </c>
      <c r="V172" s="44">
        <f>SUM(V167:V171)</f>
        <v>81798.6495</v>
      </c>
      <c r="W172" s="44">
        <f>SUM(W167:W171)</f>
        <v>0</v>
      </c>
      <c r="X172" s="44">
        <f>SUM(X167:X171)</f>
        <v>81798.6495</v>
      </c>
    </row>
    <row r="173" spans="1:24">
      <c r="A173" s="90"/>
      <c r="B173" s="90"/>
      <c r="C173" s="90"/>
      <c r="D173" s="90"/>
      <c r="E173" s="113"/>
      <c r="F173" s="67"/>
      <c r="G173" s="54"/>
      <c r="H173" s="54"/>
      <c r="I173" s="91"/>
      <c r="J173" s="113"/>
      <c r="K173" s="91"/>
      <c r="L173" s="91"/>
      <c r="M173" s="113"/>
      <c r="N173" s="91"/>
      <c r="O173" s="91"/>
      <c r="P173" s="113"/>
      <c r="Q173" s="91"/>
      <c r="R173" s="91"/>
      <c r="S173" s="113"/>
      <c r="T173" s="91"/>
      <c r="U173" s="91"/>
      <c r="V173" s="91"/>
      <c r="W173" s="91"/>
      <c r="X173" s="91"/>
    </row>
    <row r="174" spans="1:24">
      <c r="A174" s="37"/>
      <c r="B174" s="37"/>
      <c r="C174" s="37"/>
      <c r="D174" s="37" t="s">
        <v>317</v>
      </c>
      <c r="E174" s="112"/>
      <c r="F174" s="42"/>
      <c r="G174" s="43"/>
      <c r="H174" s="43"/>
      <c r="I174" s="43"/>
      <c r="J174" s="112"/>
      <c r="K174" s="43"/>
      <c r="L174" s="43"/>
      <c r="M174" s="112"/>
      <c r="N174" s="43"/>
      <c r="O174" s="43"/>
      <c r="P174" s="112"/>
      <c r="Q174" s="43"/>
      <c r="R174" s="43"/>
      <c r="S174" s="112"/>
      <c r="T174" s="43"/>
      <c r="U174" s="43"/>
      <c r="V174" s="43"/>
      <c r="W174" s="43"/>
      <c r="X174" s="43"/>
    </row>
    <row r="175" spans="1:24">
      <c r="A175" s="77"/>
      <c r="B175" s="77"/>
      <c r="C175" s="77"/>
      <c r="D175" s="77" t="s">
        <v>102</v>
      </c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</row>
    <row r="176" spans="1:24">
      <c r="A176" s="7" t="s">
        <v>510</v>
      </c>
      <c r="B176" s="7">
        <v>89050</v>
      </c>
      <c r="C176" s="7" t="s">
        <v>450</v>
      </c>
      <c r="D176" s="7" t="s">
        <v>318</v>
      </c>
      <c r="E176" s="106"/>
      <c r="F176" s="46" t="s">
        <v>122</v>
      </c>
      <c r="G176" s="40">
        <v>1</v>
      </c>
      <c r="H176" s="40"/>
      <c r="I176" s="40">
        <f>'USSEC Sub Budget'!F59</f>
        <v>296003.09999999998</v>
      </c>
      <c r="J176" s="106"/>
      <c r="K176" s="40">
        <v>1</v>
      </c>
      <c r="L176" s="40">
        <f>'USSEC Sub Budget'!J59</f>
        <v>694790.9</v>
      </c>
      <c r="M176" s="106"/>
      <c r="N176" s="40">
        <v>1</v>
      </c>
      <c r="O176" s="40">
        <f>'USSEC Sub Budget'!N59</f>
        <v>714164.02999999991</v>
      </c>
      <c r="P176" s="106"/>
      <c r="Q176" s="40">
        <v>0.57999999999999996</v>
      </c>
      <c r="R176" s="40">
        <f>'USSEC Sub Budget'!R59</f>
        <v>418999.04808333336</v>
      </c>
      <c r="S176" s="106"/>
      <c r="T176" s="40">
        <v>0</v>
      </c>
      <c r="U176" s="40">
        <v>0</v>
      </c>
      <c r="V176" s="40">
        <f t="shared" ref="V176" si="163">SUM(R176,O176,L176,I176,U176)</f>
        <v>2123957.0780833336</v>
      </c>
      <c r="W176" s="40">
        <v>0</v>
      </c>
      <c r="X176" s="40">
        <f t="shared" ref="X176" si="164">V176+W176</f>
        <v>2123957.0780833336</v>
      </c>
    </row>
    <row r="177" spans="1:25">
      <c r="A177" s="37"/>
      <c r="B177" s="37"/>
      <c r="C177" s="37"/>
      <c r="D177" s="37" t="s">
        <v>319</v>
      </c>
      <c r="E177" s="112"/>
      <c r="F177" s="42"/>
      <c r="G177" s="43"/>
      <c r="H177" s="43"/>
      <c r="I177" s="44">
        <f>SUM(I175:I176)</f>
        <v>296003.09999999998</v>
      </c>
      <c r="J177" s="112"/>
      <c r="K177" s="44"/>
      <c r="L177" s="44">
        <f>SUM(L175:L176)</f>
        <v>694790.9</v>
      </c>
      <c r="M177" s="112"/>
      <c r="N177" s="44"/>
      <c r="O177" s="44">
        <f>SUM(O175:O176)</f>
        <v>714164.02999999991</v>
      </c>
      <c r="P177" s="112"/>
      <c r="Q177" s="44"/>
      <c r="R177" s="44">
        <f>SUM(R175:R176)</f>
        <v>418999.04808333336</v>
      </c>
      <c r="S177" s="112"/>
      <c r="T177" s="44"/>
      <c r="U177" s="44">
        <f>SUM(U175:U176)</f>
        <v>0</v>
      </c>
      <c r="V177" s="44">
        <f>SUM(V175:V176)</f>
        <v>2123957.0780833336</v>
      </c>
      <c r="W177" s="44">
        <f>SUM(W175:W176)</f>
        <v>0</v>
      </c>
      <c r="X177" s="44">
        <f>SUM(X175:X176)</f>
        <v>2123957.0780833336</v>
      </c>
    </row>
    <row r="178" spans="1:25">
      <c r="A178" s="90"/>
      <c r="B178" s="90"/>
      <c r="C178" s="90"/>
      <c r="D178" s="90"/>
      <c r="E178" s="113"/>
      <c r="F178" s="67"/>
      <c r="G178" s="54"/>
      <c r="H178" s="54"/>
      <c r="I178" s="54"/>
      <c r="J178" s="113"/>
      <c r="K178" s="54"/>
      <c r="L178" s="54"/>
      <c r="M178" s="113"/>
      <c r="N178" s="54"/>
      <c r="O178" s="54"/>
      <c r="P178" s="113"/>
      <c r="Q178" s="54"/>
      <c r="R178" s="54"/>
      <c r="S178" s="113"/>
      <c r="T178" s="54"/>
      <c r="U178" s="54"/>
      <c r="V178" s="54"/>
      <c r="W178" s="54"/>
      <c r="X178" s="54"/>
    </row>
    <row r="179" spans="1:25">
      <c r="A179" s="37"/>
      <c r="B179" s="37"/>
      <c r="C179" s="37"/>
      <c r="D179" s="37" t="s">
        <v>320</v>
      </c>
      <c r="E179" s="112"/>
      <c r="F179" s="42"/>
      <c r="G179" s="43"/>
      <c r="H179" s="43"/>
      <c r="I179" s="43"/>
      <c r="J179" s="112"/>
      <c r="K179" s="43"/>
      <c r="L179" s="43"/>
      <c r="M179" s="112"/>
      <c r="N179" s="43"/>
      <c r="O179" s="43"/>
      <c r="P179" s="112"/>
      <c r="Q179" s="43"/>
      <c r="R179" s="43"/>
      <c r="S179" s="112"/>
      <c r="T179" s="43"/>
      <c r="U179" s="43"/>
      <c r="V179" s="43"/>
      <c r="W179" s="43"/>
      <c r="X179" s="43"/>
    </row>
    <row r="180" spans="1:25">
      <c r="A180" s="41" t="s">
        <v>511</v>
      </c>
      <c r="B180" s="864">
        <v>96000</v>
      </c>
      <c r="C180" s="7" t="s">
        <v>488</v>
      </c>
      <c r="D180" s="7" t="s">
        <v>321</v>
      </c>
      <c r="E180" s="106"/>
      <c r="F180" s="45" t="s">
        <v>246</v>
      </c>
      <c r="G180" s="40">
        <v>0</v>
      </c>
      <c r="H180" s="40">
        <v>16000</v>
      </c>
      <c r="I180" s="40">
        <f t="shared" ref="I180" si="165">G180*H180</f>
        <v>0</v>
      </c>
      <c r="J180" s="106"/>
      <c r="K180" s="434">
        <v>0.5</v>
      </c>
      <c r="L180" s="40">
        <v>0</v>
      </c>
      <c r="M180" s="106"/>
      <c r="N180" s="40">
        <v>1</v>
      </c>
      <c r="O180" s="40">
        <v>0</v>
      </c>
      <c r="P180" s="106"/>
      <c r="Q180" s="40">
        <v>1</v>
      </c>
      <c r="R180" s="40">
        <v>0</v>
      </c>
      <c r="S180" s="106"/>
      <c r="T180" s="434"/>
      <c r="U180" s="40">
        <f t="shared" ref="U180" si="166">T180*H180</f>
        <v>0</v>
      </c>
      <c r="V180" s="40">
        <v>0</v>
      </c>
      <c r="W180" s="40">
        <f>(G180*H180)+(K180*H180)+(N180*H180)+(H180*Q180)+(T180*H180)</f>
        <v>40000</v>
      </c>
      <c r="X180" s="40">
        <f t="shared" ref="X180" si="167">V180+W180</f>
        <v>40000</v>
      </c>
      <c r="Y180" s="417"/>
    </row>
    <row r="181" spans="1:25">
      <c r="A181" s="37"/>
      <c r="B181" s="37"/>
      <c r="C181" s="37"/>
      <c r="D181" s="37" t="s">
        <v>322</v>
      </c>
      <c r="E181" s="112"/>
      <c r="F181" s="42"/>
      <c r="G181" s="43"/>
      <c r="H181" s="43"/>
      <c r="I181" s="44">
        <f>SUM(I180:I180)</f>
        <v>0</v>
      </c>
      <c r="J181" s="112"/>
      <c r="K181" s="44"/>
      <c r="L181" s="44">
        <f>SUM(L180:L180)</f>
        <v>0</v>
      </c>
      <c r="M181" s="112"/>
      <c r="N181" s="44"/>
      <c r="O181" s="44">
        <f>SUM(O180:O180)</f>
        <v>0</v>
      </c>
      <c r="P181" s="112"/>
      <c r="Q181" s="44"/>
      <c r="R181" s="44">
        <f>SUM(R180:R180)</f>
        <v>0</v>
      </c>
      <c r="S181" s="112"/>
      <c r="T181" s="44"/>
      <c r="U181" s="44">
        <f>SUM(U180:U180)</f>
        <v>0</v>
      </c>
      <c r="V181" s="44">
        <f>SUM(V180:V180)</f>
        <v>0</v>
      </c>
      <c r="W181" s="44">
        <f>SUM(W180:W180)</f>
        <v>40000</v>
      </c>
      <c r="X181" s="44">
        <f>SUM(X180:X180)</f>
        <v>40000</v>
      </c>
    </row>
    <row r="182" spans="1:25">
      <c r="A182" s="113"/>
      <c r="B182" s="113"/>
      <c r="C182" s="113"/>
      <c r="D182" s="113"/>
      <c r="E182" s="113"/>
      <c r="F182" s="67"/>
      <c r="G182" s="54"/>
      <c r="H182" s="54"/>
      <c r="I182" s="91"/>
      <c r="J182" s="113"/>
      <c r="K182" s="91"/>
      <c r="L182" s="91"/>
      <c r="M182" s="113"/>
      <c r="N182" s="91"/>
      <c r="O182" s="91"/>
      <c r="P182" s="113"/>
      <c r="Q182" s="91"/>
      <c r="R182" s="91"/>
      <c r="S182" s="113"/>
      <c r="T182" s="91"/>
      <c r="U182" s="91"/>
      <c r="V182" s="91"/>
      <c r="W182" s="91"/>
      <c r="X182" s="91"/>
    </row>
    <row r="183" spans="1:25" ht="12.9" thickBot="1">
      <c r="A183" s="402"/>
      <c r="B183" s="402"/>
      <c r="C183" s="402"/>
      <c r="D183" s="402" t="s">
        <v>323</v>
      </c>
      <c r="E183" s="405"/>
      <c r="F183" s="402"/>
      <c r="G183" s="411"/>
      <c r="H183" s="411"/>
      <c r="I183" s="408">
        <f>SUM(I164+I160+I172+I155+I150+I177+I181)</f>
        <v>428728.58399999997</v>
      </c>
      <c r="J183" s="405"/>
      <c r="K183" s="408"/>
      <c r="L183" s="408">
        <f>SUM(L164+L160+L172+L155+L150+L177+L181)</f>
        <v>1002874.7622</v>
      </c>
      <c r="M183" s="405"/>
      <c r="N183" s="408"/>
      <c r="O183" s="408">
        <f>SUM(O164+O160+O172+O155+O150+O177+O181)</f>
        <v>1113552.08531</v>
      </c>
      <c r="P183" s="405"/>
      <c r="Q183" s="408"/>
      <c r="R183" s="408">
        <f>SUM(R164+R160+R172+R155+R150+R177+R181)</f>
        <v>894318.54755883338</v>
      </c>
      <c r="S183" s="405"/>
      <c r="T183" s="408"/>
      <c r="U183" s="408">
        <f>SUM(U164+U160+U172+U155+U150+U177+U181)</f>
        <v>0</v>
      </c>
      <c r="V183" s="408">
        <f>SUM(V164+V160+V172+V155+V150+V177+V181)</f>
        <v>3439473.9790688334</v>
      </c>
      <c r="W183" s="408">
        <f>SUM(W164+W160+W172+W155+W150+W177+W181)</f>
        <v>40000</v>
      </c>
      <c r="X183" s="408">
        <f>SUM(X164+X160+X172+X155+X150+X177+X181)</f>
        <v>3479473.9790688334</v>
      </c>
      <c r="Y183" s="417"/>
    </row>
    <row r="184" spans="1:25">
      <c r="A184" s="67"/>
      <c r="B184" s="67"/>
      <c r="C184" s="67"/>
      <c r="D184" s="67"/>
      <c r="E184" s="104"/>
      <c r="F184" s="67"/>
      <c r="G184" s="54"/>
      <c r="H184" s="54"/>
      <c r="I184" s="54"/>
      <c r="J184" s="104"/>
      <c r="K184" s="54"/>
      <c r="L184" s="54"/>
      <c r="M184" s="104"/>
      <c r="N184" s="54"/>
      <c r="O184" s="54"/>
      <c r="P184" s="104"/>
      <c r="Q184" s="54"/>
      <c r="R184" s="54"/>
      <c r="S184" s="104"/>
      <c r="T184" s="54"/>
      <c r="U184" s="54"/>
      <c r="V184" s="54"/>
      <c r="W184" s="54"/>
      <c r="X184" s="54"/>
    </row>
    <row r="185" spans="1:25">
      <c r="A185" s="84"/>
      <c r="B185" s="84"/>
      <c r="C185" s="84"/>
      <c r="D185" s="84" t="str">
        <f>'USDA Budget Summary'!A29</f>
        <v>Activity 2: Improve Trade Finance Capacity to Increase US Exports to Nigeria</v>
      </c>
      <c r="E185" s="110"/>
      <c r="F185" s="34"/>
      <c r="G185" s="34"/>
      <c r="H185" s="35"/>
      <c r="I185" s="85"/>
      <c r="J185" s="110"/>
      <c r="K185" s="85"/>
      <c r="L185" s="85"/>
      <c r="M185" s="110"/>
      <c r="N185" s="85"/>
      <c r="O185" s="85"/>
      <c r="P185" s="110"/>
      <c r="Q185" s="85"/>
      <c r="R185" s="85"/>
      <c r="S185" s="110"/>
      <c r="T185" s="85"/>
      <c r="U185" s="85"/>
      <c r="V185" s="85"/>
      <c r="W185" s="86"/>
      <c r="X185" s="85"/>
    </row>
    <row r="186" spans="1:25">
      <c r="A186" s="87"/>
      <c r="B186" s="87"/>
      <c r="C186" s="87"/>
      <c r="D186" s="87" t="s">
        <v>300</v>
      </c>
      <c r="E186" s="111"/>
      <c r="F186" s="88"/>
      <c r="G186" s="89"/>
      <c r="H186" s="89"/>
      <c r="I186" s="89"/>
      <c r="J186" s="111"/>
      <c r="K186" s="89"/>
      <c r="L186" s="89"/>
      <c r="M186" s="111"/>
      <c r="N186" s="89"/>
      <c r="O186" s="89"/>
      <c r="P186" s="111"/>
      <c r="Q186" s="89"/>
      <c r="R186" s="89"/>
      <c r="S186" s="111"/>
      <c r="T186" s="89"/>
      <c r="U186" s="89"/>
      <c r="V186" s="89"/>
      <c r="W186" s="89"/>
      <c r="X186" s="89"/>
    </row>
    <row r="187" spans="1:25">
      <c r="A187" s="37"/>
      <c r="B187" s="37"/>
      <c r="C187" s="37"/>
      <c r="D187" s="37" t="s">
        <v>324</v>
      </c>
      <c r="E187" s="112"/>
      <c r="F187" s="42"/>
      <c r="G187" s="43"/>
      <c r="H187" s="43"/>
      <c r="I187" s="43"/>
      <c r="J187" s="112"/>
      <c r="K187" s="43"/>
      <c r="L187" s="43"/>
      <c r="M187" s="112"/>
      <c r="N187" s="43"/>
      <c r="O187" s="43"/>
      <c r="P187" s="112"/>
      <c r="Q187" s="43"/>
      <c r="R187" s="43"/>
      <c r="S187" s="112"/>
      <c r="T187" s="43"/>
      <c r="U187" s="43"/>
      <c r="V187" s="43"/>
      <c r="W187" s="43"/>
      <c r="X187" s="43"/>
    </row>
    <row r="188" spans="1:25">
      <c r="A188" s="7" t="s">
        <v>493</v>
      </c>
      <c r="B188" s="7">
        <v>70000</v>
      </c>
      <c r="C188" s="7" t="s">
        <v>488</v>
      </c>
      <c r="D188" s="7" t="str">
        <f t="shared" ref="D188:D200" si="168">D12</f>
        <v>Key Personnel: Chief of Party</v>
      </c>
      <c r="E188" s="102">
        <f>'LOE Breakdown by Year'!F11</f>
        <v>0.2</v>
      </c>
      <c r="F188" s="46" t="s">
        <v>147</v>
      </c>
      <c r="G188" s="40">
        <f t="shared" ref="G188:H200" si="169">G12</f>
        <v>11</v>
      </c>
      <c r="H188" s="40">
        <f t="shared" si="169"/>
        <v>9583.3333333333339</v>
      </c>
      <c r="I188" s="40">
        <f>G188*H188*E188</f>
        <v>21083.333333333336</v>
      </c>
      <c r="J188" s="102">
        <f>'LOE Breakdown by Year'!F36</f>
        <v>0.55000000000000004</v>
      </c>
      <c r="K188" s="40">
        <f t="shared" ref="K188:K200" si="170">K12</f>
        <v>12</v>
      </c>
      <c r="L188" s="40">
        <f>K188*H188*$E$7*$J188</f>
        <v>66412.5</v>
      </c>
      <c r="M188" s="102">
        <f>'LOE Breakdown by Year'!F61</f>
        <v>0.55000000000000004</v>
      </c>
      <c r="N188" s="40">
        <f t="shared" ref="N188:N200" si="171">N12</f>
        <v>12</v>
      </c>
      <c r="O188" s="40">
        <f t="shared" ref="O188" si="172">N188*H188*$M188*$E$7*$E$7</f>
        <v>69733.125000000015</v>
      </c>
      <c r="P188" s="102">
        <f>'LOE Breakdown by Year'!F86</f>
        <v>0.6</v>
      </c>
      <c r="Q188" s="40">
        <f t="shared" ref="Q188:Q200" si="173">Q12</f>
        <v>12</v>
      </c>
      <c r="R188" s="40">
        <f t="shared" ref="R188" si="174">Q188*H188*$P188*$E$7*$E$7*$E$7</f>
        <v>79876.125</v>
      </c>
      <c r="S188" s="102">
        <f>'LOE Breakdown by Year'!F111</f>
        <v>0</v>
      </c>
      <c r="T188" s="40">
        <f t="shared" ref="T188:T200" si="175">T12</f>
        <v>0</v>
      </c>
      <c r="U188" s="40">
        <f t="shared" ref="U188" si="176">T188*H188*$S188*$E$7*$E$7*$E$7*$E$7</f>
        <v>0</v>
      </c>
      <c r="V188" s="40">
        <f t="shared" ref="V188" si="177">SUM(R188,O188,L188,I188,U188)</f>
        <v>237105.08333333334</v>
      </c>
      <c r="W188" s="40">
        <v>0</v>
      </c>
      <c r="X188" s="40">
        <f t="shared" ref="X188" si="178">SUM(V188:W188)</f>
        <v>237105.08333333334</v>
      </c>
    </row>
    <row r="189" spans="1:25">
      <c r="A189" s="7" t="s">
        <v>493</v>
      </c>
      <c r="B189" s="7">
        <v>70000</v>
      </c>
      <c r="C189" s="7" t="s">
        <v>488</v>
      </c>
      <c r="D189" s="7" t="str">
        <f t="shared" si="168"/>
        <v>Technical Director</v>
      </c>
      <c r="E189" s="102">
        <f>'LOE Breakdown by Year'!F12</f>
        <v>0.35</v>
      </c>
      <c r="F189" s="46" t="s">
        <v>147</v>
      </c>
      <c r="G189" s="40">
        <f t="shared" si="169"/>
        <v>9</v>
      </c>
      <c r="H189" s="40">
        <f t="shared" si="169"/>
        <v>3500</v>
      </c>
      <c r="I189" s="40">
        <f t="shared" ref="I189:I200" si="179">G189*H189*E189</f>
        <v>11025</v>
      </c>
      <c r="J189" s="102">
        <f>'LOE Breakdown by Year'!F37</f>
        <v>0.6</v>
      </c>
      <c r="K189" s="40">
        <f t="shared" si="170"/>
        <v>12</v>
      </c>
      <c r="L189" s="40">
        <f t="shared" ref="L189:L200" si="180">K189*H189*$E$7*$J189</f>
        <v>26460</v>
      </c>
      <c r="M189" s="102">
        <f>'LOE Breakdown by Year'!F62</f>
        <v>0.6</v>
      </c>
      <c r="N189" s="40">
        <f t="shared" si="171"/>
        <v>12</v>
      </c>
      <c r="O189" s="40">
        <f t="shared" ref="O189:O200" si="181">N189*H189*$M189*$E$7*$E$7</f>
        <v>27783</v>
      </c>
      <c r="P189" s="102">
        <f>'LOE Breakdown by Year'!F87</f>
        <v>0.6</v>
      </c>
      <c r="Q189" s="40">
        <f t="shared" si="173"/>
        <v>12</v>
      </c>
      <c r="R189" s="40">
        <f t="shared" ref="R189:R200" si="182">Q189*H189*$P189*$E$7*$E$7*$E$7</f>
        <v>29172.15</v>
      </c>
      <c r="S189" s="102">
        <f>'LOE Breakdown by Year'!F112</f>
        <v>0</v>
      </c>
      <c r="T189" s="40">
        <f t="shared" si="175"/>
        <v>0</v>
      </c>
      <c r="U189" s="40">
        <f t="shared" ref="U189:U200" si="183">T189*H189*$S189*$E$7*$E$7*$E$7*$E$7</f>
        <v>0</v>
      </c>
      <c r="V189" s="40">
        <f t="shared" ref="V189:V200" si="184">SUM(R189,O189,L189,I189,U189)</f>
        <v>94440.15</v>
      </c>
      <c r="W189" s="40">
        <v>0</v>
      </c>
      <c r="X189" s="40">
        <f t="shared" ref="X189:X200" si="185">SUM(V189:W189)</f>
        <v>94440.15</v>
      </c>
    </row>
    <row r="190" spans="1:25">
      <c r="A190" s="7" t="s">
        <v>493</v>
      </c>
      <c r="B190" s="7">
        <v>70000</v>
      </c>
      <c r="C190" s="7" t="s">
        <v>488</v>
      </c>
      <c r="D190" s="7" t="str">
        <f t="shared" si="168"/>
        <v>Technical Lead - Activity 2 US Exports</v>
      </c>
      <c r="E190" s="102">
        <f>'LOE Breakdown by Year'!F13</f>
        <v>0.8</v>
      </c>
      <c r="F190" s="46" t="s">
        <v>147</v>
      </c>
      <c r="G190" s="40">
        <f t="shared" si="169"/>
        <v>8</v>
      </c>
      <c r="H190" s="40">
        <f t="shared" si="169"/>
        <v>2833.3333333333335</v>
      </c>
      <c r="I190" s="40">
        <f t="shared" si="179"/>
        <v>18133.333333333336</v>
      </c>
      <c r="J190" s="102">
        <f>'LOE Breakdown by Year'!F38</f>
        <v>1</v>
      </c>
      <c r="K190" s="40">
        <f t="shared" si="170"/>
        <v>12</v>
      </c>
      <c r="L190" s="40">
        <f t="shared" si="180"/>
        <v>35700</v>
      </c>
      <c r="M190" s="102">
        <f>'LOE Breakdown by Year'!F63</f>
        <v>1</v>
      </c>
      <c r="N190" s="40">
        <f t="shared" si="171"/>
        <v>12</v>
      </c>
      <c r="O190" s="40">
        <f t="shared" si="181"/>
        <v>37485</v>
      </c>
      <c r="P190" s="102">
        <f>'LOE Breakdown by Year'!F88</f>
        <v>1</v>
      </c>
      <c r="Q190" s="40">
        <f t="shared" si="173"/>
        <v>12</v>
      </c>
      <c r="R190" s="40">
        <f t="shared" si="182"/>
        <v>39359.25</v>
      </c>
      <c r="S190" s="102">
        <f>'LOE Breakdown by Year'!F113</f>
        <v>0</v>
      </c>
      <c r="T190" s="40">
        <f t="shared" si="175"/>
        <v>0</v>
      </c>
      <c r="U190" s="40">
        <f t="shared" si="183"/>
        <v>0</v>
      </c>
      <c r="V190" s="40">
        <f t="shared" si="184"/>
        <v>130677.58333333334</v>
      </c>
      <c r="W190" s="40">
        <v>0</v>
      </c>
      <c r="X190" s="40">
        <f t="shared" si="185"/>
        <v>130677.58333333334</v>
      </c>
    </row>
    <row r="191" spans="1:25">
      <c r="A191" s="7" t="s">
        <v>493</v>
      </c>
      <c r="B191" s="7">
        <v>70000</v>
      </c>
      <c r="C191" s="7" t="s">
        <v>488</v>
      </c>
      <c r="D191" s="7" t="str">
        <f t="shared" si="168"/>
        <v>Technical Lead - Activity 2 Access to Finance Specialist</v>
      </c>
      <c r="E191" s="102">
        <f>'LOE Breakdown by Year'!F14</f>
        <v>0.8</v>
      </c>
      <c r="F191" s="46" t="s">
        <v>147</v>
      </c>
      <c r="G191" s="40">
        <f t="shared" si="169"/>
        <v>8</v>
      </c>
      <c r="H191" s="40">
        <f t="shared" si="169"/>
        <v>2833.3333333333335</v>
      </c>
      <c r="I191" s="40">
        <f t="shared" si="179"/>
        <v>18133.333333333336</v>
      </c>
      <c r="J191" s="102">
        <f>'LOE Breakdown by Year'!F39</f>
        <v>1</v>
      </c>
      <c r="K191" s="40">
        <f t="shared" si="170"/>
        <v>12</v>
      </c>
      <c r="L191" s="40">
        <f t="shared" si="180"/>
        <v>35700</v>
      </c>
      <c r="M191" s="102">
        <f>'LOE Breakdown by Year'!F64</f>
        <v>1</v>
      </c>
      <c r="N191" s="40">
        <f t="shared" si="171"/>
        <v>12</v>
      </c>
      <c r="O191" s="40">
        <f t="shared" si="181"/>
        <v>37485</v>
      </c>
      <c r="P191" s="102">
        <f>'LOE Breakdown by Year'!F89</f>
        <v>1</v>
      </c>
      <c r="Q191" s="40">
        <f t="shared" si="173"/>
        <v>12</v>
      </c>
      <c r="R191" s="40">
        <f t="shared" si="182"/>
        <v>39359.25</v>
      </c>
      <c r="S191" s="102">
        <f>'LOE Breakdown by Year'!F114</f>
        <v>0</v>
      </c>
      <c r="T191" s="40">
        <f t="shared" si="175"/>
        <v>0</v>
      </c>
      <c r="U191" s="40">
        <f t="shared" si="183"/>
        <v>0</v>
      </c>
      <c r="V191" s="40">
        <f t="shared" si="184"/>
        <v>130677.58333333334</v>
      </c>
      <c r="W191" s="40">
        <v>0</v>
      </c>
      <c r="X191" s="40">
        <f t="shared" si="185"/>
        <v>130677.58333333334</v>
      </c>
    </row>
    <row r="192" spans="1:25">
      <c r="A192" s="7" t="s">
        <v>493</v>
      </c>
      <c r="B192" s="7">
        <v>70000</v>
      </c>
      <c r="C192" s="7" t="s">
        <v>488</v>
      </c>
      <c r="D192" s="7" t="str">
        <f t="shared" si="168"/>
        <v>Communications/Strategic Partnerships Manager</v>
      </c>
      <c r="E192" s="102">
        <f>'LOE Breakdown by Year'!F15</f>
        <v>0.3</v>
      </c>
      <c r="F192" s="46" t="s">
        <v>147</v>
      </c>
      <c r="G192" s="40">
        <f t="shared" si="169"/>
        <v>8</v>
      </c>
      <c r="H192" s="40">
        <f t="shared" si="169"/>
        <v>2666.6666666666665</v>
      </c>
      <c r="I192" s="40">
        <f t="shared" si="179"/>
        <v>6399.9999999999991</v>
      </c>
      <c r="J192" s="102">
        <f>'LOE Breakdown by Year'!F40</f>
        <v>0.35</v>
      </c>
      <c r="K192" s="40">
        <f t="shared" si="170"/>
        <v>12</v>
      </c>
      <c r="L192" s="40">
        <f t="shared" si="180"/>
        <v>11760</v>
      </c>
      <c r="M192" s="102">
        <f>'LOE Breakdown by Year'!F65</f>
        <v>0.35</v>
      </c>
      <c r="N192" s="40">
        <f t="shared" si="171"/>
        <v>12</v>
      </c>
      <c r="O192" s="40">
        <f t="shared" si="181"/>
        <v>12348</v>
      </c>
      <c r="P192" s="102">
        <f>'LOE Breakdown by Year'!F90</f>
        <v>0.5</v>
      </c>
      <c r="Q192" s="40">
        <f t="shared" si="173"/>
        <v>12</v>
      </c>
      <c r="R192" s="40">
        <f t="shared" si="182"/>
        <v>18522</v>
      </c>
      <c r="S192" s="102">
        <f>'LOE Breakdown by Year'!F115</f>
        <v>0</v>
      </c>
      <c r="T192" s="40">
        <f t="shared" si="175"/>
        <v>0</v>
      </c>
      <c r="U192" s="40">
        <f t="shared" si="183"/>
        <v>0</v>
      </c>
      <c r="V192" s="40">
        <f t="shared" si="184"/>
        <v>49030</v>
      </c>
      <c r="W192" s="40">
        <v>0</v>
      </c>
      <c r="X192" s="40">
        <f t="shared" si="185"/>
        <v>49030</v>
      </c>
    </row>
    <row r="193" spans="1:24">
      <c r="A193" s="7" t="s">
        <v>493</v>
      </c>
      <c r="B193" s="7">
        <v>70000</v>
      </c>
      <c r="C193" s="7" t="s">
        <v>488</v>
      </c>
      <c r="D193" s="7" t="str">
        <f t="shared" si="168"/>
        <v xml:space="preserve">M&amp;E Director </v>
      </c>
      <c r="E193" s="102">
        <f>'LOE Breakdown by Year'!F16</f>
        <v>0.25</v>
      </c>
      <c r="F193" s="46" t="s">
        <v>147</v>
      </c>
      <c r="G193" s="40">
        <f t="shared" si="169"/>
        <v>10</v>
      </c>
      <c r="H193" s="40">
        <f t="shared" si="169"/>
        <v>3500</v>
      </c>
      <c r="I193" s="40">
        <f t="shared" si="179"/>
        <v>8750</v>
      </c>
      <c r="J193" s="102">
        <f>'LOE Breakdown by Year'!F41</f>
        <v>0.45</v>
      </c>
      <c r="K193" s="40">
        <f t="shared" si="170"/>
        <v>12</v>
      </c>
      <c r="L193" s="40">
        <f t="shared" si="180"/>
        <v>19845</v>
      </c>
      <c r="M193" s="102">
        <f>'LOE Breakdown by Year'!F66</f>
        <v>0.45</v>
      </c>
      <c r="N193" s="40">
        <f t="shared" si="171"/>
        <v>12</v>
      </c>
      <c r="O193" s="40">
        <f t="shared" si="181"/>
        <v>20837.25</v>
      </c>
      <c r="P193" s="102">
        <f>'LOE Breakdown by Year'!F91</f>
        <v>0.5</v>
      </c>
      <c r="Q193" s="40">
        <f t="shared" si="173"/>
        <v>12</v>
      </c>
      <c r="R193" s="40">
        <f t="shared" si="182"/>
        <v>24310.125</v>
      </c>
      <c r="S193" s="102">
        <f>'LOE Breakdown by Year'!F116</f>
        <v>0</v>
      </c>
      <c r="T193" s="40">
        <f t="shared" si="175"/>
        <v>0</v>
      </c>
      <c r="U193" s="40">
        <f t="shared" si="183"/>
        <v>0</v>
      </c>
      <c r="V193" s="40">
        <f t="shared" si="184"/>
        <v>73742.375</v>
      </c>
      <c r="W193" s="40">
        <v>0</v>
      </c>
      <c r="X193" s="40">
        <f t="shared" si="185"/>
        <v>73742.375</v>
      </c>
    </row>
    <row r="194" spans="1:24">
      <c r="A194" s="7" t="s">
        <v>493</v>
      </c>
      <c r="B194" s="7">
        <v>70000</v>
      </c>
      <c r="C194" s="7" t="s">
        <v>488</v>
      </c>
      <c r="D194" s="7" t="str">
        <f t="shared" si="168"/>
        <v>M&amp;E Specialist</v>
      </c>
      <c r="E194" s="102">
        <f>'LOE Breakdown by Year'!F17</f>
        <v>0.3</v>
      </c>
      <c r="F194" s="46" t="s">
        <v>147</v>
      </c>
      <c r="G194" s="40">
        <f t="shared" si="169"/>
        <v>8</v>
      </c>
      <c r="H194" s="40">
        <f t="shared" si="169"/>
        <v>2000</v>
      </c>
      <c r="I194" s="40">
        <f t="shared" si="179"/>
        <v>4800</v>
      </c>
      <c r="J194" s="102">
        <f>'LOE Breakdown by Year'!F42</f>
        <v>0.45</v>
      </c>
      <c r="K194" s="40">
        <f t="shared" si="170"/>
        <v>12</v>
      </c>
      <c r="L194" s="40">
        <f t="shared" si="180"/>
        <v>11340</v>
      </c>
      <c r="M194" s="102">
        <f>'LOE Breakdown by Year'!F67</f>
        <v>0.45</v>
      </c>
      <c r="N194" s="40">
        <f t="shared" si="171"/>
        <v>12</v>
      </c>
      <c r="O194" s="40">
        <f t="shared" si="181"/>
        <v>11907</v>
      </c>
      <c r="P194" s="102">
        <f>'LOE Breakdown by Year'!F92</f>
        <v>0.5</v>
      </c>
      <c r="Q194" s="40">
        <f t="shared" si="173"/>
        <v>12</v>
      </c>
      <c r="R194" s="40">
        <f t="shared" si="182"/>
        <v>13891.5</v>
      </c>
      <c r="S194" s="102">
        <f>'LOE Breakdown by Year'!F117</f>
        <v>0</v>
      </c>
      <c r="T194" s="40">
        <f t="shared" si="175"/>
        <v>0</v>
      </c>
      <c r="U194" s="40">
        <f t="shared" si="183"/>
        <v>0</v>
      </c>
      <c r="V194" s="40">
        <f t="shared" si="184"/>
        <v>41938.5</v>
      </c>
      <c r="W194" s="40">
        <v>0</v>
      </c>
      <c r="X194" s="40">
        <f t="shared" si="185"/>
        <v>41938.5</v>
      </c>
    </row>
    <row r="195" spans="1:24">
      <c r="A195" s="7" t="s">
        <v>493</v>
      </c>
      <c r="B195" s="7">
        <v>70000</v>
      </c>
      <c r="C195" s="7" t="s">
        <v>488</v>
      </c>
      <c r="D195" s="7" t="str">
        <f t="shared" si="168"/>
        <v xml:space="preserve">Key Personnel: Finance &amp; Administration (F&amp;A) Director </v>
      </c>
      <c r="E195" s="102">
        <f>'LOE Breakdown by Year'!F18</f>
        <v>0.25</v>
      </c>
      <c r="F195" s="46" t="s">
        <v>147</v>
      </c>
      <c r="G195" s="40">
        <f t="shared" si="169"/>
        <v>10</v>
      </c>
      <c r="H195" s="40">
        <f t="shared" si="169"/>
        <v>3500</v>
      </c>
      <c r="I195" s="40">
        <f t="shared" si="179"/>
        <v>8750</v>
      </c>
      <c r="J195" s="102">
        <f>'LOE Breakdown by Year'!F43</f>
        <v>0.35</v>
      </c>
      <c r="K195" s="40">
        <f t="shared" si="170"/>
        <v>12</v>
      </c>
      <c r="L195" s="40">
        <f t="shared" si="180"/>
        <v>15434.999999999998</v>
      </c>
      <c r="M195" s="102">
        <f>'LOE Breakdown by Year'!F68</f>
        <v>0.35</v>
      </c>
      <c r="N195" s="40">
        <f t="shared" si="171"/>
        <v>12</v>
      </c>
      <c r="O195" s="40">
        <f t="shared" si="181"/>
        <v>16206.749999999998</v>
      </c>
      <c r="P195" s="102">
        <f>'LOE Breakdown by Year'!F93</f>
        <v>0.5</v>
      </c>
      <c r="Q195" s="40">
        <f t="shared" si="173"/>
        <v>12</v>
      </c>
      <c r="R195" s="40">
        <f t="shared" si="182"/>
        <v>24310.125</v>
      </c>
      <c r="S195" s="102">
        <f>'LOE Breakdown by Year'!F118</f>
        <v>0</v>
      </c>
      <c r="T195" s="40">
        <f t="shared" si="175"/>
        <v>0</v>
      </c>
      <c r="U195" s="40">
        <f t="shared" si="183"/>
        <v>0</v>
      </c>
      <c r="V195" s="40">
        <f t="shared" si="184"/>
        <v>64701.875</v>
      </c>
      <c r="W195" s="40">
        <v>0</v>
      </c>
      <c r="X195" s="40">
        <f t="shared" si="185"/>
        <v>64701.875</v>
      </c>
    </row>
    <row r="196" spans="1:24">
      <c r="A196" s="7" t="s">
        <v>493</v>
      </c>
      <c r="B196" s="7">
        <v>70000</v>
      </c>
      <c r="C196" s="7" t="s">
        <v>488</v>
      </c>
      <c r="D196" s="7" t="str">
        <f t="shared" si="168"/>
        <v xml:space="preserve">Accountant </v>
      </c>
      <c r="E196" s="102">
        <f>'LOE Breakdown by Year'!F19</f>
        <v>0.3</v>
      </c>
      <c r="F196" s="46" t="s">
        <v>147</v>
      </c>
      <c r="G196" s="40">
        <f t="shared" si="169"/>
        <v>8</v>
      </c>
      <c r="H196" s="40">
        <f t="shared" si="169"/>
        <v>2000</v>
      </c>
      <c r="I196" s="40">
        <f t="shared" si="179"/>
        <v>4800</v>
      </c>
      <c r="J196" s="102">
        <f>'LOE Breakdown by Year'!F44</f>
        <v>0.5</v>
      </c>
      <c r="K196" s="40">
        <f t="shared" si="170"/>
        <v>12</v>
      </c>
      <c r="L196" s="40">
        <f t="shared" si="180"/>
        <v>12600</v>
      </c>
      <c r="M196" s="102">
        <f>'LOE Breakdown by Year'!F69</f>
        <v>0.5</v>
      </c>
      <c r="N196" s="40">
        <f t="shared" si="171"/>
        <v>12</v>
      </c>
      <c r="O196" s="40">
        <f t="shared" si="181"/>
        <v>13230</v>
      </c>
      <c r="P196" s="102">
        <f>'LOE Breakdown by Year'!F94</f>
        <v>0.55000000000000004</v>
      </c>
      <c r="Q196" s="40">
        <f t="shared" si="173"/>
        <v>12</v>
      </c>
      <c r="R196" s="40">
        <f t="shared" si="182"/>
        <v>15280.650000000003</v>
      </c>
      <c r="S196" s="102">
        <f>'LOE Breakdown by Year'!F119</f>
        <v>0</v>
      </c>
      <c r="T196" s="40">
        <f t="shared" si="175"/>
        <v>0</v>
      </c>
      <c r="U196" s="40">
        <f t="shared" si="183"/>
        <v>0</v>
      </c>
      <c r="V196" s="40">
        <f t="shared" si="184"/>
        <v>45910.65</v>
      </c>
      <c r="W196" s="40">
        <v>0</v>
      </c>
      <c r="X196" s="40">
        <f t="shared" si="185"/>
        <v>45910.65</v>
      </c>
    </row>
    <row r="197" spans="1:24">
      <c r="A197" s="7" t="s">
        <v>493</v>
      </c>
      <c r="B197" s="7">
        <v>70000</v>
      </c>
      <c r="C197" s="7" t="s">
        <v>488</v>
      </c>
      <c r="D197" s="7" t="str">
        <f t="shared" si="168"/>
        <v>Administration/ HR Manager</v>
      </c>
      <c r="E197" s="102">
        <f>'LOE Breakdown by Year'!F20</f>
        <v>0.4</v>
      </c>
      <c r="F197" s="46" t="s">
        <v>147</v>
      </c>
      <c r="G197" s="40">
        <f t="shared" si="169"/>
        <v>10</v>
      </c>
      <c r="H197" s="40">
        <f t="shared" si="169"/>
        <v>2666.6666666666665</v>
      </c>
      <c r="I197" s="40">
        <f t="shared" si="179"/>
        <v>10666.666666666666</v>
      </c>
      <c r="J197" s="102">
        <f>'LOE Breakdown by Year'!F45</f>
        <v>0.45</v>
      </c>
      <c r="K197" s="40">
        <f t="shared" si="170"/>
        <v>12</v>
      </c>
      <c r="L197" s="40">
        <f t="shared" si="180"/>
        <v>15120</v>
      </c>
      <c r="M197" s="102">
        <f>'LOE Breakdown by Year'!F70</f>
        <v>0.45</v>
      </c>
      <c r="N197" s="40">
        <f t="shared" si="171"/>
        <v>12</v>
      </c>
      <c r="O197" s="40">
        <f t="shared" si="181"/>
        <v>15876</v>
      </c>
      <c r="P197" s="102">
        <f>'LOE Breakdown by Year'!F95</f>
        <v>0.55000000000000004</v>
      </c>
      <c r="Q197" s="40">
        <f t="shared" si="173"/>
        <v>12</v>
      </c>
      <c r="R197" s="40">
        <f t="shared" si="182"/>
        <v>20374.2</v>
      </c>
      <c r="S197" s="102">
        <f>'LOE Breakdown by Year'!F120</f>
        <v>0</v>
      </c>
      <c r="T197" s="40">
        <f t="shared" si="175"/>
        <v>0</v>
      </c>
      <c r="U197" s="40">
        <f t="shared" si="183"/>
        <v>0</v>
      </c>
      <c r="V197" s="40">
        <f t="shared" si="184"/>
        <v>62036.866666666661</v>
      </c>
      <c r="W197" s="40">
        <v>0</v>
      </c>
      <c r="X197" s="40">
        <f t="shared" si="185"/>
        <v>62036.866666666661</v>
      </c>
    </row>
    <row r="198" spans="1:24">
      <c r="A198" s="7" t="s">
        <v>493</v>
      </c>
      <c r="B198" s="7">
        <v>70000</v>
      </c>
      <c r="C198" s="7" t="s">
        <v>488</v>
      </c>
      <c r="D198" s="7" t="str">
        <f t="shared" si="168"/>
        <v>Grants &amp; Contracts Manager</v>
      </c>
      <c r="E198" s="102">
        <f>'LOE Breakdown by Year'!F21</f>
        <v>0.3</v>
      </c>
      <c r="F198" s="46" t="s">
        <v>147</v>
      </c>
      <c r="G198" s="40">
        <f t="shared" si="169"/>
        <v>9</v>
      </c>
      <c r="H198" s="40">
        <f t="shared" si="169"/>
        <v>2666.6666666666665</v>
      </c>
      <c r="I198" s="40">
        <f t="shared" si="179"/>
        <v>7200</v>
      </c>
      <c r="J198" s="102">
        <f>'LOE Breakdown by Year'!F46</f>
        <v>0.4</v>
      </c>
      <c r="K198" s="40">
        <f t="shared" si="170"/>
        <v>12</v>
      </c>
      <c r="L198" s="40">
        <f t="shared" si="180"/>
        <v>13440</v>
      </c>
      <c r="M198" s="102">
        <f>'LOE Breakdown by Year'!F71</f>
        <v>0.4</v>
      </c>
      <c r="N198" s="40">
        <f t="shared" si="171"/>
        <v>12</v>
      </c>
      <c r="O198" s="40">
        <f t="shared" si="181"/>
        <v>14112</v>
      </c>
      <c r="P198" s="102">
        <f>'LOE Breakdown by Year'!F96</f>
        <v>0.6</v>
      </c>
      <c r="Q198" s="40">
        <f t="shared" si="173"/>
        <v>12</v>
      </c>
      <c r="R198" s="40">
        <f t="shared" si="182"/>
        <v>22226.400000000001</v>
      </c>
      <c r="S198" s="102">
        <f>'LOE Breakdown by Year'!F121</f>
        <v>0</v>
      </c>
      <c r="T198" s="40">
        <f t="shared" si="175"/>
        <v>0</v>
      </c>
      <c r="U198" s="40">
        <f t="shared" si="183"/>
        <v>0</v>
      </c>
      <c r="V198" s="40">
        <f t="shared" si="184"/>
        <v>56978.400000000001</v>
      </c>
      <c r="W198" s="40">
        <v>0</v>
      </c>
      <c r="X198" s="40">
        <f t="shared" si="185"/>
        <v>56978.400000000001</v>
      </c>
    </row>
    <row r="199" spans="1:24">
      <c r="A199" s="7" t="s">
        <v>493</v>
      </c>
      <c r="B199" s="7">
        <v>70000</v>
      </c>
      <c r="C199" s="7" t="s">
        <v>488</v>
      </c>
      <c r="D199" s="7" t="str">
        <f t="shared" si="168"/>
        <v>Compliance &amp; Procurement Specialist</v>
      </c>
      <c r="E199" s="102">
        <f>'LOE Breakdown by Year'!F22</f>
        <v>0.3</v>
      </c>
      <c r="F199" s="46" t="s">
        <v>147</v>
      </c>
      <c r="G199" s="40">
        <f t="shared" si="169"/>
        <v>9</v>
      </c>
      <c r="H199" s="40">
        <f t="shared" si="169"/>
        <v>2000</v>
      </c>
      <c r="I199" s="40">
        <f t="shared" si="179"/>
        <v>5400</v>
      </c>
      <c r="J199" s="102">
        <f>'LOE Breakdown by Year'!F47</f>
        <v>0.4</v>
      </c>
      <c r="K199" s="40">
        <f t="shared" si="170"/>
        <v>12</v>
      </c>
      <c r="L199" s="40">
        <f t="shared" si="180"/>
        <v>10080</v>
      </c>
      <c r="M199" s="102">
        <f>'LOE Breakdown by Year'!F72</f>
        <v>0.4</v>
      </c>
      <c r="N199" s="40">
        <f t="shared" si="171"/>
        <v>12</v>
      </c>
      <c r="O199" s="40">
        <f t="shared" si="181"/>
        <v>10584</v>
      </c>
      <c r="P199" s="102">
        <f>'LOE Breakdown by Year'!F97</f>
        <v>0.6</v>
      </c>
      <c r="Q199" s="40">
        <f t="shared" si="173"/>
        <v>12</v>
      </c>
      <c r="R199" s="40">
        <f t="shared" si="182"/>
        <v>16669.8</v>
      </c>
      <c r="S199" s="102">
        <f>'LOE Breakdown by Year'!F122</f>
        <v>0</v>
      </c>
      <c r="T199" s="40">
        <f t="shared" si="175"/>
        <v>0</v>
      </c>
      <c r="U199" s="40">
        <f t="shared" si="183"/>
        <v>0</v>
      </c>
      <c r="V199" s="40">
        <f t="shared" si="184"/>
        <v>42733.8</v>
      </c>
      <c r="W199" s="40">
        <v>0</v>
      </c>
      <c r="X199" s="40">
        <f t="shared" si="185"/>
        <v>42733.8</v>
      </c>
    </row>
    <row r="200" spans="1:24">
      <c r="A200" s="7" t="s">
        <v>493</v>
      </c>
      <c r="B200" s="7">
        <v>70000</v>
      </c>
      <c r="C200" s="7" t="s">
        <v>488</v>
      </c>
      <c r="D200" s="7" t="str">
        <f t="shared" si="168"/>
        <v>Driver</v>
      </c>
      <c r="E200" s="102">
        <f>'LOE Breakdown by Year'!F23</f>
        <v>0.5</v>
      </c>
      <c r="F200" s="46" t="s">
        <v>147</v>
      </c>
      <c r="G200" s="40">
        <f t="shared" si="169"/>
        <v>7</v>
      </c>
      <c r="H200" s="40">
        <f t="shared" si="169"/>
        <v>500</v>
      </c>
      <c r="I200" s="40">
        <f t="shared" si="179"/>
        <v>1750</v>
      </c>
      <c r="J200" s="102">
        <f>'LOE Breakdown by Year'!F48</f>
        <v>0.5</v>
      </c>
      <c r="K200" s="40">
        <f t="shared" si="170"/>
        <v>12</v>
      </c>
      <c r="L200" s="40">
        <f t="shared" si="180"/>
        <v>3150</v>
      </c>
      <c r="M200" s="102">
        <f>'LOE Breakdown by Year'!F73</f>
        <v>0.5</v>
      </c>
      <c r="N200" s="40">
        <f t="shared" si="171"/>
        <v>12</v>
      </c>
      <c r="O200" s="40">
        <f t="shared" si="181"/>
        <v>3307.5</v>
      </c>
      <c r="P200" s="102">
        <f>'LOE Breakdown by Year'!F98</f>
        <v>0.65</v>
      </c>
      <c r="Q200" s="40">
        <f t="shared" si="173"/>
        <v>12</v>
      </c>
      <c r="R200" s="40">
        <f t="shared" si="182"/>
        <v>4514.7375000000002</v>
      </c>
      <c r="S200" s="102">
        <f>'LOE Breakdown by Year'!F123</f>
        <v>0</v>
      </c>
      <c r="T200" s="40">
        <f t="shared" si="175"/>
        <v>0</v>
      </c>
      <c r="U200" s="40">
        <f t="shared" si="183"/>
        <v>0</v>
      </c>
      <c r="V200" s="40">
        <f t="shared" si="184"/>
        <v>12722.237499999999</v>
      </c>
      <c r="W200" s="40">
        <v>0</v>
      </c>
      <c r="X200" s="40">
        <f t="shared" si="185"/>
        <v>12722.237499999999</v>
      </c>
    </row>
    <row r="201" spans="1:24">
      <c r="A201" s="427"/>
      <c r="B201" s="427"/>
      <c r="C201" s="427"/>
      <c r="D201" s="427" t="s">
        <v>213</v>
      </c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</row>
    <row r="202" spans="1:24">
      <c r="A202" s="7" t="s">
        <v>493</v>
      </c>
      <c r="B202" s="7">
        <v>50000</v>
      </c>
      <c r="C202" s="7" t="s">
        <v>450</v>
      </c>
      <c r="D202" s="7" t="str">
        <f>D26</f>
        <v>Senior Vice President of Programs</v>
      </c>
      <c r="E202" s="108">
        <f>'LOE Breakdown by Year'!F25</f>
        <v>0.01</v>
      </c>
      <c r="F202" s="46" t="s">
        <v>147</v>
      </c>
      <c r="G202" s="40">
        <f t="shared" ref="G202:H206" si="186">G26</f>
        <v>12</v>
      </c>
      <c r="H202" s="40">
        <f t="shared" si="186"/>
        <v>13500</v>
      </c>
      <c r="I202" s="40">
        <f>G202*H202*E202</f>
        <v>1620</v>
      </c>
      <c r="J202" s="108">
        <f>'LOE Breakdown by Year'!F50</f>
        <v>0.01</v>
      </c>
      <c r="K202" s="40">
        <f>K26</f>
        <v>12</v>
      </c>
      <c r="L202" s="40">
        <f>K202*H202*$E$7*$J202</f>
        <v>1701</v>
      </c>
      <c r="M202" s="108">
        <f>'LOE Breakdown by Year'!F75</f>
        <v>0.01</v>
      </c>
      <c r="N202" s="40">
        <f>N26</f>
        <v>12</v>
      </c>
      <c r="O202" s="40">
        <f>N202*H202*$M202*$E$7*$E$7</f>
        <v>1786.0500000000002</v>
      </c>
      <c r="P202" s="108">
        <f>'LOE Breakdown by Year'!F100</f>
        <v>0.01</v>
      </c>
      <c r="Q202" s="40">
        <f>Q26</f>
        <v>12</v>
      </c>
      <c r="R202" s="40">
        <f>Q202*H202*$P202*$E$7*$E$7*$E$7</f>
        <v>1875.3525000000002</v>
      </c>
      <c r="S202" s="108">
        <f>'LOE Breakdown by Year'!F125</f>
        <v>0</v>
      </c>
      <c r="T202" s="40">
        <f>T26</f>
        <v>0</v>
      </c>
      <c r="U202" s="40">
        <f>T202*H202*$S202*$E$7*$E$7*$E$7*$E$7</f>
        <v>0</v>
      </c>
      <c r="V202" s="40">
        <f>SUM(R202,O202,L202,I202,U202)</f>
        <v>6982.4025000000001</v>
      </c>
      <c r="W202" s="40">
        <v>0</v>
      </c>
      <c r="X202" s="40">
        <f>SUM(V202:W202)</f>
        <v>6982.4025000000001</v>
      </c>
    </row>
    <row r="203" spans="1:24">
      <c r="A203" s="7" t="s">
        <v>493</v>
      </c>
      <c r="B203" s="7">
        <v>50000</v>
      </c>
      <c r="C203" s="7" t="s">
        <v>450</v>
      </c>
      <c r="D203" s="7" t="str">
        <f>D27</f>
        <v xml:space="preserve">Senior Program Director </v>
      </c>
      <c r="E203" s="102">
        <f>'LOE Breakdown by Year'!F26</f>
        <v>0.05</v>
      </c>
      <c r="F203" s="46" t="s">
        <v>147</v>
      </c>
      <c r="G203" s="40">
        <f t="shared" si="186"/>
        <v>12</v>
      </c>
      <c r="H203" s="40">
        <f t="shared" si="186"/>
        <v>12500</v>
      </c>
      <c r="I203" s="40">
        <f t="shared" ref="I203:I206" si="187">G203*H203*E203</f>
        <v>7500</v>
      </c>
      <c r="J203" s="102">
        <f>'LOE Breakdown by Year'!F51</f>
        <v>0.1</v>
      </c>
      <c r="K203" s="40">
        <f>K27</f>
        <v>12</v>
      </c>
      <c r="L203" s="40">
        <f t="shared" ref="L203:L206" si="188">K203*H203*$E$7*$J203</f>
        <v>15750</v>
      </c>
      <c r="M203" s="102">
        <f>'LOE Breakdown by Year'!F76</f>
        <v>0.1</v>
      </c>
      <c r="N203" s="40">
        <f>N27</f>
        <v>12</v>
      </c>
      <c r="O203" s="40">
        <f t="shared" ref="O203:O206" si="189">N203*H203*$M203*$E$7*$E$7</f>
        <v>16537.5</v>
      </c>
      <c r="P203" s="102">
        <f>'LOE Breakdown by Year'!F101</f>
        <v>0.1</v>
      </c>
      <c r="Q203" s="40">
        <f>Q27</f>
        <v>12</v>
      </c>
      <c r="R203" s="40">
        <f t="shared" ref="R203:R206" si="190">Q203*H203*$P203*$E$7*$E$7*$E$7</f>
        <v>17364.375</v>
      </c>
      <c r="S203" s="102">
        <f>'LOE Breakdown by Year'!F126</f>
        <v>0</v>
      </c>
      <c r="T203" s="40">
        <f>T27</f>
        <v>0</v>
      </c>
      <c r="U203" s="40">
        <f t="shared" ref="U203:U206" si="191">T203*H203*$S203*$E$7*$E$7*$E$7*$E$7</f>
        <v>0</v>
      </c>
      <c r="V203" s="40">
        <f t="shared" ref="V203:V206" si="192">SUM(R203,O203,L203,I203,U203)</f>
        <v>57151.875</v>
      </c>
      <c r="W203" s="40">
        <v>0</v>
      </c>
      <c r="X203" s="40">
        <f t="shared" ref="X203:X206" si="193">SUM(V203:W203)</f>
        <v>57151.875</v>
      </c>
    </row>
    <row r="204" spans="1:24">
      <c r="A204" s="7" t="s">
        <v>493</v>
      </c>
      <c r="B204" s="7">
        <v>50000</v>
      </c>
      <c r="C204" s="7" t="s">
        <v>450</v>
      </c>
      <c r="D204" s="7" t="str">
        <f>D28</f>
        <v>Associate Director</v>
      </c>
      <c r="E204" s="102">
        <f>'LOE Breakdown by Year'!F27</f>
        <v>0.4</v>
      </c>
      <c r="F204" s="46" t="s">
        <v>147</v>
      </c>
      <c r="G204" s="40">
        <f t="shared" si="186"/>
        <v>12</v>
      </c>
      <c r="H204" s="40">
        <f t="shared" si="186"/>
        <v>7500</v>
      </c>
      <c r="I204" s="40">
        <f t="shared" si="187"/>
        <v>36000</v>
      </c>
      <c r="J204" s="102">
        <f>'LOE Breakdown by Year'!F52</f>
        <v>0.55000000000000004</v>
      </c>
      <c r="K204" s="40">
        <f>K28</f>
        <v>12</v>
      </c>
      <c r="L204" s="40">
        <f t="shared" si="188"/>
        <v>51975.000000000007</v>
      </c>
      <c r="M204" s="102">
        <f>'LOE Breakdown by Year'!F77</f>
        <v>0.55000000000000004</v>
      </c>
      <c r="N204" s="40">
        <f>N28</f>
        <v>12</v>
      </c>
      <c r="O204" s="40">
        <f t="shared" si="189"/>
        <v>54573.750000000007</v>
      </c>
      <c r="P204" s="102">
        <f>'LOE Breakdown by Year'!F102</f>
        <v>0.55000000000000004</v>
      </c>
      <c r="Q204" s="40">
        <f>Q28</f>
        <v>12</v>
      </c>
      <c r="R204" s="40">
        <f t="shared" si="190"/>
        <v>57302.437500000007</v>
      </c>
      <c r="S204" s="102">
        <f>'LOE Breakdown by Year'!F127</f>
        <v>0</v>
      </c>
      <c r="T204" s="40">
        <f>T28</f>
        <v>0</v>
      </c>
      <c r="U204" s="40">
        <f t="shared" si="191"/>
        <v>0</v>
      </c>
      <c r="V204" s="40">
        <f t="shared" si="192"/>
        <v>199851.18750000003</v>
      </c>
      <c r="W204" s="40">
        <v>0</v>
      </c>
      <c r="X204" s="40">
        <f t="shared" si="193"/>
        <v>199851.18750000003</v>
      </c>
    </row>
    <row r="205" spans="1:24">
      <c r="A205" s="7" t="s">
        <v>493</v>
      </c>
      <c r="B205" s="7">
        <v>50000</v>
      </c>
      <c r="C205" s="7" t="s">
        <v>450</v>
      </c>
      <c r="D205" s="7" t="str">
        <f>D29</f>
        <v>Compliance &amp; Contracts Director</v>
      </c>
      <c r="E205" s="102">
        <f>'LOE Breakdown by Year'!F28</f>
        <v>0.05</v>
      </c>
      <c r="F205" s="46" t="s">
        <v>147</v>
      </c>
      <c r="G205" s="40">
        <f t="shared" si="186"/>
        <v>12</v>
      </c>
      <c r="H205" s="40">
        <f t="shared" si="186"/>
        <v>9166.6666666666661</v>
      </c>
      <c r="I205" s="40">
        <f t="shared" si="187"/>
        <v>5500</v>
      </c>
      <c r="J205" s="102">
        <f>'LOE Breakdown by Year'!F53</f>
        <v>0.1</v>
      </c>
      <c r="K205" s="40">
        <f>K29</f>
        <v>12</v>
      </c>
      <c r="L205" s="40">
        <f t="shared" si="188"/>
        <v>11550</v>
      </c>
      <c r="M205" s="102">
        <f>'LOE Breakdown by Year'!F78</f>
        <v>0.1</v>
      </c>
      <c r="N205" s="40">
        <f>N29</f>
        <v>12</v>
      </c>
      <c r="O205" s="40">
        <f t="shared" si="189"/>
        <v>12127.5</v>
      </c>
      <c r="P205" s="102">
        <f>'LOE Breakdown by Year'!F103</f>
        <v>0.1</v>
      </c>
      <c r="Q205" s="40">
        <f>Q29</f>
        <v>12</v>
      </c>
      <c r="R205" s="40">
        <f t="shared" si="190"/>
        <v>12733.875</v>
      </c>
      <c r="S205" s="102">
        <f>'LOE Breakdown by Year'!F128</f>
        <v>0</v>
      </c>
      <c r="T205" s="40">
        <f>T29</f>
        <v>0</v>
      </c>
      <c r="U205" s="40">
        <f t="shared" si="191"/>
        <v>0</v>
      </c>
      <c r="V205" s="40">
        <f t="shared" si="192"/>
        <v>41911.375</v>
      </c>
      <c r="W205" s="40">
        <v>0</v>
      </c>
      <c r="X205" s="40">
        <f t="shared" si="193"/>
        <v>41911.375</v>
      </c>
    </row>
    <row r="206" spans="1:24">
      <c r="A206" s="7" t="s">
        <v>493</v>
      </c>
      <c r="B206" s="7">
        <v>50000</v>
      </c>
      <c r="C206" s="7" t="s">
        <v>450</v>
      </c>
      <c r="D206" s="7" t="str">
        <f>D30</f>
        <v>Finance, HR, &amp; Administration Home Office Support</v>
      </c>
      <c r="E206" s="102">
        <f>'LOE Breakdown by Year'!F29</f>
        <v>0.2</v>
      </c>
      <c r="F206" s="46" t="s">
        <v>147</v>
      </c>
      <c r="G206" s="40">
        <f t="shared" si="186"/>
        <v>12</v>
      </c>
      <c r="H206" s="40">
        <f t="shared" si="186"/>
        <v>7500</v>
      </c>
      <c r="I206" s="40">
        <f t="shared" si="187"/>
        <v>18000</v>
      </c>
      <c r="J206" s="102">
        <f>'LOE Breakdown by Year'!F54</f>
        <v>0.35</v>
      </c>
      <c r="K206" s="40">
        <f>K30</f>
        <v>12</v>
      </c>
      <c r="L206" s="40">
        <f t="shared" si="188"/>
        <v>33075</v>
      </c>
      <c r="M206" s="102">
        <f>'LOE Breakdown by Year'!F79</f>
        <v>0.35</v>
      </c>
      <c r="N206" s="40">
        <f>N30</f>
        <v>12</v>
      </c>
      <c r="O206" s="40">
        <f t="shared" si="189"/>
        <v>34728.75</v>
      </c>
      <c r="P206" s="102">
        <f>'LOE Breakdown by Year'!F104</f>
        <v>0.35</v>
      </c>
      <c r="Q206" s="40">
        <f>Q30</f>
        <v>12</v>
      </c>
      <c r="R206" s="40">
        <f t="shared" si="190"/>
        <v>36465.1875</v>
      </c>
      <c r="S206" s="102">
        <f>'LOE Breakdown by Year'!F129</f>
        <v>0</v>
      </c>
      <c r="T206" s="40">
        <f>T30</f>
        <v>0</v>
      </c>
      <c r="U206" s="40">
        <f t="shared" si="191"/>
        <v>0</v>
      </c>
      <c r="V206" s="40">
        <f t="shared" si="192"/>
        <v>122268.9375</v>
      </c>
      <c r="W206" s="40">
        <v>0</v>
      </c>
      <c r="X206" s="40">
        <f t="shared" si="193"/>
        <v>122268.9375</v>
      </c>
    </row>
    <row r="207" spans="1:24">
      <c r="A207" s="37"/>
      <c r="B207" s="37"/>
      <c r="C207" s="37"/>
      <c r="D207" s="37" t="s">
        <v>325</v>
      </c>
      <c r="E207" s="112"/>
      <c r="F207" s="42"/>
      <c r="G207" s="43"/>
      <c r="H207" s="43"/>
      <c r="I207" s="44">
        <f>SUM(I188:I206)</f>
        <v>195511.66666666669</v>
      </c>
      <c r="J207" s="112"/>
      <c r="K207" s="44"/>
      <c r="L207" s="44">
        <f>SUM(L188:L206)</f>
        <v>391093.5</v>
      </c>
      <c r="M207" s="112"/>
      <c r="N207" s="44"/>
      <c r="O207" s="44">
        <f>SUM(O188:O206)</f>
        <v>410648.17499999999</v>
      </c>
      <c r="P207" s="112"/>
      <c r="Q207" s="44"/>
      <c r="R207" s="44">
        <f>SUM(R188:R206)</f>
        <v>473607.54000000004</v>
      </c>
      <c r="S207" s="112"/>
      <c r="T207" s="44"/>
      <c r="U207" s="44">
        <f>SUM(U188:U206)</f>
        <v>0</v>
      </c>
      <c r="V207" s="44">
        <f>SUM(V188:V206)</f>
        <v>1470860.8816666668</v>
      </c>
      <c r="W207" s="44">
        <f>SUM(W188:W206)</f>
        <v>0</v>
      </c>
      <c r="X207" s="44">
        <f>SUM(X188:X206)</f>
        <v>1470860.8816666668</v>
      </c>
    </row>
    <row r="208" spans="1:24">
      <c r="A208" s="90"/>
      <c r="B208" s="90"/>
      <c r="C208" s="90"/>
      <c r="D208" s="90"/>
      <c r="E208" s="113"/>
      <c r="F208" s="67"/>
      <c r="G208" s="54"/>
      <c r="H208" s="54"/>
      <c r="I208" s="54"/>
      <c r="J208" s="113"/>
      <c r="K208" s="54"/>
      <c r="L208" s="54"/>
      <c r="M208" s="113"/>
      <c r="N208" s="54"/>
      <c r="O208" s="54"/>
      <c r="P208" s="113"/>
      <c r="Q208" s="54"/>
      <c r="R208" s="54"/>
      <c r="S208" s="113"/>
      <c r="T208" s="54"/>
      <c r="U208" s="54"/>
      <c r="V208" s="54"/>
      <c r="W208" s="54"/>
      <c r="X208" s="54"/>
    </row>
    <row r="209" spans="1:25">
      <c r="A209" s="37"/>
      <c r="B209" s="37"/>
      <c r="C209" s="37"/>
      <c r="D209" s="37" t="s">
        <v>326</v>
      </c>
      <c r="E209" s="112"/>
      <c r="F209" s="42"/>
      <c r="G209" s="43"/>
      <c r="H209" s="43"/>
      <c r="I209" s="44"/>
      <c r="J209" s="112"/>
      <c r="K209" s="44"/>
      <c r="L209" s="44"/>
      <c r="M209" s="112"/>
      <c r="N209" s="44"/>
      <c r="O209" s="44"/>
      <c r="P209" s="112"/>
      <c r="Q209" s="44"/>
      <c r="R209" s="44"/>
      <c r="S209" s="112"/>
      <c r="T209" s="44"/>
      <c r="U209" s="44"/>
      <c r="V209" s="44"/>
      <c r="W209" s="44"/>
      <c r="X209" s="44"/>
    </row>
    <row r="210" spans="1:25">
      <c r="A210" s="442" t="s">
        <v>496</v>
      </c>
      <c r="B210" s="7">
        <v>70015</v>
      </c>
      <c r="C210" s="7" t="s">
        <v>488</v>
      </c>
      <c r="D210" s="7" t="str">
        <f>$D$35</f>
        <v>Fringe Benefits CCN - Nigeria</v>
      </c>
      <c r="E210" s="103"/>
      <c r="F210" s="68" t="s">
        <v>109</v>
      </c>
      <c r="G210" s="40"/>
      <c r="H210" s="433">
        <f>$H$35</f>
        <v>0.29599999999999999</v>
      </c>
      <c r="I210" s="40">
        <f>SUM(I188:I200)*$H$210</f>
        <v>37559.933333333334</v>
      </c>
      <c r="J210" s="103"/>
      <c r="K210" s="40"/>
      <c r="L210" s="40">
        <f>SUM(L188:L200)*$H$210</f>
        <v>82004.58</v>
      </c>
      <c r="M210" s="103"/>
      <c r="N210" s="40"/>
      <c r="O210" s="40">
        <f>SUM(O188:O200)*$H$210</f>
        <v>86104.808999999994</v>
      </c>
      <c r="P210" s="103"/>
      <c r="Q210" s="40"/>
      <c r="R210" s="40">
        <f>SUM(R188:R200)*$H$210</f>
        <v>102968.42850000001</v>
      </c>
      <c r="S210" s="103"/>
      <c r="T210" s="40"/>
      <c r="U210" s="40">
        <f>SUM(U188:U200)*$H$210</f>
        <v>0</v>
      </c>
      <c r="V210" s="40">
        <f>SUM(R210,O210,L210,I210,U210)</f>
        <v>308637.75083333335</v>
      </c>
      <c r="W210" s="54">
        <v>0</v>
      </c>
      <c r="X210" s="40">
        <f t="shared" ref="X210:X211" si="194">SUM(V210:W210)</f>
        <v>308637.75083333335</v>
      </c>
    </row>
    <row r="211" spans="1:25">
      <c r="A211" s="7" t="s">
        <v>496</v>
      </c>
      <c r="B211" s="7">
        <v>50900</v>
      </c>
      <c r="C211" s="7" t="s">
        <v>450</v>
      </c>
      <c r="D211" s="7" t="str">
        <f>$D$36</f>
        <v>Fringe Benefits - HO</v>
      </c>
      <c r="E211" s="103"/>
      <c r="F211" s="68" t="s">
        <v>109</v>
      </c>
      <c r="G211" s="40"/>
      <c r="H211" s="433">
        <f>$H$36</f>
        <v>0.23469999999999999</v>
      </c>
      <c r="I211" s="40">
        <f>(SUM(I202:I206))*$H$211</f>
        <v>16105.114</v>
      </c>
      <c r="J211" s="103"/>
      <c r="K211" s="40"/>
      <c r="L211" s="40">
        <f>(SUM(L202:L206))*$H$211</f>
        <v>26767.769700000001</v>
      </c>
      <c r="M211" s="103"/>
      <c r="N211" s="40"/>
      <c r="O211" s="40">
        <f>(SUM(O202:O206))*$H$211</f>
        <v>28106.158185</v>
      </c>
      <c r="P211" s="103"/>
      <c r="Q211" s="40"/>
      <c r="R211" s="40">
        <f>(SUM(R202:R206))*$H$211</f>
        <v>29511.466094250001</v>
      </c>
      <c r="S211" s="103"/>
      <c r="T211" s="40"/>
      <c r="U211" s="40">
        <f>(SUM(U202:U206))*$H$211</f>
        <v>0</v>
      </c>
      <c r="V211" s="40">
        <f>SUM(R211,O211,L211,I211,U211)</f>
        <v>100490.50797925</v>
      </c>
      <c r="W211" s="54">
        <v>0</v>
      </c>
      <c r="X211" s="40">
        <f t="shared" si="194"/>
        <v>100490.50797925</v>
      </c>
    </row>
    <row r="212" spans="1:25">
      <c r="A212" s="37"/>
      <c r="B212" s="37"/>
      <c r="C212" s="37"/>
      <c r="D212" s="37" t="s">
        <v>327</v>
      </c>
      <c r="E212" s="112"/>
      <c r="F212" s="42"/>
      <c r="G212" s="43"/>
      <c r="H212" s="43"/>
      <c r="I212" s="44">
        <f>SUM(I210:I211)</f>
        <v>53665.047333333336</v>
      </c>
      <c r="J212" s="112"/>
      <c r="K212" s="44"/>
      <c r="L212" s="44">
        <f>SUM(L210:L211)</f>
        <v>108772.34970000001</v>
      </c>
      <c r="M212" s="112"/>
      <c r="N212" s="44"/>
      <c r="O212" s="44">
        <f>SUM(O210:O211)</f>
        <v>114210.96718499999</v>
      </c>
      <c r="P212" s="112"/>
      <c r="Q212" s="44"/>
      <c r="R212" s="44">
        <f>SUM(R210:R211)</f>
        <v>132479.89459425001</v>
      </c>
      <c r="S212" s="112"/>
      <c r="T212" s="44"/>
      <c r="U212" s="44">
        <f>SUM(U210:U211)</f>
        <v>0</v>
      </c>
      <c r="V212" s="44">
        <f>SUM(V210:V211)</f>
        <v>409128.25881258334</v>
      </c>
      <c r="W212" s="44">
        <f>SUM(W210:W211)</f>
        <v>0</v>
      </c>
      <c r="X212" s="44">
        <f>SUM(X210:X211)</f>
        <v>409128.25881258334</v>
      </c>
    </row>
    <row r="213" spans="1:25">
      <c r="A213" s="90"/>
      <c r="B213" s="90"/>
      <c r="C213" s="90"/>
      <c r="D213" s="90"/>
      <c r="E213" s="113"/>
      <c r="F213" s="67"/>
      <c r="G213" s="54"/>
      <c r="H213" s="54"/>
      <c r="I213" s="54"/>
      <c r="J213" s="113"/>
      <c r="K213" s="54"/>
      <c r="L213" s="54"/>
      <c r="M213" s="113"/>
      <c r="N213" s="54"/>
      <c r="O213" s="54"/>
      <c r="P213" s="113"/>
      <c r="Q213" s="54"/>
      <c r="R213" s="54"/>
      <c r="S213" s="113"/>
      <c r="T213" s="54"/>
      <c r="U213" s="54"/>
      <c r="V213" s="54"/>
      <c r="W213" s="54"/>
      <c r="X213" s="54"/>
    </row>
    <row r="214" spans="1:25">
      <c r="A214" s="37"/>
      <c r="B214" s="37"/>
      <c r="C214" s="37"/>
      <c r="D214" s="37" t="s">
        <v>328</v>
      </c>
      <c r="E214" s="112"/>
      <c r="F214" s="42"/>
      <c r="G214" s="43"/>
      <c r="H214" s="43"/>
      <c r="I214" s="43"/>
      <c r="J214" s="112"/>
      <c r="K214" s="43"/>
      <c r="L214" s="43"/>
      <c r="M214" s="112"/>
      <c r="N214" s="43"/>
      <c r="O214" s="43"/>
      <c r="P214" s="112"/>
      <c r="Q214" s="43"/>
      <c r="R214" s="43"/>
      <c r="S214" s="112"/>
      <c r="T214" s="43"/>
      <c r="U214" s="43"/>
      <c r="V214" s="43"/>
      <c r="W214" s="43"/>
      <c r="X214" s="43"/>
    </row>
    <row r="215" spans="1:25" ht="25.2">
      <c r="A215" s="7" t="s">
        <v>518</v>
      </c>
      <c r="B215" s="7" t="s">
        <v>517</v>
      </c>
      <c r="C215" s="7" t="s">
        <v>488</v>
      </c>
      <c r="D215" s="7" t="s">
        <v>329</v>
      </c>
      <c r="E215" s="106"/>
      <c r="F215" s="45" t="s">
        <v>330</v>
      </c>
      <c r="G215" s="432">
        <v>0.5</v>
      </c>
      <c r="H215" s="40">
        <v>67000</v>
      </c>
      <c r="I215" s="40">
        <f t="shared" ref="I215:I216" si="195">G215*H215</f>
        <v>33500</v>
      </c>
      <c r="J215" s="106"/>
      <c r="K215" s="40">
        <v>1</v>
      </c>
      <c r="L215" s="40">
        <f t="shared" ref="L215:L216" si="196">K215*H215</f>
        <v>67000</v>
      </c>
      <c r="M215" s="106"/>
      <c r="N215" s="40">
        <v>1</v>
      </c>
      <c r="O215" s="40">
        <f t="shared" ref="O215:O216" si="197">N215*H215</f>
        <v>67000</v>
      </c>
      <c r="P215" s="106"/>
      <c r="Q215" s="432">
        <v>0.5</v>
      </c>
      <c r="R215" s="40">
        <f t="shared" ref="R215:R216" si="198">Q215*H215</f>
        <v>33500</v>
      </c>
      <c r="S215" s="106"/>
      <c r="T215" s="40">
        <v>0</v>
      </c>
      <c r="U215" s="40">
        <f t="shared" ref="U215:U216" si="199">T215*H215</f>
        <v>0</v>
      </c>
      <c r="V215" s="40">
        <f t="shared" ref="V215:V216" si="200">SUM(R215,O215,L215,I215,U215)</f>
        <v>201000</v>
      </c>
      <c r="W215" s="40">
        <v>0</v>
      </c>
      <c r="X215" s="40">
        <f t="shared" ref="X215:X216" si="201">V215+W215</f>
        <v>201000</v>
      </c>
      <c r="Y215" s="417"/>
    </row>
    <row r="216" spans="1:25">
      <c r="A216" s="7" t="s">
        <v>519</v>
      </c>
      <c r="B216" s="7">
        <v>81000</v>
      </c>
      <c r="C216" s="7" t="s">
        <v>488</v>
      </c>
      <c r="D216" s="7" t="s">
        <v>331</v>
      </c>
      <c r="E216" s="106"/>
      <c r="F216" s="45" t="s">
        <v>132</v>
      </c>
      <c r="G216" s="40">
        <v>40</v>
      </c>
      <c r="H216" s="40">
        <v>620</v>
      </c>
      <c r="I216" s="40">
        <f t="shared" si="195"/>
        <v>24800</v>
      </c>
      <c r="J216" s="106"/>
      <c r="K216" s="40">
        <v>45</v>
      </c>
      <c r="L216" s="40">
        <f t="shared" si="196"/>
        <v>27900</v>
      </c>
      <c r="M216" s="106"/>
      <c r="N216" s="40">
        <v>45</v>
      </c>
      <c r="O216" s="40">
        <f t="shared" si="197"/>
        <v>27900</v>
      </c>
      <c r="P216" s="106"/>
      <c r="Q216" s="40">
        <v>37</v>
      </c>
      <c r="R216" s="40">
        <f t="shared" si="198"/>
        <v>22940</v>
      </c>
      <c r="S216" s="106"/>
      <c r="T216" s="40">
        <v>0</v>
      </c>
      <c r="U216" s="40">
        <f t="shared" si="199"/>
        <v>0</v>
      </c>
      <c r="V216" s="40">
        <f t="shared" si="200"/>
        <v>103540</v>
      </c>
      <c r="W216" s="40">
        <v>0</v>
      </c>
      <c r="X216" s="40">
        <f t="shared" si="201"/>
        <v>103540</v>
      </c>
      <c r="Y216" s="417"/>
    </row>
    <row r="217" spans="1:25">
      <c r="A217" s="7" t="s">
        <v>499</v>
      </c>
      <c r="B217" s="7">
        <v>86110</v>
      </c>
      <c r="C217" s="7" t="s">
        <v>488</v>
      </c>
      <c r="D217" s="7" t="s">
        <v>250</v>
      </c>
      <c r="E217" s="106"/>
      <c r="F217" s="45" t="s">
        <v>246</v>
      </c>
      <c r="G217" s="40">
        <v>1</v>
      </c>
      <c r="H217" s="40">
        <v>2000</v>
      </c>
      <c r="I217" s="40">
        <f>G217*H217</f>
        <v>2000</v>
      </c>
      <c r="J217" s="106"/>
      <c r="K217" s="40">
        <v>1</v>
      </c>
      <c r="L217" s="40">
        <f>K217*H217</f>
        <v>2000</v>
      </c>
      <c r="M217" s="106"/>
      <c r="N217" s="40">
        <v>1</v>
      </c>
      <c r="O217" s="40">
        <f>N217*H217</f>
        <v>2000</v>
      </c>
      <c r="P217" s="106"/>
      <c r="Q217" s="40">
        <v>1</v>
      </c>
      <c r="R217" s="40">
        <f>Q217*H217</f>
        <v>2000</v>
      </c>
      <c r="S217" s="106"/>
      <c r="T217" s="40">
        <v>0</v>
      </c>
      <c r="U217" s="40">
        <f>T217*H217</f>
        <v>0</v>
      </c>
      <c r="V217" s="40">
        <f>SUM(R217,O217,L217,I217,U217)</f>
        <v>8000</v>
      </c>
      <c r="W217" s="40">
        <v>0</v>
      </c>
      <c r="X217" s="40">
        <f>V217+W217</f>
        <v>8000</v>
      </c>
    </row>
    <row r="218" spans="1:25">
      <c r="A218" s="37"/>
      <c r="B218" s="37"/>
      <c r="C218" s="37"/>
      <c r="D218" s="37" t="s">
        <v>332</v>
      </c>
      <c r="E218" s="112"/>
      <c r="F218" s="42"/>
      <c r="G218" s="44"/>
      <c r="H218" s="44"/>
      <c r="I218" s="44">
        <f>SUM(I215:I217)</f>
        <v>60300</v>
      </c>
      <c r="J218" s="115"/>
      <c r="K218" s="44"/>
      <c r="L218" s="44">
        <f>SUM(L215:L217)</f>
        <v>96900</v>
      </c>
      <c r="M218" s="115"/>
      <c r="N218" s="44"/>
      <c r="O218" s="44">
        <f>SUM(O215:O217)</f>
        <v>96900</v>
      </c>
      <c r="P218" s="115"/>
      <c r="Q218" s="44"/>
      <c r="R218" s="44">
        <f>SUM(R215:R217)</f>
        <v>58440</v>
      </c>
      <c r="S218" s="115"/>
      <c r="T218" s="44"/>
      <c r="U218" s="44">
        <f>SUM(U215:U217)</f>
        <v>0</v>
      </c>
      <c r="V218" s="44">
        <f>SUM(V215:V217)</f>
        <v>312540</v>
      </c>
      <c r="W218" s="44">
        <f>SUM(W215:W217)</f>
        <v>0</v>
      </c>
      <c r="X218" s="44">
        <f>SUM(X215:X217)</f>
        <v>312540</v>
      </c>
    </row>
    <row r="219" spans="1:25">
      <c r="A219" s="90"/>
      <c r="B219" s="90"/>
      <c r="C219" s="90"/>
      <c r="D219" s="90"/>
      <c r="E219" s="113"/>
      <c r="F219" s="67"/>
      <c r="G219" s="54"/>
      <c r="H219" s="54"/>
      <c r="I219" s="54"/>
      <c r="J219" s="113"/>
      <c r="K219" s="54"/>
      <c r="L219" s="54"/>
      <c r="M219" s="113"/>
      <c r="N219" s="54"/>
      <c r="O219" s="54"/>
      <c r="P219" s="113"/>
      <c r="Q219" s="54"/>
      <c r="R219" s="54"/>
      <c r="S219" s="113"/>
      <c r="T219" s="54"/>
      <c r="U219" s="54"/>
      <c r="V219" s="54"/>
      <c r="W219" s="54"/>
      <c r="X219" s="54"/>
    </row>
    <row r="220" spans="1:25">
      <c r="A220" s="37"/>
      <c r="B220" s="37"/>
      <c r="C220" s="37"/>
      <c r="D220" s="37" t="s">
        <v>333</v>
      </c>
      <c r="E220" s="112"/>
      <c r="F220" s="42"/>
      <c r="G220" s="43"/>
      <c r="H220" s="43"/>
      <c r="I220" s="43"/>
      <c r="J220" s="112"/>
      <c r="K220" s="43"/>
      <c r="L220" s="43"/>
      <c r="M220" s="112"/>
      <c r="N220" s="43"/>
      <c r="O220" s="43"/>
      <c r="P220" s="112"/>
      <c r="Q220" s="43"/>
      <c r="R220" s="43"/>
      <c r="S220" s="112"/>
      <c r="T220" s="43"/>
      <c r="U220" s="43"/>
      <c r="V220" s="43"/>
      <c r="W220" s="43"/>
      <c r="X220" s="43"/>
    </row>
    <row r="221" spans="1:25">
      <c r="A221" s="7" t="s">
        <v>516</v>
      </c>
      <c r="B221" s="7">
        <v>89400</v>
      </c>
      <c r="C221" s="7" t="s">
        <v>488</v>
      </c>
      <c r="D221" s="7" t="s">
        <v>334</v>
      </c>
      <c r="F221" s="7" t="s">
        <v>147</v>
      </c>
      <c r="G221" s="40">
        <v>6</v>
      </c>
      <c r="H221" s="40">
        <v>340</v>
      </c>
      <c r="I221" s="40">
        <f>G221*H221</f>
        <v>2040</v>
      </c>
      <c r="J221" s="40"/>
      <c r="K221" s="40">
        <f>K$54</f>
        <v>12</v>
      </c>
      <c r="L221" s="40">
        <f>H221*K221*$E$6</f>
        <v>4284</v>
      </c>
      <c r="M221" s="108"/>
      <c r="N221" s="40">
        <f>N$54</f>
        <v>12</v>
      </c>
      <c r="O221" s="40">
        <f>H221*N221*$E$6*$E$6</f>
        <v>4498.2</v>
      </c>
      <c r="P221" s="108"/>
      <c r="Q221" s="40">
        <f>Q$54</f>
        <v>12</v>
      </c>
      <c r="R221" s="40">
        <f>H221*Q221*$E$6*$E$6*$E$6</f>
        <v>4723.1099999999997</v>
      </c>
      <c r="S221" s="108"/>
      <c r="T221" s="40">
        <f>T$54</f>
        <v>0</v>
      </c>
      <c r="U221" s="40">
        <f>H221*T221*$E$6*$E$6*$E$6*$E$6</f>
        <v>0</v>
      </c>
      <c r="V221" s="40">
        <f>SUM(R221,O221,L221,I221,U221)</f>
        <v>15545.31</v>
      </c>
      <c r="W221" s="40" t="s">
        <v>226</v>
      </c>
      <c r="X221" s="40">
        <f>SUM(V221:W221)</f>
        <v>15545.31</v>
      </c>
    </row>
    <row r="222" spans="1:25">
      <c r="A222" s="37"/>
      <c r="B222" s="37"/>
      <c r="C222" s="37"/>
      <c r="D222" s="37" t="s">
        <v>335</v>
      </c>
      <c r="E222" s="112"/>
      <c r="F222" s="42"/>
      <c r="G222" s="43"/>
      <c r="H222" s="44"/>
      <c r="I222" s="44">
        <f>SUM(I221:I221)</f>
        <v>2040</v>
      </c>
      <c r="J222" s="115"/>
      <c r="K222" s="44"/>
      <c r="L222" s="44">
        <f>SUM(L221:L221)</f>
        <v>4284</v>
      </c>
      <c r="M222" s="115"/>
      <c r="N222" s="44"/>
      <c r="O222" s="44">
        <f>SUM(O221:O221)</f>
        <v>4498.2</v>
      </c>
      <c r="P222" s="115"/>
      <c r="Q222" s="44"/>
      <c r="R222" s="44">
        <f>SUM(R221:R221)</f>
        <v>4723.1099999999997</v>
      </c>
      <c r="S222" s="115"/>
      <c r="T222" s="44"/>
      <c r="U222" s="44">
        <f>SUM(U221:U221)</f>
        <v>0</v>
      </c>
      <c r="V222" s="44">
        <f>SUM(V221:V221)</f>
        <v>15545.31</v>
      </c>
      <c r="W222" s="44">
        <f>SUM(W221:W221)</f>
        <v>0</v>
      </c>
      <c r="X222" s="44">
        <f>SUM(X221:X221)</f>
        <v>15545.31</v>
      </c>
    </row>
    <row r="223" spans="1:25">
      <c r="E223" s="113"/>
      <c r="F223" s="67"/>
      <c r="G223" s="54"/>
      <c r="H223" s="54"/>
      <c r="I223" s="54"/>
      <c r="J223" s="113"/>
      <c r="K223" s="54"/>
      <c r="L223" s="54"/>
      <c r="M223" s="113"/>
      <c r="N223" s="54"/>
      <c r="O223" s="54"/>
      <c r="P223" s="113"/>
      <c r="Q223" s="54"/>
      <c r="R223" s="54"/>
      <c r="S223" s="113"/>
      <c r="T223" s="54"/>
      <c r="U223" s="54"/>
      <c r="V223" s="54"/>
      <c r="W223" s="54"/>
      <c r="X223" s="54"/>
    </row>
    <row r="224" spans="1:25">
      <c r="A224" s="37"/>
      <c r="B224" s="37"/>
      <c r="C224" s="37"/>
      <c r="D224" s="37" t="s">
        <v>336</v>
      </c>
      <c r="E224" s="112"/>
      <c r="F224" s="42"/>
      <c r="G224" s="43"/>
      <c r="H224" s="43"/>
      <c r="I224" s="43"/>
      <c r="J224" s="112"/>
      <c r="K224" s="43"/>
      <c r="L224" s="43"/>
      <c r="M224" s="112"/>
      <c r="N224" s="43"/>
      <c r="O224" s="43"/>
      <c r="P224" s="112"/>
      <c r="Q224" s="43"/>
      <c r="R224" s="43"/>
      <c r="S224" s="112"/>
      <c r="T224" s="43"/>
      <c r="U224" s="43"/>
      <c r="V224" s="43"/>
      <c r="W224" s="43"/>
      <c r="X224" s="43"/>
    </row>
    <row r="225" spans="1:27">
      <c r="A225" s="7" t="s">
        <v>503</v>
      </c>
      <c r="B225" s="7">
        <v>86000</v>
      </c>
      <c r="C225" s="7" t="s">
        <v>488</v>
      </c>
      <c r="D225" s="7" t="s">
        <v>311</v>
      </c>
      <c r="E225" s="106"/>
      <c r="F225" s="7" t="s">
        <v>147</v>
      </c>
      <c r="G225" s="40">
        <f>G$54</f>
        <v>3</v>
      </c>
      <c r="H225" s="40">
        <v>60</v>
      </c>
      <c r="I225" s="40">
        <f>G225*H225</f>
        <v>180</v>
      </c>
      <c r="J225" s="40"/>
      <c r="K225" s="40">
        <f>K$54</f>
        <v>12</v>
      </c>
      <c r="L225" s="40">
        <f t="shared" ref="L225:L226" si="202">H225*K225*$E$6</f>
        <v>756</v>
      </c>
      <c r="M225" s="106"/>
      <c r="N225" s="40">
        <f>N$54</f>
        <v>12</v>
      </c>
      <c r="O225" s="40">
        <f t="shared" ref="O225:O226" si="203">H225*N225*$E$6*$E$6</f>
        <v>793.80000000000007</v>
      </c>
      <c r="P225" s="106"/>
      <c r="Q225" s="40">
        <f>Q$54</f>
        <v>12</v>
      </c>
      <c r="R225" s="40">
        <f t="shared" ref="R225:R226" si="204">H225*Q225*$E$6*$E$6*$E$6</f>
        <v>833.49000000000012</v>
      </c>
      <c r="S225" s="106"/>
      <c r="T225" s="40">
        <f>T$54</f>
        <v>0</v>
      </c>
      <c r="U225" s="40">
        <f t="shared" ref="U225" si="205">H225*T225*$E$6*$E$6*$E$6*$E$6</f>
        <v>0</v>
      </c>
      <c r="V225" s="40">
        <f t="shared" ref="V225:V226" si="206">SUM(R225,O225,L225,I225,U225)</f>
        <v>2563.29</v>
      </c>
      <c r="W225" s="40" t="s">
        <v>226</v>
      </c>
      <c r="X225" s="40">
        <f t="shared" ref="X225" si="207">SUM(V225:W225)</f>
        <v>2563.29</v>
      </c>
    </row>
    <row r="226" spans="1:27">
      <c r="A226" s="7" t="s">
        <v>514</v>
      </c>
      <c r="B226" s="7">
        <v>86000</v>
      </c>
      <c r="C226" s="7" t="s">
        <v>488</v>
      </c>
      <c r="D226" s="7" t="s">
        <v>312</v>
      </c>
      <c r="F226" s="7" t="s">
        <v>147</v>
      </c>
      <c r="G226" s="40">
        <v>6</v>
      </c>
      <c r="H226" s="40">
        <v>300</v>
      </c>
      <c r="I226" s="40">
        <f t="shared" ref="I226" si="208">G226*H226</f>
        <v>1800</v>
      </c>
      <c r="J226" s="108"/>
      <c r="K226" s="40">
        <v>12</v>
      </c>
      <c r="L226" s="40">
        <f t="shared" si="202"/>
        <v>3780</v>
      </c>
      <c r="M226" s="108"/>
      <c r="N226" s="40">
        <v>12</v>
      </c>
      <c r="O226" s="40">
        <f t="shared" si="203"/>
        <v>3969</v>
      </c>
      <c r="P226" s="108"/>
      <c r="Q226" s="40">
        <v>12</v>
      </c>
      <c r="R226" s="40">
        <f t="shared" si="204"/>
        <v>4167.45</v>
      </c>
      <c r="S226" s="108"/>
      <c r="T226" s="40">
        <v>0</v>
      </c>
      <c r="U226" s="40">
        <f t="shared" ref="U226" si="209">T226*H226*$E$6*$E$6*$E$6*$E$6</f>
        <v>0</v>
      </c>
      <c r="V226" s="40">
        <f t="shared" si="206"/>
        <v>13716.45</v>
      </c>
      <c r="W226" s="40" t="s">
        <v>226</v>
      </c>
      <c r="X226" s="40">
        <f t="shared" ref="X226" si="210">SUM(V226:W226)</f>
        <v>13716.45</v>
      </c>
      <c r="Y226" s="417"/>
    </row>
    <row r="227" spans="1:27">
      <c r="A227" s="7" t="s">
        <v>507</v>
      </c>
      <c r="B227" s="7">
        <v>86040</v>
      </c>
      <c r="C227" s="7" t="s">
        <v>488</v>
      </c>
      <c r="D227" s="7" t="s">
        <v>337</v>
      </c>
      <c r="F227" s="7" t="s">
        <v>139</v>
      </c>
      <c r="G227" s="40">
        <f>6*2</f>
        <v>12</v>
      </c>
      <c r="H227" s="40">
        <v>250</v>
      </c>
      <c r="I227" s="40">
        <f t="shared" ref="I227:I231" si="211">G227*H227</f>
        <v>3000</v>
      </c>
      <c r="J227" s="108"/>
      <c r="K227" s="40">
        <f>12*2</f>
        <v>24</v>
      </c>
      <c r="L227" s="40">
        <f t="shared" ref="L227:L233" si="212">H227*K227*$E$6</f>
        <v>6300</v>
      </c>
      <c r="M227" s="108"/>
      <c r="N227" s="40">
        <f>12*2</f>
        <v>24</v>
      </c>
      <c r="O227" s="40">
        <f t="shared" ref="O227:O232" si="213">H227*N227*$E$6*$E$6</f>
        <v>6615</v>
      </c>
      <c r="P227" s="108"/>
      <c r="Q227" s="40">
        <f>12*2</f>
        <v>24</v>
      </c>
      <c r="R227" s="40">
        <f t="shared" ref="R227:R232" si="214">H227*Q227*$E$6*$E$6*$E$6</f>
        <v>6945.75</v>
      </c>
      <c r="S227" s="108"/>
      <c r="T227" s="40">
        <v>0</v>
      </c>
      <c r="U227" s="40">
        <f t="shared" ref="U227:U232" si="215">T227*H227*$E$6*$E$6*$E$6*$E$6</f>
        <v>0</v>
      </c>
      <c r="V227" s="40">
        <f t="shared" ref="V227:V231" si="216">SUM(R227,O227,L227,I227,U227)</f>
        <v>22860.75</v>
      </c>
      <c r="W227" s="40" t="s">
        <v>226</v>
      </c>
      <c r="X227" s="40">
        <f t="shared" ref="X227:X231" si="217">SUM(V227:W227)</f>
        <v>22860.75</v>
      </c>
    </row>
    <row r="228" spans="1:27">
      <c r="A228" s="7" t="s">
        <v>507</v>
      </c>
      <c r="B228" s="7">
        <v>86000</v>
      </c>
      <c r="C228" s="7" t="s">
        <v>488</v>
      </c>
      <c r="D228" s="7" t="s">
        <v>338</v>
      </c>
      <c r="F228" s="7" t="s">
        <v>139</v>
      </c>
      <c r="G228" s="40">
        <f>G227</f>
        <v>12</v>
      </c>
      <c r="H228" s="40">
        <v>30</v>
      </c>
      <c r="I228" s="40">
        <f t="shared" si="211"/>
        <v>360</v>
      </c>
      <c r="J228" s="108"/>
      <c r="K228" s="40">
        <f>K227</f>
        <v>24</v>
      </c>
      <c r="L228" s="40">
        <f t="shared" si="212"/>
        <v>756</v>
      </c>
      <c r="M228" s="108"/>
      <c r="N228" s="40">
        <f>N227</f>
        <v>24</v>
      </c>
      <c r="O228" s="40">
        <f t="shared" si="213"/>
        <v>793.80000000000007</v>
      </c>
      <c r="P228" s="108"/>
      <c r="Q228" s="40">
        <f>Q227</f>
        <v>24</v>
      </c>
      <c r="R228" s="40">
        <f t="shared" si="214"/>
        <v>833.49000000000012</v>
      </c>
      <c r="S228" s="108"/>
      <c r="T228" s="40">
        <v>0</v>
      </c>
      <c r="U228" s="40">
        <f t="shared" si="215"/>
        <v>0</v>
      </c>
      <c r="V228" s="40">
        <f t="shared" si="216"/>
        <v>2743.29</v>
      </c>
      <c r="W228" s="40" t="s">
        <v>226</v>
      </c>
      <c r="X228" s="40">
        <f t="shared" si="217"/>
        <v>2743.29</v>
      </c>
      <c r="AA228" s="417"/>
    </row>
    <row r="229" spans="1:27" ht="25.2">
      <c r="A229" s="7" t="s">
        <v>507</v>
      </c>
      <c r="B229" s="864" t="s">
        <v>506</v>
      </c>
      <c r="C229" s="7" t="s">
        <v>488</v>
      </c>
      <c r="D229" s="7" t="s">
        <v>339</v>
      </c>
      <c r="F229" s="7" t="s">
        <v>132</v>
      </c>
      <c r="G229" s="40">
        <f>3*G228</f>
        <v>36</v>
      </c>
      <c r="H229" s="40">
        <f>(131*50%)+80</f>
        <v>145.5</v>
      </c>
      <c r="I229" s="40">
        <f t="shared" si="211"/>
        <v>5238</v>
      </c>
      <c r="J229" s="108"/>
      <c r="K229" s="40">
        <f>3*K228</f>
        <v>72</v>
      </c>
      <c r="L229" s="40">
        <f t="shared" si="212"/>
        <v>10999.800000000001</v>
      </c>
      <c r="M229" s="108"/>
      <c r="N229" s="40">
        <f>3*N228</f>
        <v>72</v>
      </c>
      <c r="O229" s="40">
        <f t="shared" si="213"/>
        <v>11549.79</v>
      </c>
      <c r="P229" s="108"/>
      <c r="Q229" s="40">
        <f>3*Q228</f>
        <v>72</v>
      </c>
      <c r="R229" s="40">
        <f t="shared" si="214"/>
        <v>12127.279500000001</v>
      </c>
      <c r="S229" s="108"/>
      <c r="T229" s="40">
        <f>4*T228</f>
        <v>0</v>
      </c>
      <c r="U229" s="40">
        <f t="shared" si="215"/>
        <v>0</v>
      </c>
      <c r="V229" s="40">
        <f t="shared" si="216"/>
        <v>39914.869500000001</v>
      </c>
      <c r="W229" s="40" t="s">
        <v>226</v>
      </c>
      <c r="X229" s="40">
        <f t="shared" si="217"/>
        <v>39914.869500000001</v>
      </c>
    </row>
    <row r="230" spans="1:27" ht="25.2">
      <c r="A230" s="7" t="s">
        <v>521</v>
      </c>
      <c r="B230" s="7">
        <v>86040</v>
      </c>
      <c r="C230" s="7" t="s">
        <v>488</v>
      </c>
      <c r="D230" s="7" t="s">
        <v>340</v>
      </c>
      <c r="F230" s="7" t="s">
        <v>139</v>
      </c>
      <c r="G230" s="40">
        <v>0</v>
      </c>
      <c r="H230" s="40">
        <f>50%*1800</f>
        <v>900</v>
      </c>
      <c r="I230" s="40">
        <f t="shared" si="211"/>
        <v>0</v>
      </c>
      <c r="J230" s="108"/>
      <c r="K230" s="40">
        <v>10</v>
      </c>
      <c r="L230" s="40">
        <f t="shared" si="212"/>
        <v>9450</v>
      </c>
      <c r="M230" s="108"/>
      <c r="N230" s="40">
        <v>10</v>
      </c>
      <c r="O230" s="40">
        <f t="shared" si="213"/>
        <v>9922.5</v>
      </c>
      <c r="P230" s="108"/>
      <c r="Q230" s="40">
        <v>0</v>
      </c>
      <c r="R230" s="40">
        <f t="shared" si="214"/>
        <v>0</v>
      </c>
      <c r="S230" s="108"/>
      <c r="T230" s="40">
        <v>0</v>
      </c>
      <c r="U230" s="40">
        <f t="shared" si="215"/>
        <v>0</v>
      </c>
      <c r="V230" s="40">
        <f t="shared" si="216"/>
        <v>19372.5</v>
      </c>
      <c r="W230" s="40" t="s">
        <v>226</v>
      </c>
      <c r="X230" s="40">
        <f t="shared" si="217"/>
        <v>19372.5</v>
      </c>
      <c r="Z230" s="417"/>
    </row>
    <row r="231" spans="1:27" ht="25.2">
      <c r="A231" s="7" t="s">
        <v>521</v>
      </c>
      <c r="B231" s="864" t="s">
        <v>506</v>
      </c>
      <c r="C231" s="7" t="s">
        <v>488</v>
      </c>
      <c r="D231" s="7" t="s">
        <v>341</v>
      </c>
      <c r="F231" s="7" t="s">
        <v>132</v>
      </c>
      <c r="G231" s="40">
        <f>G230*7</f>
        <v>0</v>
      </c>
      <c r="H231" s="40">
        <f xml:space="preserve"> 50%*(180 + (0.9*145))</f>
        <v>155.25</v>
      </c>
      <c r="I231" s="40">
        <f t="shared" si="211"/>
        <v>0</v>
      </c>
      <c r="J231" s="108"/>
      <c r="K231" s="40">
        <f>K230*7</f>
        <v>70</v>
      </c>
      <c r="L231" s="40">
        <f t="shared" si="212"/>
        <v>11410.875</v>
      </c>
      <c r="M231" s="108"/>
      <c r="N231" s="40">
        <f>N230*7</f>
        <v>70</v>
      </c>
      <c r="O231" s="40">
        <f t="shared" si="213"/>
        <v>11981.418750000001</v>
      </c>
      <c r="P231" s="108"/>
      <c r="Q231" s="40">
        <f>Q230*7</f>
        <v>0</v>
      </c>
      <c r="R231" s="40">
        <f t="shared" si="214"/>
        <v>0</v>
      </c>
      <c r="S231" s="108"/>
      <c r="T231" s="40">
        <f>T230*7</f>
        <v>0</v>
      </c>
      <c r="U231" s="40">
        <f t="shared" si="215"/>
        <v>0</v>
      </c>
      <c r="V231" s="40">
        <f t="shared" si="216"/>
        <v>23392.293750000001</v>
      </c>
      <c r="W231" s="40" t="s">
        <v>226</v>
      </c>
      <c r="X231" s="40">
        <f t="shared" si="217"/>
        <v>23392.293750000001</v>
      </c>
    </row>
    <row r="232" spans="1:27" s="443" customFormat="1">
      <c r="A232" s="7" t="s">
        <v>520</v>
      </c>
      <c r="B232" s="7">
        <v>86040</v>
      </c>
      <c r="C232" s="7" t="s">
        <v>488</v>
      </c>
      <c r="D232" s="7" t="s">
        <v>342</v>
      </c>
      <c r="E232" s="106"/>
      <c r="F232" s="7" t="s">
        <v>139</v>
      </c>
      <c r="G232" s="40">
        <v>1</v>
      </c>
      <c r="H232" s="40">
        <f>1800</f>
        <v>1800</v>
      </c>
      <c r="I232" s="40">
        <f t="shared" ref="I232:I234" si="218">G232*H232</f>
        <v>1800</v>
      </c>
      <c r="J232" s="106"/>
      <c r="K232" s="40">
        <v>2</v>
      </c>
      <c r="L232" s="40">
        <f t="shared" si="212"/>
        <v>3780</v>
      </c>
      <c r="M232" s="106"/>
      <c r="N232" s="40">
        <v>2</v>
      </c>
      <c r="O232" s="40">
        <f t="shared" si="213"/>
        <v>3969</v>
      </c>
      <c r="P232" s="106"/>
      <c r="Q232" s="40">
        <v>1</v>
      </c>
      <c r="R232" s="40">
        <f t="shared" si="214"/>
        <v>2083.7249999999999</v>
      </c>
      <c r="S232" s="106"/>
      <c r="T232" s="40">
        <v>0</v>
      </c>
      <c r="U232" s="40">
        <f t="shared" si="215"/>
        <v>0</v>
      </c>
      <c r="V232" s="40">
        <f t="shared" ref="V232" si="219">SUM(R232,O232,L232,I232,U232)</f>
        <v>11632.725</v>
      </c>
      <c r="W232" s="40" t="s">
        <v>226</v>
      </c>
      <c r="X232" s="40">
        <f t="shared" ref="X232:X234" si="220">SUM(V232:W232)</f>
        <v>11632.725</v>
      </c>
    </row>
    <row r="233" spans="1:27" s="443" customFormat="1" ht="25.2">
      <c r="A233" s="7" t="s">
        <v>520</v>
      </c>
      <c r="B233" s="864" t="s">
        <v>506</v>
      </c>
      <c r="C233" s="7" t="s">
        <v>488</v>
      </c>
      <c r="D233" s="7" t="s">
        <v>343</v>
      </c>
      <c r="E233" s="108"/>
      <c r="F233" s="7" t="s">
        <v>132</v>
      </c>
      <c r="G233" s="40">
        <f>G232*7</f>
        <v>7</v>
      </c>
      <c r="H233" s="40">
        <f xml:space="preserve"> (180 + (0.9*145))</f>
        <v>310.5</v>
      </c>
      <c r="I233" s="40">
        <f t="shared" si="218"/>
        <v>2173.5</v>
      </c>
      <c r="J233" s="108"/>
      <c r="K233" s="40">
        <f>K232*7</f>
        <v>14</v>
      </c>
      <c r="L233" s="40">
        <f t="shared" si="212"/>
        <v>4564.3500000000004</v>
      </c>
      <c r="M233" s="108"/>
      <c r="N233" s="40">
        <f>N232*7</f>
        <v>14</v>
      </c>
      <c r="O233" s="40">
        <f t="shared" ref="O233:O234" si="221">H233*N233*$E$6*$E$6</f>
        <v>4792.567500000001</v>
      </c>
      <c r="P233" s="108"/>
      <c r="Q233" s="40">
        <f>Q232*7</f>
        <v>7</v>
      </c>
      <c r="R233" s="40">
        <f t="shared" ref="R233:R234" si="222">H233*Q233*$E$6*$E$6*$E$6</f>
        <v>2516.0979375000006</v>
      </c>
      <c r="S233" s="108"/>
      <c r="T233" s="40">
        <f>T232*7</f>
        <v>0</v>
      </c>
      <c r="U233" s="40">
        <f>T233*H233*$E$6*$E$6*$E$6*$E$6</f>
        <v>0</v>
      </c>
      <c r="V233" s="40">
        <f t="shared" ref="V233:V234" si="223">SUM(R233,O233,L233,I233,U233)</f>
        <v>14046.515437500002</v>
      </c>
      <c r="W233" s="40" t="s">
        <v>226</v>
      </c>
      <c r="X233" s="40">
        <f t="shared" si="220"/>
        <v>14046.515437500002</v>
      </c>
    </row>
    <row r="234" spans="1:27" s="443" customFormat="1">
      <c r="A234" s="7" t="s">
        <v>520</v>
      </c>
      <c r="B234" s="7">
        <v>86000</v>
      </c>
      <c r="C234" s="7" t="s">
        <v>488</v>
      </c>
      <c r="D234" s="7" t="s">
        <v>344</v>
      </c>
      <c r="E234" s="108"/>
      <c r="F234" s="7" t="s">
        <v>139</v>
      </c>
      <c r="G234" s="40">
        <f>G232</f>
        <v>1</v>
      </c>
      <c r="H234" s="40">
        <f>150</f>
        <v>150</v>
      </c>
      <c r="I234" s="40">
        <f t="shared" si="218"/>
        <v>150</v>
      </c>
      <c r="J234" s="108"/>
      <c r="K234" s="40">
        <f>K232</f>
        <v>2</v>
      </c>
      <c r="L234" s="40">
        <f t="shared" ref="L234" si="224">H234*K234*$E$6</f>
        <v>315</v>
      </c>
      <c r="M234" s="108"/>
      <c r="N234" s="40">
        <f>N232</f>
        <v>2</v>
      </c>
      <c r="O234" s="40">
        <f t="shared" si="221"/>
        <v>330.75</v>
      </c>
      <c r="P234" s="108"/>
      <c r="Q234" s="40">
        <f>Q232</f>
        <v>1</v>
      </c>
      <c r="R234" s="40">
        <f t="shared" si="222"/>
        <v>173.64375000000001</v>
      </c>
      <c r="S234" s="108"/>
      <c r="T234" s="40">
        <f>T232</f>
        <v>0</v>
      </c>
      <c r="U234" s="40">
        <f>T234*H234*$E$6*$E$6*$E$6*$E$6</f>
        <v>0</v>
      </c>
      <c r="V234" s="40">
        <f t="shared" si="223"/>
        <v>969.39374999999995</v>
      </c>
      <c r="W234" s="40" t="s">
        <v>226</v>
      </c>
      <c r="X234" s="40">
        <f t="shared" si="220"/>
        <v>969.39374999999995</v>
      </c>
    </row>
    <row r="235" spans="1:27">
      <c r="A235" s="7" t="s">
        <v>520</v>
      </c>
      <c r="B235" s="864">
        <v>86050</v>
      </c>
      <c r="C235" s="7" t="s">
        <v>488</v>
      </c>
      <c r="D235" s="7" t="s">
        <v>345</v>
      </c>
      <c r="F235" s="7" t="s">
        <v>139</v>
      </c>
      <c r="G235" s="40">
        <f>G232</f>
        <v>1</v>
      </c>
      <c r="H235" s="40">
        <f>150</f>
        <v>150</v>
      </c>
      <c r="I235" s="40">
        <f>G235*H235</f>
        <v>150</v>
      </c>
      <c r="J235" s="108"/>
      <c r="K235" s="40">
        <f>K232</f>
        <v>2</v>
      </c>
      <c r="L235" s="40">
        <f>H235*K235*$E$6</f>
        <v>315</v>
      </c>
      <c r="M235" s="108"/>
      <c r="N235" s="40">
        <f>N232</f>
        <v>2</v>
      </c>
      <c r="O235" s="40">
        <f>H235*N235*$E$6*$E$6</f>
        <v>330.75</v>
      </c>
      <c r="P235" s="108"/>
      <c r="Q235" s="40">
        <f>Q232</f>
        <v>1</v>
      </c>
      <c r="R235" s="40">
        <f>H235*Q235*$E$6*$E$6*$E$6</f>
        <v>173.64375000000001</v>
      </c>
      <c r="S235" s="108"/>
      <c r="T235" s="40">
        <v>0</v>
      </c>
      <c r="U235" s="40">
        <f>T235*H235*$E$6*$E$6*$E$6*$E$6</f>
        <v>0</v>
      </c>
      <c r="V235" s="40">
        <f>SUM(R235,O235,L235,I235,U235)</f>
        <v>969.39374999999995</v>
      </c>
      <c r="W235" s="40" t="s">
        <v>226</v>
      </c>
      <c r="X235" s="40">
        <f>SUM(V235:W235)</f>
        <v>969.39374999999995</v>
      </c>
    </row>
    <row r="236" spans="1:27">
      <c r="A236" s="7" t="s">
        <v>520</v>
      </c>
      <c r="B236" s="864">
        <v>86050</v>
      </c>
      <c r="C236" s="7" t="s">
        <v>488</v>
      </c>
      <c r="D236" s="7" t="s">
        <v>346</v>
      </c>
      <c r="F236" s="7" t="s">
        <v>139</v>
      </c>
      <c r="G236" s="40">
        <f>G232</f>
        <v>1</v>
      </c>
      <c r="H236" s="40">
        <f>160</f>
        <v>160</v>
      </c>
      <c r="I236" s="40">
        <f>G236*H236</f>
        <v>160</v>
      </c>
      <c r="J236" s="108"/>
      <c r="K236" s="40">
        <f>K232</f>
        <v>2</v>
      </c>
      <c r="L236" s="40">
        <f>H236*K236*$E$6</f>
        <v>336</v>
      </c>
      <c r="M236" s="108"/>
      <c r="N236" s="40">
        <f>N232</f>
        <v>2</v>
      </c>
      <c r="O236" s="40">
        <f>H236*N236*$E$6*$E$6</f>
        <v>352.8</v>
      </c>
      <c r="P236" s="108"/>
      <c r="Q236" s="40">
        <f>Q232</f>
        <v>1</v>
      </c>
      <c r="R236" s="40">
        <f>H236*Q236*$E$6*$E$6*$E$6</f>
        <v>185.22000000000003</v>
      </c>
      <c r="S236" s="108"/>
      <c r="T236" s="40">
        <f>T232</f>
        <v>0</v>
      </c>
      <c r="U236" s="40">
        <f>T236*H236*$E$6*$E$6*$E$6*$E$6</f>
        <v>0</v>
      </c>
      <c r="V236" s="40">
        <f>SUM(R236,O236,L236,I236,U236)</f>
        <v>1034.02</v>
      </c>
      <c r="W236" s="40"/>
      <c r="X236" s="40">
        <f>SUM(V236:W236)</f>
        <v>1034.02</v>
      </c>
    </row>
    <row r="237" spans="1:27">
      <c r="A237" s="37"/>
      <c r="B237" s="37"/>
      <c r="C237" s="37"/>
      <c r="D237" s="37" t="s">
        <v>347</v>
      </c>
      <c r="E237" s="112"/>
      <c r="F237" s="42"/>
      <c r="G237" s="43"/>
      <c r="H237" s="44"/>
      <c r="I237" s="44">
        <f>SUM(I225:I236)</f>
        <v>15011.5</v>
      </c>
      <c r="J237" s="112"/>
      <c r="K237" s="44"/>
      <c r="L237" s="44">
        <f>SUM(L225:L236)</f>
        <v>52763.025000000001</v>
      </c>
      <c r="M237" s="112"/>
      <c r="N237" s="44"/>
      <c r="O237" s="44">
        <f>SUM(O225:O236)</f>
        <v>55401.176250000004</v>
      </c>
      <c r="P237" s="112"/>
      <c r="Q237" s="44"/>
      <c r="R237" s="44">
        <f>SUM(R225:R236)</f>
        <v>30039.789937499998</v>
      </c>
      <c r="S237" s="112"/>
      <c r="T237" s="44"/>
      <c r="U237" s="44">
        <f>SUM(U225:U236)</f>
        <v>0</v>
      </c>
      <c r="V237" s="44">
        <f>SUM(V225:V236)</f>
        <v>153215.49118749995</v>
      </c>
      <c r="W237" s="44">
        <f>SUM(W225:W236)</f>
        <v>0</v>
      </c>
      <c r="X237" s="44">
        <f>SUM(X225:X236)</f>
        <v>153215.49118749995</v>
      </c>
    </row>
    <row r="238" spans="1:27">
      <c r="A238" s="90"/>
      <c r="B238" s="90"/>
      <c r="C238" s="90"/>
      <c r="D238" s="90"/>
      <c r="E238" s="113"/>
      <c r="F238" s="67"/>
      <c r="G238" s="54"/>
      <c r="H238" s="54"/>
      <c r="I238" s="54"/>
      <c r="J238" s="113"/>
      <c r="K238" s="54"/>
      <c r="L238" s="54"/>
      <c r="M238" s="113"/>
      <c r="N238" s="54"/>
      <c r="O238" s="54"/>
      <c r="P238" s="113"/>
      <c r="Q238" s="54"/>
      <c r="R238" s="54"/>
      <c r="S238" s="113"/>
      <c r="T238" s="54"/>
      <c r="U238" s="54"/>
      <c r="V238" s="54"/>
      <c r="W238" s="54"/>
      <c r="X238" s="54"/>
    </row>
    <row r="239" spans="1:27">
      <c r="A239" s="37"/>
      <c r="B239" s="37"/>
      <c r="C239" s="37"/>
      <c r="D239" s="37" t="s">
        <v>348</v>
      </c>
      <c r="E239" s="112"/>
      <c r="F239" s="42"/>
      <c r="G239" s="43"/>
      <c r="H239" s="43"/>
      <c r="I239" s="43"/>
      <c r="J239" s="112"/>
      <c r="K239" s="43"/>
      <c r="L239" s="43"/>
      <c r="M239" s="112"/>
      <c r="N239" s="43"/>
      <c r="O239" s="43"/>
      <c r="P239" s="112"/>
      <c r="Q239" s="43"/>
      <c r="R239" s="43"/>
      <c r="S239" s="112"/>
      <c r="T239" s="43"/>
      <c r="U239" s="43"/>
      <c r="V239" s="43"/>
      <c r="W239" s="43"/>
      <c r="X239" s="43"/>
    </row>
    <row r="240" spans="1:27" hidden="1">
      <c r="A240" s="77"/>
      <c r="B240" s="77"/>
      <c r="C240" s="77"/>
      <c r="D240" s="77" t="s">
        <v>102</v>
      </c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</row>
    <row r="241" spans="1:27" hidden="1">
      <c r="D241" s="7" t="s">
        <v>349</v>
      </c>
      <c r="E241" s="106"/>
      <c r="F241" s="46" t="s">
        <v>122</v>
      </c>
      <c r="G241" s="40"/>
      <c r="H241" s="40"/>
      <c r="I241" s="40"/>
      <c r="J241" s="106"/>
      <c r="K241" s="40"/>
      <c r="L241" s="40"/>
      <c r="M241" s="106"/>
      <c r="N241" s="40">
        <v>0</v>
      </c>
      <c r="O241" s="40">
        <v>0</v>
      </c>
      <c r="P241" s="106"/>
      <c r="Q241" s="40">
        <v>0</v>
      </c>
      <c r="R241" s="40">
        <v>0</v>
      </c>
      <c r="S241" s="106"/>
      <c r="T241" s="40">
        <v>0</v>
      </c>
      <c r="U241" s="40">
        <v>0</v>
      </c>
      <c r="V241" s="40">
        <f>SUM(R241,O241,L241,I241,U241)</f>
        <v>0</v>
      </c>
      <c r="W241" s="40">
        <v>0</v>
      </c>
      <c r="X241" s="40">
        <f>V241+W241</f>
        <v>0</v>
      </c>
    </row>
    <row r="242" spans="1:27">
      <c r="A242" s="77"/>
      <c r="B242" s="77"/>
      <c r="C242" s="77"/>
      <c r="D242" s="77" t="s">
        <v>123</v>
      </c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</row>
    <row r="243" spans="1:27">
      <c r="A243" s="7" t="s">
        <v>527</v>
      </c>
      <c r="B243" s="7">
        <v>87000</v>
      </c>
      <c r="C243" s="7" t="s">
        <v>488</v>
      </c>
      <c r="D243" s="7" t="s">
        <v>350</v>
      </c>
      <c r="F243" s="7" t="s">
        <v>150</v>
      </c>
      <c r="G243" s="40">
        <v>2</v>
      </c>
      <c r="H243" s="40">
        <f>(34*20)+1039</f>
        <v>1719</v>
      </c>
      <c r="I243" s="40">
        <f t="shared" ref="I243" si="225">G243*H243</f>
        <v>3438</v>
      </c>
      <c r="J243" s="108"/>
      <c r="K243" s="40">
        <v>0</v>
      </c>
      <c r="L243" s="40">
        <f t="shared" ref="L243" si="226">H243*K243</f>
        <v>0</v>
      </c>
      <c r="M243" s="108"/>
      <c r="N243" s="40">
        <v>0</v>
      </c>
      <c r="O243" s="40">
        <f t="shared" ref="O243" si="227">H243*N243</f>
        <v>0</v>
      </c>
      <c r="P243" s="108"/>
      <c r="Q243" s="40">
        <v>0</v>
      </c>
      <c r="R243" s="40">
        <f t="shared" ref="R243" si="228">H243*Q243</f>
        <v>0</v>
      </c>
      <c r="S243" s="108"/>
      <c r="T243" s="40">
        <v>0</v>
      </c>
      <c r="U243" s="40">
        <f t="shared" ref="U243" si="229">H243*T243</f>
        <v>0</v>
      </c>
      <c r="V243" s="40">
        <f t="shared" ref="V243" si="230">SUM(R243,O243,L243,I243,U243)</f>
        <v>3438</v>
      </c>
      <c r="W243" s="40" t="s">
        <v>226</v>
      </c>
      <c r="X243" s="40">
        <f t="shared" ref="X243" si="231">SUM(V243:W243)</f>
        <v>3438</v>
      </c>
    </row>
    <row r="244" spans="1:27">
      <c r="A244" s="7" t="s">
        <v>528</v>
      </c>
      <c r="B244" s="7">
        <v>87000</v>
      </c>
      <c r="C244" s="7" t="s">
        <v>488</v>
      </c>
      <c r="D244" s="7" t="s">
        <v>351</v>
      </c>
      <c r="F244" s="7" t="s">
        <v>150</v>
      </c>
      <c r="G244" s="40">
        <v>0</v>
      </c>
      <c r="H244" s="40">
        <f>(34*20)+1039</f>
        <v>1719</v>
      </c>
      <c r="I244" s="40">
        <f>G244*H244</f>
        <v>0</v>
      </c>
      <c r="J244" s="108"/>
      <c r="K244" s="40">
        <v>1</v>
      </c>
      <c r="L244" s="40">
        <f>H244*K244</f>
        <v>1719</v>
      </c>
      <c r="M244" s="108"/>
      <c r="N244" s="40">
        <v>1</v>
      </c>
      <c r="O244" s="40">
        <f>H244*N244</f>
        <v>1719</v>
      </c>
      <c r="P244" s="108"/>
      <c r="Q244" s="40">
        <v>0</v>
      </c>
      <c r="R244" s="40">
        <f>H244*Q244</f>
        <v>0</v>
      </c>
      <c r="S244" s="108"/>
      <c r="T244" s="40">
        <v>0</v>
      </c>
      <c r="U244" s="40">
        <f>H244*T244</f>
        <v>0</v>
      </c>
      <c r="V244" s="40">
        <f>SUM(R244,O244,L244,I244,U244)</f>
        <v>3438</v>
      </c>
      <c r="W244" s="40" t="s">
        <v>226</v>
      </c>
      <c r="X244" s="40">
        <f>SUM(V244:W244)</f>
        <v>3438</v>
      </c>
    </row>
    <row r="245" spans="1:27" ht="13.5" customHeight="1">
      <c r="A245" s="7" t="s">
        <v>525</v>
      </c>
      <c r="B245" s="7">
        <v>87000</v>
      </c>
      <c r="C245" s="7" t="s">
        <v>488</v>
      </c>
      <c r="D245" s="7" t="s">
        <v>352</v>
      </c>
      <c r="F245" s="7" t="s">
        <v>353</v>
      </c>
      <c r="G245" s="40">
        <v>0</v>
      </c>
      <c r="H245" s="40">
        <v>75000</v>
      </c>
      <c r="I245" s="40">
        <f>G245*H245</f>
        <v>0</v>
      </c>
      <c r="J245" s="108"/>
      <c r="K245" s="40">
        <v>1</v>
      </c>
      <c r="L245" s="40">
        <f>H245*K245</f>
        <v>75000</v>
      </c>
      <c r="M245" s="108"/>
      <c r="N245" s="40">
        <v>1</v>
      </c>
      <c r="O245" s="40">
        <f>H245*N245</f>
        <v>75000</v>
      </c>
      <c r="P245" s="108"/>
      <c r="Q245" s="40">
        <v>0</v>
      </c>
      <c r="R245" s="40">
        <f>H245*Q245</f>
        <v>0</v>
      </c>
      <c r="S245" s="108"/>
      <c r="T245" s="40">
        <v>0</v>
      </c>
      <c r="U245" s="40">
        <f>H245*T245</f>
        <v>0</v>
      </c>
      <c r="V245" s="40">
        <f>SUM(R245,O245,L245,I245,U245)</f>
        <v>150000</v>
      </c>
      <c r="W245" s="40" t="s">
        <v>226</v>
      </c>
      <c r="X245" s="40">
        <f>SUM(V245:W245)</f>
        <v>150000</v>
      </c>
      <c r="Y245" s="417"/>
    </row>
    <row r="246" spans="1:27">
      <c r="A246" s="7" t="s">
        <v>526</v>
      </c>
      <c r="B246" s="7">
        <v>87000</v>
      </c>
      <c r="C246" s="7" t="s">
        <v>488</v>
      </c>
      <c r="D246" s="7" t="s">
        <v>354</v>
      </c>
      <c r="F246" s="7" t="s">
        <v>150</v>
      </c>
      <c r="G246" s="40">
        <v>1</v>
      </c>
      <c r="H246" s="40">
        <f>(39*20)+1044</f>
        <v>1824</v>
      </c>
      <c r="I246" s="40">
        <f>G246*H246</f>
        <v>1824</v>
      </c>
      <c r="J246" s="108"/>
      <c r="K246" s="40">
        <v>0</v>
      </c>
      <c r="L246" s="40">
        <f>H246*K246</f>
        <v>0</v>
      </c>
      <c r="M246" s="108"/>
      <c r="N246" s="40">
        <v>0</v>
      </c>
      <c r="O246" s="40">
        <f>H246*N246</f>
        <v>0</v>
      </c>
      <c r="P246" s="108"/>
      <c r="Q246" s="40">
        <v>0</v>
      </c>
      <c r="R246" s="40">
        <f>H246*Q246</f>
        <v>0</v>
      </c>
      <c r="S246" s="108"/>
      <c r="T246" s="40">
        <v>0</v>
      </c>
      <c r="U246" s="40">
        <f>H246*T246</f>
        <v>0</v>
      </c>
      <c r="V246" s="40">
        <f>SUM(R246,O246,L246,I246,U246)</f>
        <v>1824</v>
      </c>
      <c r="W246" s="40" t="s">
        <v>226</v>
      </c>
      <c r="X246" s="40">
        <f>SUM(V246:W246)</f>
        <v>1824</v>
      </c>
    </row>
    <row r="247" spans="1:27" ht="25.2">
      <c r="A247" s="7" t="s">
        <v>530</v>
      </c>
      <c r="B247" s="7" t="s">
        <v>529</v>
      </c>
      <c r="C247" s="7" t="s">
        <v>488</v>
      </c>
      <c r="D247" s="7" t="s">
        <v>355</v>
      </c>
      <c r="F247" s="7" t="s">
        <v>116</v>
      </c>
      <c r="G247" s="40">
        <v>0</v>
      </c>
      <c r="H247" s="40">
        <f>(12*20)+(517)</f>
        <v>757</v>
      </c>
      <c r="I247" s="40">
        <f>G247*H247</f>
        <v>0</v>
      </c>
      <c r="J247" s="108"/>
      <c r="K247" s="40">
        <v>11</v>
      </c>
      <c r="L247" s="40">
        <f>H247*K247</f>
        <v>8327</v>
      </c>
      <c r="M247" s="108"/>
      <c r="N247" s="40">
        <v>12</v>
      </c>
      <c r="O247" s="40">
        <f>H247*N247</f>
        <v>9084</v>
      </c>
      <c r="P247" s="108"/>
      <c r="Q247" s="40">
        <v>0</v>
      </c>
      <c r="R247" s="40">
        <f>H247*Q247</f>
        <v>0</v>
      </c>
      <c r="S247" s="108"/>
      <c r="T247" s="40">
        <v>0</v>
      </c>
      <c r="U247" s="40">
        <f>H247*T247</f>
        <v>0</v>
      </c>
      <c r="V247" s="40">
        <f>SUM(R247,O247,L247,I247,U247)</f>
        <v>17411</v>
      </c>
      <c r="W247" s="40" t="s">
        <v>226</v>
      </c>
      <c r="X247" s="40">
        <f>SUM(V247:W247)</f>
        <v>17411</v>
      </c>
    </row>
    <row r="248" spans="1:27">
      <c r="A248" s="77"/>
      <c r="B248" s="77"/>
      <c r="C248" s="77"/>
      <c r="D248" s="77" t="s">
        <v>103</v>
      </c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</row>
    <row r="249" spans="1:27">
      <c r="A249" s="7" t="s">
        <v>523</v>
      </c>
      <c r="B249" s="7">
        <v>89000</v>
      </c>
      <c r="C249" s="7" t="s">
        <v>488</v>
      </c>
      <c r="D249" s="7" t="s">
        <v>356</v>
      </c>
      <c r="F249" s="7" t="s">
        <v>330</v>
      </c>
      <c r="G249" s="40">
        <v>0</v>
      </c>
      <c r="H249" s="40">
        <v>1300000</v>
      </c>
      <c r="I249" s="40">
        <f>G249*H249</f>
        <v>0</v>
      </c>
      <c r="J249" s="108"/>
      <c r="K249" s="434">
        <v>0.25</v>
      </c>
      <c r="L249" s="40">
        <f>H249*K249</f>
        <v>325000</v>
      </c>
      <c r="M249" s="108"/>
      <c r="N249" s="434">
        <v>0.5</v>
      </c>
      <c r="O249" s="40">
        <f>H249*N249</f>
        <v>650000</v>
      </c>
      <c r="P249" s="108"/>
      <c r="Q249" s="434">
        <v>0.25</v>
      </c>
      <c r="R249" s="40">
        <f>H249*Q249</f>
        <v>325000</v>
      </c>
      <c r="S249" s="108"/>
      <c r="T249" s="40">
        <v>0</v>
      </c>
      <c r="U249" s="40">
        <f>H249*T249</f>
        <v>0</v>
      </c>
      <c r="V249" s="40">
        <f t="shared" ref="V249" si="232">SUM(R249,O249,L249,I249,U249)</f>
        <v>1300000</v>
      </c>
      <c r="W249" s="40" t="s">
        <v>226</v>
      </c>
      <c r="X249" s="40">
        <f>SUM(V249:W249)</f>
        <v>1300000</v>
      </c>
    </row>
    <row r="250" spans="1:27">
      <c r="A250" s="7" t="s">
        <v>524</v>
      </c>
      <c r="B250" s="7">
        <v>89000</v>
      </c>
      <c r="C250" s="7" t="s">
        <v>488</v>
      </c>
      <c r="D250" s="7" t="s">
        <v>357</v>
      </c>
      <c r="F250" s="7" t="s">
        <v>103</v>
      </c>
      <c r="G250" s="40">
        <v>0</v>
      </c>
      <c r="H250" s="40">
        <v>13000</v>
      </c>
      <c r="I250" s="40">
        <f>G250*H250</f>
        <v>0</v>
      </c>
      <c r="J250" s="108"/>
      <c r="K250" s="40">
        <v>17</v>
      </c>
      <c r="L250" s="40">
        <f>H250*K250</f>
        <v>221000</v>
      </c>
      <c r="M250" s="108"/>
      <c r="N250" s="40">
        <v>17</v>
      </c>
      <c r="O250" s="40">
        <f>H250*N250</f>
        <v>221000</v>
      </c>
      <c r="P250" s="108"/>
      <c r="Q250" s="40">
        <v>0</v>
      </c>
      <c r="R250" s="40">
        <f>H250*Q250</f>
        <v>0</v>
      </c>
      <c r="S250" s="108"/>
      <c r="T250" s="40">
        <v>0</v>
      </c>
      <c r="U250" s="40">
        <f>H250*T250</f>
        <v>0</v>
      </c>
      <c r="V250" s="40">
        <f>SUM(R250,O250,L250,I250,U250)</f>
        <v>442000</v>
      </c>
      <c r="W250" s="40" t="s">
        <v>226</v>
      </c>
      <c r="X250" s="40">
        <f>SUM(V250:W250)</f>
        <v>442000</v>
      </c>
    </row>
    <row r="251" spans="1:27">
      <c r="A251" s="77"/>
      <c r="B251" s="77"/>
      <c r="C251" s="77"/>
      <c r="D251" s="77" t="s">
        <v>104</v>
      </c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</row>
    <row r="252" spans="1:27">
      <c r="A252" s="7" t="s">
        <v>522</v>
      </c>
      <c r="B252" s="7">
        <v>90450</v>
      </c>
      <c r="C252" s="7" t="s">
        <v>488</v>
      </c>
      <c r="D252" s="7" t="s">
        <v>358</v>
      </c>
      <c r="F252" s="7" t="s">
        <v>246</v>
      </c>
      <c r="G252" s="40">
        <v>0</v>
      </c>
      <c r="H252" s="40">
        <v>1000</v>
      </c>
      <c r="I252" s="40">
        <f>G252*H252</f>
        <v>0</v>
      </c>
      <c r="J252" s="108"/>
      <c r="K252" s="40">
        <v>1</v>
      </c>
      <c r="L252" s="40">
        <f>H252*K252</f>
        <v>1000</v>
      </c>
      <c r="M252" s="108"/>
      <c r="N252" s="40">
        <v>1</v>
      </c>
      <c r="O252" s="40">
        <f>H252*N252</f>
        <v>1000</v>
      </c>
      <c r="P252" s="108"/>
      <c r="Q252" s="40">
        <v>1</v>
      </c>
      <c r="R252" s="40">
        <f>H252*Q252</f>
        <v>1000</v>
      </c>
      <c r="S252" s="108"/>
      <c r="T252" s="40">
        <v>0</v>
      </c>
      <c r="U252" s="40">
        <f>H252*T252</f>
        <v>0</v>
      </c>
      <c r="V252" s="40">
        <f t="shared" ref="V252" si="233">SUM(R252,O252,L252,I252,U252)</f>
        <v>3000</v>
      </c>
      <c r="W252" s="40" t="s">
        <v>226</v>
      </c>
      <c r="X252" s="40">
        <f>SUM(V252:W252)</f>
        <v>3000</v>
      </c>
    </row>
    <row r="253" spans="1:27">
      <c r="A253" s="37"/>
      <c r="B253" s="37"/>
      <c r="C253" s="37"/>
      <c r="D253" s="37" t="s">
        <v>359</v>
      </c>
      <c r="E253" s="112"/>
      <c r="F253" s="42"/>
      <c r="G253" s="43"/>
      <c r="H253" s="44"/>
      <c r="I253" s="44">
        <f>SUM(I241:I252)</f>
        <v>5262</v>
      </c>
      <c r="J253" s="115"/>
      <c r="K253" s="44"/>
      <c r="L253" s="44">
        <f>SUM(L241:L252)</f>
        <v>632046</v>
      </c>
      <c r="M253" s="115"/>
      <c r="N253" s="44"/>
      <c r="O253" s="44">
        <f>SUM(O241:O252)</f>
        <v>957803</v>
      </c>
      <c r="P253" s="115"/>
      <c r="Q253" s="44"/>
      <c r="R253" s="44">
        <f>SUM(R241:R252)</f>
        <v>326000</v>
      </c>
      <c r="S253" s="115"/>
      <c r="T253" s="44"/>
      <c r="U253" s="44">
        <f>SUM(U241:U252)</f>
        <v>0</v>
      </c>
      <c r="V253" s="44">
        <f>SUM(V241:V252)</f>
        <v>1921111</v>
      </c>
      <c r="W253" s="44">
        <f>SUM(W241:W252)</f>
        <v>0</v>
      </c>
      <c r="X253" s="44">
        <f>SUM(X241:X252)</f>
        <v>1921111</v>
      </c>
    </row>
    <row r="254" spans="1:27">
      <c r="A254" s="90"/>
      <c r="B254" s="90"/>
      <c r="C254" s="90"/>
      <c r="D254" s="90"/>
      <c r="E254" s="113"/>
      <c r="F254" s="67"/>
      <c r="G254" s="54"/>
      <c r="H254" s="54"/>
      <c r="I254" s="54"/>
      <c r="J254" s="113"/>
      <c r="K254" s="54"/>
      <c r="L254" s="54"/>
      <c r="M254" s="113"/>
      <c r="N254" s="54"/>
      <c r="O254" s="54"/>
      <c r="P254" s="113"/>
      <c r="Q254" s="54"/>
      <c r="R254" s="54"/>
      <c r="S254" s="113"/>
      <c r="T254" s="54"/>
      <c r="U254" s="54"/>
      <c r="V254" s="54"/>
      <c r="W254" s="54"/>
      <c r="X254" s="54"/>
    </row>
    <row r="255" spans="1:27">
      <c r="A255" s="37"/>
      <c r="B255" s="37"/>
      <c r="C255" s="37"/>
      <c r="D255" s="37" t="s">
        <v>360</v>
      </c>
      <c r="E255" s="112"/>
      <c r="F255" s="42"/>
      <c r="G255" s="43"/>
      <c r="H255" s="43"/>
      <c r="I255" s="43"/>
      <c r="J255" s="112"/>
      <c r="K255" s="43"/>
      <c r="L255" s="43"/>
      <c r="M255" s="112"/>
      <c r="N255" s="43"/>
      <c r="O255" s="43"/>
      <c r="P255" s="112"/>
      <c r="Q255" s="43"/>
      <c r="R255" s="43"/>
      <c r="S255" s="112"/>
      <c r="T255" s="43"/>
      <c r="U255" s="43"/>
      <c r="V255" s="43"/>
      <c r="W255" s="43"/>
      <c r="X255" s="43"/>
    </row>
    <row r="256" spans="1:27">
      <c r="A256" s="41" t="s">
        <v>512</v>
      </c>
      <c r="B256" s="864">
        <v>96000</v>
      </c>
      <c r="C256" s="7" t="s">
        <v>488</v>
      </c>
      <c r="D256" s="7" t="s">
        <v>361</v>
      </c>
      <c r="E256" s="106"/>
      <c r="F256" s="45" t="s">
        <v>330</v>
      </c>
      <c r="G256" s="434">
        <f>G249</f>
        <v>0</v>
      </c>
      <c r="H256" s="40">
        <f>H249*20%</f>
        <v>260000</v>
      </c>
      <c r="I256" s="40">
        <v>0</v>
      </c>
      <c r="J256" s="106"/>
      <c r="K256" s="434">
        <f>K249</f>
        <v>0.25</v>
      </c>
      <c r="L256" s="40">
        <v>0</v>
      </c>
      <c r="M256" s="106"/>
      <c r="N256" s="434">
        <f>N249</f>
        <v>0.5</v>
      </c>
      <c r="O256" s="40">
        <v>0</v>
      </c>
      <c r="P256" s="106"/>
      <c r="Q256" s="434">
        <f>Q249</f>
        <v>0.25</v>
      </c>
      <c r="R256" s="40">
        <v>0</v>
      </c>
      <c r="S256" s="106"/>
      <c r="T256" s="434">
        <f>T249</f>
        <v>0</v>
      </c>
      <c r="U256" s="40">
        <v>0</v>
      </c>
      <c r="V256" s="40">
        <v>0</v>
      </c>
      <c r="W256" s="40">
        <f>(G256*H256)+(K256*H256)+(N256*H256)+(H256*Q256)+(T256*H256)</f>
        <v>260000</v>
      </c>
      <c r="X256" s="40">
        <f>V256+W256</f>
        <v>260000</v>
      </c>
      <c r="Z256" s="396"/>
      <c r="AA256" s="396"/>
    </row>
    <row r="257" spans="1:27" ht="25.2">
      <c r="A257" s="41" t="s">
        <v>512</v>
      </c>
      <c r="B257" s="864">
        <v>96000</v>
      </c>
      <c r="C257" s="7" t="s">
        <v>488</v>
      </c>
      <c r="D257" s="7" t="str">
        <f>D230</f>
        <v>Airfare - Roundtrip - USA to Nigeria - Buyer Conferences for American Farmers, Ranchers and Agricultural Professionals - 50% of Cost</v>
      </c>
      <c r="E257" s="106"/>
      <c r="F257" s="814" t="str">
        <f t="shared" ref="F257:H258" si="234">F230</f>
        <v>Trip</v>
      </c>
      <c r="G257" s="40">
        <f t="shared" si="234"/>
        <v>0</v>
      </c>
      <c r="H257" s="40">
        <f t="shared" si="234"/>
        <v>900</v>
      </c>
      <c r="I257" s="40">
        <v>0</v>
      </c>
      <c r="J257" s="106"/>
      <c r="K257" s="40">
        <f>K230</f>
        <v>10</v>
      </c>
      <c r="L257" s="40">
        <v>0</v>
      </c>
      <c r="M257" s="106"/>
      <c r="N257" s="40">
        <f>N230</f>
        <v>10</v>
      </c>
      <c r="O257" s="40">
        <v>0</v>
      </c>
      <c r="P257" s="106"/>
      <c r="Q257" s="40">
        <f>Q230</f>
        <v>0</v>
      </c>
      <c r="R257" s="40">
        <v>0</v>
      </c>
      <c r="S257" s="106"/>
      <c r="T257" s="40">
        <f>T230</f>
        <v>0</v>
      </c>
      <c r="U257" s="40">
        <v>0</v>
      </c>
      <c r="V257" s="40">
        <v>0</v>
      </c>
      <c r="W257" s="40">
        <f>((G257*H257)+(K257*H257)*$E$6)+((N257*H257)*$E$6*$E$6)+(H257*Q257)+(T257*H257)</f>
        <v>19372.5</v>
      </c>
      <c r="X257" s="40">
        <f>V257+W257</f>
        <v>19372.5</v>
      </c>
      <c r="Y257" s="417"/>
      <c r="Z257" s="396"/>
      <c r="AA257" s="396"/>
    </row>
    <row r="258" spans="1:27" ht="25.2">
      <c r="A258" s="41" t="s">
        <v>512</v>
      </c>
      <c r="B258" s="864">
        <v>96000</v>
      </c>
      <c r="C258" s="7" t="s">
        <v>488</v>
      </c>
      <c r="D258" s="7" t="str">
        <f>D231</f>
        <v>Lodging and M&amp;IE - Buyer Conferences for American Farmers, Ranchers and Agricultural Professionals - 50% of Cost</v>
      </c>
      <c r="E258" s="106"/>
      <c r="F258" s="814" t="str">
        <f t="shared" si="234"/>
        <v>Day</v>
      </c>
      <c r="G258" s="40">
        <f t="shared" si="234"/>
        <v>0</v>
      </c>
      <c r="H258" s="40">
        <f t="shared" si="234"/>
        <v>155.25</v>
      </c>
      <c r="I258" s="40">
        <v>0</v>
      </c>
      <c r="J258" s="106"/>
      <c r="K258" s="40">
        <f>K231</f>
        <v>70</v>
      </c>
      <c r="L258" s="40">
        <v>0</v>
      </c>
      <c r="M258" s="106"/>
      <c r="N258" s="40">
        <f>N231</f>
        <v>70</v>
      </c>
      <c r="O258" s="40">
        <v>0</v>
      </c>
      <c r="P258" s="106"/>
      <c r="Q258" s="40">
        <f>Q231</f>
        <v>0</v>
      </c>
      <c r="R258" s="40">
        <v>0</v>
      </c>
      <c r="S258" s="106"/>
      <c r="T258" s="40">
        <f>T231</f>
        <v>0</v>
      </c>
      <c r="U258" s="40">
        <v>0</v>
      </c>
      <c r="V258" s="40">
        <v>0</v>
      </c>
      <c r="W258" s="40">
        <f>((G258*H258)+(K258*H258)*$E$6)+((N258*H258)*$E$6*$E$6)+(H258*Q258)+(T258*H258)</f>
        <v>23392.293750000001</v>
      </c>
      <c r="X258" s="40">
        <f>V258+W258</f>
        <v>23392.293750000001</v>
      </c>
      <c r="Z258" s="396"/>
      <c r="AA258" s="396"/>
    </row>
    <row r="259" spans="1:27">
      <c r="A259" s="41" t="s">
        <v>512</v>
      </c>
      <c r="B259" s="864">
        <v>96000</v>
      </c>
      <c r="C259" s="7" t="s">
        <v>488</v>
      </c>
      <c r="D259" s="7" t="s">
        <v>362</v>
      </c>
      <c r="E259" s="106"/>
      <c r="F259" s="814" t="str">
        <f>F231</f>
        <v>Day</v>
      </c>
      <c r="G259" s="40">
        <f>G230</f>
        <v>0</v>
      </c>
      <c r="H259" s="40">
        <v>75</v>
      </c>
      <c r="I259" s="40">
        <v>0</v>
      </c>
      <c r="J259" s="106"/>
      <c r="K259" s="40">
        <f>K230</f>
        <v>10</v>
      </c>
      <c r="L259" s="40">
        <v>0</v>
      </c>
      <c r="M259" s="106"/>
      <c r="N259" s="40">
        <f>N230</f>
        <v>10</v>
      </c>
      <c r="O259" s="40">
        <v>0</v>
      </c>
      <c r="P259" s="106"/>
      <c r="Q259" s="40">
        <f>Q230</f>
        <v>0</v>
      </c>
      <c r="R259" s="40">
        <v>0</v>
      </c>
      <c r="S259" s="106"/>
      <c r="T259" s="40">
        <f>T230</f>
        <v>0</v>
      </c>
      <c r="U259" s="40">
        <v>0</v>
      </c>
      <c r="V259" s="40">
        <v>0</v>
      </c>
      <c r="W259" s="40">
        <f>((G259*H259)+(K259*H259)*$E$6)+((N259*H259)*$E$6*$E$6)+(H259*Q259)+(T259*H259)</f>
        <v>1614.375</v>
      </c>
      <c r="X259" s="40">
        <f>V259+W259</f>
        <v>1614.375</v>
      </c>
      <c r="Z259" s="396"/>
      <c r="AA259" s="396"/>
    </row>
    <row r="260" spans="1:27">
      <c r="A260" s="41" t="s">
        <v>512</v>
      </c>
      <c r="B260" s="864">
        <v>96000</v>
      </c>
      <c r="C260" s="7" t="s">
        <v>488</v>
      </c>
      <c r="D260" s="7" t="s">
        <v>363</v>
      </c>
      <c r="E260" s="106"/>
      <c r="F260" s="814" t="str">
        <f>F232</f>
        <v>Trip</v>
      </c>
      <c r="G260" s="40">
        <f>G230</f>
        <v>0</v>
      </c>
      <c r="H260" s="40">
        <v>155</v>
      </c>
      <c r="I260" s="40">
        <v>0</v>
      </c>
      <c r="J260" s="106"/>
      <c r="K260" s="40">
        <f>K230</f>
        <v>10</v>
      </c>
      <c r="L260" s="40">
        <v>0</v>
      </c>
      <c r="M260" s="106"/>
      <c r="N260" s="40">
        <f>N230</f>
        <v>10</v>
      </c>
      <c r="O260" s="40">
        <v>0</v>
      </c>
      <c r="P260" s="106"/>
      <c r="Q260" s="40">
        <f>Q230</f>
        <v>0</v>
      </c>
      <c r="R260" s="40">
        <v>0</v>
      </c>
      <c r="S260" s="106"/>
      <c r="T260" s="40">
        <f>T230</f>
        <v>0</v>
      </c>
      <c r="U260" s="40">
        <v>0</v>
      </c>
      <c r="V260" s="40">
        <v>0</v>
      </c>
      <c r="W260" s="40">
        <f>((G260*H260)+(K260*H260)*$E$6)+((N260*H260)*$E$6*$E$6)+(H260*Q260)+(T260*H260)</f>
        <v>3336.375</v>
      </c>
      <c r="X260" s="40">
        <f t="shared" ref="X260" si="235">V260+W260</f>
        <v>3336.375</v>
      </c>
      <c r="Y260" s="417"/>
    </row>
    <row r="261" spans="1:27">
      <c r="A261" s="37"/>
      <c r="B261" s="37"/>
      <c r="C261" s="37"/>
      <c r="D261" s="37" t="s">
        <v>364</v>
      </c>
      <c r="E261" s="112"/>
      <c r="F261" s="42"/>
      <c r="G261" s="43"/>
      <c r="H261" s="43"/>
      <c r="I261" s="44">
        <f>SUM(I256:I260)</f>
        <v>0</v>
      </c>
      <c r="J261" s="112"/>
      <c r="K261" s="44"/>
      <c r="L261" s="44">
        <f>SUM(L256:L260)</f>
        <v>0</v>
      </c>
      <c r="M261" s="112"/>
      <c r="N261" s="44"/>
      <c r="O261" s="44">
        <f>SUM(O256:O260)</f>
        <v>0</v>
      </c>
      <c r="P261" s="112"/>
      <c r="Q261" s="44"/>
      <c r="R261" s="44">
        <f>SUM(R256:R260)</f>
        <v>0</v>
      </c>
      <c r="S261" s="112"/>
      <c r="T261" s="44"/>
      <c r="U261" s="44">
        <f>SUM(U256:U260)</f>
        <v>0</v>
      </c>
      <c r="V261" s="44">
        <f>SUM(V256:V260)</f>
        <v>0</v>
      </c>
      <c r="W261" s="44">
        <f>SUM(W256:W260)</f>
        <v>307715.54375000001</v>
      </c>
      <c r="X261" s="44">
        <f>SUM(X256:X260)</f>
        <v>307715.54375000001</v>
      </c>
    </row>
    <row r="262" spans="1:27">
      <c r="A262" s="90"/>
      <c r="B262" s="90"/>
      <c r="C262" s="90"/>
      <c r="D262" s="90"/>
      <c r="E262" s="113"/>
      <c r="F262" s="67"/>
      <c r="G262" s="54"/>
      <c r="H262" s="54"/>
      <c r="I262" s="91"/>
      <c r="J262" s="113"/>
      <c r="K262" s="91"/>
      <c r="L262" s="91"/>
      <c r="M262" s="113"/>
      <c r="N262" s="91"/>
      <c r="O262" s="91"/>
      <c r="P262" s="113"/>
      <c r="Q262" s="91"/>
      <c r="R262" s="91"/>
      <c r="S262" s="113"/>
      <c r="T262" s="91"/>
      <c r="U262" s="91"/>
      <c r="V262" s="91"/>
      <c r="W262" s="91"/>
      <c r="X262" s="91"/>
    </row>
    <row r="263" spans="1:27" ht="12.9" thickBot="1">
      <c r="A263" s="402"/>
      <c r="B263" s="402"/>
      <c r="C263" s="402"/>
      <c r="D263" s="402" t="s">
        <v>365</v>
      </c>
      <c r="E263" s="405"/>
      <c r="F263" s="402"/>
      <c r="G263" s="411"/>
      <c r="H263" s="411"/>
      <c r="I263" s="408">
        <f>SUM(I253+I218+I237+I212+I207++I261+I222)</f>
        <v>331790.21400000004</v>
      </c>
      <c r="J263" s="405"/>
      <c r="K263" s="408"/>
      <c r="L263" s="408">
        <f>SUM(L253+L218+L237+L212+L207++L261+L222)</f>
        <v>1285858.8747</v>
      </c>
      <c r="M263" s="405"/>
      <c r="N263" s="408"/>
      <c r="O263" s="408">
        <f>SUM(O253+O218+O237+O212+O207++O261+O222)</f>
        <v>1639461.518435</v>
      </c>
      <c r="P263" s="405"/>
      <c r="Q263" s="408"/>
      <c r="R263" s="408">
        <f>SUM(R253+R218+R237+R212+R207++R261+R222)</f>
        <v>1025290.3345317501</v>
      </c>
      <c r="S263" s="405"/>
      <c r="T263" s="408"/>
      <c r="U263" s="408">
        <f>SUM(U253+U218+U237+U212+U207++U261+U222)</f>
        <v>0</v>
      </c>
      <c r="V263" s="408">
        <f>SUM(V253+V218+V237+V212+V207++V261+V222)</f>
        <v>4282400.9416667493</v>
      </c>
      <c r="W263" s="408">
        <f>SUM(W253+W218+W237+W212+W207++W261+W222)</f>
        <v>307715.54375000001</v>
      </c>
      <c r="X263" s="408">
        <f>SUM(X253+X218+X237+X212+X207++X261+X222)</f>
        <v>4590116.4854167495</v>
      </c>
      <c r="Y263" s="416"/>
      <c r="Z263" s="133"/>
    </row>
    <row r="264" spans="1:27">
      <c r="A264" s="67"/>
      <c r="B264" s="67"/>
      <c r="C264" s="67"/>
      <c r="D264" s="67"/>
      <c r="E264" s="104"/>
      <c r="F264" s="67"/>
      <c r="G264" s="54"/>
      <c r="H264" s="54"/>
      <c r="I264" s="54"/>
      <c r="J264" s="104"/>
      <c r="K264" s="54"/>
      <c r="L264" s="54"/>
      <c r="M264" s="104"/>
      <c r="N264" s="54"/>
      <c r="O264" s="54"/>
      <c r="P264" s="104"/>
      <c r="Q264" s="54"/>
      <c r="R264" s="54"/>
      <c r="S264" s="104"/>
      <c r="T264" s="54"/>
      <c r="U264" s="54"/>
      <c r="V264" s="54"/>
      <c r="W264" s="54"/>
      <c r="X264" s="54"/>
    </row>
    <row r="265" spans="1:27">
      <c r="A265" s="84"/>
      <c r="B265" s="84"/>
      <c r="C265" s="84"/>
      <c r="D265" s="84" t="str">
        <f>'USDA Budget Summary'!A30</f>
        <v xml:space="preserve">Activity 3: Expand Trade by Reducing Non-Tariff Trade Barriers </v>
      </c>
      <c r="E265" s="110"/>
      <c r="F265" s="34"/>
      <c r="G265" s="34"/>
      <c r="H265" s="35"/>
      <c r="I265" s="85"/>
      <c r="J265" s="110"/>
      <c r="K265" s="85"/>
      <c r="L265" s="85"/>
      <c r="M265" s="110"/>
      <c r="N265" s="85"/>
      <c r="O265" s="85"/>
      <c r="P265" s="110"/>
      <c r="Q265" s="85"/>
      <c r="R265" s="85"/>
      <c r="S265" s="110"/>
      <c r="T265" s="85"/>
      <c r="U265" s="85"/>
      <c r="V265" s="85"/>
      <c r="W265" s="86"/>
      <c r="X265" s="85"/>
    </row>
    <row r="266" spans="1:27">
      <c r="A266" s="87"/>
      <c r="B266" s="87"/>
      <c r="C266" s="87"/>
      <c r="D266" s="87" t="s">
        <v>300</v>
      </c>
      <c r="E266" s="111"/>
      <c r="F266" s="88"/>
      <c r="G266" s="89"/>
      <c r="H266" s="89"/>
      <c r="I266" s="89"/>
      <c r="J266" s="111"/>
      <c r="K266" s="89"/>
      <c r="L266" s="89"/>
      <c r="M266" s="111"/>
      <c r="N266" s="89"/>
      <c r="O266" s="89"/>
      <c r="P266" s="111"/>
      <c r="Q266" s="89"/>
      <c r="R266" s="89"/>
      <c r="S266" s="111"/>
      <c r="T266" s="89"/>
      <c r="U266" s="89"/>
      <c r="V266" s="89"/>
      <c r="W266" s="89"/>
      <c r="X266" s="89"/>
    </row>
    <row r="267" spans="1:27">
      <c r="A267" s="37"/>
      <c r="B267" s="37"/>
      <c r="C267" s="37"/>
      <c r="D267" s="37" t="s">
        <v>366</v>
      </c>
      <c r="E267" s="112"/>
      <c r="F267" s="42"/>
      <c r="G267" s="43"/>
      <c r="H267" s="43"/>
      <c r="I267" s="43"/>
      <c r="J267" s="112"/>
      <c r="K267" s="43"/>
      <c r="L267" s="43"/>
      <c r="M267" s="112"/>
      <c r="N267" s="43"/>
      <c r="O267" s="43"/>
      <c r="P267" s="112"/>
      <c r="Q267" s="43"/>
      <c r="R267" s="43"/>
      <c r="S267" s="112"/>
      <c r="T267" s="43"/>
      <c r="U267" s="43"/>
      <c r="V267" s="43"/>
      <c r="W267" s="43"/>
      <c r="X267" s="43"/>
    </row>
    <row r="268" spans="1:27">
      <c r="A268" s="7" t="s">
        <v>494</v>
      </c>
      <c r="B268" s="7">
        <v>70000</v>
      </c>
      <c r="C268" s="7" t="s">
        <v>488</v>
      </c>
      <c r="D268" s="7" t="str">
        <f t="shared" ref="D268:D280" si="236">D12</f>
        <v>Key Personnel: Chief of Party</v>
      </c>
      <c r="E268" s="108">
        <f>'LOE Breakdown by Year'!G11</f>
        <v>0.1</v>
      </c>
      <c r="F268" s="46" t="s">
        <v>147</v>
      </c>
      <c r="G268" s="40">
        <f t="shared" ref="G268:H280" si="237">G12</f>
        <v>11</v>
      </c>
      <c r="H268" s="40">
        <f t="shared" si="237"/>
        <v>9583.3333333333339</v>
      </c>
      <c r="I268" s="40">
        <f>G268*H268*E268</f>
        <v>10541.666666666668</v>
      </c>
      <c r="J268" s="102">
        <f>'LOE Breakdown by Year'!G36</f>
        <v>0.2</v>
      </c>
      <c r="K268" s="40">
        <f t="shared" ref="K268:K280" si="238">K12</f>
        <v>12</v>
      </c>
      <c r="L268" s="40">
        <f>K268*H268*$E$7*$J268</f>
        <v>24150</v>
      </c>
      <c r="M268" s="102">
        <f>'LOE Breakdown by Year'!G61</f>
        <v>0.2</v>
      </c>
      <c r="N268" s="40">
        <f t="shared" ref="N268:N280" si="239">N12</f>
        <v>12</v>
      </c>
      <c r="O268" s="40">
        <f t="shared" ref="O268" si="240">N268*H268*$M268*$E$7*$E$7</f>
        <v>25357.5</v>
      </c>
      <c r="P268" s="102">
        <f>'LOE Breakdown by Year'!G86</f>
        <v>0.05</v>
      </c>
      <c r="Q268" s="40">
        <f t="shared" ref="Q268:Q280" si="241">Q12</f>
        <v>12</v>
      </c>
      <c r="R268" s="40">
        <f t="shared" ref="R268" si="242">Q268*H268*$P268*$E$7*$E$7*$E$7</f>
        <v>6656.34375</v>
      </c>
      <c r="S268" s="102">
        <f>'LOE Breakdown by Year'!G111</f>
        <v>0</v>
      </c>
      <c r="T268" s="40">
        <f t="shared" ref="T268:T280" si="243">T12</f>
        <v>0</v>
      </c>
      <c r="U268" s="40">
        <f t="shared" ref="U268" si="244">T268*H268*$S268*$E$7*$E$7*$E$7*$E$7</f>
        <v>0</v>
      </c>
      <c r="V268" s="40">
        <f t="shared" ref="V268" si="245">SUM(R268,O268,L268,I268,U268)</f>
        <v>66705.510416666672</v>
      </c>
      <c r="W268" s="40">
        <v>0</v>
      </c>
      <c r="X268" s="40">
        <f t="shared" ref="X268" si="246">SUM(V268:W268)</f>
        <v>66705.510416666672</v>
      </c>
    </row>
    <row r="269" spans="1:27">
      <c r="A269" s="7" t="s">
        <v>494</v>
      </c>
      <c r="B269" s="7">
        <v>70000</v>
      </c>
      <c r="C269" s="7" t="s">
        <v>488</v>
      </c>
      <c r="D269" s="7" t="str">
        <f t="shared" si="236"/>
        <v>Technical Director</v>
      </c>
      <c r="E269" s="108">
        <f>'LOE Breakdown by Year'!G12</f>
        <v>0.15</v>
      </c>
      <c r="F269" s="46" t="s">
        <v>147</v>
      </c>
      <c r="G269" s="40">
        <f t="shared" si="237"/>
        <v>9</v>
      </c>
      <c r="H269" s="40">
        <f t="shared" si="237"/>
        <v>3500</v>
      </c>
      <c r="I269" s="40">
        <f t="shared" ref="I269:I280" si="247">G269*H269*E269</f>
        <v>4725</v>
      </c>
      <c r="J269" s="102">
        <f>'LOE Breakdown by Year'!G37</f>
        <v>0.2</v>
      </c>
      <c r="K269" s="40">
        <f t="shared" si="238"/>
        <v>12</v>
      </c>
      <c r="L269" s="40">
        <f t="shared" ref="L269:L280" si="248">K269*H269*$E$7*$J269</f>
        <v>8820</v>
      </c>
      <c r="M269" s="102">
        <f>'LOE Breakdown by Year'!G62</f>
        <v>0.2</v>
      </c>
      <c r="N269" s="40">
        <f t="shared" si="239"/>
        <v>12</v>
      </c>
      <c r="O269" s="40">
        <f t="shared" ref="O269:O280" si="249">N269*H269*$M269*$E$7*$E$7</f>
        <v>9261</v>
      </c>
      <c r="P269" s="102">
        <f>'LOE Breakdown by Year'!G87</f>
        <v>0.1</v>
      </c>
      <c r="Q269" s="40">
        <f t="shared" si="241"/>
        <v>12</v>
      </c>
      <c r="R269" s="40">
        <f t="shared" ref="R269:R280" si="250">Q269*H269*$P269*$E$7*$E$7*$E$7</f>
        <v>4862.0250000000005</v>
      </c>
      <c r="S269" s="102">
        <f>'LOE Breakdown by Year'!G112</f>
        <v>0</v>
      </c>
      <c r="T269" s="40">
        <f t="shared" si="243"/>
        <v>0</v>
      </c>
      <c r="U269" s="40">
        <f t="shared" ref="U269:U280" si="251">T269*H269*$S269*$E$7*$E$7*$E$7*$E$7</f>
        <v>0</v>
      </c>
      <c r="V269" s="40">
        <f t="shared" ref="V269:V280" si="252">SUM(R269,O269,L269,I269,U269)</f>
        <v>27668.025000000001</v>
      </c>
      <c r="W269" s="40">
        <v>0</v>
      </c>
      <c r="X269" s="40">
        <f t="shared" ref="X269:X280" si="253">SUM(V269:W269)</f>
        <v>27668.025000000001</v>
      </c>
    </row>
    <row r="270" spans="1:27" hidden="1">
      <c r="A270" s="7" t="s">
        <v>494</v>
      </c>
      <c r="B270" s="7">
        <v>70000</v>
      </c>
      <c r="C270" s="7" t="s">
        <v>488</v>
      </c>
      <c r="D270" s="7" t="str">
        <f t="shared" si="236"/>
        <v>Technical Lead - Activity 2 US Exports</v>
      </c>
      <c r="E270" s="108">
        <f>'LOE Breakdown by Year'!G13</f>
        <v>0</v>
      </c>
      <c r="F270" s="46" t="s">
        <v>147</v>
      </c>
      <c r="G270" s="40">
        <f t="shared" si="237"/>
        <v>8</v>
      </c>
      <c r="H270" s="40">
        <f t="shared" si="237"/>
        <v>2833.3333333333335</v>
      </c>
      <c r="I270" s="40">
        <f t="shared" si="247"/>
        <v>0</v>
      </c>
      <c r="J270" s="102">
        <f>'LOE Breakdown by Year'!G38</f>
        <v>0</v>
      </c>
      <c r="K270" s="40">
        <f t="shared" si="238"/>
        <v>12</v>
      </c>
      <c r="L270" s="40">
        <f t="shared" si="248"/>
        <v>0</v>
      </c>
      <c r="M270" s="102">
        <f>'LOE Breakdown by Year'!G63</f>
        <v>0</v>
      </c>
      <c r="N270" s="40">
        <f t="shared" si="239"/>
        <v>12</v>
      </c>
      <c r="O270" s="40">
        <f t="shared" si="249"/>
        <v>0</v>
      </c>
      <c r="P270" s="102">
        <f>'LOE Breakdown by Year'!G88</f>
        <v>0</v>
      </c>
      <c r="Q270" s="40">
        <f t="shared" si="241"/>
        <v>12</v>
      </c>
      <c r="R270" s="40">
        <f t="shared" si="250"/>
        <v>0</v>
      </c>
      <c r="S270" s="102">
        <f>'LOE Breakdown by Year'!G113</f>
        <v>0</v>
      </c>
      <c r="T270" s="40">
        <f t="shared" si="243"/>
        <v>0</v>
      </c>
      <c r="U270" s="40">
        <f t="shared" si="251"/>
        <v>0</v>
      </c>
      <c r="V270" s="40">
        <f t="shared" si="252"/>
        <v>0</v>
      </c>
      <c r="W270" s="40">
        <v>0</v>
      </c>
      <c r="X270" s="40">
        <f t="shared" si="253"/>
        <v>0</v>
      </c>
    </row>
    <row r="271" spans="1:27" hidden="1">
      <c r="A271" s="7" t="s">
        <v>494</v>
      </c>
      <c r="B271" s="7">
        <v>70000</v>
      </c>
      <c r="C271" s="7" t="s">
        <v>488</v>
      </c>
      <c r="D271" s="7" t="str">
        <f t="shared" si="236"/>
        <v>Technical Lead - Activity 2 Access to Finance Specialist</v>
      </c>
      <c r="E271" s="108">
        <f>'LOE Breakdown by Year'!G14</f>
        <v>0</v>
      </c>
      <c r="F271" s="46" t="s">
        <v>147</v>
      </c>
      <c r="G271" s="40">
        <f t="shared" si="237"/>
        <v>8</v>
      </c>
      <c r="H271" s="40">
        <f t="shared" si="237"/>
        <v>2833.3333333333335</v>
      </c>
      <c r="I271" s="40">
        <f t="shared" si="247"/>
        <v>0</v>
      </c>
      <c r="J271" s="102">
        <f>'LOE Breakdown by Year'!G39</f>
        <v>0</v>
      </c>
      <c r="K271" s="40">
        <f t="shared" si="238"/>
        <v>12</v>
      </c>
      <c r="L271" s="40">
        <f t="shared" si="248"/>
        <v>0</v>
      </c>
      <c r="M271" s="102">
        <f>'LOE Breakdown by Year'!G64</f>
        <v>0</v>
      </c>
      <c r="N271" s="40">
        <f t="shared" si="239"/>
        <v>12</v>
      </c>
      <c r="O271" s="40">
        <f t="shared" si="249"/>
        <v>0</v>
      </c>
      <c r="P271" s="102">
        <f>'LOE Breakdown by Year'!G89</f>
        <v>0</v>
      </c>
      <c r="Q271" s="40">
        <f t="shared" si="241"/>
        <v>12</v>
      </c>
      <c r="R271" s="40">
        <f t="shared" si="250"/>
        <v>0</v>
      </c>
      <c r="S271" s="102">
        <f>'LOE Breakdown by Year'!G114</f>
        <v>0</v>
      </c>
      <c r="T271" s="40">
        <f t="shared" si="243"/>
        <v>0</v>
      </c>
      <c r="U271" s="40">
        <f t="shared" si="251"/>
        <v>0</v>
      </c>
      <c r="V271" s="40">
        <f t="shared" si="252"/>
        <v>0</v>
      </c>
      <c r="W271" s="40">
        <v>0</v>
      </c>
      <c r="X271" s="40">
        <f t="shared" si="253"/>
        <v>0</v>
      </c>
    </row>
    <row r="272" spans="1:27">
      <c r="A272" s="7" t="s">
        <v>494</v>
      </c>
      <c r="B272" s="7">
        <v>70000</v>
      </c>
      <c r="C272" s="7" t="s">
        <v>488</v>
      </c>
      <c r="D272" s="7" t="str">
        <f t="shared" si="236"/>
        <v>Communications/Strategic Partnerships Manager</v>
      </c>
      <c r="E272" s="108">
        <f>'LOE Breakdown by Year'!G15</f>
        <v>0.2</v>
      </c>
      <c r="F272" s="46" t="s">
        <v>147</v>
      </c>
      <c r="G272" s="40">
        <f t="shared" si="237"/>
        <v>8</v>
      </c>
      <c r="H272" s="40">
        <f t="shared" si="237"/>
        <v>2666.6666666666665</v>
      </c>
      <c r="I272" s="40">
        <f t="shared" si="247"/>
        <v>4266.666666666667</v>
      </c>
      <c r="J272" s="102">
        <f>'LOE Breakdown by Year'!G40</f>
        <v>0.25</v>
      </c>
      <c r="K272" s="40">
        <f t="shared" si="238"/>
        <v>12</v>
      </c>
      <c r="L272" s="40">
        <f t="shared" si="248"/>
        <v>8400</v>
      </c>
      <c r="M272" s="102">
        <f>'LOE Breakdown by Year'!G65</f>
        <v>0.25</v>
      </c>
      <c r="N272" s="40">
        <f t="shared" si="239"/>
        <v>12</v>
      </c>
      <c r="O272" s="40">
        <f t="shared" si="249"/>
        <v>8820</v>
      </c>
      <c r="P272" s="102">
        <f>'LOE Breakdown by Year'!G90</f>
        <v>0</v>
      </c>
      <c r="Q272" s="40">
        <f t="shared" si="241"/>
        <v>12</v>
      </c>
      <c r="R272" s="40">
        <f t="shared" si="250"/>
        <v>0</v>
      </c>
      <c r="S272" s="102">
        <f>'LOE Breakdown by Year'!G115</f>
        <v>0</v>
      </c>
      <c r="T272" s="40">
        <f t="shared" si="243"/>
        <v>0</v>
      </c>
      <c r="U272" s="40">
        <f t="shared" si="251"/>
        <v>0</v>
      </c>
      <c r="V272" s="40">
        <f t="shared" si="252"/>
        <v>21486.666666666668</v>
      </c>
      <c r="W272" s="40">
        <v>0</v>
      </c>
      <c r="X272" s="40">
        <f t="shared" si="253"/>
        <v>21486.666666666668</v>
      </c>
    </row>
    <row r="273" spans="1:24">
      <c r="A273" s="7" t="s">
        <v>494</v>
      </c>
      <c r="B273" s="7">
        <v>70000</v>
      </c>
      <c r="C273" s="7" t="s">
        <v>488</v>
      </c>
      <c r="D273" s="7" t="str">
        <f t="shared" si="236"/>
        <v xml:space="preserve">M&amp;E Director </v>
      </c>
      <c r="E273" s="108">
        <f>'LOE Breakdown by Year'!G16</f>
        <v>0.2</v>
      </c>
      <c r="F273" s="46" t="s">
        <v>147</v>
      </c>
      <c r="G273" s="40">
        <f t="shared" si="237"/>
        <v>10</v>
      </c>
      <c r="H273" s="40">
        <f t="shared" si="237"/>
        <v>3500</v>
      </c>
      <c r="I273" s="40">
        <f t="shared" si="247"/>
        <v>7000</v>
      </c>
      <c r="J273" s="102">
        <f>'LOE Breakdown by Year'!G41</f>
        <v>0.25</v>
      </c>
      <c r="K273" s="40">
        <f t="shared" si="238"/>
        <v>12</v>
      </c>
      <c r="L273" s="40">
        <f t="shared" si="248"/>
        <v>11025</v>
      </c>
      <c r="M273" s="102">
        <f>'LOE Breakdown by Year'!G66</f>
        <v>0.25</v>
      </c>
      <c r="N273" s="40">
        <f t="shared" si="239"/>
        <v>12</v>
      </c>
      <c r="O273" s="40">
        <f t="shared" si="249"/>
        <v>11576.25</v>
      </c>
      <c r="P273" s="102">
        <f>'LOE Breakdown by Year'!G91</f>
        <v>0.1</v>
      </c>
      <c r="Q273" s="40">
        <f t="shared" si="241"/>
        <v>12</v>
      </c>
      <c r="R273" s="40">
        <f t="shared" si="250"/>
        <v>4862.0250000000005</v>
      </c>
      <c r="S273" s="102">
        <f>'LOE Breakdown by Year'!G116</f>
        <v>0</v>
      </c>
      <c r="T273" s="40">
        <f t="shared" si="243"/>
        <v>0</v>
      </c>
      <c r="U273" s="40">
        <f t="shared" si="251"/>
        <v>0</v>
      </c>
      <c r="V273" s="40">
        <f t="shared" si="252"/>
        <v>34463.275000000001</v>
      </c>
      <c r="W273" s="40">
        <v>0</v>
      </c>
      <c r="X273" s="40">
        <f t="shared" si="253"/>
        <v>34463.275000000001</v>
      </c>
    </row>
    <row r="274" spans="1:24">
      <c r="A274" s="7" t="s">
        <v>494</v>
      </c>
      <c r="B274" s="7">
        <v>70000</v>
      </c>
      <c r="C274" s="7" t="s">
        <v>488</v>
      </c>
      <c r="D274" s="7" t="str">
        <f t="shared" si="236"/>
        <v>M&amp;E Specialist</v>
      </c>
      <c r="E274" s="108">
        <f>'LOE Breakdown by Year'!G17</f>
        <v>0.25</v>
      </c>
      <c r="F274" s="46" t="s">
        <v>147</v>
      </c>
      <c r="G274" s="40">
        <f t="shared" si="237"/>
        <v>8</v>
      </c>
      <c r="H274" s="40">
        <f t="shared" si="237"/>
        <v>2000</v>
      </c>
      <c r="I274" s="40">
        <f t="shared" si="247"/>
        <v>4000</v>
      </c>
      <c r="J274" s="102">
        <f>'LOE Breakdown by Year'!G42</f>
        <v>0.25</v>
      </c>
      <c r="K274" s="40">
        <f t="shared" si="238"/>
        <v>12</v>
      </c>
      <c r="L274" s="40">
        <f t="shared" si="248"/>
        <v>6300</v>
      </c>
      <c r="M274" s="102">
        <f>'LOE Breakdown by Year'!G67</f>
        <v>0.25</v>
      </c>
      <c r="N274" s="40">
        <f t="shared" si="239"/>
        <v>12</v>
      </c>
      <c r="O274" s="40">
        <f t="shared" si="249"/>
        <v>6615</v>
      </c>
      <c r="P274" s="102">
        <f>'LOE Breakdown by Year'!G92</f>
        <v>0.1</v>
      </c>
      <c r="Q274" s="40">
        <f t="shared" si="241"/>
        <v>12</v>
      </c>
      <c r="R274" s="40">
        <f t="shared" si="250"/>
        <v>2778.3</v>
      </c>
      <c r="S274" s="102">
        <f>'LOE Breakdown by Year'!G117</f>
        <v>0</v>
      </c>
      <c r="T274" s="40">
        <f t="shared" si="243"/>
        <v>0</v>
      </c>
      <c r="U274" s="40">
        <f t="shared" si="251"/>
        <v>0</v>
      </c>
      <c r="V274" s="40">
        <f t="shared" si="252"/>
        <v>19693.3</v>
      </c>
      <c r="W274" s="40">
        <v>0</v>
      </c>
      <c r="X274" s="40">
        <f t="shared" si="253"/>
        <v>19693.3</v>
      </c>
    </row>
    <row r="275" spans="1:24">
      <c r="A275" s="7" t="s">
        <v>494</v>
      </c>
      <c r="B275" s="7">
        <v>70000</v>
      </c>
      <c r="C275" s="7" t="s">
        <v>488</v>
      </c>
      <c r="D275" s="7" t="str">
        <f t="shared" si="236"/>
        <v xml:space="preserve">Key Personnel: Finance &amp; Administration (F&amp;A) Director </v>
      </c>
      <c r="E275" s="108">
        <f>'LOE Breakdown by Year'!G18</f>
        <v>0.2</v>
      </c>
      <c r="F275" s="46" t="s">
        <v>147</v>
      </c>
      <c r="G275" s="40">
        <f t="shared" si="237"/>
        <v>10</v>
      </c>
      <c r="H275" s="40">
        <f t="shared" si="237"/>
        <v>3500</v>
      </c>
      <c r="I275" s="40">
        <f t="shared" si="247"/>
        <v>7000</v>
      </c>
      <c r="J275" s="102">
        <f>'LOE Breakdown by Year'!G43</f>
        <v>0.3</v>
      </c>
      <c r="K275" s="40">
        <f t="shared" si="238"/>
        <v>12</v>
      </c>
      <c r="L275" s="40">
        <f t="shared" si="248"/>
        <v>13230</v>
      </c>
      <c r="M275" s="102">
        <f>'LOE Breakdown by Year'!G68</f>
        <v>0.3</v>
      </c>
      <c r="N275" s="40">
        <f t="shared" si="239"/>
        <v>12</v>
      </c>
      <c r="O275" s="40">
        <f t="shared" si="249"/>
        <v>13891.5</v>
      </c>
      <c r="P275" s="102">
        <f>'LOE Breakdown by Year'!G93</f>
        <v>0.05</v>
      </c>
      <c r="Q275" s="40">
        <f t="shared" si="241"/>
        <v>12</v>
      </c>
      <c r="R275" s="40">
        <f t="shared" si="250"/>
        <v>2431.0125000000003</v>
      </c>
      <c r="S275" s="102">
        <f>'LOE Breakdown by Year'!G118</f>
        <v>0</v>
      </c>
      <c r="T275" s="40">
        <f t="shared" si="243"/>
        <v>0</v>
      </c>
      <c r="U275" s="40">
        <f t="shared" si="251"/>
        <v>0</v>
      </c>
      <c r="V275" s="40">
        <f t="shared" si="252"/>
        <v>36552.512499999997</v>
      </c>
      <c r="W275" s="40">
        <v>0</v>
      </c>
      <c r="X275" s="40">
        <f t="shared" si="253"/>
        <v>36552.512499999997</v>
      </c>
    </row>
    <row r="276" spans="1:24">
      <c r="A276" s="7" t="s">
        <v>494</v>
      </c>
      <c r="B276" s="7">
        <v>70000</v>
      </c>
      <c r="C276" s="7" t="s">
        <v>488</v>
      </c>
      <c r="D276" s="7" t="str">
        <f t="shared" si="236"/>
        <v xml:space="preserve">Accountant </v>
      </c>
      <c r="E276" s="108">
        <f>'LOE Breakdown by Year'!G19</f>
        <v>0.25</v>
      </c>
      <c r="F276" s="46" t="s">
        <v>147</v>
      </c>
      <c r="G276" s="40">
        <f t="shared" si="237"/>
        <v>8</v>
      </c>
      <c r="H276" s="40">
        <f t="shared" si="237"/>
        <v>2000</v>
      </c>
      <c r="I276" s="40">
        <f t="shared" si="247"/>
        <v>4000</v>
      </c>
      <c r="J276" s="102">
        <f>'LOE Breakdown by Year'!G44</f>
        <v>0.25</v>
      </c>
      <c r="K276" s="40">
        <f t="shared" si="238"/>
        <v>12</v>
      </c>
      <c r="L276" s="40">
        <f t="shared" si="248"/>
        <v>6300</v>
      </c>
      <c r="M276" s="102">
        <f>'LOE Breakdown by Year'!G69</f>
        <v>0.25</v>
      </c>
      <c r="N276" s="40">
        <f t="shared" si="239"/>
        <v>12</v>
      </c>
      <c r="O276" s="40">
        <f t="shared" si="249"/>
        <v>6615</v>
      </c>
      <c r="P276" s="102">
        <f>'LOE Breakdown by Year'!G94</f>
        <v>0.05</v>
      </c>
      <c r="Q276" s="40">
        <f t="shared" si="241"/>
        <v>12</v>
      </c>
      <c r="R276" s="40">
        <f t="shared" si="250"/>
        <v>1389.15</v>
      </c>
      <c r="S276" s="102">
        <f>'LOE Breakdown by Year'!G119</f>
        <v>0</v>
      </c>
      <c r="T276" s="40">
        <f t="shared" si="243"/>
        <v>0</v>
      </c>
      <c r="U276" s="40">
        <f t="shared" si="251"/>
        <v>0</v>
      </c>
      <c r="V276" s="40">
        <f t="shared" si="252"/>
        <v>18304.150000000001</v>
      </c>
      <c r="W276" s="40">
        <v>0</v>
      </c>
      <c r="X276" s="40">
        <f t="shared" si="253"/>
        <v>18304.150000000001</v>
      </c>
    </row>
    <row r="277" spans="1:24">
      <c r="A277" s="7" t="s">
        <v>494</v>
      </c>
      <c r="B277" s="7">
        <v>70000</v>
      </c>
      <c r="C277" s="7" t="s">
        <v>488</v>
      </c>
      <c r="D277" s="7" t="str">
        <f t="shared" si="236"/>
        <v>Administration/ HR Manager</v>
      </c>
      <c r="E277" s="108">
        <f>'LOE Breakdown by Year'!G20</f>
        <v>0.1</v>
      </c>
      <c r="F277" s="46" t="s">
        <v>147</v>
      </c>
      <c r="G277" s="40">
        <f t="shared" si="237"/>
        <v>10</v>
      </c>
      <c r="H277" s="40">
        <f t="shared" si="237"/>
        <v>2666.6666666666665</v>
      </c>
      <c r="I277" s="40">
        <f t="shared" si="247"/>
        <v>2666.6666666666665</v>
      </c>
      <c r="J277" s="102">
        <f>'LOE Breakdown by Year'!G45</f>
        <v>0.25</v>
      </c>
      <c r="K277" s="40">
        <f t="shared" si="238"/>
        <v>12</v>
      </c>
      <c r="L277" s="40">
        <f t="shared" si="248"/>
        <v>8400</v>
      </c>
      <c r="M277" s="102">
        <f>'LOE Breakdown by Year'!G70</f>
        <v>0.25</v>
      </c>
      <c r="N277" s="40">
        <f t="shared" si="239"/>
        <v>12</v>
      </c>
      <c r="O277" s="40">
        <f t="shared" si="249"/>
        <v>8820</v>
      </c>
      <c r="P277" s="102">
        <f>'LOE Breakdown by Year'!G95</f>
        <v>0.05</v>
      </c>
      <c r="Q277" s="40">
        <f t="shared" si="241"/>
        <v>12</v>
      </c>
      <c r="R277" s="40">
        <f t="shared" si="250"/>
        <v>1852.2</v>
      </c>
      <c r="S277" s="102">
        <f>'LOE Breakdown by Year'!G120</f>
        <v>0</v>
      </c>
      <c r="T277" s="40">
        <f t="shared" si="243"/>
        <v>0</v>
      </c>
      <c r="U277" s="40">
        <f t="shared" si="251"/>
        <v>0</v>
      </c>
      <c r="V277" s="40">
        <f t="shared" si="252"/>
        <v>21738.866666666669</v>
      </c>
      <c r="W277" s="40">
        <v>0</v>
      </c>
      <c r="X277" s="40">
        <f t="shared" si="253"/>
        <v>21738.866666666669</v>
      </c>
    </row>
    <row r="278" spans="1:24">
      <c r="A278" s="7" t="s">
        <v>494</v>
      </c>
      <c r="B278" s="7">
        <v>70000</v>
      </c>
      <c r="C278" s="7" t="s">
        <v>488</v>
      </c>
      <c r="D278" s="7" t="str">
        <f t="shared" si="236"/>
        <v>Grants &amp; Contracts Manager</v>
      </c>
      <c r="E278" s="108">
        <f>'LOE Breakdown by Year'!G21</f>
        <v>0.21</v>
      </c>
      <c r="F278" s="46" t="s">
        <v>147</v>
      </c>
      <c r="G278" s="40">
        <f t="shared" si="237"/>
        <v>9</v>
      </c>
      <c r="H278" s="40">
        <f t="shared" si="237"/>
        <v>2666.6666666666665</v>
      </c>
      <c r="I278" s="40">
        <f t="shared" si="247"/>
        <v>5040</v>
      </c>
      <c r="J278" s="102">
        <f>'LOE Breakdown by Year'!G46</f>
        <v>0.3</v>
      </c>
      <c r="K278" s="40">
        <f t="shared" si="238"/>
        <v>12</v>
      </c>
      <c r="L278" s="40">
        <f t="shared" si="248"/>
        <v>10080</v>
      </c>
      <c r="M278" s="102">
        <f>'LOE Breakdown by Year'!G71</f>
        <v>0.3</v>
      </c>
      <c r="N278" s="40">
        <f t="shared" si="239"/>
        <v>12</v>
      </c>
      <c r="O278" s="40">
        <f t="shared" si="249"/>
        <v>10584</v>
      </c>
      <c r="P278" s="102">
        <f>'LOE Breakdown by Year'!G96</f>
        <v>0</v>
      </c>
      <c r="Q278" s="40">
        <f t="shared" si="241"/>
        <v>12</v>
      </c>
      <c r="R278" s="40">
        <f t="shared" si="250"/>
        <v>0</v>
      </c>
      <c r="S278" s="102">
        <f>'LOE Breakdown by Year'!G121</f>
        <v>0</v>
      </c>
      <c r="T278" s="40">
        <f t="shared" si="243"/>
        <v>0</v>
      </c>
      <c r="U278" s="40">
        <f t="shared" si="251"/>
        <v>0</v>
      </c>
      <c r="V278" s="40">
        <f t="shared" si="252"/>
        <v>25704</v>
      </c>
      <c r="W278" s="40">
        <v>0</v>
      </c>
      <c r="X278" s="40">
        <f t="shared" si="253"/>
        <v>25704</v>
      </c>
    </row>
    <row r="279" spans="1:24">
      <c r="A279" s="7" t="s">
        <v>494</v>
      </c>
      <c r="B279" s="7">
        <v>70000</v>
      </c>
      <c r="C279" s="7" t="s">
        <v>488</v>
      </c>
      <c r="D279" s="7" t="str">
        <f t="shared" si="236"/>
        <v>Compliance &amp; Procurement Specialist</v>
      </c>
      <c r="E279" s="108">
        <f>'LOE Breakdown by Year'!G22</f>
        <v>0.21</v>
      </c>
      <c r="F279" s="46" t="s">
        <v>147</v>
      </c>
      <c r="G279" s="40">
        <f t="shared" si="237"/>
        <v>9</v>
      </c>
      <c r="H279" s="40">
        <f t="shared" si="237"/>
        <v>2000</v>
      </c>
      <c r="I279" s="40">
        <f t="shared" si="247"/>
        <v>3780</v>
      </c>
      <c r="J279" s="102">
        <f>'LOE Breakdown by Year'!G47</f>
        <v>0.3</v>
      </c>
      <c r="K279" s="40">
        <f t="shared" si="238"/>
        <v>12</v>
      </c>
      <c r="L279" s="40">
        <f t="shared" si="248"/>
        <v>7560</v>
      </c>
      <c r="M279" s="102">
        <f>'LOE Breakdown by Year'!G72</f>
        <v>0.3</v>
      </c>
      <c r="N279" s="40">
        <f t="shared" si="239"/>
        <v>12</v>
      </c>
      <c r="O279" s="40">
        <f t="shared" si="249"/>
        <v>7938</v>
      </c>
      <c r="P279" s="102">
        <f>'LOE Breakdown by Year'!G97</f>
        <v>0</v>
      </c>
      <c r="Q279" s="40">
        <f t="shared" si="241"/>
        <v>12</v>
      </c>
      <c r="R279" s="40">
        <f t="shared" si="250"/>
        <v>0</v>
      </c>
      <c r="S279" s="102">
        <f>'LOE Breakdown by Year'!G122</f>
        <v>0</v>
      </c>
      <c r="T279" s="40">
        <f t="shared" si="243"/>
        <v>0</v>
      </c>
      <c r="U279" s="40">
        <f t="shared" si="251"/>
        <v>0</v>
      </c>
      <c r="V279" s="40">
        <f t="shared" si="252"/>
        <v>19278</v>
      </c>
      <c r="W279" s="40">
        <v>0</v>
      </c>
      <c r="X279" s="40">
        <f t="shared" si="253"/>
        <v>19278</v>
      </c>
    </row>
    <row r="280" spans="1:24">
      <c r="A280" s="7" t="s">
        <v>494</v>
      </c>
      <c r="B280" s="7">
        <v>70000</v>
      </c>
      <c r="C280" s="7" t="s">
        <v>488</v>
      </c>
      <c r="D280" s="7" t="str">
        <f t="shared" si="236"/>
        <v>Driver</v>
      </c>
      <c r="E280" s="108">
        <f>'LOE Breakdown by Year'!G23</f>
        <v>0.25</v>
      </c>
      <c r="F280" s="46" t="s">
        <v>147</v>
      </c>
      <c r="G280" s="40">
        <f t="shared" si="237"/>
        <v>7</v>
      </c>
      <c r="H280" s="40">
        <f t="shared" si="237"/>
        <v>500</v>
      </c>
      <c r="I280" s="40">
        <f t="shared" si="247"/>
        <v>875</v>
      </c>
      <c r="J280" s="102">
        <f>'LOE Breakdown by Year'!G48</f>
        <v>0.25</v>
      </c>
      <c r="K280" s="40">
        <f t="shared" si="238"/>
        <v>12</v>
      </c>
      <c r="L280" s="40">
        <f t="shared" si="248"/>
        <v>1575</v>
      </c>
      <c r="M280" s="102">
        <f>'LOE Breakdown by Year'!G73</f>
        <v>0.25</v>
      </c>
      <c r="N280" s="40">
        <f t="shared" si="239"/>
        <v>12</v>
      </c>
      <c r="O280" s="40">
        <f t="shared" si="249"/>
        <v>1653.75</v>
      </c>
      <c r="P280" s="102">
        <f>'LOE Breakdown by Year'!G98</f>
        <v>0</v>
      </c>
      <c r="Q280" s="40">
        <f t="shared" si="241"/>
        <v>12</v>
      </c>
      <c r="R280" s="40">
        <f t="shared" si="250"/>
        <v>0</v>
      </c>
      <c r="S280" s="102">
        <f>'LOE Breakdown by Year'!G123</f>
        <v>0</v>
      </c>
      <c r="T280" s="40">
        <f t="shared" si="243"/>
        <v>0</v>
      </c>
      <c r="U280" s="40">
        <f t="shared" si="251"/>
        <v>0</v>
      </c>
      <c r="V280" s="40">
        <f t="shared" si="252"/>
        <v>4103.75</v>
      </c>
      <c r="W280" s="40">
        <v>0</v>
      </c>
      <c r="X280" s="40">
        <f t="shared" si="253"/>
        <v>4103.75</v>
      </c>
    </row>
    <row r="281" spans="1:24">
      <c r="A281" s="427"/>
      <c r="B281" s="427"/>
      <c r="C281" s="427"/>
      <c r="D281" s="427" t="s">
        <v>213</v>
      </c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</row>
    <row r="282" spans="1:24">
      <c r="A282" s="7" t="s">
        <v>494</v>
      </c>
      <c r="B282" s="7">
        <v>50000</v>
      </c>
      <c r="C282" s="7" t="s">
        <v>450</v>
      </c>
      <c r="D282" s="7" t="str">
        <f>D26</f>
        <v>Senior Vice President of Programs</v>
      </c>
      <c r="E282" s="108">
        <f>'LOE Breakdown by Year'!G25</f>
        <v>0.01</v>
      </c>
      <c r="F282" s="46" t="s">
        <v>147</v>
      </c>
      <c r="G282" s="40">
        <f t="shared" ref="G282:H286" si="254">G26</f>
        <v>12</v>
      </c>
      <c r="H282" s="40">
        <f t="shared" si="254"/>
        <v>13500</v>
      </c>
      <c r="I282" s="40">
        <f>G282*H282*E282</f>
        <v>1620</v>
      </c>
      <c r="J282" s="108">
        <f>'LOE Breakdown by Year'!G50</f>
        <v>0.01</v>
      </c>
      <c r="K282" s="40">
        <f>K26</f>
        <v>12</v>
      </c>
      <c r="L282" s="40">
        <f>K282*H282*$E$7*$J282</f>
        <v>1701</v>
      </c>
      <c r="M282" s="108">
        <f>'LOE Breakdown by Year'!G75</f>
        <v>0.01</v>
      </c>
      <c r="N282" s="40">
        <f>N26</f>
        <v>12</v>
      </c>
      <c r="O282" s="40">
        <f>N282*H282*$M282*$E$7*$E$7</f>
        <v>1786.0500000000002</v>
      </c>
      <c r="P282" s="108">
        <f>'LOE Breakdown by Year'!G100</f>
        <v>0.01</v>
      </c>
      <c r="Q282" s="40">
        <f>Q26</f>
        <v>12</v>
      </c>
      <c r="R282" s="40">
        <f>Q282*H282*$P282*$E$7*$E$7*$E$7</f>
        <v>1875.3525000000002</v>
      </c>
      <c r="S282" s="108">
        <f>'LOE Breakdown by Year'!G125</f>
        <v>0</v>
      </c>
      <c r="T282" s="40">
        <f>T26</f>
        <v>0</v>
      </c>
      <c r="U282" s="40">
        <f>T282*H282*$S282*$E$7*$E$7*$E$7*$E$7</f>
        <v>0</v>
      </c>
      <c r="V282" s="40">
        <f>SUM(R282,O282,L282,I282,U282)</f>
        <v>6982.4025000000001</v>
      </c>
      <c r="W282" s="40">
        <v>0</v>
      </c>
      <c r="X282" s="40">
        <f>SUM(V282:W282)</f>
        <v>6982.4025000000001</v>
      </c>
    </row>
    <row r="283" spans="1:24">
      <c r="A283" s="7" t="s">
        <v>494</v>
      </c>
      <c r="B283" s="7">
        <v>50000</v>
      </c>
      <c r="C283" s="7" t="s">
        <v>450</v>
      </c>
      <c r="D283" s="7" t="str">
        <f>D27</f>
        <v xml:space="preserve">Senior Program Director </v>
      </c>
      <c r="E283" s="108">
        <f>'LOE Breakdown by Year'!G26</f>
        <v>0.04</v>
      </c>
      <c r="F283" s="46" t="s">
        <v>147</v>
      </c>
      <c r="G283" s="40">
        <f t="shared" si="254"/>
        <v>12</v>
      </c>
      <c r="H283" s="40">
        <f t="shared" si="254"/>
        <v>12500</v>
      </c>
      <c r="I283" s="40">
        <f t="shared" ref="I283:I286" si="255">G283*H283*E283</f>
        <v>6000</v>
      </c>
      <c r="J283" s="102">
        <f>'LOE Breakdown by Year'!G51</f>
        <v>0.05</v>
      </c>
      <c r="K283" s="40">
        <f>K27</f>
        <v>12</v>
      </c>
      <c r="L283" s="40">
        <f t="shared" ref="L283:L286" si="256">K283*H283*$E$7*$J283</f>
        <v>7875</v>
      </c>
      <c r="M283" s="102">
        <f>'LOE Breakdown by Year'!G76</f>
        <v>0.05</v>
      </c>
      <c r="N283" s="40">
        <f>N27</f>
        <v>12</v>
      </c>
      <c r="O283" s="40">
        <f t="shared" ref="O283:O286" si="257">N283*H283*$M283*$E$7*$E$7</f>
        <v>8268.75</v>
      </c>
      <c r="P283" s="102">
        <f>'LOE Breakdown by Year'!G101</f>
        <v>0.05</v>
      </c>
      <c r="Q283" s="40">
        <f>Q27</f>
        <v>12</v>
      </c>
      <c r="R283" s="40">
        <f t="shared" ref="R283:R286" si="258">Q283*H283*$P283*$E$7*$E$7*$E$7</f>
        <v>8682.1875</v>
      </c>
      <c r="S283" s="102">
        <f>'LOE Breakdown by Year'!G126</f>
        <v>0</v>
      </c>
      <c r="T283" s="40">
        <f>T27</f>
        <v>0</v>
      </c>
      <c r="U283" s="40">
        <f t="shared" ref="U283:U286" si="259">T283*H283*$S283*$E$7*$E$7*$E$7*$E$7</f>
        <v>0</v>
      </c>
      <c r="V283" s="40">
        <f t="shared" ref="V283:V286" si="260">SUM(R283,O283,L283,I283,U283)</f>
        <v>30825.9375</v>
      </c>
      <c r="W283" s="40">
        <v>0</v>
      </c>
      <c r="X283" s="40">
        <f t="shared" ref="X283:X286" si="261">SUM(V283:W283)</f>
        <v>30825.9375</v>
      </c>
    </row>
    <row r="284" spans="1:24">
      <c r="A284" s="7" t="s">
        <v>494</v>
      </c>
      <c r="B284" s="7">
        <v>50000</v>
      </c>
      <c r="C284" s="7" t="s">
        <v>450</v>
      </c>
      <c r="D284" s="7" t="str">
        <f>D28</f>
        <v>Associate Director</v>
      </c>
      <c r="E284" s="108">
        <f>'LOE Breakdown by Year'!G27</f>
        <v>0.05</v>
      </c>
      <c r="F284" s="46" t="s">
        <v>147</v>
      </c>
      <c r="G284" s="40">
        <f t="shared" si="254"/>
        <v>12</v>
      </c>
      <c r="H284" s="40">
        <f t="shared" si="254"/>
        <v>7500</v>
      </c>
      <c r="I284" s="40">
        <f t="shared" si="255"/>
        <v>4500</v>
      </c>
      <c r="J284" s="102">
        <f>'LOE Breakdown by Year'!G52</f>
        <v>0.2</v>
      </c>
      <c r="K284" s="40">
        <f>K28</f>
        <v>12</v>
      </c>
      <c r="L284" s="40">
        <f t="shared" si="256"/>
        <v>18900</v>
      </c>
      <c r="M284" s="102">
        <f>'LOE Breakdown by Year'!G77</f>
        <v>0.2</v>
      </c>
      <c r="N284" s="40">
        <f>N28</f>
        <v>12</v>
      </c>
      <c r="O284" s="40">
        <f t="shared" si="257"/>
        <v>19845</v>
      </c>
      <c r="P284" s="102">
        <f>'LOE Breakdown by Year'!G102</f>
        <v>0.2</v>
      </c>
      <c r="Q284" s="40">
        <f>Q28</f>
        <v>12</v>
      </c>
      <c r="R284" s="40">
        <f t="shared" si="258"/>
        <v>20837.25</v>
      </c>
      <c r="S284" s="102">
        <f>'LOE Breakdown by Year'!G127</f>
        <v>0</v>
      </c>
      <c r="T284" s="40">
        <f>T28</f>
        <v>0</v>
      </c>
      <c r="U284" s="40">
        <f t="shared" si="259"/>
        <v>0</v>
      </c>
      <c r="V284" s="40">
        <f t="shared" si="260"/>
        <v>64082.25</v>
      </c>
      <c r="W284" s="40">
        <v>0</v>
      </c>
      <c r="X284" s="40">
        <f t="shared" si="261"/>
        <v>64082.25</v>
      </c>
    </row>
    <row r="285" spans="1:24">
      <c r="A285" s="7" t="s">
        <v>494</v>
      </c>
      <c r="B285" s="7">
        <v>50000</v>
      </c>
      <c r="C285" s="7" t="s">
        <v>450</v>
      </c>
      <c r="D285" s="7" t="str">
        <f>D29</f>
        <v>Compliance &amp; Contracts Director</v>
      </c>
      <c r="E285" s="108">
        <f>'LOE Breakdown by Year'!G28</f>
        <v>0.04</v>
      </c>
      <c r="F285" s="46" t="s">
        <v>147</v>
      </c>
      <c r="G285" s="40">
        <f t="shared" si="254"/>
        <v>12</v>
      </c>
      <c r="H285" s="40">
        <f t="shared" si="254"/>
        <v>9166.6666666666661</v>
      </c>
      <c r="I285" s="40">
        <f t="shared" si="255"/>
        <v>4400</v>
      </c>
      <c r="J285" s="102">
        <f>'LOE Breakdown by Year'!G53</f>
        <v>0.05</v>
      </c>
      <c r="K285" s="40">
        <f>K29</f>
        <v>12</v>
      </c>
      <c r="L285" s="40">
        <f t="shared" si="256"/>
        <v>5775</v>
      </c>
      <c r="M285" s="102">
        <f>'LOE Breakdown by Year'!G78</f>
        <v>0.05</v>
      </c>
      <c r="N285" s="40">
        <f>N29</f>
        <v>12</v>
      </c>
      <c r="O285" s="40">
        <f t="shared" si="257"/>
        <v>6063.75</v>
      </c>
      <c r="P285" s="102">
        <f>'LOE Breakdown by Year'!G103</f>
        <v>0.05</v>
      </c>
      <c r="Q285" s="40">
        <f>Q29</f>
        <v>12</v>
      </c>
      <c r="R285" s="40">
        <f t="shared" si="258"/>
        <v>6366.9375</v>
      </c>
      <c r="S285" s="102">
        <f>'LOE Breakdown by Year'!G128</f>
        <v>0</v>
      </c>
      <c r="T285" s="40">
        <f>T29</f>
        <v>0</v>
      </c>
      <c r="U285" s="40">
        <f t="shared" si="259"/>
        <v>0</v>
      </c>
      <c r="V285" s="40">
        <f t="shared" si="260"/>
        <v>22605.6875</v>
      </c>
      <c r="W285" s="40">
        <v>0</v>
      </c>
      <c r="X285" s="40">
        <f t="shared" si="261"/>
        <v>22605.6875</v>
      </c>
    </row>
    <row r="286" spans="1:24">
      <c r="A286" s="7" t="s">
        <v>494</v>
      </c>
      <c r="B286" s="7">
        <v>50000</v>
      </c>
      <c r="C286" s="7" t="s">
        <v>450</v>
      </c>
      <c r="D286" s="7" t="str">
        <f>D30</f>
        <v>Finance, HR, &amp; Administration Home Office Support</v>
      </c>
      <c r="E286" s="108">
        <f>'LOE Breakdown by Year'!G29</f>
        <v>7.0000000000000007E-2</v>
      </c>
      <c r="F286" s="46" t="s">
        <v>147</v>
      </c>
      <c r="G286" s="40">
        <f t="shared" si="254"/>
        <v>12</v>
      </c>
      <c r="H286" s="40">
        <f t="shared" si="254"/>
        <v>7500</v>
      </c>
      <c r="I286" s="40">
        <f t="shared" si="255"/>
        <v>6300.0000000000009</v>
      </c>
      <c r="J286" s="102">
        <f>'LOE Breakdown by Year'!G54</f>
        <v>0.15</v>
      </c>
      <c r="K286" s="40">
        <f>K30</f>
        <v>12</v>
      </c>
      <c r="L286" s="40">
        <f t="shared" si="256"/>
        <v>14175</v>
      </c>
      <c r="M286" s="102">
        <f>'LOE Breakdown by Year'!G79</f>
        <v>0.15</v>
      </c>
      <c r="N286" s="40">
        <f>N30</f>
        <v>12</v>
      </c>
      <c r="O286" s="40">
        <f t="shared" si="257"/>
        <v>14883.75</v>
      </c>
      <c r="P286" s="102">
        <f>'LOE Breakdown by Year'!G104</f>
        <v>0.15</v>
      </c>
      <c r="Q286" s="40">
        <f>Q30</f>
        <v>12</v>
      </c>
      <c r="R286" s="40">
        <f t="shared" si="258"/>
        <v>15627.9375</v>
      </c>
      <c r="S286" s="102">
        <f>'LOE Breakdown by Year'!G129</f>
        <v>0</v>
      </c>
      <c r="T286" s="40">
        <f>T30</f>
        <v>0</v>
      </c>
      <c r="U286" s="40">
        <f t="shared" si="259"/>
        <v>0</v>
      </c>
      <c r="V286" s="40">
        <f t="shared" si="260"/>
        <v>50986.6875</v>
      </c>
      <c r="W286" s="40">
        <v>0</v>
      </c>
      <c r="X286" s="40">
        <f t="shared" si="261"/>
        <v>50986.6875</v>
      </c>
    </row>
    <row r="287" spans="1:24">
      <c r="A287" s="37"/>
      <c r="B287" s="37"/>
      <c r="C287" s="37"/>
      <c r="D287" s="37" t="s">
        <v>367</v>
      </c>
      <c r="E287" s="112"/>
      <c r="F287" s="42"/>
      <c r="G287" s="43"/>
      <c r="H287" s="43"/>
      <c r="I287" s="44">
        <f>SUM(I268:I286)</f>
        <v>76715</v>
      </c>
      <c r="J287" s="112"/>
      <c r="K287" s="44"/>
      <c r="L287" s="44">
        <f>SUM(L268:L286)</f>
        <v>154266</v>
      </c>
      <c r="M287" s="112"/>
      <c r="N287" s="44"/>
      <c r="O287" s="44">
        <f>SUM(O268:O286)</f>
        <v>161979.29999999999</v>
      </c>
      <c r="P287" s="112"/>
      <c r="Q287" s="44"/>
      <c r="R287" s="44">
        <f>SUM(R268:R286)</f>
        <v>78220.721250000002</v>
      </c>
      <c r="S287" s="112"/>
      <c r="T287" s="44"/>
      <c r="U287" s="44">
        <f>SUM(U268:U286)</f>
        <v>0</v>
      </c>
      <c r="V287" s="44">
        <f>SUM(V268:V286)</f>
        <v>471181.02125000005</v>
      </c>
      <c r="W287" s="44">
        <f>SUM(W268:W286)</f>
        <v>0</v>
      </c>
      <c r="X287" s="44">
        <f>SUM(X268:X286)</f>
        <v>471181.02125000005</v>
      </c>
    </row>
    <row r="288" spans="1:24">
      <c r="A288" s="90"/>
      <c r="B288" s="90"/>
      <c r="C288" s="90"/>
      <c r="D288" s="90"/>
      <c r="E288" s="113"/>
      <c r="F288" s="67"/>
      <c r="G288" s="54"/>
      <c r="H288" s="54"/>
      <c r="I288" s="54"/>
      <c r="J288" s="113"/>
      <c r="K288" s="54"/>
      <c r="L288" s="54"/>
      <c r="M288" s="113"/>
      <c r="N288" s="54"/>
      <c r="O288" s="54"/>
      <c r="P288" s="113"/>
      <c r="Q288" s="54"/>
      <c r="R288" s="54"/>
      <c r="S288" s="113"/>
      <c r="T288" s="54"/>
      <c r="U288" s="54"/>
      <c r="V288" s="54"/>
      <c r="W288" s="54"/>
      <c r="X288" s="54"/>
    </row>
    <row r="289" spans="1:24">
      <c r="A289" s="37"/>
      <c r="B289" s="37"/>
      <c r="C289" s="37"/>
      <c r="D289" s="37" t="s">
        <v>368</v>
      </c>
      <c r="E289" s="112"/>
      <c r="F289" s="42"/>
      <c r="G289" s="43"/>
      <c r="H289" s="43"/>
      <c r="I289" s="44"/>
      <c r="J289" s="112"/>
      <c r="K289" s="44"/>
      <c r="L289" s="44"/>
      <c r="M289" s="112"/>
      <c r="N289" s="44"/>
      <c r="O289" s="44"/>
      <c r="P289" s="112"/>
      <c r="Q289" s="44"/>
      <c r="R289" s="44"/>
      <c r="S289" s="112"/>
      <c r="T289" s="44"/>
      <c r="U289" s="44"/>
      <c r="V289" s="44"/>
      <c r="W289" s="44"/>
      <c r="X289" s="44"/>
    </row>
    <row r="290" spans="1:24">
      <c r="A290" s="442" t="s">
        <v>497</v>
      </c>
      <c r="B290" s="7">
        <v>70015</v>
      </c>
      <c r="C290" s="7" t="s">
        <v>488</v>
      </c>
      <c r="D290" s="7" t="str">
        <f>$D$35</f>
        <v>Fringe Benefits CCN - Nigeria</v>
      </c>
      <c r="E290" s="103"/>
      <c r="F290" s="68" t="s">
        <v>109</v>
      </c>
      <c r="G290" s="40"/>
      <c r="H290" s="433">
        <f>$H$35</f>
        <v>0.29599999999999999</v>
      </c>
      <c r="I290" s="40">
        <f>SUM(I268:I280)*$H$290</f>
        <v>15952.92</v>
      </c>
      <c r="J290" s="103"/>
      <c r="K290" s="40"/>
      <c r="L290" s="40">
        <f>SUM(L268:L280)*$H$290</f>
        <v>31328.639999999999</v>
      </c>
      <c r="M290" s="103"/>
      <c r="N290" s="40"/>
      <c r="O290" s="40">
        <f>SUM(O268:O280)*$H$290</f>
        <v>32895.072</v>
      </c>
      <c r="P290" s="103"/>
      <c r="Q290" s="40"/>
      <c r="R290" s="40">
        <f>SUM(R268:R280)*$H$290</f>
        <v>7349.992650000001</v>
      </c>
      <c r="S290" s="103"/>
      <c r="T290" s="40"/>
      <c r="U290" s="40">
        <f>SUM(U268:U280)*$H$290</f>
        <v>0</v>
      </c>
      <c r="V290" s="40">
        <f>SUM(R290,O290,L290,I290,U290)</f>
        <v>87526.624649999998</v>
      </c>
      <c r="W290" s="54">
        <v>0</v>
      </c>
      <c r="X290" s="40">
        <f>SUM(V290:W290)</f>
        <v>87526.624649999998</v>
      </c>
    </row>
    <row r="291" spans="1:24">
      <c r="A291" s="7" t="s">
        <v>497</v>
      </c>
      <c r="B291" s="7">
        <v>50900</v>
      </c>
      <c r="C291" s="7" t="s">
        <v>450</v>
      </c>
      <c r="D291" s="7" t="str">
        <f>$D$36</f>
        <v>Fringe Benefits - HO</v>
      </c>
      <c r="E291" s="103"/>
      <c r="F291" s="68" t="s">
        <v>109</v>
      </c>
      <c r="G291" s="40"/>
      <c r="H291" s="433">
        <f>$H$36</f>
        <v>0.23469999999999999</v>
      </c>
      <c r="I291" s="40">
        <f>(SUM(I282:I286))*$H$291</f>
        <v>5355.8540000000003</v>
      </c>
      <c r="J291" s="103"/>
      <c r="K291" s="40"/>
      <c r="L291" s="40">
        <f>(SUM(L282:L286))*$H$291</f>
        <v>11365.582199999999</v>
      </c>
      <c r="M291" s="103"/>
      <c r="N291" s="40"/>
      <c r="O291" s="40">
        <f>(SUM(O282:O286))*$H$291</f>
        <v>11933.86131</v>
      </c>
      <c r="P291" s="103"/>
      <c r="Q291" s="40"/>
      <c r="R291" s="40">
        <f>(SUM(R282:R286))*$H$291</f>
        <v>12530.5543755</v>
      </c>
      <c r="S291" s="103"/>
      <c r="T291" s="40"/>
      <c r="U291" s="40">
        <f>(SUM(U282:U286))*$H$291</f>
        <v>0</v>
      </c>
      <c r="V291" s="40">
        <f>SUM(R291,O291,L291,I291,U291)</f>
        <v>41185.8518855</v>
      </c>
      <c r="W291" s="54">
        <v>0</v>
      </c>
      <c r="X291" s="40">
        <f>SUM(V291:W291)</f>
        <v>41185.8518855</v>
      </c>
    </row>
    <row r="292" spans="1:24">
      <c r="A292" s="37"/>
      <c r="B292" s="37"/>
      <c r="C292" s="37"/>
      <c r="D292" s="37" t="s">
        <v>369</v>
      </c>
      <c r="E292" s="112"/>
      <c r="F292" s="42"/>
      <c r="G292" s="43"/>
      <c r="H292" s="43"/>
      <c r="I292" s="44">
        <f>SUM(I290:I291)</f>
        <v>21308.774000000001</v>
      </c>
      <c r="J292" s="112"/>
      <c r="K292" s="44"/>
      <c r="L292" s="44">
        <f>SUM(L290:L291)</f>
        <v>42694.222199999997</v>
      </c>
      <c r="M292" s="112"/>
      <c r="N292" s="44"/>
      <c r="O292" s="44">
        <f>SUM(O290:O291)</f>
        <v>44828.93331</v>
      </c>
      <c r="P292" s="112"/>
      <c r="Q292" s="44"/>
      <c r="R292" s="44">
        <f>SUM(R290:R291)</f>
        <v>19880.5470255</v>
      </c>
      <c r="S292" s="112"/>
      <c r="T292" s="44"/>
      <c r="U292" s="44">
        <f>SUM(U290:U291)</f>
        <v>0</v>
      </c>
      <c r="V292" s="44">
        <f>SUM(V290:V291)</f>
        <v>128712.4765355</v>
      </c>
      <c r="W292" s="44">
        <f>SUM(W290:W291)</f>
        <v>0</v>
      </c>
      <c r="X292" s="44">
        <f>SUM(X290:X291)</f>
        <v>128712.4765355</v>
      </c>
    </row>
    <row r="293" spans="1:24">
      <c r="A293" s="90"/>
      <c r="B293" s="90"/>
      <c r="C293" s="90"/>
      <c r="D293" s="90"/>
      <c r="E293" s="113"/>
      <c r="F293" s="67"/>
      <c r="G293" s="54"/>
      <c r="H293" s="54"/>
      <c r="I293" s="54"/>
      <c r="J293" s="113"/>
      <c r="K293" s="54"/>
      <c r="L293" s="54"/>
      <c r="M293" s="113"/>
      <c r="N293" s="54"/>
      <c r="O293" s="54"/>
      <c r="P293" s="113"/>
      <c r="Q293" s="54"/>
      <c r="R293" s="54"/>
      <c r="S293" s="113"/>
      <c r="T293" s="54"/>
      <c r="U293" s="54"/>
      <c r="V293" s="54"/>
      <c r="W293" s="54"/>
      <c r="X293" s="54"/>
    </row>
    <row r="294" spans="1:24">
      <c r="A294" s="37"/>
      <c r="B294" s="37"/>
      <c r="C294" s="37"/>
      <c r="D294" s="37" t="s">
        <v>370</v>
      </c>
      <c r="E294" s="112"/>
      <c r="F294" s="42"/>
      <c r="G294" s="43"/>
      <c r="H294" s="43"/>
      <c r="I294" s="43"/>
      <c r="J294" s="112"/>
      <c r="K294" s="43"/>
      <c r="L294" s="43"/>
      <c r="M294" s="112"/>
      <c r="N294" s="43"/>
      <c r="O294" s="43"/>
      <c r="P294" s="112"/>
      <c r="Q294" s="43"/>
      <c r="R294" s="43"/>
      <c r="S294" s="112"/>
      <c r="T294" s="43"/>
      <c r="U294" s="43"/>
      <c r="V294" s="43"/>
      <c r="W294" s="43"/>
      <c r="X294" s="43"/>
    </row>
    <row r="295" spans="1:24">
      <c r="A295" s="7" t="s">
        <v>498</v>
      </c>
      <c r="B295" s="7">
        <v>86110</v>
      </c>
      <c r="C295" s="7" t="s">
        <v>488</v>
      </c>
      <c r="D295" s="7" t="s">
        <v>250</v>
      </c>
      <c r="E295" s="106"/>
      <c r="F295" s="45" t="s">
        <v>246</v>
      </c>
      <c r="G295" s="40">
        <v>1</v>
      </c>
      <c r="H295" s="40">
        <v>2000</v>
      </c>
      <c r="I295" s="40">
        <f>G295*H295</f>
        <v>2000</v>
      </c>
      <c r="J295" s="106"/>
      <c r="K295" s="40">
        <v>1</v>
      </c>
      <c r="L295" s="40">
        <f>K295*H295</f>
        <v>2000</v>
      </c>
      <c r="M295" s="106"/>
      <c r="N295" s="40">
        <v>1</v>
      </c>
      <c r="O295" s="40">
        <f>N295*H295</f>
        <v>2000</v>
      </c>
      <c r="P295" s="106"/>
      <c r="Q295" s="40">
        <v>1</v>
      </c>
      <c r="R295" s="40">
        <f>Q295*H295</f>
        <v>2000</v>
      </c>
      <c r="S295" s="106"/>
      <c r="T295" s="40">
        <v>0</v>
      </c>
      <c r="U295" s="40">
        <f>T295*H295</f>
        <v>0</v>
      </c>
      <c r="V295" s="40">
        <f>SUM(R295,O295,L295,I295,U295)</f>
        <v>8000</v>
      </c>
      <c r="W295" s="40">
        <v>0</v>
      </c>
      <c r="X295" s="40">
        <f>V295+W295</f>
        <v>8000</v>
      </c>
    </row>
    <row r="296" spans="1:24">
      <c r="A296" s="37"/>
      <c r="B296" s="37"/>
      <c r="C296" s="37"/>
      <c r="D296" s="37" t="s">
        <v>371</v>
      </c>
      <c r="E296" s="112"/>
      <c r="F296" s="42"/>
      <c r="G296" s="43"/>
      <c r="H296" s="44"/>
      <c r="I296" s="44">
        <f>SUM(I295:I295)</f>
        <v>2000</v>
      </c>
      <c r="J296" s="115"/>
      <c r="K296" s="44"/>
      <c r="L296" s="44">
        <f>SUM(L295:L295)</f>
        <v>2000</v>
      </c>
      <c r="M296" s="115"/>
      <c r="N296" s="44"/>
      <c r="O296" s="44">
        <f>SUM(O295:O295)</f>
        <v>2000</v>
      </c>
      <c r="P296" s="115"/>
      <c r="Q296" s="44"/>
      <c r="R296" s="44">
        <f>SUM(R295:R295)</f>
        <v>2000</v>
      </c>
      <c r="S296" s="115"/>
      <c r="T296" s="44"/>
      <c r="U296" s="44">
        <f>SUM(U295:U295)</f>
        <v>0</v>
      </c>
      <c r="V296" s="44">
        <f>SUM(V295:V295)</f>
        <v>8000</v>
      </c>
      <c r="W296" s="44">
        <f>SUM(W295:W295)</f>
        <v>0</v>
      </c>
      <c r="X296" s="44">
        <f>SUM(X295:X295)</f>
        <v>8000</v>
      </c>
    </row>
    <row r="297" spans="1:24">
      <c r="A297" s="90"/>
      <c r="B297" s="90"/>
      <c r="C297" s="90"/>
      <c r="D297" s="90"/>
      <c r="E297" s="113"/>
      <c r="F297" s="67"/>
      <c r="G297" s="54"/>
      <c r="H297" s="54"/>
      <c r="I297" s="54"/>
      <c r="J297" s="113"/>
      <c r="K297" s="54"/>
      <c r="L297" s="54"/>
      <c r="M297" s="113"/>
      <c r="N297" s="54"/>
      <c r="O297" s="54"/>
      <c r="P297" s="113"/>
      <c r="Q297" s="54"/>
      <c r="R297" s="54"/>
      <c r="S297" s="113"/>
      <c r="T297" s="54"/>
      <c r="U297" s="54"/>
      <c r="V297" s="54"/>
      <c r="W297" s="54"/>
      <c r="X297" s="54"/>
    </row>
    <row r="298" spans="1:24" hidden="1">
      <c r="A298" s="37"/>
      <c r="B298" s="37"/>
      <c r="C298" s="37"/>
      <c r="D298" s="37" t="s">
        <v>372</v>
      </c>
      <c r="E298" s="112"/>
      <c r="F298" s="42"/>
      <c r="G298" s="43"/>
      <c r="H298" s="43"/>
      <c r="I298" s="43"/>
      <c r="J298" s="112"/>
      <c r="K298" s="43"/>
      <c r="L298" s="43"/>
      <c r="M298" s="112"/>
      <c r="N298" s="43"/>
      <c r="O298" s="43"/>
      <c r="P298" s="112"/>
      <c r="Q298" s="43"/>
      <c r="R298" s="43"/>
      <c r="S298" s="112"/>
      <c r="T298" s="43"/>
      <c r="U298" s="43"/>
      <c r="V298" s="43"/>
      <c r="W298" s="43"/>
      <c r="X298" s="43"/>
    </row>
    <row r="299" spans="1:24" hidden="1">
      <c r="D299" s="7" t="s">
        <v>75</v>
      </c>
      <c r="E299" s="106"/>
      <c r="F299" s="46" t="s">
        <v>146</v>
      </c>
      <c r="G299" s="40">
        <v>0</v>
      </c>
      <c r="H299" s="40">
        <v>0</v>
      </c>
      <c r="I299" s="40">
        <f>G299*H299</f>
        <v>0</v>
      </c>
      <c r="J299" s="106"/>
      <c r="K299" s="40">
        <v>0</v>
      </c>
      <c r="L299" s="40">
        <f>K299*H299</f>
        <v>0</v>
      </c>
      <c r="M299" s="106"/>
      <c r="N299" s="40">
        <v>0</v>
      </c>
      <c r="O299" s="40">
        <f>N299*H299</f>
        <v>0</v>
      </c>
      <c r="P299" s="106"/>
      <c r="Q299" s="40">
        <v>0</v>
      </c>
      <c r="R299" s="40">
        <f>Q299*H299</f>
        <v>0</v>
      </c>
      <c r="S299" s="106"/>
      <c r="T299" s="40">
        <v>0</v>
      </c>
      <c r="U299" s="40">
        <f>T299*K299</f>
        <v>0</v>
      </c>
      <c r="V299" s="40">
        <f>SUM(R299,O299,L299,I299,U299)</f>
        <v>0</v>
      </c>
      <c r="W299" s="40">
        <v>0</v>
      </c>
      <c r="X299" s="40">
        <f>V299+W299</f>
        <v>0</v>
      </c>
    </row>
    <row r="300" spans="1:24" hidden="1">
      <c r="A300" s="37"/>
      <c r="B300" s="37"/>
      <c r="C300" s="37"/>
      <c r="D300" s="37" t="s">
        <v>373</v>
      </c>
      <c r="E300" s="112"/>
      <c r="F300" s="42"/>
      <c r="G300" s="43"/>
      <c r="H300" s="44"/>
      <c r="I300" s="44">
        <f>SUM(I299:I299)</f>
        <v>0</v>
      </c>
      <c r="J300" s="115"/>
      <c r="K300" s="44"/>
      <c r="L300" s="44">
        <f>SUM(L299:L299)</f>
        <v>0</v>
      </c>
      <c r="M300" s="115"/>
      <c r="N300" s="44"/>
      <c r="O300" s="44">
        <f>SUM(O299:O299)</f>
        <v>0</v>
      </c>
      <c r="P300" s="115"/>
      <c r="Q300" s="44"/>
      <c r="R300" s="44">
        <f>SUM(R299:R299)</f>
        <v>0</v>
      </c>
      <c r="S300" s="115"/>
      <c r="T300" s="44"/>
      <c r="U300" s="44">
        <f>SUM(U299:U299)</f>
        <v>0</v>
      </c>
      <c r="V300" s="44">
        <f>SUM(V299:V299)</f>
        <v>0</v>
      </c>
      <c r="W300" s="44">
        <f>SUM(W299:W299)</f>
        <v>0</v>
      </c>
      <c r="X300" s="44">
        <f>SUM(X299:X299)</f>
        <v>0</v>
      </c>
    </row>
    <row r="301" spans="1:24" hidden="1">
      <c r="A301" s="90"/>
      <c r="B301" s="90"/>
      <c r="C301" s="90"/>
      <c r="D301" s="90"/>
      <c r="E301" s="113"/>
      <c r="F301" s="67"/>
      <c r="G301" s="54"/>
      <c r="H301" s="54"/>
      <c r="I301" s="54"/>
      <c r="J301" s="113"/>
      <c r="K301" s="54"/>
      <c r="L301" s="54"/>
      <c r="M301" s="113"/>
      <c r="N301" s="54"/>
      <c r="O301" s="54"/>
      <c r="P301" s="113"/>
      <c r="Q301" s="54"/>
      <c r="R301" s="54"/>
      <c r="S301" s="113"/>
      <c r="T301" s="54"/>
      <c r="U301" s="54"/>
      <c r="V301" s="54"/>
      <c r="W301" s="54"/>
      <c r="X301" s="54"/>
    </row>
    <row r="302" spans="1:24">
      <c r="A302" s="37"/>
      <c r="B302" s="37"/>
      <c r="C302" s="37"/>
      <c r="D302" s="37" t="s">
        <v>374</v>
      </c>
      <c r="E302" s="112"/>
      <c r="F302" s="42"/>
      <c r="G302" s="43"/>
      <c r="H302" s="43"/>
      <c r="I302" s="43"/>
      <c r="J302" s="112"/>
      <c r="K302" s="43"/>
      <c r="L302" s="43"/>
      <c r="M302" s="112"/>
      <c r="N302" s="43"/>
      <c r="O302" s="43"/>
      <c r="P302" s="112"/>
      <c r="Q302" s="43"/>
      <c r="R302" s="43"/>
      <c r="S302" s="112"/>
      <c r="T302" s="43"/>
      <c r="U302" s="43"/>
      <c r="V302" s="43"/>
      <c r="W302" s="43"/>
      <c r="X302" s="43"/>
    </row>
    <row r="303" spans="1:24">
      <c r="A303" s="7" t="s">
        <v>504</v>
      </c>
      <c r="B303" s="7">
        <v>86000</v>
      </c>
      <c r="C303" s="7" t="s">
        <v>488</v>
      </c>
      <c r="D303" s="7" t="s">
        <v>311</v>
      </c>
      <c r="E303" s="106"/>
      <c r="F303" s="7" t="s">
        <v>147</v>
      </c>
      <c r="G303" s="40">
        <f>G$54</f>
        <v>3</v>
      </c>
      <c r="H303" s="40">
        <v>60</v>
      </c>
      <c r="I303" s="40">
        <f t="shared" ref="I303" si="262">G303*H303</f>
        <v>180</v>
      </c>
      <c r="J303" s="40"/>
      <c r="K303" s="40">
        <f>K$54</f>
        <v>12</v>
      </c>
      <c r="L303" s="40">
        <f t="shared" ref="L303:L304" si="263">H303*K303*$E$6</f>
        <v>756</v>
      </c>
      <c r="M303" s="106"/>
      <c r="N303" s="40">
        <f>N$54</f>
        <v>12</v>
      </c>
      <c r="O303" s="40">
        <f t="shared" ref="O303:O304" si="264">H303*N303*$E$6*$E$6</f>
        <v>793.80000000000007</v>
      </c>
      <c r="P303" s="106"/>
      <c r="Q303" s="40">
        <f>Q$54</f>
        <v>12</v>
      </c>
      <c r="R303" s="40">
        <f t="shared" ref="R303:R304" si="265">H303*Q303*$E$6*$E$6*$E$6</f>
        <v>833.49000000000012</v>
      </c>
      <c r="S303" s="106"/>
      <c r="T303" s="40">
        <f>T$54</f>
        <v>0</v>
      </c>
      <c r="U303" s="40">
        <f t="shared" ref="U303" si="266">H303*T303*$E$6*$E$6*$E$6*$E$6</f>
        <v>0</v>
      </c>
      <c r="V303" s="40">
        <f t="shared" ref="V303:V304" si="267">SUM(R303,O303,L303,I303,U303)</f>
        <v>2563.29</v>
      </c>
      <c r="W303" s="40" t="s">
        <v>226</v>
      </c>
      <c r="X303" s="40">
        <f t="shared" ref="X303" si="268">SUM(V303:W303)</f>
        <v>2563.29</v>
      </c>
    </row>
    <row r="304" spans="1:24">
      <c r="A304" s="7" t="s">
        <v>513</v>
      </c>
      <c r="B304" s="7">
        <v>86000</v>
      </c>
      <c r="C304" s="7" t="s">
        <v>488</v>
      </c>
      <c r="D304" s="7" t="s">
        <v>312</v>
      </c>
      <c r="F304" s="7" t="s">
        <v>147</v>
      </c>
      <c r="G304" s="40">
        <v>6</v>
      </c>
      <c r="H304" s="40">
        <v>300</v>
      </c>
      <c r="I304" s="40">
        <f>G304*H304</f>
        <v>1800</v>
      </c>
      <c r="J304" s="108"/>
      <c r="K304" s="40">
        <v>12</v>
      </c>
      <c r="L304" s="40">
        <f t="shared" si="263"/>
        <v>3780</v>
      </c>
      <c r="M304" s="108"/>
      <c r="N304" s="40">
        <v>12</v>
      </c>
      <c r="O304" s="40">
        <f t="shared" si="264"/>
        <v>3969</v>
      </c>
      <c r="P304" s="108"/>
      <c r="Q304" s="40">
        <v>12</v>
      </c>
      <c r="R304" s="40">
        <f t="shared" si="265"/>
        <v>4167.45</v>
      </c>
      <c r="S304" s="108"/>
      <c r="T304" s="40">
        <v>0</v>
      </c>
      <c r="U304" s="40">
        <f t="shared" ref="U304" si="269">T304*H304*$E$6*$E$6*$E$6*$E$6</f>
        <v>0</v>
      </c>
      <c r="V304" s="40">
        <f t="shared" si="267"/>
        <v>13716.45</v>
      </c>
      <c r="W304" s="40" t="s">
        <v>226</v>
      </c>
      <c r="X304" s="40">
        <f>SUM(V304:W304)</f>
        <v>13716.45</v>
      </c>
    </row>
    <row r="305" spans="1:27">
      <c r="A305" s="7" t="s">
        <v>508</v>
      </c>
      <c r="B305" s="7">
        <v>86040</v>
      </c>
      <c r="C305" s="7" t="s">
        <v>488</v>
      </c>
      <c r="D305" s="7" t="s">
        <v>375</v>
      </c>
      <c r="F305" s="7" t="s">
        <v>139</v>
      </c>
      <c r="G305" s="40">
        <v>6</v>
      </c>
      <c r="H305" s="40">
        <v>250</v>
      </c>
      <c r="I305" s="40">
        <f>G305*H305</f>
        <v>1500</v>
      </c>
      <c r="J305" s="108"/>
      <c r="K305" s="40">
        <v>12</v>
      </c>
      <c r="L305" s="40">
        <f>H305*K305*$E$6</f>
        <v>3150</v>
      </c>
      <c r="M305" s="108"/>
      <c r="N305" s="40">
        <v>12</v>
      </c>
      <c r="O305" s="40">
        <f>H305*N305*$E$6*$E$6</f>
        <v>3307.5</v>
      </c>
      <c r="P305" s="108"/>
      <c r="Q305" s="40">
        <v>12</v>
      </c>
      <c r="R305" s="40">
        <f>H305*Q305*$E$6*$E$6*$E$6</f>
        <v>3472.875</v>
      </c>
      <c r="S305" s="108"/>
      <c r="T305" s="40">
        <v>0</v>
      </c>
      <c r="U305" s="40">
        <f>T305*H305*$E$6*$E$6*$E$6*$E$6</f>
        <v>0</v>
      </c>
      <c r="V305" s="40">
        <f>SUM(R305,O305,L305,I305,U305)</f>
        <v>11430.375</v>
      </c>
      <c r="W305" s="40" t="s">
        <v>226</v>
      </c>
      <c r="X305" s="40">
        <f>SUM(V305:W305)</f>
        <v>11430.375</v>
      </c>
    </row>
    <row r="306" spans="1:27">
      <c r="A306" s="7" t="s">
        <v>508</v>
      </c>
      <c r="B306" s="7">
        <v>86000</v>
      </c>
      <c r="C306" s="7" t="s">
        <v>488</v>
      </c>
      <c r="D306" s="7" t="s">
        <v>376</v>
      </c>
      <c r="F306" s="7" t="s">
        <v>139</v>
      </c>
      <c r="G306" s="40">
        <f>G305</f>
        <v>6</v>
      </c>
      <c r="H306" s="40">
        <v>30</v>
      </c>
      <c r="I306" s="40">
        <f>G306*H306</f>
        <v>180</v>
      </c>
      <c r="J306" s="108"/>
      <c r="K306" s="40">
        <f>K305</f>
        <v>12</v>
      </c>
      <c r="L306" s="40">
        <f>H306*K306*$E$6</f>
        <v>378</v>
      </c>
      <c r="M306" s="108"/>
      <c r="N306" s="40">
        <f>N305</f>
        <v>12</v>
      </c>
      <c r="O306" s="40">
        <f>H306*N306*$E$6*$E$6</f>
        <v>396.90000000000003</v>
      </c>
      <c r="P306" s="108"/>
      <c r="Q306" s="40">
        <f>Q305</f>
        <v>12</v>
      </c>
      <c r="R306" s="40">
        <f>H306*Q306*$E$6*$E$6*$E$6</f>
        <v>416.74500000000006</v>
      </c>
      <c r="S306" s="108"/>
      <c r="T306" s="40">
        <v>0</v>
      </c>
      <c r="U306" s="40">
        <f>T306*H306*$E$6*$E$6*$E$6*$E$6</f>
        <v>0</v>
      </c>
      <c r="V306" s="40">
        <f>SUM(R306,O306,L306,I306,U306)</f>
        <v>1371.645</v>
      </c>
      <c r="W306" s="40" t="s">
        <v>226</v>
      </c>
      <c r="X306" s="40">
        <f>SUM(V306:W306)</f>
        <v>1371.645</v>
      </c>
    </row>
    <row r="307" spans="1:27" ht="25.2">
      <c r="A307" s="7" t="s">
        <v>508</v>
      </c>
      <c r="B307" s="864" t="s">
        <v>506</v>
      </c>
      <c r="C307" s="7" t="s">
        <v>488</v>
      </c>
      <c r="D307" s="7" t="s">
        <v>377</v>
      </c>
      <c r="F307" s="7" t="s">
        <v>132</v>
      </c>
      <c r="G307" s="40">
        <f>3*G306</f>
        <v>18</v>
      </c>
      <c r="H307" s="40">
        <f>(131*50%)+80</f>
        <v>145.5</v>
      </c>
      <c r="I307" s="40">
        <f>G307*H307</f>
        <v>2619</v>
      </c>
      <c r="J307" s="108"/>
      <c r="K307" s="40">
        <f>3*K306</f>
        <v>36</v>
      </c>
      <c r="L307" s="40">
        <f>H307*K307*$E$6</f>
        <v>5499.9000000000005</v>
      </c>
      <c r="M307" s="108"/>
      <c r="N307" s="40">
        <f>3*N306</f>
        <v>36</v>
      </c>
      <c r="O307" s="40">
        <f>H307*N307*$E$6*$E$6</f>
        <v>5774.8950000000004</v>
      </c>
      <c r="P307" s="108"/>
      <c r="Q307" s="40">
        <f>3*Q306</f>
        <v>36</v>
      </c>
      <c r="R307" s="40">
        <f>H307*Q307*$E$6*$E$6*$E$6</f>
        <v>6063.6397500000003</v>
      </c>
      <c r="S307" s="108"/>
      <c r="T307" s="40">
        <f>4*T306</f>
        <v>0</v>
      </c>
      <c r="U307" s="40">
        <f>T307*H307*$E$6*$E$6*$E$6*$E$6</f>
        <v>0</v>
      </c>
      <c r="V307" s="40">
        <f>SUM(R307,O307,L307,I307,U307)</f>
        <v>19957.43475</v>
      </c>
      <c r="W307" s="40" t="s">
        <v>226</v>
      </c>
      <c r="X307" s="40">
        <f>SUM(V307:W307)</f>
        <v>19957.43475</v>
      </c>
    </row>
    <row r="308" spans="1:27">
      <c r="A308" s="37"/>
      <c r="B308" s="37"/>
      <c r="C308" s="37"/>
      <c r="D308" s="37" t="s">
        <v>378</v>
      </c>
      <c r="E308" s="112"/>
      <c r="F308" s="42"/>
      <c r="G308" s="43"/>
      <c r="H308" s="44"/>
      <c r="I308" s="44">
        <f>SUM(I303:I307)</f>
        <v>6279</v>
      </c>
      <c r="J308" s="112"/>
      <c r="K308" s="44"/>
      <c r="L308" s="44">
        <f>SUM(L303:L307)</f>
        <v>13563.900000000001</v>
      </c>
      <c r="M308" s="112"/>
      <c r="N308" s="44"/>
      <c r="O308" s="44">
        <f>SUM(O303:O307)</f>
        <v>14242.095000000001</v>
      </c>
      <c r="P308" s="112"/>
      <c r="Q308" s="44"/>
      <c r="R308" s="44">
        <f>SUM(R303:R307)</f>
        <v>14954.19975</v>
      </c>
      <c r="S308" s="112"/>
      <c r="T308" s="44"/>
      <c r="U308" s="44">
        <f>SUM(U303:U307)</f>
        <v>0</v>
      </c>
      <c r="V308" s="44">
        <f>SUM(V303:V307)</f>
        <v>49039.194750000002</v>
      </c>
      <c r="W308" s="44">
        <f>SUM(W303:W307)</f>
        <v>0</v>
      </c>
      <c r="X308" s="44">
        <f>SUM(X303:X307)</f>
        <v>49039.194750000002</v>
      </c>
    </row>
    <row r="309" spans="1:27">
      <c r="A309" s="90"/>
      <c r="B309" s="90"/>
      <c r="C309" s="90"/>
      <c r="D309" s="90"/>
      <c r="E309" s="113"/>
      <c r="F309" s="67"/>
      <c r="G309" s="54"/>
      <c r="H309" s="54"/>
      <c r="I309" s="54"/>
      <c r="J309" s="113"/>
      <c r="K309" s="54"/>
      <c r="L309" s="54"/>
      <c r="M309" s="113"/>
      <c r="N309" s="54"/>
      <c r="O309" s="54"/>
      <c r="P309" s="113"/>
      <c r="Q309" s="54"/>
      <c r="R309" s="54"/>
      <c r="S309" s="113"/>
      <c r="T309" s="54"/>
      <c r="U309" s="54"/>
      <c r="V309" s="54"/>
      <c r="W309" s="54"/>
      <c r="X309" s="54"/>
      <c r="Z309" s="417"/>
      <c r="AA309" s="56"/>
    </row>
    <row r="310" spans="1:27">
      <c r="A310" s="37"/>
      <c r="B310" s="37"/>
      <c r="C310" s="37"/>
      <c r="D310" s="37" t="s">
        <v>379</v>
      </c>
      <c r="E310" s="112"/>
      <c r="F310" s="42"/>
      <c r="G310" s="43"/>
      <c r="H310" s="44"/>
      <c r="I310" s="44"/>
      <c r="J310" s="112"/>
      <c r="K310" s="44"/>
      <c r="L310" s="44"/>
      <c r="M310" s="112"/>
      <c r="N310" s="44"/>
      <c r="O310" s="44"/>
      <c r="P310" s="112"/>
      <c r="Q310" s="44"/>
      <c r="R310" s="44"/>
      <c r="S310" s="112"/>
      <c r="T310" s="44"/>
      <c r="U310" s="44"/>
      <c r="V310" s="44"/>
      <c r="W310" s="44"/>
      <c r="X310" s="44"/>
      <c r="Z310" s="417"/>
      <c r="AA310" s="56"/>
    </row>
    <row r="311" spans="1:27">
      <c r="A311" s="77"/>
      <c r="B311" s="77"/>
      <c r="C311" s="77"/>
      <c r="D311" s="77" t="s">
        <v>102</v>
      </c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AA311" s="56"/>
    </row>
    <row r="312" spans="1:27">
      <c r="A312" s="7" t="s">
        <v>509</v>
      </c>
      <c r="B312" s="7">
        <v>89050</v>
      </c>
      <c r="C312" s="7" t="s">
        <v>450</v>
      </c>
      <c r="D312" s="7" t="s">
        <v>380</v>
      </c>
      <c r="E312" s="106"/>
      <c r="F312" s="46" t="s">
        <v>122</v>
      </c>
      <c r="G312" s="40">
        <v>1</v>
      </c>
      <c r="H312" s="40"/>
      <c r="I312" s="40">
        <f>'CABI Sub Budget'!F60</f>
        <v>53354</v>
      </c>
      <c r="J312" s="106"/>
      <c r="K312" s="40">
        <v>1</v>
      </c>
      <c r="L312" s="40">
        <f>'CABI Sub Budget'!J60</f>
        <v>315067.5307692308</v>
      </c>
      <c r="M312" s="106"/>
      <c r="N312" s="40">
        <v>1</v>
      </c>
      <c r="O312" s="40">
        <f>'CABI Sub Budget'!N60</f>
        <v>69765.442307692312</v>
      </c>
      <c r="P312" s="106"/>
      <c r="Q312" s="40">
        <v>0</v>
      </c>
      <c r="R312" s="40">
        <f>'CABI Sub Budget'!R60</f>
        <v>0</v>
      </c>
      <c r="S312" s="106"/>
      <c r="T312" s="40">
        <v>0</v>
      </c>
      <c r="U312" s="40">
        <v>0</v>
      </c>
      <c r="V312" s="40">
        <f t="shared" ref="V312" si="270">SUM(R312,O312,L312,I312,U312)</f>
        <v>438186.97307692311</v>
      </c>
      <c r="W312" s="40">
        <v>0</v>
      </c>
      <c r="X312" s="40">
        <f t="shared" ref="X312" si="271">V312+W312</f>
        <v>438186.97307692311</v>
      </c>
    </row>
    <row r="313" spans="1:27">
      <c r="A313" s="37"/>
      <c r="B313" s="37"/>
      <c r="C313" s="37"/>
      <c r="D313" s="37" t="s">
        <v>381</v>
      </c>
      <c r="E313" s="112"/>
      <c r="F313" s="42"/>
      <c r="G313" s="43"/>
      <c r="H313" s="44"/>
      <c r="I313" s="44">
        <f>SUM(I311:I312)</f>
        <v>53354</v>
      </c>
      <c r="J313" s="115"/>
      <c r="K313" s="44"/>
      <c r="L313" s="44">
        <f>SUM(L311:L312)</f>
        <v>315067.5307692308</v>
      </c>
      <c r="M313" s="115"/>
      <c r="N313" s="44"/>
      <c r="O313" s="44">
        <f>SUM(O311:O312)</f>
        <v>69765.442307692312</v>
      </c>
      <c r="P313" s="115"/>
      <c r="Q313" s="44"/>
      <c r="R313" s="44">
        <f>SUM(R311:R312)</f>
        <v>0</v>
      </c>
      <c r="S313" s="115"/>
      <c r="T313" s="44"/>
      <c r="U313" s="44">
        <f>SUM(U311:U312)</f>
        <v>0</v>
      </c>
      <c r="V313" s="44">
        <f>SUM(V311:V312)</f>
        <v>438186.97307692311</v>
      </c>
      <c r="W313" s="44">
        <f>SUM(W311:W312)</f>
        <v>0</v>
      </c>
      <c r="X313" s="44">
        <f>SUM(X311:X312)</f>
        <v>438186.97307692311</v>
      </c>
    </row>
    <row r="314" spans="1:27">
      <c r="A314" s="41"/>
      <c r="B314" s="41"/>
      <c r="C314" s="41"/>
      <c r="D314" s="41"/>
      <c r="E314" s="106"/>
      <c r="F314" s="45"/>
      <c r="G314" s="40"/>
      <c r="H314" s="40"/>
      <c r="I314" s="40"/>
      <c r="J314" s="106"/>
      <c r="K314" s="40"/>
      <c r="L314" s="40"/>
      <c r="M314" s="106"/>
      <c r="N314" s="40"/>
      <c r="O314" s="40"/>
      <c r="P314" s="106"/>
      <c r="Q314" s="40"/>
      <c r="R314" s="40"/>
      <c r="S314" s="106"/>
      <c r="T314" s="40"/>
      <c r="U314" s="40"/>
      <c r="V314" s="40"/>
      <c r="W314" s="40"/>
      <c r="X314" s="49"/>
    </row>
    <row r="315" spans="1:27" ht="12.9" thickBot="1">
      <c r="A315" s="402"/>
      <c r="B315" s="402"/>
      <c r="C315" s="402"/>
      <c r="D315" s="402" t="s">
        <v>382</v>
      </c>
      <c r="E315" s="405"/>
      <c r="F315" s="402"/>
      <c r="G315" s="411"/>
      <c r="H315" s="411"/>
      <c r="I315" s="408">
        <f>SUM(I313+I296+I292+I287+I300+I308)</f>
        <v>159656.774</v>
      </c>
      <c r="J315" s="405"/>
      <c r="K315" s="408"/>
      <c r="L315" s="408">
        <f>SUM(L313+L296+L292+L287+L300+L308)</f>
        <v>527591.65296923078</v>
      </c>
      <c r="M315" s="405"/>
      <c r="N315" s="408"/>
      <c r="O315" s="408">
        <f>SUM(O313+O296+O292+O287+O300+O308)</f>
        <v>292815.77061769227</v>
      </c>
      <c r="P315" s="405"/>
      <c r="Q315" s="408"/>
      <c r="R315" s="408">
        <f>SUM(R313+R296+R292+R287+R300+R308)</f>
        <v>115055.4680255</v>
      </c>
      <c r="S315" s="405"/>
      <c r="T315" s="408"/>
      <c r="U315" s="408">
        <f>SUM(U313+U296+U292+U287+U300+U308)</f>
        <v>0</v>
      </c>
      <c r="V315" s="408">
        <f>SUM(V313+V296+V292+V287+V300+V308)</f>
        <v>1095119.6656124231</v>
      </c>
      <c r="W315" s="408">
        <f>SUM(W313+W296+W292+W287+W300+W308)</f>
        <v>0</v>
      </c>
      <c r="X315" s="408">
        <f>SUM(X313+X296+X292+X287+X300+X308)</f>
        <v>1095119.6656124231</v>
      </c>
      <c r="Y315" s="416"/>
    </row>
    <row r="316" spans="1:27">
      <c r="A316" s="67"/>
      <c r="B316" s="67"/>
      <c r="C316" s="67"/>
      <c r="D316" s="67"/>
      <c r="E316" s="104"/>
      <c r="F316" s="67"/>
      <c r="G316" s="54"/>
      <c r="H316" s="54"/>
      <c r="I316" s="54"/>
      <c r="J316" s="104"/>
      <c r="K316" s="54"/>
      <c r="L316" s="54"/>
      <c r="M316" s="104"/>
      <c r="N316" s="54"/>
      <c r="O316" s="54"/>
      <c r="P316" s="104"/>
      <c r="Q316" s="54"/>
      <c r="R316" s="54"/>
      <c r="S316" s="104"/>
      <c r="T316" s="54"/>
      <c r="U316" s="54"/>
      <c r="V316" s="54"/>
      <c r="W316" s="54"/>
      <c r="X316" s="54"/>
      <c r="Y316" s="133"/>
      <c r="Z316" s="56"/>
    </row>
    <row r="317" spans="1:27">
      <c r="A317" s="84"/>
      <c r="B317" s="84"/>
      <c r="C317" s="84"/>
      <c r="D317" s="84" t="s">
        <v>383</v>
      </c>
      <c r="E317" s="110"/>
      <c r="F317" s="34"/>
      <c r="G317" s="34"/>
      <c r="H317" s="35"/>
      <c r="I317" s="85"/>
      <c r="J317" s="110"/>
      <c r="K317" s="85"/>
      <c r="L317" s="85"/>
      <c r="M317" s="110"/>
      <c r="N317" s="85"/>
      <c r="O317" s="85"/>
      <c r="P317" s="110"/>
      <c r="Q317" s="85"/>
      <c r="R317" s="85"/>
      <c r="S317" s="110"/>
      <c r="T317" s="85"/>
      <c r="U317" s="85"/>
      <c r="V317" s="85"/>
      <c r="W317" s="86"/>
      <c r="X317" s="85"/>
    </row>
    <row r="318" spans="1:27">
      <c r="A318" s="87"/>
      <c r="B318" s="87"/>
      <c r="C318" s="87"/>
      <c r="D318" s="87" t="s">
        <v>300</v>
      </c>
      <c r="E318" s="111"/>
      <c r="F318" s="88"/>
      <c r="G318" s="89"/>
      <c r="H318" s="89"/>
      <c r="I318" s="89"/>
      <c r="J318" s="111"/>
      <c r="K318" s="89"/>
      <c r="L318" s="89"/>
      <c r="M318" s="111"/>
      <c r="N318" s="89"/>
      <c r="O318" s="89"/>
      <c r="P318" s="111"/>
      <c r="Q318" s="89"/>
      <c r="R318" s="89"/>
      <c r="S318" s="111"/>
      <c r="T318" s="89"/>
      <c r="U318" s="89"/>
      <c r="V318" s="89"/>
      <c r="W318" s="89"/>
      <c r="X318" s="89"/>
    </row>
    <row r="319" spans="1:27">
      <c r="A319" s="41"/>
      <c r="B319" s="41"/>
      <c r="C319" s="41"/>
      <c r="D319" s="41" t="s">
        <v>75</v>
      </c>
      <c r="E319" s="106"/>
      <c r="F319" s="45"/>
      <c r="G319" s="40">
        <v>0</v>
      </c>
      <c r="H319" s="40">
        <v>0</v>
      </c>
      <c r="I319" s="40">
        <f>H319*G319</f>
        <v>0</v>
      </c>
      <c r="J319" s="106"/>
      <c r="K319" s="40"/>
      <c r="L319" s="40">
        <v>0</v>
      </c>
      <c r="M319" s="106"/>
      <c r="N319" s="40"/>
      <c r="O319" s="40">
        <v>0</v>
      </c>
      <c r="P319" s="106"/>
      <c r="Q319" s="40"/>
      <c r="R319" s="40">
        <v>0</v>
      </c>
      <c r="S319" s="106"/>
      <c r="T319" s="40"/>
      <c r="U319" s="40">
        <v>0</v>
      </c>
      <c r="V319" s="40">
        <f>U319+I319+L319+O319+R319</f>
        <v>0</v>
      </c>
      <c r="W319" s="40">
        <v>0</v>
      </c>
      <c r="X319" s="49">
        <f>SUM(V319:W319)</f>
        <v>0</v>
      </c>
    </row>
    <row r="320" spans="1:27">
      <c r="E320" s="106"/>
      <c r="F320" s="46"/>
      <c r="G320" s="40"/>
      <c r="H320" s="40"/>
      <c r="I320" s="40"/>
      <c r="J320" s="106"/>
      <c r="K320" s="40"/>
      <c r="L320" s="40"/>
      <c r="M320" s="106"/>
      <c r="N320" s="40"/>
      <c r="O320" s="40"/>
      <c r="P320" s="106"/>
      <c r="Q320" s="40"/>
      <c r="R320" s="40"/>
      <c r="S320" s="106"/>
      <c r="T320" s="40"/>
      <c r="U320" s="40"/>
      <c r="V320" s="40"/>
      <c r="W320" s="40"/>
      <c r="X320" s="40"/>
    </row>
    <row r="321" spans="1:24" ht="12.9" thickBot="1">
      <c r="A321" s="402"/>
      <c r="B321" s="402"/>
      <c r="C321" s="402"/>
      <c r="D321" s="402" t="s">
        <v>384</v>
      </c>
      <c r="E321" s="405"/>
      <c r="F321" s="402"/>
      <c r="G321" s="411"/>
      <c r="H321" s="411"/>
      <c r="I321" s="408">
        <f>SUM(I319:I319)</f>
        <v>0</v>
      </c>
      <c r="J321" s="405"/>
      <c r="K321" s="408"/>
      <c r="L321" s="408">
        <f>SUM(L319:L319)</f>
        <v>0</v>
      </c>
      <c r="M321" s="405"/>
      <c r="N321" s="408"/>
      <c r="O321" s="408">
        <f>SUM(O319:O319)</f>
        <v>0</v>
      </c>
      <c r="P321" s="405"/>
      <c r="Q321" s="408"/>
      <c r="R321" s="408">
        <f>SUM(R319:R319)</f>
        <v>0</v>
      </c>
      <c r="S321" s="405"/>
      <c r="T321" s="408"/>
      <c r="U321" s="408">
        <f>SUM(U319:U319)</f>
        <v>0</v>
      </c>
      <c r="V321" s="403">
        <f>U321+I321+L321+O321+R321</f>
        <v>0</v>
      </c>
      <c r="W321" s="408">
        <f>SUM(W319:W319)</f>
        <v>0</v>
      </c>
      <c r="X321" s="408">
        <f>SUM(V321:W321)</f>
        <v>0</v>
      </c>
    </row>
    <row r="322" spans="1:24">
      <c r="A322" s="51"/>
      <c r="B322" s="51"/>
      <c r="C322" s="51"/>
      <c r="D322" s="51"/>
      <c r="E322" s="116"/>
      <c r="H322" s="39"/>
      <c r="I322" s="39"/>
      <c r="J322" s="116"/>
      <c r="K322" s="39"/>
      <c r="L322" s="39"/>
      <c r="M322" s="116"/>
      <c r="N322" s="39"/>
      <c r="O322" s="39"/>
      <c r="P322" s="116"/>
      <c r="Q322" s="39"/>
      <c r="R322" s="39"/>
      <c r="S322" s="116"/>
      <c r="T322" s="39"/>
      <c r="U322" s="39"/>
      <c r="V322" s="39"/>
      <c r="W322" s="40"/>
      <c r="X322" s="39"/>
    </row>
    <row r="323" spans="1:24" ht="12.9" thickBot="1">
      <c r="A323" s="412"/>
      <c r="B323" s="412"/>
      <c r="C323" s="412"/>
      <c r="D323" s="412" t="s">
        <v>52</v>
      </c>
      <c r="E323" s="413"/>
      <c r="F323" s="412"/>
      <c r="G323" s="412"/>
      <c r="H323" s="414"/>
      <c r="I323" s="415">
        <f>I321+I315+I263+I183+I126+I114+I105+I89+I84+I58+I38+I32</f>
        <v>1817712.7000000002</v>
      </c>
      <c r="J323" s="413"/>
      <c r="K323" s="415"/>
      <c r="L323" s="415">
        <f>L321+L315+L263+L183+L126+L114+L105+L89+L84+L58+L38+L32</f>
        <v>3147603.0992692309</v>
      </c>
      <c r="M323" s="413"/>
      <c r="N323" s="415"/>
      <c r="O323" s="415">
        <f>O321+O315+O263+O183+O126+O114+O105+O89+O84+O58+O38+O32</f>
        <v>3486773.1492326921</v>
      </c>
      <c r="P323" s="413"/>
      <c r="Q323" s="415"/>
      <c r="R323" s="415">
        <f>R321+R315+R263+R183+R126+R114+R105+R89+R84+R58+R38+R32</f>
        <v>2481659.3324795836</v>
      </c>
      <c r="S323" s="413"/>
      <c r="T323" s="415"/>
      <c r="U323" s="415">
        <f>U321+U315+U263+U183+U126+U114+U105+U89+U84+U58+U38+U32</f>
        <v>0</v>
      </c>
      <c r="V323" s="415">
        <f>V321+V315+V263+V183+V126+V114+V105+V89+V84+V58+V38+V32</f>
        <v>10933748.280981505</v>
      </c>
      <c r="W323" s="415">
        <f>W321+W315+W263+W183+W126+W114+W105+W89+W84+W58+W38+W32</f>
        <v>347715.54375000001</v>
      </c>
      <c r="X323" s="415">
        <f>W323+V323</f>
        <v>11281463.824731505</v>
      </c>
    </row>
    <row r="324" spans="1:24">
      <c r="A324" s="50"/>
      <c r="B324" s="50"/>
      <c r="C324" s="50"/>
      <c r="D324" s="50"/>
      <c r="E324" s="117"/>
      <c r="H324" s="39"/>
      <c r="I324" s="52"/>
      <c r="J324" s="117"/>
      <c r="K324" s="52"/>
      <c r="L324" s="52"/>
      <c r="M324" s="117"/>
      <c r="N324" s="52"/>
      <c r="O324" s="52"/>
      <c r="P324" s="117"/>
      <c r="Q324" s="52"/>
      <c r="R324" s="52"/>
      <c r="S324" s="117"/>
      <c r="T324" s="52"/>
      <c r="U324" s="52"/>
      <c r="V324" s="52"/>
      <c r="W324" s="52"/>
      <c r="X324" s="52"/>
    </row>
    <row r="325" spans="1:24">
      <c r="A325" s="50" t="s">
        <v>474</v>
      </c>
      <c r="B325" s="50">
        <v>94050</v>
      </c>
      <c r="C325" s="50" t="s">
        <v>450</v>
      </c>
      <c r="D325" s="50" t="s">
        <v>385</v>
      </c>
      <c r="E325" s="117"/>
      <c r="F325" s="51"/>
      <c r="G325" s="51"/>
      <c r="H325" s="55">
        <v>7.0000000000000007E-2</v>
      </c>
      <c r="I325" s="52">
        <f>(I312+I241+I176)*$H$325</f>
        <v>24454.996999999999</v>
      </c>
      <c r="J325" s="117"/>
      <c r="K325" s="52"/>
      <c r="L325" s="52">
        <f>(L312+L241+L176)*$H$325</f>
        <v>70690.090153846162</v>
      </c>
      <c r="M325" s="117"/>
      <c r="N325" s="52"/>
      <c r="O325" s="52">
        <f>(O312+O241+O176)*$H$325</f>
        <v>54875.063061538465</v>
      </c>
      <c r="P325" s="117"/>
      <c r="Q325" s="52"/>
      <c r="R325" s="52">
        <f>(R312+R241+R176)*$H$325</f>
        <v>29329.933365833338</v>
      </c>
      <c r="S325" s="117"/>
      <c r="T325" s="52"/>
      <c r="U325" s="52">
        <f>(U312+U241+U176)*$H$325</f>
        <v>0</v>
      </c>
      <c r="V325" s="52">
        <f>SUM(U325+R325,O325,L325,I325)</f>
        <v>179350.08358121797</v>
      </c>
      <c r="W325" s="52">
        <v>0</v>
      </c>
      <c r="X325" s="52">
        <f>SUM(V325:W325)</f>
        <v>179350.08358121797</v>
      </c>
    </row>
    <row r="326" spans="1:24">
      <c r="A326" s="50" t="s">
        <v>474</v>
      </c>
      <c r="B326" s="50">
        <v>94050</v>
      </c>
      <c r="C326" s="50" t="s">
        <v>450</v>
      </c>
      <c r="D326" s="50" t="s">
        <v>386</v>
      </c>
      <c r="E326" s="117"/>
      <c r="F326" s="51"/>
      <c r="G326" s="51"/>
      <c r="H326" s="55">
        <v>0.15</v>
      </c>
      <c r="I326" s="52">
        <f>(I323-(I312+I241+I176))*$H$326</f>
        <v>220253.34</v>
      </c>
      <c r="J326" s="117"/>
      <c r="K326" s="52"/>
      <c r="L326" s="52">
        <f>(L323-(L312+L241+L176))*$H$326</f>
        <v>320661.70027500001</v>
      </c>
      <c r="M326" s="117"/>
      <c r="N326" s="52"/>
      <c r="O326" s="52">
        <f>(O323-(O312+O241+O176))*$H$326</f>
        <v>405426.55153874995</v>
      </c>
      <c r="P326" s="117"/>
      <c r="Q326" s="52"/>
      <c r="R326" s="52">
        <f>(R323-(R312+R241+R176))*$H$326</f>
        <v>309399.04265943752</v>
      </c>
      <c r="S326" s="117"/>
      <c r="T326" s="52"/>
      <c r="U326" s="52">
        <f>(U323-(U312+U241+U176))*$H$326</f>
        <v>0</v>
      </c>
      <c r="V326" s="52">
        <f>SUM(U326+R326,O326,L326,I326)</f>
        <v>1255740.6344731876</v>
      </c>
      <c r="W326" s="52">
        <v>0</v>
      </c>
      <c r="X326" s="52">
        <f>SUM(V326:W326)</f>
        <v>1255740.6344731876</v>
      </c>
    </row>
    <row r="327" spans="1:24">
      <c r="A327" s="92"/>
      <c r="B327" s="92"/>
      <c r="C327" s="92"/>
      <c r="D327" s="92"/>
      <c r="E327" s="118"/>
      <c r="F327" s="93"/>
      <c r="G327" s="30"/>
      <c r="H327" s="38"/>
      <c r="I327" s="94"/>
      <c r="J327" s="118"/>
      <c r="K327" s="94"/>
      <c r="L327" s="94"/>
      <c r="M327" s="118"/>
      <c r="N327" s="94"/>
      <c r="O327" s="94"/>
      <c r="P327" s="118"/>
      <c r="Q327" s="94"/>
      <c r="R327" s="94"/>
      <c r="S327" s="118"/>
      <c r="T327" s="94"/>
      <c r="U327" s="94"/>
      <c r="V327" s="94"/>
      <c r="W327" s="94"/>
      <c r="X327" s="94"/>
    </row>
    <row r="328" spans="1:24" ht="12.9" thickBot="1">
      <c r="A328" s="95"/>
      <c r="B328" s="95"/>
      <c r="C328" s="95"/>
      <c r="D328" s="95" t="s">
        <v>387</v>
      </c>
      <c r="E328" s="119"/>
      <c r="F328" s="95"/>
      <c r="G328" s="95"/>
      <c r="H328" s="96"/>
      <c r="I328" s="97">
        <f>I323+I326+I325</f>
        <v>2062421.0370000002</v>
      </c>
      <c r="J328" s="119"/>
      <c r="K328" s="97"/>
      <c r="L328" s="97">
        <f>L323+L326+L325</f>
        <v>3538954.889698077</v>
      </c>
      <c r="M328" s="119"/>
      <c r="N328" s="97"/>
      <c r="O328" s="97">
        <f>O323+O326+O325</f>
        <v>3947074.7638329808</v>
      </c>
      <c r="P328" s="119"/>
      <c r="Q328" s="97"/>
      <c r="R328" s="97">
        <f>R323+R326+R325</f>
        <v>2820388.3085048548</v>
      </c>
      <c r="S328" s="119"/>
      <c r="T328" s="97"/>
      <c r="U328" s="97">
        <f>U323+U326+U325</f>
        <v>0</v>
      </c>
      <c r="V328" s="97">
        <f>V323+V326+V325</f>
        <v>12368838.999035912</v>
      </c>
      <c r="W328" s="97">
        <f>W323+W326+W325</f>
        <v>347715.54375000001</v>
      </c>
      <c r="X328" s="97">
        <f>X323+X326+X325</f>
        <v>12716554.542785911</v>
      </c>
    </row>
    <row r="329" spans="1:24" ht="12.9" thickTop="1">
      <c r="J329" s="108"/>
      <c r="M329" s="108"/>
      <c r="P329" s="108"/>
      <c r="S329" s="108"/>
    </row>
    <row r="330" spans="1:24">
      <c r="J330" s="108"/>
      <c r="M330" s="108"/>
      <c r="P330" s="108"/>
      <c r="S330" s="108"/>
    </row>
    <row r="331" spans="1:24">
      <c r="J331" s="108"/>
      <c r="M331" s="108"/>
      <c r="P331" s="108"/>
      <c r="S331" s="108"/>
    </row>
    <row r="332" spans="1:24">
      <c r="J332" s="108"/>
      <c r="M332" s="108"/>
      <c r="P332" s="108"/>
      <c r="S332" s="108"/>
      <c r="W332" s="397"/>
    </row>
    <row r="333" spans="1:24">
      <c r="A333" s="24"/>
      <c r="B333" s="24"/>
      <c r="C333" s="24"/>
      <c r="D333" s="24"/>
      <c r="E333" s="120"/>
      <c r="J333" s="120"/>
      <c r="M333" s="120"/>
      <c r="P333" s="120"/>
      <c r="S333" s="120"/>
    </row>
    <row r="334" spans="1:24">
      <c r="A334" s="24"/>
      <c r="B334" s="24"/>
      <c r="C334" s="24"/>
      <c r="D334" s="24"/>
      <c r="E334" s="121"/>
      <c r="J334" s="121"/>
      <c r="M334" s="121"/>
      <c r="P334" s="121"/>
      <c r="S334" s="121"/>
    </row>
    <row r="335" spans="1:24">
      <c r="A335" s="98"/>
      <c r="B335" s="98"/>
      <c r="C335" s="98"/>
      <c r="D335" s="98"/>
      <c r="J335" s="108"/>
      <c r="M335" s="108"/>
      <c r="P335" s="108"/>
      <c r="S335" s="108"/>
    </row>
    <row r="336" spans="1:24">
      <c r="A336" s="98"/>
      <c r="B336" s="98"/>
      <c r="C336" s="98"/>
      <c r="D336" s="98"/>
    </row>
  </sheetData>
  <mergeCells count="5">
    <mergeCell ref="D1:X1"/>
    <mergeCell ref="D3:X3"/>
    <mergeCell ref="D4:X4"/>
    <mergeCell ref="D5:E5"/>
    <mergeCell ref="D2:X2"/>
  </mergeCells>
  <phoneticPr fontId="10" type="noConversion"/>
  <pageMargins left="0.7" right="0.7" top="0.75" bottom="0.75" header="0.3" footer="0.3"/>
  <pageSetup scale="10" orientation="landscape" r:id="rId1"/>
  <headerFooter alignWithMargins="0"/>
  <rowBreaks count="1" manualBreakCount="1">
    <brk id="127" min="3" max="16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F0CB6-660F-44F2-A222-D4DC3A20B7B0}">
  <sheetPr>
    <pageSetUpPr fitToPage="1"/>
  </sheetPr>
  <dimension ref="A1:J67"/>
  <sheetViews>
    <sheetView zoomScale="90" zoomScaleNormal="90" zoomScaleSheetLayoutView="90" workbookViewId="0">
      <pane ySplit="7" topLeftCell="A46" activePane="bottomLeft" state="frozen"/>
      <selection activeCell="B75" sqref="B75"/>
      <selection pane="bottomLeft" activeCell="H69" sqref="H69"/>
    </sheetView>
  </sheetViews>
  <sheetFormatPr defaultColWidth="11.44140625" defaultRowHeight="12.6"/>
  <cols>
    <col min="1" max="1" width="3.44140625" style="5" customWidth="1"/>
    <col min="2" max="2" width="64" style="7" bestFit="1" customWidth="1"/>
    <col min="3" max="3" width="10.5546875" style="47" bestFit="1" customWidth="1"/>
    <col min="4" max="8" width="10.5546875" style="31" bestFit="1" customWidth="1"/>
    <col min="9" max="9" width="12.33203125" style="31" bestFit="1" customWidth="1"/>
    <col min="10" max="10" width="32.109375" style="5" bestFit="1" customWidth="1"/>
    <col min="11" max="11" width="12.44140625" style="5" bestFit="1" customWidth="1"/>
    <col min="12" max="16384" width="11.44140625" style="5"/>
  </cols>
  <sheetData>
    <row r="1" spans="2:10" ht="13.8">
      <c r="B1" s="865" t="s">
        <v>174</v>
      </c>
      <c r="C1" s="865"/>
      <c r="D1" s="865"/>
      <c r="E1" s="865"/>
      <c r="F1" s="865"/>
      <c r="G1" s="865"/>
      <c r="H1" s="865"/>
      <c r="I1" s="865"/>
    </row>
    <row r="2" spans="2:10" ht="13.8">
      <c r="B2" s="867" t="s">
        <v>175</v>
      </c>
      <c r="C2" s="867"/>
      <c r="D2" s="867"/>
      <c r="E2" s="867"/>
      <c r="F2" s="867"/>
      <c r="G2" s="867"/>
      <c r="H2" s="867"/>
      <c r="I2" s="867"/>
    </row>
    <row r="3" spans="2:10" ht="13.8">
      <c r="B3" s="865" t="s">
        <v>388</v>
      </c>
      <c r="C3" s="865"/>
      <c r="D3" s="865"/>
      <c r="E3" s="865"/>
      <c r="F3" s="865"/>
      <c r="G3" s="865"/>
      <c r="H3" s="865"/>
      <c r="I3" s="865"/>
    </row>
    <row r="4" spans="2:10" ht="13.8">
      <c r="B4" s="865" t="s">
        <v>177</v>
      </c>
      <c r="C4" s="865"/>
      <c r="D4" s="865"/>
      <c r="E4" s="865"/>
      <c r="F4" s="865"/>
      <c r="G4" s="865"/>
      <c r="H4" s="865"/>
      <c r="I4" s="865"/>
    </row>
    <row r="5" spans="2:10" ht="13.8">
      <c r="B5" s="865" t="s">
        <v>389</v>
      </c>
      <c r="C5" s="865"/>
      <c r="D5" s="865"/>
      <c r="E5" s="865"/>
      <c r="F5" s="865"/>
      <c r="G5" s="865"/>
      <c r="H5" s="865"/>
      <c r="I5" s="865"/>
    </row>
    <row r="7" spans="2:10" ht="24.9">
      <c r="B7" s="126" t="s">
        <v>181</v>
      </c>
      <c r="C7" s="127" t="s">
        <v>185</v>
      </c>
      <c r="D7" s="128" t="s">
        <v>186</v>
      </c>
      <c r="E7" s="128" t="s">
        <v>188</v>
      </c>
      <c r="F7" s="128" t="s">
        <v>190</v>
      </c>
      <c r="G7" s="127" t="s">
        <v>192</v>
      </c>
      <c r="H7" s="127" t="s">
        <v>194</v>
      </c>
      <c r="I7" s="127" t="s">
        <v>195</v>
      </c>
    </row>
    <row r="8" spans="2:10">
      <c r="B8" s="33" t="s">
        <v>390</v>
      </c>
      <c r="C8" s="35"/>
      <c r="D8" s="36"/>
      <c r="E8" s="36"/>
      <c r="F8" s="36"/>
      <c r="G8" s="36"/>
      <c r="H8" s="36"/>
      <c r="I8" s="36"/>
    </row>
    <row r="9" spans="2:10" hidden="1">
      <c r="B9" s="61" t="s">
        <v>391</v>
      </c>
      <c r="C9" s="64"/>
      <c r="D9" s="65"/>
      <c r="E9" s="65"/>
      <c r="F9" s="65"/>
      <c r="G9" s="65"/>
      <c r="H9" s="65"/>
      <c r="I9" s="65"/>
    </row>
    <row r="10" spans="2:10" hidden="1">
      <c r="B10" s="7" t="s">
        <v>392</v>
      </c>
      <c r="C10" s="40">
        <f>141500/12</f>
        <v>11791.666666666666</v>
      </c>
      <c r="D10" s="40" t="e">
        <f>#REF!*C10*#REF!</f>
        <v>#REF!</v>
      </c>
      <c r="E10" s="40" t="e">
        <f>#REF!*C10*#REF!*#REF!</f>
        <v>#REF!</v>
      </c>
      <c r="F10" s="40" t="e">
        <f>#REF!*C10*#REF!*#REF!*#REF!</f>
        <v>#REF!</v>
      </c>
      <c r="G10" s="40" t="e">
        <f>#REF!*C10*#REF!*#REF!*#REF!*#REF!</f>
        <v>#REF!</v>
      </c>
      <c r="H10" s="40" t="e">
        <f>#REF!*C10*#REF!*#REF!*#REF!*#REF!*#REF!</f>
        <v>#REF!</v>
      </c>
      <c r="I10" s="40" t="e">
        <f t="shared" ref="I10:I24" si="0">SUM(G10,F10,E10,D10,H10)</f>
        <v>#REF!</v>
      </c>
    </row>
    <row r="11" spans="2:10" hidden="1">
      <c r="B11" s="7" t="s">
        <v>393</v>
      </c>
      <c r="C11" s="40">
        <f>110000/12</f>
        <v>9166.6666666666661</v>
      </c>
      <c r="D11" s="40" t="e">
        <f>#REF!*C11*#REF!</f>
        <v>#REF!</v>
      </c>
      <c r="E11" s="40" t="e">
        <f>#REF!*C11*#REF!*#REF!</f>
        <v>#REF!</v>
      </c>
      <c r="F11" s="40" t="e">
        <f>#REF!*C11*#REF!*#REF!*#REF!</f>
        <v>#REF!</v>
      </c>
      <c r="G11" s="40" t="e">
        <f>#REF!*C11*#REF!*#REF!*#REF!*#REF!</f>
        <v>#REF!</v>
      </c>
      <c r="H11" s="40" t="e">
        <f>#REF!*C11*#REF!*#REF!*#REF!*#REF!*#REF!</f>
        <v>#REF!</v>
      </c>
      <c r="I11" s="40" t="e">
        <f t="shared" si="0"/>
        <v>#REF!</v>
      </c>
    </row>
    <row r="12" spans="2:10" hidden="1">
      <c r="B12" s="7" t="s">
        <v>394</v>
      </c>
      <c r="C12" s="40">
        <f>39000/12</f>
        <v>3250</v>
      </c>
      <c r="D12" s="40" t="e">
        <f>#REF!*C12*#REF!</f>
        <v>#REF!</v>
      </c>
      <c r="E12" s="40" t="e">
        <f>#REF!*C12*#REF!*#REF!</f>
        <v>#REF!</v>
      </c>
      <c r="F12" s="40" t="e">
        <f>#REF!*C12*#REF!*#REF!*#REF!</f>
        <v>#REF!</v>
      </c>
      <c r="G12" s="40" t="e">
        <f>#REF!*C12*#REF!*#REF!*#REF!*#REF!</f>
        <v>#REF!</v>
      </c>
      <c r="H12" s="40" t="e">
        <f>#REF!*C12*#REF!*#REF!*#REF!*#REF!*#REF!</f>
        <v>#REF!</v>
      </c>
      <c r="I12" s="40" t="e">
        <f t="shared" si="0"/>
        <v>#REF!</v>
      </c>
    </row>
    <row r="13" spans="2:10" hidden="1">
      <c r="B13" s="7" t="s">
        <v>205</v>
      </c>
      <c r="C13" s="40">
        <f>39000/12</f>
        <v>3250</v>
      </c>
      <c r="D13" s="40" t="e">
        <f>#REF!*C13*#REF!</f>
        <v>#REF!</v>
      </c>
      <c r="E13" s="40" t="e">
        <f>#REF!*C13*#REF!*#REF!</f>
        <v>#REF!</v>
      </c>
      <c r="F13" s="40" t="e">
        <f>#REF!*C13*#REF!*#REF!*#REF!</f>
        <v>#REF!</v>
      </c>
      <c r="G13" s="40" t="e">
        <f>#REF!*C13*#REF!*#REF!*#REF!*#REF!</f>
        <v>#REF!</v>
      </c>
      <c r="H13" s="40" t="e">
        <f>#REF!*C13*#REF!*#REF!*#REF!*#REF!*#REF!</f>
        <v>#REF!</v>
      </c>
      <c r="I13" s="40" t="e">
        <f t="shared" si="0"/>
        <v>#REF!</v>
      </c>
    </row>
    <row r="14" spans="2:10" hidden="1">
      <c r="B14" s="7" t="s">
        <v>395</v>
      </c>
      <c r="C14" s="40">
        <f t="shared" ref="C14:C22" si="1">22000/12</f>
        <v>1833.3333333333333</v>
      </c>
      <c r="D14" s="40" t="e">
        <f>#REF!*C14*#REF!</f>
        <v>#REF!</v>
      </c>
      <c r="E14" s="40" t="e">
        <f>#REF!*C14*#REF!*#REF!</f>
        <v>#REF!</v>
      </c>
      <c r="F14" s="40" t="e">
        <f>#REF!*C14*#REF!*#REF!*#REF!</f>
        <v>#REF!</v>
      </c>
      <c r="G14" s="40" t="e">
        <f>#REF!*C14*#REF!*#REF!*#REF!*#REF!</f>
        <v>#REF!</v>
      </c>
      <c r="H14" s="40" t="e">
        <f>#REF!*C14*#REF!*#REF!*#REF!*#REF!*#REF!</f>
        <v>#REF!</v>
      </c>
      <c r="I14" s="40" t="e">
        <f t="shared" si="0"/>
        <v>#REF!</v>
      </c>
      <c r="J14" s="53"/>
    </row>
    <row r="15" spans="2:10" hidden="1">
      <c r="B15" s="7" t="s">
        <v>395</v>
      </c>
      <c r="C15" s="40">
        <f t="shared" si="1"/>
        <v>1833.3333333333333</v>
      </c>
      <c r="D15" s="40" t="e">
        <f>#REF!*C15*#REF!</f>
        <v>#REF!</v>
      </c>
      <c r="E15" s="40" t="e">
        <f>#REF!*C15*#REF!*#REF!</f>
        <v>#REF!</v>
      </c>
      <c r="F15" s="40" t="e">
        <f>#REF!*C15*#REF!*#REF!*#REF!</f>
        <v>#REF!</v>
      </c>
      <c r="G15" s="40" t="e">
        <f>#REF!*C15*#REF!*#REF!*#REF!*#REF!</f>
        <v>#REF!</v>
      </c>
      <c r="H15" s="40" t="e">
        <f>#REF!*C15*#REF!*#REF!*#REF!*#REF!*#REF!</f>
        <v>#REF!</v>
      </c>
      <c r="I15" s="40" t="e">
        <f t="shared" si="0"/>
        <v>#REF!</v>
      </c>
      <c r="J15" s="53"/>
    </row>
    <row r="16" spans="2:10" hidden="1">
      <c r="B16" s="7" t="s">
        <v>396</v>
      </c>
      <c r="C16" s="40">
        <f t="shared" si="1"/>
        <v>1833.3333333333333</v>
      </c>
      <c r="D16" s="40" t="e">
        <f>#REF!*C16*#REF!</f>
        <v>#REF!</v>
      </c>
      <c r="E16" s="40" t="e">
        <f>#REF!*C16*#REF!*#REF!</f>
        <v>#REF!</v>
      </c>
      <c r="F16" s="40" t="e">
        <f>#REF!*C16*#REF!*#REF!*#REF!</f>
        <v>#REF!</v>
      </c>
      <c r="G16" s="40" t="e">
        <f>#REF!*C16*#REF!*#REF!*#REF!*#REF!</f>
        <v>#REF!</v>
      </c>
      <c r="H16" s="40" t="e">
        <f>#REF!*C16*#REF!*#REF!*#REF!*#REF!*#REF!</f>
        <v>#REF!</v>
      </c>
      <c r="I16" s="40" t="e">
        <f t="shared" si="0"/>
        <v>#REF!</v>
      </c>
    </row>
    <row r="17" spans="2:10" hidden="1">
      <c r="B17" s="7" t="s">
        <v>396</v>
      </c>
      <c r="C17" s="40">
        <f>18000/12</f>
        <v>1500</v>
      </c>
      <c r="D17" s="40" t="e">
        <f>#REF!*C17*#REF!</f>
        <v>#REF!</v>
      </c>
      <c r="E17" s="40" t="e">
        <f>#REF!*C17*#REF!*#REF!</f>
        <v>#REF!</v>
      </c>
      <c r="F17" s="40" t="e">
        <f>#REF!*C17*#REF!*#REF!*#REF!</f>
        <v>#REF!</v>
      </c>
      <c r="G17" s="40" t="e">
        <f>#REF!*C17*#REF!*#REF!*#REF!*#REF!</f>
        <v>#REF!</v>
      </c>
      <c r="H17" s="40" t="e">
        <f>#REF!*C17*#REF!*#REF!*#REF!*#REF!*#REF!</f>
        <v>#REF!</v>
      </c>
      <c r="I17" s="40" t="e">
        <f t="shared" si="0"/>
        <v>#REF!</v>
      </c>
    </row>
    <row r="18" spans="2:10" hidden="1">
      <c r="B18" s="7" t="s">
        <v>397</v>
      </c>
      <c r="C18" s="40">
        <f t="shared" si="1"/>
        <v>1833.3333333333333</v>
      </c>
      <c r="D18" s="40" t="e">
        <f>#REF!*C18*#REF!</f>
        <v>#REF!</v>
      </c>
      <c r="E18" s="40" t="e">
        <f>#REF!*C18*#REF!*#REF!</f>
        <v>#REF!</v>
      </c>
      <c r="F18" s="40" t="e">
        <f>#REF!*C18*#REF!*#REF!*#REF!</f>
        <v>#REF!</v>
      </c>
      <c r="G18" s="40" t="e">
        <f>#REF!*C18*#REF!*#REF!*#REF!*#REF!</f>
        <v>#REF!</v>
      </c>
      <c r="H18" s="40" t="e">
        <f>#REF!*C18*#REF!*#REF!*#REF!*#REF!*#REF!</f>
        <v>#REF!</v>
      </c>
      <c r="I18" s="40" t="e">
        <f t="shared" si="0"/>
        <v>#REF!</v>
      </c>
    </row>
    <row r="19" spans="2:10" hidden="1">
      <c r="B19" s="7" t="s">
        <v>397</v>
      </c>
      <c r="C19" s="40">
        <f t="shared" si="1"/>
        <v>1833.3333333333333</v>
      </c>
      <c r="D19" s="40" t="e">
        <f>#REF!*C19*#REF!</f>
        <v>#REF!</v>
      </c>
      <c r="E19" s="40" t="e">
        <f>#REF!*C19*#REF!*#REF!</f>
        <v>#REF!</v>
      </c>
      <c r="F19" s="40" t="e">
        <f>#REF!*C19*#REF!*#REF!*#REF!</f>
        <v>#REF!</v>
      </c>
      <c r="G19" s="40" t="e">
        <f>#REF!*C19*#REF!*#REF!*#REF!*#REF!</f>
        <v>#REF!</v>
      </c>
      <c r="H19" s="40" t="e">
        <f>#REF!*C19*#REF!*#REF!*#REF!*#REF!*#REF!</f>
        <v>#REF!</v>
      </c>
      <c r="I19" s="40" t="e">
        <f t="shared" si="0"/>
        <v>#REF!</v>
      </c>
    </row>
    <row r="20" spans="2:10" hidden="1">
      <c r="B20" s="7" t="s">
        <v>397</v>
      </c>
      <c r="C20" s="40">
        <f>18000/12</f>
        <v>1500</v>
      </c>
      <c r="D20" s="40" t="e">
        <f>#REF!*C20*#REF!</f>
        <v>#REF!</v>
      </c>
      <c r="E20" s="40" t="e">
        <f>#REF!*C20*#REF!*#REF!</f>
        <v>#REF!</v>
      </c>
      <c r="F20" s="40" t="e">
        <f>#REF!*C20*#REF!*#REF!*#REF!</f>
        <v>#REF!</v>
      </c>
      <c r="G20" s="40" t="e">
        <f>#REF!*C20*#REF!*#REF!*#REF!*#REF!</f>
        <v>#REF!</v>
      </c>
      <c r="H20" s="40" t="e">
        <f>#REF!*C20*#REF!*#REF!*#REF!*#REF!*#REF!</f>
        <v>#REF!</v>
      </c>
      <c r="I20" s="40" t="e">
        <f t="shared" si="0"/>
        <v>#REF!</v>
      </c>
    </row>
    <row r="21" spans="2:10" hidden="1">
      <c r="B21" s="7" t="s">
        <v>397</v>
      </c>
      <c r="C21" s="40">
        <f>18000/12</f>
        <v>1500</v>
      </c>
      <c r="D21" s="40" t="e">
        <f>#REF!*C21*#REF!</f>
        <v>#REF!</v>
      </c>
      <c r="E21" s="40" t="e">
        <f>#REF!*C21*#REF!*#REF!</f>
        <v>#REF!</v>
      </c>
      <c r="F21" s="40" t="e">
        <f>#REF!*C21*#REF!*#REF!*#REF!</f>
        <v>#REF!</v>
      </c>
      <c r="G21" s="40" t="e">
        <f>#REF!*C21*#REF!*#REF!*#REF!*#REF!</f>
        <v>#REF!</v>
      </c>
      <c r="H21" s="40" t="e">
        <f>#REF!*C21*#REF!*#REF!*#REF!*#REF!*#REF!</f>
        <v>#REF!</v>
      </c>
      <c r="I21" s="40" t="e">
        <f t="shared" si="0"/>
        <v>#REF!</v>
      </c>
    </row>
    <row r="22" spans="2:10" hidden="1">
      <c r="B22" s="7" t="s">
        <v>398</v>
      </c>
      <c r="C22" s="40">
        <f t="shared" si="1"/>
        <v>1833.3333333333333</v>
      </c>
      <c r="D22" s="40" t="e">
        <f>#REF!*C22*#REF!</f>
        <v>#REF!</v>
      </c>
      <c r="E22" s="40" t="e">
        <f>#REF!*C22*#REF!*#REF!</f>
        <v>#REF!</v>
      </c>
      <c r="F22" s="40" t="e">
        <f>#REF!*C22*#REF!*#REF!*#REF!</f>
        <v>#REF!</v>
      </c>
      <c r="G22" s="40" t="e">
        <f>#REF!*C22*#REF!*#REF!*#REF!*#REF!</f>
        <v>#REF!</v>
      </c>
      <c r="H22" s="40" t="e">
        <f>#REF!*C22*#REF!*#REF!*#REF!*#REF!*#REF!</f>
        <v>#REF!</v>
      </c>
      <c r="I22" s="40" t="e">
        <f t="shared" si="0"/>
        <v>#REF!</v>
      </c>
    </row>
    <row r="23" spans="2:10" hidden="1">
      <c r="B23" s="7" t="s">
        <v>208</v>
      </c>
      <c r="C23" s="40">
        <f>18000/12</f>
        <v>1500</v>
      </c>
      <c r="D23" s="40" t="e">
        <f>#REF!*C23*#REF!</f>
        <v>#REF!</v>
      </c>
      <c r="E23" s="40" t="e">
        <f>#REF!*C23*#REF!*#REF!</f>
        <v>#REF!</v>
      </c>
      <c r="F23" s="40" t="e">
        <f>#REF!*C23*#REF!*#REF!*#REF!</f>
        <v>#REF!</v>
      </c>
      <c r="G23" s="40" t="e">
        <f>#REF!*C23*#REF!*#REF!*#REF!*#REF!</f>
        <v>#REF!</v>
      </c>
      <c r="H23" s="40" t="e">
        <f>#REF!*C23*#REF!*#REF!*#REF!*#REF!*#REF!</f>
        <v>#REF!</v>
      </c>
      <c r="I23" s="40" t="e">
        <f t="shared" si="0"/>
        <v>#REF!</v>
      </c>
    </row>
    <row r="24" spans="2:10" hidden="1">
      <c r="B24" s="7" t="s">
        <v>399</v>
      </c>
      <c r="C24" s="40">
        <f>15000/12</f>
        <v>1250</v>
      </c>
      <c r="D24" s="40" t="e">
        <f>#REF!*C24*#REF!</f>
        <v>#REF!</v>
      </c>
      <c r="E24" s="40" t="e">
        <f>#REF!*C24*#REF!*#REF!</f>
        <v>#REF!</v>
      </c>
      <c r="F24" s="40" t="e">
        <f>#REF!*C24*#REF!*#REF!*#REF!</f>
        <v>#REF!</v>
      </c>
      <c r="G24" s="40" t="e">
        <f>#REF!*C24*#REF!*#REF!*#REF!*#REF!</f>
        <v>#REF!</v>
      </c>
      <c r="H24" s="40" t="e">
        <f>#REF!*C24*#REF!*#REF!*#REF!*#REF!*#REF!</f>
        <v>#REF!</v>
      </c>
      <c r="I24" s="40" t="e">
        <f t="shared" si="0"/>
        <v>#REF!</v>
      </c>
    </row>
    <row r="25" spans="2:10" hidden="1">
      <c r="C25" s="40"/>
      <c r="D25" s="40"/>
      <c r="E25" s="40"/>
      <c r="F25" s="40"/>
      <c r="G25" s="40"/>
      <c r="H25" s="40"/>
      <c r="I25" s="40"/>
    </row>
    <row r="26" spans="2:10" hidden="1">
      <c r="B26" s="61" t="s">
        <v>400</v>
      </c>
      <c r="C26" s="66"/>
      <c r="D26" s="66"/>
      <c r="E26" s="66"/>
      <c r="F26" s="66"/>
      <c r="G26" s="66"/>
      <c r="H26" s="66"/>
      <c r="I26" s="66"/>
    </row>
    <row r="27" spans="2:10" hidden="1">
      <c r="B27" s="7" t="s">
        <v>401</v>
      </c>
      <c r="C27" s="40">
        <f>55000/12</f>
        <v>4583.333333333333</v>
      </c>
      <c r="D27" s="40" t="e">
        <f>#REF!*C27*#REF!</f>
        <v>#REF!</v>
      </c>
      <c r="E27" s="40" t="e">
        <f>#REF!*C27*#REF!*#REF!</f>
        <v>#REF!</v>
      </c>
      <c r="F27" s="40" t="e">
        <f>#REF!*C27*#REF!*#REF!*#REF!</f>
        <v>#REF!</v>
      </c>
      <c r="G27" s="40" t="e">
        <f>#REF!*C27*#REF!*#REF!*#REF!*#REF!</f>
        <v>#REF!</v>
      </c>
      <c r="H27" s="40" t="e">
        <f>#REF!*C27*#REF!*#REF!*#REF!*#REF!*#REF!</f>
        <v>#REF!</v>
      </c>
      <c r="I27" s="40" t="e">
        <f>SUM(G27,F27,E27,D27,H27)</f>
        <v>#REF!</v>
      </c>
      <c r="J27" s="56"/>
    </row>
    <row r="28" spans="2:10" hidden="1">
      <c r="C28" s="40"/>
      <c r="D28" s="40"/>
      <c r="E28" s="40"/>
      <c r="F28" s="40"/>
      <c r="G28" s="40"/>
      <c r="H28" s="40"/>
      <c r="I28" s="40"/>
    </row>
    <row r="29" spans="2:10">
      <c r="B29" s="123" t="s">
        <v>219</v>
      </c>
      <c r="C29" s="123"/>
      <c r="D29" s="130">
        <f>'Program Budget'!I32</f>
        <v>237795</v>
      </c>
      <c r="E29" s="130">
        <f>'Program Budget'!L32</f>
        <v>39889.5</v>
      </c>
      <c r="F29" s="130">
        <f>'Program Budget'!O32</f>
        <v>41883.974999999999</v>
      </c>
      <c r="G29" s="130">
        <f>'Program Budget'!R32</f>
        <v>43978.173750000002</v>
      </c>
      <c r="H29" s="130">
        <f>'Program Budget'!U32</f>
        <v>0</v>
      </c>
      <c r="I29" s="129">
        <f>SUM(D29:H29)</f>
        <v>363546.64874999999</v>
      </c>
    </row>
    <row r="30" spans="2:10">
      <c r="B30" s="34" t="s">
        <v>402</v>
      </c>
      <c r="C30" s="35"/>
      <c r="D30" s="36"/>
      <c r="E30" s="36"/>
      <c r="F30" s="36"/>
      <c r="G30" s="36"/>
      <c r="H30" s="36"/>
      <c r="I30" s="36"/>
    </row>
    <row r="31" spans="2:10">
      <c r="B31" s="131" t="s">
        <v>223</v>
      </c>
      <c r="C31" s="132"/>
      <c r="D31" s="130">
        <f>'Program Budget'!I38</f>
        <v>63586.698000000004</v>
      </c>
      <c r="E31" s="130">
        <f>'Program Budget'!L38</f>
        <v>10182.7194</v>
      </c>
      <c r="F31" s="130">
        <f>'Program Budget'!O38</f>
        <v>10691.855369999999</v>
      </c>
      <c r="G31" s="130">
        <f>'Program Budget'!R38</f>
        <v>11226.4481385</v>
      </c>
      <c r="H31" s="130">
        <f>'Program Budget'!U38</f>
        <v>0</v>
      </c>
      <c r="I31" s="129">
        <f>SUM(D31:H31)</f>
        <v>95687.720908500007</v>
      </c>
    </row>
    <row r="32" spans="2:10">
      <c r="B32" s="34" t="s">
        <v>403</v>
      </c>
      <c r="C32" s="35"/>
      <c r="D32" s="36"/>
      <c r="E32" s="36"/>
      <c r="F32" s="36"/>
      <c r="G32" s="36"/>
      <c r="H32" s="36"/>
      <c r="I32" s="36"/>
    </row>
    <row r="33" spans="1:10">
      <c r="A33" s="71"/>
      <c r="B33" s="123" t="s">
        <v>242</v>
      </c>
      <c r="C33" s="132"/>
      <c r="D33" s="130">
        <f>'Program Budget'!I58</f>
        <v>60135.8</v>
      </c>
      <c r="E33" s="130">
        <f>'Program Budget'!L58</f>
        <v>57593.340000000011</v>
      </c>
      <c r="F33" s="130">
        <f>'Program Budget'!O58</f>
        <v>60065.082000000002</v>
      </c>
      <c r="G33" s="130">
        <f>'Program Budget'!R58</f>
        <v>63068.336100000008</v>
      </c>
      <c r="H33" s="130">
        <f>'Program Budget'!U58</f>
        <v>0</v>
      </c>
      <c r="I33" s="129">
        <f>SUM(D33:H33)</f>
        <v>240862.55810000002</v>
      </c>
    </row>
    <row r="34" spans="1:10">
      <c r="B34" s="34" t="s">
        <v>404</v>
      </c>
      <c r="C34" s="35"/>
      <c r="D34" s="36"/>
      <c r="E34" s="36"/>
      <c r="F34" s="36"/>
      <c r="G34" s="36"/>
      <c r="H34" s="36"/>
      <c r="I34" s="36"/>
    </row>
    <row r="35" spans="1:10">
      <c r="A35" s="71"/>
      <c r="B35" s="123" t="s">
        <v>268</v>
      </c>
      <c r="C35" s="132"/>
      <c r="D35" s="130">
        <f>'Program Budget'!I84</f>
        <v>401993</v>
      </c>
      <c r="E35" s="130">
        <f>'Program Budget'!L84</f>
        <v>125300</v>
      </c>
      <c r="F35" s="130">
        <f>'Program Budget'!O84</f>
        <v>225300</v>
      </c>
      <c r="G35" s="130">
        <f>'Program Budget'!R84</f>
        <v>240300</v>
      </c>
      <c r="H35" s="130">
        <f>'Program Budget'!U84</f>
        <v>0</v>
      </c>
      <c r="I35" s="129">
        <f>SUM(D35:H35)</f>
        <v>992893</v>
      </c>
    </row>
    <row r="36" spans="1:10">
      <c r="B36" s="34" t="s">
        <v>405</v>
      </c>
      <c r="C36" s="35"/>
      <c r="D36" s="36"/>
      <c r="E36" s="36"/>
      <c r="F36" s="36"/>
      <c r="G36" s="36"/>
      <c r="H36" s="36"/>
      <c r="I36" s="36"/>
    </row>
    <row r="37" spans="1:10">
      <c r="B37" s="123" t="s">
        <v>270</v>
      </c>
      <c r="C37" s="123"/>
      <c r="D37" s="125">
        <f>'Program Budget'!I89</f>
        <v>60000</v>
      </c>
      <c r="E37" s="125">
        <f>'Program Budget'!L89</f>
        <v>0</v>
      </c>
      <c r="F37" s="125">
        <f>'Program Budget'!O89</f>
        <v>0</v>
      </c>
      <c r="G37" s="125">
        <f>'Program Budget'!R89</f>
        <v>0</v>
      </c>
      <c r="H37" s="125">
        <f>'Program Budget'!U89</f>
        <v>0</v>
      </c>
      <c r="I37" s="129">
        <f>SUM(D37:H37)</f>
        <v>60000</v>
      </c>
    </row>
    <row r="38" spans="1:10">
      <c r="A38" s="71"/>
      <c r="B38" s="34" t="s">
        <v>406</v>
      </c>
      <c r="C38" s="35"/>
      <c r="D38" s="36"/>
      <c r="E38" s="36"/>
      <c r="F38" s="36"/>
      <c r="G38" s="36"/>
      <c r="H38" s="36"/>
      <c r="I38" s="36"/>
    </row>
    <row r="39" spans="1:10">
      <c r="B39" s="123" t="s">
        <v>285</v>
      </c>
      <c r="C39" s="124"/>
      <c r="D39" s="125">
        <f>'Program Budget'!I105</f>
        <v>46745</v>
      </c>
      <c r="E39" s="125">
        <f>'Program Budget'!L105</f>
        <v>79012.5</v>
      </c>
      <c r="F39" s="125">
        <f>'Program Budget'!O105</f>
        <v>82963.125</v>
      </c>
      <c r="G39" s="125">
        <f>'Program Budget'!R105</f>
        <v>67605.3</v>
      </c>
      <c r="H39" s="125">
        <f>'Program Budget'!U105</f>
        <v>0</v>
      </c>
      <c r="I39" s="129">
        <f>SUM(D39:H39)</f>
        <v>276325.92499999999</v>
      </c>
    </row>
    <row r="40" spans="1:10">
      <c r="A40" s="71"/>
      <c r="B40" s="34" t="s">
        <v>407</v>
      </c>
      <c r="C40" s="35"/>
      <c r="D40" s="36"/>
      <c r="E40" s="36"/>
      <c r="F40" s="36"/>
      <c r="G40" s="36"/>
      <c r="H40" s="36"/>
      <c r="I40" s="36"/>
    </row>
    <row r="41" spans="1:10" ht="12.9" thickBot="1">
      <c r="B41" s="402" t="s">
        <v>291</v>
      </c>
      <c r="C41" s="409"/>
      <c r="D41" s="410">
        <f>'Program Budget'!I114</f>
        <v>10306.629999999999</v>
      </c>
      <c r="E41" s="410">
        <f>'Program Budget'!L114</f>
        <v>1701</v>
      </c>
      <c r="F41" s="410">
        <f>'Program Budget'!O114</f>
        <v>1786.0500000000002</v>
      </c>
      <c r="G41" s="410">
        <f>'Program Budget'!R114</f>
        <v>1875.3525000000002</v>
      </c>
      <c r="H41" s="410">
        <f>'Program Budget'!U114</f>
        <v>0</v>
      </c>
      <c r="I41" s="410">
        <f>SUM(D41:H41)</f>
        <v>15669.032500000001</v>
      </c>
    </row>
    <row r="42" spans="1:10">
      <c r="A42" s="71"/>
      <c r="B42" s="34" t="s">
        <v>408</v>
      </c>
      <c r="C42" s="35"/>
      <c r="D42" s="36"/>
      <c r="E42" s="36"/>
      <c r="F42" s="36"/>
      <c r="G42" s="36"/>
      <c r="H42" s="36"/>
      <c r="I42" s="36"/>
    </row>
    <row r="43" spans="1:10" ht="12.9" thickBot="1">
      <c r="B43" s="402" t="s">
        <v>299</v>
      </c>
      <c r="C43" s="409"/>
      <c r="D43" s="410">
        <f>'Program Budget'!I126</f>
        <v>16975</v>
      </c>
      <c r="E43" s="410">
        <f>'Program Budget'!L126</f>
        <v>17598.75</v>
      </c>
      <c r="F43" s="410">
        <f>'Program Budget'!O126</f>
        <v>18253.6875</v>
      </c>
      <c r="G43" s="410">
        <f>'Program Budget'!R126</f>
        <v>18941.371874999997</v>
      </c>
      <c r="H43" s="410">
        <f>'Program Budget'!U126</f>
        <v>0</v>
      </c>
      <c r="I43" s="410">
        <f>SUM(D43:H43)</f>
        <v>71768.809374999997</v>
      </c>
    </row>
    <row r="44" spans="1:10" ht="12.9" thickBot="1">
      <c r="B44" s="412" t="s">
        <v>409</v>
      </c>
      <c r="C44" s="414"/>
      <c r="D44" s="415">
        <f t="shared" ref="D44:I44" si="2">SUM(D29:D43)</f>
        <v>897537.12799999991</v>
      </c>
      <c r="E44" s="415">
        <f t="shared" si="2"/>
        <v>331277.80940000003</v>
      </c>
      <c r="F44" s="415">
        <f t="shared" si="2"/>
        <v>440943.77487000002</v>
      </c>
      <c r="G44" s="415">
        <f t="shared" si="2"/>
        <v>446994.98236349999</v>
      </c>
      <c r="H44" s="415">
        <f t="shared" si="2"/>
        <v>0</v>
      </c>
      <c r="I44" s="415">
        <f t="shared" si="2"/>
        <v>2116753.6946335002</v>
      </c>
    </row>
    <row r="45" spans="1:10">
      <c r="B45" s="50"/>
      <c r="C45" s="39"/>
      <c r="D45" s="52"/>
      <c r="E45" s="52"/>
      <c r="F45" s="52"/>
      <c r="G45" s="52"/>
      <c r="H45" s="52"/>
      <c r="I45" s="52"/>
    </row>
    <row r="46" spans="1:10">
      <c r="B46" s="50" t="s">
        <v>410</v>
      </c>
      <c r="C46" s="55">
        <v>0.15</v>
      </c>
      <c r="D46" s="52">
        <f>D44*$C$46</f>
        <v>134630.56919999997</v>
      </c>
      <c r="E46" s="52">
        <f>E44*$C$46</f>
        <v>49691.671410000003</v>
      </c>
      <c r="F46" s="52">
        <f>F44*$C$46</f>
        <v>66141.566230500001</v>
      </c>
      <c r="G46" s="52">
        <f>G44*$C$46</f>
        <v>67049.247354524996</v>
      </c>
      <c r="H46" s="52">
        <f>H44*$C$46</f>
        <v>0</v>
      </c>
      <c r="I46" s="52">
        <f>SUM(H46+G46,F46,E46,D46)</f>
        <v>317513.054195025</v>
      </c>
      <c r="J46" s="858"/>
    </row>
    <row r="47" spans="1:10">
      <c r="B47" s="92"/>
      <c r="C47" s="38"/>
      <c r="D47" s="94"/>
      <c r="E47" s="94"/>
      <c r="F47" s="94"/>
      <c r="G47" s="94"/>
      <c r="H47" s="94"/>
      <c r="I47" s="94"/>
    </row>
    <row r="48" spans="1:10" ht="12.9" thickBot="1">
      <c r="B48" s="95" t="s">
        <v>411</v>
      </c>
      <c r="C48" s="96"/>
      <c r="D48" s="97">
        <f>D46</f>
        <v>134630.56919999997</v>
      </c>
      <c r="E48" s="97">
        <f t="shared" ref="E48:H48" si="3">E46</f>
        <v>49691.671410000003</v>
      </c>
      <c r="F48" s="97">
        <f t="shared" si="3"/>
        <v>66141.566230500001</v>
      </c>
      <c r="G48" s="97">
        <f t="shared" si="3"/>
        <v>67049.247354524996</v>
      </c>
      <c r="H48" s="97">
        <f t="shared" si="3"/>
        <v>0</v>
      </c>
      <c r="I48" s="97">
        <f>I46</f>
        <v>317513.054195025</v>
      </c>
    </row>
    <row r="49" spans="2:10" ht="12.9" thickTop="1">
      <c r="B49" s="123"/>
      <c r="C49" s="124"/>
      <c r="D49" s="125"/>
      <c r="E49" s="125"/>
      <c r="F49" s="125"/>
      <c r="G49" s="125"/>
      <c r="H49" s="125"/>
      <c r="I49" s="125"/>
    </row>
    <row r="50" spans="2:10">
      <c r="B50" s="84" t="str">
        <f>'USDA Budget Summary'!A28</f>
        <v xml:space="preserve">Activity 1: Increase Agricultural Productivity &amp; Trade through Livestock Production </v>
      </c>
      <c r="C50" s="35"/>
      <c r="D50" s="85"/>
      <c r="E50" s="85"/>
      <c r="F50" s="85"/>
      <c r="G50" s="85"/>
      <c r="H50" s="85"/>
      <c r="I50" s="85"/>
    </row>
    <row r="51" spans="2:10">
      <c r="B51" s="123" t="s">
        <v>323</v>
      </c>
      <c r="C51" s="43"/>
      <c r="D51" s="129">
        <f>'Program Budget'!I183</f>
        <v>428728.58399999997</v>
      </c>
      <c r="E51" s="129">
        <f>'Program Budget'!L183</f>
        <v>1002874.7622</v>
      </c>
      <c r="F51" s="129">
        <f>'Program Budget'!O183</f>
        <v>1113552.08531</v>
      </c>
      <c r="G51" s="129">
        <f>'Program Budget'!R183</f>
        <v>894318.54755883338</v>
      </c>
      <c r="H51" s="129">
        <f>'Program Budget'!U183</f>
        <v>0</v>
      </c>
      <c r="I51" s="129">
        <f>SUM(D51:H51)</f>
        <v>3439473.9790688334</v>
      </c>
      <c r="J51" s="133"/>
    </row>
    <row r="52" spans="2:10">
      <c r="B52" s="84" t="str">
        <f>'USDA Budget Summary'!A29</f>
        <v>Activity 2: Improve Trade Finance Capacity to Increase US Exports to Nigeria</v>
      </c>
      <c r="C52" s="35"/>
      <c r="D52" s="85"/>
      <c r="E52" s="85"/>
      <c r="F52" s="85"/>
      <c r="G52" s="85"/>
      <c r="H52" s="85"/>
      <c r="I52" s="85"/>
      <c r="J52" s="133"/>
    </row>
    <row r="53" spans="2:10">
      <c r="B53" s="123" t="s">
        <v>365</v>
      </c>
      <c r="C53" s="43"/>
      <c r="D53" s="129">
        <f>'Program Budget'!I263</f>
        <v>331790.21400000004</v>
      </c>
      <c r="E53" s="129">
        <f>'Program Budget'!L263</f>
        <v>1285858.8747</v>
      </c>
      <c r="F53" s="129">
        <f>'Program Budget'!O263</f>
        <v>1639461.518435</v>
      </c>
      <c r="G53" s="129">
        <f>'Program Budget'!R263</f>
        <v>1025290.3345317501</v>
      </c>
      <c r="H53" s="129">
        <f>'Program Budget'!U263</f>
        <v>0</v>
      </c>
      <c r="I53" s="129">
        <f>SUM(D53:H53)</f>
        <v>4282400.9416667502</v>
      </c>
      <c r="J53" s="133"/>
    </row>
    <row r="54" spans="2:10">
      <c r="B54" s="84" t="str">
        <f>'USDA Budget Summary'!A30</f>
        <v xml:space="preserve">Activity 3: Expand Trade by Reducing Non-Tariff Trade Barriers </v>
      </c>
      <c r="C54" s="35"/>
      <c r="D54" s="85"/>
      <c r="E54" s="85"/>
      <c r="F54" s="85"/>
      <c r="G54" s="85"/>
      <c r="H54" s="85"/>
      <c r="I54" s="85"/>
      <c r="J54" s="133"/>
    </row>
    <row r="55" spans="2:10">
      <c r="B55" s="123" t="s">
        <v>382</v>
      </c>
      <c r="C55" s="43"/>
      <c r="D55" s="129">
        <f>'Program Budget'!I315</f>
        <v>159656.774</v>
      </c>
      <c r="E55" s="129">
        <f>'Program Budget'!L315</f>
        <v>527591.65296923078</v>
      </c>
      <c r="F55" s="129">
        <f>'Program Budget'!O315</f>
        <v>292815.77061769227</v>
      </c>
      <c r="G55" s="129">
        <f>'Program Budget'!R315</f>
        <v>115055.4680255</v>
      </c>
      <c r="H55" s="129">
        <f>'Program Budget'!U315</f>
        <v>0</v>
      </c>
      <c r="I55" s="129">
        <f>SUM(D55:H55)</f>
        <v>1095119.6656124231</v>
      </c>
      <c r="J55" s="133"/>
    </row>
    <row r="56" spans="2:10" ht="12.9" thickBot="1">
      <c r="B56" s="412" t="s">
        <v>412</v>
      </c>
      <c r="C56" s="414"/>
      <c r="D56" s="415">
        <f t="shared" ref="D56:I56" si="4">SUM(D51:D55)</f>
        <v>920175.57199999993</v>
      </c>
      <c r="E56" s="415">
        <f t="shared" si="4"/>
        <v>2816325.2898692312</v>
      </c>
      <c r="F56" s="415">
        <f t="shared" si="4"/>
        <v>3045829.3743626922</v>
      </c>
      <c r="G56" s="415">
        <f t="shared" si="4"/>
        <v>2034664.3501160834</v>
      </c>
      <c r="H56" s="415">
        <f t="shared" si="4"/>
        <v>0</v>
      </c>
      <c r="I56" s="415">
        <f t="shared" si="4"/>
        <v>8816994.5863480065</v>
      </c>
      <c r="J56" s="32"/>
    </row>
    <row r="57" spans="2:10">
      <c r="B57" s="50"/>
      <c r="C57" s="39"/>
      <c r="D57" s="52"/>
      <c r="E57" s="52"/>
      <c r="F57" s="52"/>
      <c r="G57" s="52"/>
      <c r="H57" s="52"/>
      <c r="I57" s="52"/>
    </row>
    <row r="58" spans="2:10">
      <c r="B58" s="50" t="s">
        <v>413</v>
      </c>
      <c r="C58" s="55">
        <v>7.0000000000000007E-2</v>
      </c>
      <c r="D58" s="52">
        <f>('Program Budget'!I176+'Program Budget'!I241+'Program Budget'!I312)*$C$58</f>
        <v>24454.996999999999</v>
      </c>
      <c r="E58" s="52">
        <f>('Program Budget'!L176+'Program Budget'!L241+'Program Budget'!L312)*$C$58</f>
        <v>70690.090153846162</v>
      </c>
      <c r="F58" s="52">
        <f>('Program Budget'!O176+'Program Budget'!O241+'Program Budget'!O312)*$C$58</f>
        <v>54875.063061538465</v>
      </c>
      <c r="G58" s="52">
        <f>('Program Budget'!R176+'Program Budget'!R241+'Program Budget'!R312)*$C$58</f>
        <v>29329.933365833338</v>
      </c>
      <c r="H58" s="52">
        <f>('Program Budget'!U176+'Program Budget'!U241+'Program Budget'!U312)*$C$58</f>
        <v>0</v>
      </c>
      <c r="I58" s="52">
        <f>SUM(H58+G58,F58,E58,D58)</f>
        <v>179350.08358121797</v>
      </c>
      <c r="J58" s="858"/>
    </row>
    <row r="59" spans="2:10">
      <c r="B59" s="50" t="s">
        <v>414</v>
      </c>
      <c r="C59" s="55">
        <v>0.15</v>
      </c>
      <c r="D59" s="52">
        <f>(D56-('Program Budget'!I176+'Program Budget'!I241+'Program Budget'!I312))*$C$59</f>
        <v>85622.770799999984</v>
      </c>
      <c r="E59" s="52">
        <f>(E56-('Program Budget'!L176+'Program Budget'!L241+'Program Budget'!L312))*$C$59</f>
        <v>270970.02886500006</v>
      </c>
      <c r="F59" s="52">
        <f>(F56-('Program Budget'!O176+'Program Budget'!O241+'Program Budget'!O312))*$C$59</f>
        <v>339284.98530825</v>
      </c>
      <c r="G59" s="52">
        <f>(G56-('Program Budget'!R176+'Program Budget'!R241+'Program Budget'!R312))*$C$59</f>
        <v>242349.79530491249</v>
      </c>
      <c r="H59" s="52">
        <f>(H56-('Program Budget'!U176+'Program Budget'!U241+'Program Budget'!U312))*$C$59</f>
        <v>0</v>
      </c>
      <c r="I59" s="52">
        <f>SUM(H59+G59,F59,E59,D59)</f>
        <v>938227.5802781625</v>
      </c>
      <c r="J59" s="858"/>
    </row>
    <row r="60" spans="2:10">
      <c r="B60" s="92"/>
      <c r="C60" s="38"/>
      <c r="D60" s="94"/>
      <c r="E60" s="94"/>
      <c r="F60" s="94"/>
      <c r="G60" s="94"/>
      <c r="H60" s="94"/>
      <c r="I60" s="94"/>
    </row>
    <row r="61" spans="2:10">
      <c r="B61" s="95" t="s">
        <v>415</v>
      </c>
      <c r="C61" s="96"/>
      <c r="D61" s="97">
        <f>D59+D58</f>
        <v>110077.76779999999</v>
      </c>
      <c r="E61" s="97">
        <f t="shared" ref="E61:I61" si="5">E59+E58</f>
        <v>341660.11901884619</v>
      </c>
      <c r="F61" s="97">
        <f t="shared" si="5"/>
        <v>394160.04836978845</v>
      </c>
      <c r="G61" s="97">
        <f t="shared" si="5"/>
        <v>271679.72867074586</v>
      </c>
      <c r="H61" s="97">
        <f t="shared" si="5"/>
        <v>0</v>
      </c>
      <c r="I61" s="97">
        <f t="shared" si="5"/>
        <v>1117577.6638593804</v>
      </c>
      <c r="J61" s="441"/>
    </row>
    <row r="62" spans="2:10" ht="12.9" thickTop="1"/>
    <row r="63" spans="2:10" ht="12.9" thickBot="1">
      <c r="B63" s="95" t="s">
        <v>416</v>
      </c>
      <c r="C63" s="96"/>
      <c r="D63" s="97">
        <f>D61+D48</f>
        <v>244708.33699999994</v>
      </c>
      <c r="E63" s="97">
        <f t="shared" ref="E63:I63" si="6">E61+E48</f>
        <v>391351.7904288462</v>
      </c>
      <c r="F63" s="97">
        <f t="shared" si="6"/>
        <v>460301.61460028845</v>
      </c>
      <c r="G63" s="97">
        <f t="shared" si="6"/>
        <v>338728.97602527088</v>
      </c>
      <c r="H63" s="97">
        <f t="shared" si="6"/>
        <v>0</v>
      </c>
      <c r="I63" s="97">
        <f t="shared" si="6"/>
        <v>1435090.7180544054</v>
      </c>
    </row>
    <row r="64" spans="2:10" ht="12.9" thickTop="1">
      <c r="I64" s="48"/>
    </row>
    <row r="66" spans="2:2">
      <c r="B66" s="98"/>
    </row>
    <row r="67" spans="2:2">
      <c r="B67" s="98"/>
    </row>
  </sheetData>
  <mergeCells count="5">
    <mergeCell ref="B1:I1"/>
    <mergeCell ref="B2:I2"/>
    <mergeCell ref="B3:I3"/>
    <mergeCell ref="B5:I5"/>
    <mergeCell ref="B4:I4"/>
  </mergeCells>
  <pageMargins left="0.7" right="0.7" top="0.75" bottom="0.75" header="0.3" footer="0.3"/>
  <pageSetup scale="89" orientation="landscape" r:id="rId1"/>
  <headerFooter alignWithMargins="0"/>
  <rowBreaks count="1" manualBreakCount="1">
    <brk id="49" min="1" max="14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130"/>
  <sheetViews>
    <sheetView topLeftCell="B1" zoomScaleNormal="100" workbookViewId="0">
      <selection activeCell="G27" sqref="G27"/>
    </sheetView>
  </sheetViews>
  <sheetFormatPr defaultColWidth="8.5546875" defaultRowHeight="12.6" outlineLevelRow="1"/>
  <cols>
    <col min="1" max="1" width="2.44140625" style="5" customWidth="1"/>
    <col min="2" max="2" width="52" style="6" bestFit="1" customWidth="1"/>
    <col min="3" max="3" width="5.5546875" style="6" customWidth="1"/>
    <col min="4" max="4" width="13.5546875" style="7" bestFit="1" customWidth="1"/>
    <col min="5" max="5" width="19.44140625" style="8" bestFit="1" customWidth="1"/>
    <col min="6" max="6" width="17.109375" style="6" bestFit="1" customWidth="1"/>
    <col min="7" max="7" width="19.44140625" style="10" bestFit="1" customWidth="1"/>
    <col min="8" max="8" width="9.44140625" style="6" bestFit="1" customWidth="1"/>
    <col min="9" max="16384" width="8.5546875" style="5"/>
  </cols>
  <sheetData>
    <row r="1" spans="2:8" ht="13.5" customHeight="1">
      <c r="B1" s="913" t="str">
        <f>'Program Budget'!D1</f>
        <v>Partners of the Americas – FY 2025 FFPr Nigeria</v>
      </c>
      <c r="C1" s="913"/>
      <c r="D1" s="913"/>
      <c r="E1" s="913"/>
      <c r="F1" s="913"/>
      <c r="G1" s="913"/>
      <c r="H1" s="913"/>
    </row>
    <row r="2" spans="2:8">
      <c r="B2" s="913" t="str">
        <f>'Program Budget'!D2</f>
        <v>NOFO: USDA-FAS-10.606-0700-25(000)</v>
      </c>
      <c r="C2" s="913"/>
      <c r="D2" s="913"/>
      <c r="E2" s="913"/>
      <c r="F2" s="913"/>
      <c r="G2" s="913"/>
      <c r="H2" s="913"/>
    </row>
    <row r="3" spans="2:8" ht="12.75" customHeight="1">
      <c r="B3" s="913" t="str">
        <f>'Program Budget'!D3</f>
        <v>Duration: 4 Years</v>
      </c>
      <c r="C3" s="913"/>
      <c r="D3" s="913"/>
      <c r="E3" s="913"/>
      <c r="F3" s="913"/>
      <c r="G3" s="913"/>
      <c r="H3" s="913"/>
    </row>
    <row r="4" spans="2:8" ht="12.75" customHeight="1">
      <c r="B4" s="913" t="str">
        <f>'Program Budget'!D4</f>
        <v>Country: Nigeria</v>
      </c>
      <c r="C4" s="913"/>
      <c r="D4" s="913"/>
      <c r="E4" s="913"/>
      <c r="F4" s="913"/>
      <c r="G4" s="913"/>
      <c r="H4" s="913"/>
    </row>
    <row r="5" spans="2:8">
      <c r="B5" s="913" t="s">
        <v>417</v>
      </c>
      <c r="C5" s="913"/>
      <c r="D5" s="913"/>
      <c r="E5" s="913"/>
      <c r="F5" s="913"/>
      <c r="G5" s="913"/>
      <c r="H5" s="913"/>
    </row>
    <row r="6" spans="2:8">
      <c r="B6" s="1"/>
      <c r="C6" s="1"/>
      <c r="D6" s="2"/>
      <c r="E6" s="2"/>
      <c r="F6" s="2"/>
      <c r="G6" s="1"/>
      <c r="H6" s="1"/>
    </row>
    <row r="7" spans="2:8" ht="61.5">
      <c r="B7" s="4"/>
      <c r="C7" s="4"/>
      <c r="D7" s="11" t="s">
        <v>418</v>
      </c>
      <c r="E7" s="11" t="str">
        <f>'USDA Budget Summary'!$A$28</f>
        <v xml:space="preserve">Activity 1: Increase Agricultural Productivity &amp; Trade through Livestock Production </v>
      </c>
      <c r="F7" s="11" t="str">
        <f>'USDA Budget Summary'!$A$29</f>
        <v>Activity 2: Improve Trade Finance Capacity to Increase US Exports to Nigeria</v>
      </c>
      <c r="G7" s="11" t="str">
        <f>'USDA Budget Summary'!$A$30</f>
        <v xml:space="preserve">Activity 3: Expand Trade by Reducing Non-Tariff Trade Barriers </v>
      </c>
      <c r="H7" s="11" t="s">
        <v>419</v>
      </c>
    </row>
    <row r="8" spans="2:8" s="16" customFormat="1" ht="12.3">
      <c r="B8" s="13" t="s">
        <v>64</v>
      </c>
      <c r="C8" s="13"/>
      <c r="D8" s="14" t="s">
        <v>420</v>
      </c>
      <c r="E8" s="14" t="s">
        <v>420</v>
      </c>
      <c r="F8" s="14" t="s">
        <v>421</v>
      </c>
      <c r="G8" s="14" t="s">
        <v>421</v>
      </c>
      <c r="H8" s="14" t="s">
        <v>421</v>
      </c>
    </row>
    <row r="9" spans="2:8" s="7" customFormat="1">
      <c r="B9" s="17" t="s">
        <v>422</v>
      </c>
      <c r="C9" s="17"/>
      <c r="D9" s="17"/>
      <c r="E9" s="17"/>
      <c r="F9" s="17"/>
      <c r="G9" s="17"/>
      <c r="H9" s="17"/>
    </row>
    <row r="10" spans="2:8" s="7" customFormat="1" outlineLevel="1">
      <c r="B10" s="19" t="s">
        <v>423</v>
      </c>
      <c r="C10" s="19"/>
      <c r="D10" s="19"/>
      <c r="E10" s="19"/>
      <c r="F10" s="19"/>
      <c r="G10" s="19"/>
      <c r="H10" s="19"/>
    </row>
    <row r="11" spans="2:8" s="7" customFormat="1" outlineLevel="1">
      <c r="B11" s="21" t="str">
        <f>'Program Budget'!D12</f>
        <v>Key Personnel: Chief of Party</v>
      </c>
      <c r="C11" s="21"/>
      <c r="D11" s="22">
        <v>0.5</v>
      </c>
      <c r="E11" s="22">
        <v>0.2</v>
      </c>
      <c r="F11" s="22">
        <v>0.2</v>
      </c>
      <c r="G11" s="22">
        <v>0.1</v>
      </c>
      <c r="H11" s="22">
        <f t="shared" ref="H11" si="0">SUM(D11:G11)</f>
        <v>0.99999999999999989</v>
      </c>
    </row>
    <row r="12" spans="2:8" s="7" customFormat="1" outlineLevel="1">
      <c r="B12" s="21" t="str">
        <f>'Program Budget'!D13</f>
        <v>Technical Director</v>
      </c>
      <c r="C12" s="21"/>
      <c r="D12" s="22">
        <v>0.28000000000000003</v>
      </c>
      <c r="E12" s="22">
        <v>0.22</v>
      </c>
      <c r="F12" s="22">
        <v>0.35</v>
      </c>
      <c r="G12" s="22">
        <v>0.15</v>
      </c>
      <c r="H12" s="22">
        <f t="shared" ref="H12:H23" si="1">SUM(D12:G12)</f>
        <v>1</v>
      </c>
    </row>
    <row r="13" spans="2:8" s="7" customFormat="1" outlineLevel="1">
      <c r="B13" s="21" t="str">
        <f>'Program Budget'!D14</f>
        <v>Technical Lead - Activity 2 US Exports</v>
      </c>
      <c r="C13" s="21"/>
      <c r="D13" s="22">
        <v>0.2</v>
      </c>
      <c r="E13" s="22">
        <v>0</v>
      </c>
      <c r="F13" s="22">
        <v>0.8</v>
      </c>
      <c r="G13" s="22">
        <v>0</v>
      </c>
      <c r="H13" s="22">
        <f t="shared" si="1"/>
        <v>1</v>
      </c>
    </row>
    <row r="14" spans="2:8" s="7" customFormat="1" outlineLevel="1">
      <c r="B14" s="21" t="str">
        <f>'Program Budget'!D15</f>
        <v>Technical Lead - Activity 2 Access to Finance Specialist</v>
      </c>
      <c r="C14" s="21"/>
      <c r="D14" s="22">
        <v>0.2</v>
      </c>
      <c r="E14" s="22">
        <v>0</v>
      </c>
      <c r="F14" s="22">
        <v>0.8</v>
      </c>
      <c r="G14" s="22">
        <v>0</v>
      </c>
      <c r="H14" s="22">
        <f t="shared" si="1"/>
        <v>1</v>
      </c>
    </row>
    <row r="15" spans="2:8" s="7" customFormat="1" outlineLevel="1">
      <c r="B15" s="21" t="str">
        <f>'Program Budget'!D16</f>
        <v>Communications/Strategic Partnerships Manager</v>
      </c>
      <c r="C15" s="21"/>
      <c r="D15" s="22">
        <v>0.2</v>
      </c>
      <c r="E15" s="22">
        <v>0.3</v>
      </c>
      <c r="F15" s="22">
        <v>0.3</v>
      </c>
      <c r="G15" s="22">
        <v>0.2</v>
      </c>
      <c r="H15" s="22">
        <f t="shared" si="1"/>
        <v>1</v>
      </c>
    </row>
    <row r="16" spans="2:8" s="7" customFormat="1" outlineLevel="1">
      <c r="B16" s="21" t="str">
        <f>'Program Budget'!D17</f>
        <v xml:space="preserve">M&amp;E Director </v>
      </c>
      <c r="C16" s="21"/>
      <c r="D16" s="22">
        <v>0.35</v>
      </c>
      <c r="E16" s="22">
        <v>0.2</v>
      </c>
      <c r="F16" s="22">
        <v>0.25</v>
      </c>
      <c r="G16" s="22">
        <v>0.2</v>
      </c>
      <c r="H16" s="22">
        <f t="shared" si="1"/>
        <v>1</v>
      </c>
    </row>
    <row r="17" spans="2:8" s="7" customFormat="1" outlineLevel="1">
      <c r="B17" s="21" t="str">
        <f>'Program Budget'!D18</f>
        <v>M&amp;E Specialist</v>
      </c>
      <c r="C17" s="21"/>
      <c r="D17" s="22">
        <v>0.2</v>
      </c>
      <c r="E17" s="22">
        <v>0.25</v>
      </c>
      <c r="F17" s="22">
        <v>0.3</v>
      </c>
      <c r="G17" s="22">
        <v>0.25</v>
      </c>
      <c r="H17" s="22">
        <f t="shared" si="1"/>
        <v>1</v>
      </c>
    </row>
    <row r="18" spans="2:8" s="7" customFormat="1" outlineLevel="1">
      <c r="B18" s="21" t="str">
        <f>'Program Budget'!D19</f>
        <v xml:space="preserve">Key Personnel: Finance &amp; Administration (F&amp;A) Director </v>
      </c>
      <c r="C18" s="21"/>
      <c r="D18" s="22">
        <v>0.35</v>
      </c>
      <c r="E18" s="22">
        <v>0.2</v>
      </c>
      <c r="F18" s="22">
        <v>0.25</v>
      </c>
      <c r="G18" s="22">
        <v>0.2</v>
      </c>
      <c r="H18" s="22">
        <f t="shared" si="1"/>
        <v>1</v>
      </c>
    </row>
    <row r="19" spans="2:8" s="7" customFormat="1" outlineLevel="1">
      <c r="B19" s="21" t="str">
        <f>'Program Budget'!D20</f>
        <v xml:space="preserve">Accountant </v>
      </c>
      <c r="C19" s="21"/>
      <c r="D19" s="22">
        <v>0.2</v>
      </c>
      <c r="E19" s="22">
        <v>0.25</v>
      </c>
      <c r="F19" s="22">
        <v>0.3</v>
      </c>
      <c r="G19" s="22">
        <v>0.25</v>
      </c>
      <c r="H19" s="22">
        <f t="shared" si="1"/>
        <v>1</v>
      </c>
    </row>
    <row r="20" spans="2:8" s="7" customFormat="1" outlineLevel="1">
      <c r="B20" s="21" t="str">
        <f>'Program Budget'!D21</f>
        <v>Administration/ HR Manager</v>
      </c>
      <c r="C20" s="21"/>
      <c r="D20" s="22">
        <v>0.35</v>
      </c>
      <c r="E20" s="22">
        <v>0.15</v>
      </c>
      <c r="F20" s="22">
        <v>0.4</v>
      </c>
      <c r="G20" s="22">
        <v>0.1</v>
      </c>
      <c r="H20" s="22">
        <f t="shared" si="1"/>
        <v>1</v>
      </c>
    </row>
    <row r="21" spans="2:8" s="7" customFormat="1" outlineLevel="1">
      <c r="B21" s="21" t="str">
        <f>'Program Budget'!D22</f>
        <v>Grants &amp; Contracts Manager</v>
      </c>
      <c r="C21" s="21"/>
      <c r="D21" s="22">
        <v>0.28000000000000003</v>
      </c>
      <c r="E21" s="22">
        <v>0.21</v>
      </c>
      <c r="F21" s="22">
        <v>0.3</v>
      </c>
      <c r="G21" s="22">
        <v>0.21</v>
      </c>
      <c r="H21" s="22">
        <f t="shared" si="1"/>
        <v>1</v>
      </c>
    </row>
    <row r="22" spans="2:8" s="7" customFormat="1" outlineLevel="1">
      <c r="B22" s="21" t="str">
        <f>'Program Budget'!D23</f>
        <v>Compliance &amp; Procurement Specialist</v>
      </c>
      <c r="C22" s="21"/>
      <c r="D22" s="22">
        <v>0.28000000000000003</v>
      </c>
      <c r="E22" s="22">
        <v>0.21</v>
      </c>
      <c r="F22" s="22">
        <v>0.3</v>
      </c>
      <c r="G22" s="22">
        <v>0.21</v>
      </c>
      <c r="H22" s="22">
        <f t="shared" si="1"/>
        <v>1</v>
      </c>
    </row>
    <row r="23" spans="2:8" s="7" customFormat="1" outlineLevel="1">
      <c r="B23" s="21" t="str">
        <f>'Program Budget'!D24</f>
        <v>Driver</v>
      </c>
      <c r="C23" s="21"/>
      <c r="D23" s="22">
        <v>0</v>
      </c>
      <c r="E23" s="22">
        <v>0.25</v>
      </c>
      <c r="F23" s="22">
        <v>0.5</v>
      </c>
      <c r="G23" s="22">
        <v>0.25</v>
      </c>
      <c r="H23" s="22">
        <f t="shared" si="1"/>
        <v>1</v>
      </c>
    </row>
    <row r="24" spans="2:8" s="7" customFormat="1" outlineLevel="1">
      <c r="B24" s="19" t="s">
        <v>424</v>
      </c>
      <c r="C24" s="19"/>
      <c r="D24" s="25"/>
      <c r="E24" s="25"/>
      <c r="F24" s="25"/>
      <c r="G24" s="25"/>
      <c r="H24" s="25"/>
    </row>
    <row r="25" spans="2:8" s="7" customFormat="1" outlineLevel="1">
      <c r="B25" s="21" t="str">
        <f>'Program Budget'!D26</f>
        <v>Senior Vice President of Programs</v>
      </c>
      <c r="C25" s="21"/>
      <c r="D25" s="99">
        <v>0.02</v>
      </c>
      <c r="E25" s="99">
        <v>0.01</v>
      </c>
      <c r="F25" s="99">
        <v>0.01</v>
      </c>
      <c r="G25" s="99">
        <v>0.01</v>
      </c>
      <c r="H25" s="99">
        <f>SUM(D25:G25)</f>
        <v>0.05</v>
      </c>
    </row>
    <row r="26" spans="2:8" s="7" customFormat="1" outlineLevel="1">
      <c r="B26" s="21" t="str">
        <f>'Program Budget'!D27</f>
        <v xml:space="preserve">Senior Program Director </v>
      </c>
      <c r="C26" s="21"/>
      <c r="D26" s="22">
        <v>0.12</v>
      </c>
      <c r="E26" s="22">
        <v>0.04</v>
      </c>
      <c r="F26" s="22">
        <v>0.05</v>
      </c>
      <c r="G26" s="22">
        <v>0.04</v>
      </c>
      <c r="H26" s="22">
        <f>SUM(D26:G26)</f>
        <v>0.25</v>
      </c>
    </row>
    <row r="27" spans="2:8" s="7" customFormat="1" outlineLevel="1">
      <c r="B27" s="21" t="str">
        <f>'Program Budget'!D28</f>
        <v>Associate Director</v>
      </c>
      <c r="C27" s="21"/>
      <c r="D27" s="22">
        <v>0.5</v>
      </c>
      <c r="E27" s="22">
        <v>0.05</v>
      </c>
      <c r="F27" s="22">
        <v>0.4</v>
      </c>
      <c r="G27" s="22">
        <v>0.05</v>
      </c>
      <c r="H27" s="22">
        <f t="shared" ref="H27:H29" si="2">SUM(D27:G27)</f>
        <v>1</v>
      </c>
    </row>
    <row r="28" spans="2:8" s="7" customFormat="1" outlineLevel="1">
      <c r="B28" s="21" t="str">
        <f>'Program Budget'!D29</f>
        <v>Compliance &amp; Contracts Director</v>
      </c>
      <c r="C28" s="21"/>
      <c r="D28" s="22">
        <v>0.12</v>
      </c>
      <c r="E28" s="22">
        <v>0.04</v>
      </c>
      <c r="F28" s="22">
        <v>0.05</v>
      </c>
      <c r="G28" s="22">
        <v>0.04</v>
      </c>
      <c r="H28" s="22">
        <f t="shared" si="2"/>
        <v>0.25</v>
      </c>
    </row>
    <row r="29" spans="2:8" s="7" customFormat="1" outlineLevel="1">
      <c r="B29" s="21" t="str">
        <f>'Program Budget'!D30</f>
        <v>Finance, HR, &amp; Administration Home Office Support</v>
      </c>
      <c r="C29" s="21"/>
      <c r="D29" s="22">
        <v>0.35</v>
      </c>
      <c r="E29" s="22">
        <v>0.08</v>
      </c>
      <c r="F29" s="22">
        <v>0.2</v>
      </c>
      <c r="G29" s="22">
        <v>7.0000000000000007E-2</v>
      </c>
      <c r="H29" s="22">
        <f t="shared" si="2"/>
        <v>0.7</v>
      </c>
    </row>
    <row r="30" spans="2:8" s="7" customFormat="1" outlineLevel="1">
      <c r="B30" s="26" t="s">
        <v>219</v>
      </c>
      <c r="C30" s="26"/>
      <c r="D30" s="27"/>
      <c r="E30" s="27"/>
      <c r="F30" s="27"/>
      <c r="G30" s="27"/>
      <c r="H30" s="27"/>
    </row>
    <row r="31" spans="2:8">
      <c r="D31" s="10"/>
      <c r="E31" s="6"/>
      <c r="G31" s="6"/>
      <c r="H31" s="10"/>
    </row>
    <row r="32" spans="2:8" ht="61.5">
      <c r="B32" s="4"/>
      <c r="C32" s="4"/>
      <c r="D32" s="11" t="s">
        <v>418</v>
      </c>
      <c r="E32" s="11" t="str">
        <f>'USDA Budget Summary'!$A$28</f>
        <v xml:space="preserve">Activity 1: Increase Agricultural Productivity &amp; Trade through Livestock Production </v>
      </c>
      <c r="F32" s="11" t="str">
        <f>'USDA Budget Summary'!$A$29</f>
        <v>Activity 2: Improve Trade Finance Capacity to Increase US Exports to Nigeria</v>
      </c>
      <c r="G32" s="11" t="str">
        <f>'USDA Budget Summary'!$A$30</f>
        <v xml:space="preserve">Activity 3: Expand Trade by Reducing Non-Tariff Trade Barriers </v>
      </c>
      <c r="H32" s="11" t="s">
        <v>419</v>
      </c>
    </row>
    <row r="33" spans="2:8" s="16" customFormat="1" ht="12.3">
      <c r="B33" s="13" t="s">
        <v>65</v>
      </c>
      <c r="C33" s="13"/>
      <c r="D33" s="14" t="s">
        <v>420</v>
      </c>
      <c r="E33" s="14" t="s">
        <v>420</v>
      </c>
      <c r="F33" s="14" t="s">
        <v>421</v>
      </c>
      <c r="G33" s="14" t="s">
        <v>421</v>
      </c>
      <c r="H33" s="14" t="s">
        <v>421</v>
      </c>
    </row>
    <row r="34" spans="2:8" s="7" customFormat="1">
      <c r="B34" s="17" t="s">
        <v>422</v>
      </c>
      <c r="C34" s="17"/>
      <c r="D34" s="17"/>
      <c r="E34" s="17"/>
      <c r="F34" s="17"/>
      <c r="G34" s="17"/>
      <c r="H34" s="17"/>
    </row>
    <row r="35" spans="2:8" s="7" customFormat="1" outlineLevel="1">
      <c r="B35" s="19" t="s">
        <v>425</v>
      </c>
      <c r="C35" s="19"/>
      <c r="D35" s="19"/>
      <c r="E35" s="19"/>
      <c r="F35" s="19"/>
      <c r="G35" s="19"/>
      <c r="H35" s="19"/>
    </row>
    <row r="36" spans="2:8" s="7" customFormat="1" outlineLevel="1">
      <c r="B36" s="21" t="str">
        <f>'Program Budget'!D12</f>
        <v>Key Personnel: Chief of Party</v>
      </c>
      <c r="C36" s="21"/>
      <c r="D36" s="22">
        <v>0.05</v>
      </c>
      <c r="E36" s="22">
        <v>0.2</v>
      </c>
      <c r="F36" s="22">
        <v>0.55000000000000004</v>
      </c>
      <c r="G36" s="22">
        <v>0.2</v>
      </c>
      <c r="H36" s="22">
        <f t="shared" ref="H36" si="3">SUM(D36:G36)</f>
        <v>1</v>
      </c>
    </row>
    <row r="37" spans="2:8" s="7" customFormat="1" outlineLevel="1">
      <c r="B37" s="21" t="str">
        <f>'Program Budget'!D13</f>
        <v>Technical Director</v>
      </c>
      <c r="C37" s="21"/>
      <c r="D37" s="22">
        <v>0</v>
      </c>
      <c r="E37" s="22">
        <v>0.2</v>
      </c>
      <c r="F37" s="22">
        <v>0.6</v>
      </c>
      <c r="G37" s="22">
        <v>0.2</v>
      </c>
      <c r="H37" s="22">
        <f t="shared" ref="H37:H48" si="4">SUM(D37:G37)</f>
        <v>1</v>
      </c>
    </row>
    <row r="38" spans="2:8" s="7" customFormat="1" outlineLevel="1">
      <c r="B38" s="21" t="str">
        <f>'Program Budget'!D14</f>
        <v>Technical Lead - Activity 2 US Exports</v>
      </c>
      <c r="C38" s="21"/>
      <c r="D38" s="22">
        <v>0</v>
      </c>
      <c r="E38" s="22">
        <v>0</v>
      </c>
      <c r="F38" s="22">
        <v>1</v>
      </c>
      <c r="G38" s="22">
        <v>0</v>
      </c>
      <c r="H38" s="22">
        <f t="shared" si="4"/>
        <v>1</v>
      </c>
    </row>
    <row r="39" spans="2:8" s="7" customFormat="1" outlineLevel="1">
      <c r="B39" s="21" t="str">
        <f>'Program Budget'!D15</f>
        <v>Technical Lead - Activity 2 Access to Finance Specialist</v>
      </c>
      <c r="C39" s="21"/>
      <c r="D39" s="22">
        <v>0</v>
      </c>
      <c r="E39" s="22">
        <v>0</v>
      </c>
      <c r="F39" s="22">
        <v>1</v>
      </c>
      <c r="G39" s="22">
        <v>0</v>
      </c>
      <c r="H39" s="22">
        <f t="shared" si="4"/>
        <v>1</v>
      </c>
    </row>
    <row r="40" spans="2:8" s="7" customFormat="1" outlineLevel="1">
      <c r="B40" s="21" t="str">
        <f>'Program Budget'!D16</f>
        <v>Communications/Strategic Partnerships Manager</v>
      </c>
      <c r="C40" s="21"/>
      <c r="D40" s="22">
        <v>0</v>
      </c>
      <c r="E40" s="22">
        <v>0.4</v>
      </c>
      <c r="F40" s="22">
        <v>0.35</v>
      </c>
      <c r="G40" s="22">
        <v>0.25</v>
      </c>
      <c r="H40" s="22">
        <f t="shared" si="4"/>
        <v>1</v>
      </c>
    </row>
    <row r="41" spans="2:8" s="7" customFormat="1" outlineLevel="1">
      <c r="B41" s="21" t="str">
        <f>'Program Budget'!D17</f>
        <v xml:space="preserve">M&amp;E Director </v>
      </c>
      <c r="C41" s="21"/>
      <c r="D41" s="22">
        <v>0.05</v>
      </c>
      <c r="E41" s="22">
        <v>0.25</v>
      </c>
      <c r="F41" s="22">
        <v>0.45</v>
      </c>
      <c r="G41" s="22">
        <v>0.25</v>
      </c>
      <c r="H41" s="22">
        <f t="shared" si="4"/>
        <v>1</v>
      </c>
    </row>
    <row r="42" spans="2:8" s="7" customFormat="1" outlineLevel="1">
      <c r="B42" s="21" t="str">
        <f>'Program Budget'!D18</f>
        <v>M&amp;E Specialist</v>
      </c>
      <c r="C42" s="21"/>
      <c r="D42" s="22">
        <v>0.05</v>
      </c>
      <c r="E42" s="22">
        <v>0.25</v>
      </c>
      <c r="F42" s="22">
        <v>0.45</v>
      </c>
      <c r="G42" s="22">
        <v>0.25</v>
      </c>
      <c r="H42" s="22">
        <f t="shared" si="4"/>
        <v>1</v>
      </c>
    </row>
    <row r="43" spans="2:8" s="7" customFormat="1" outlineLevel="1">
      <c r="B43" s="21" t="str">
        <f>'Program Budget'!D19</f>
        <v xml:space="preserve">Key Personnel: Finance &amp; Administration (F&amp;A) Director </v>
      </c>
      <c r="C43" s="21"/>
      <c r="D43" s="22">
        <v>0.05</v>
      </c>
      <c r="E43" s="22">
        <v>0.3</v>
      </c>
      <c r="F43" s="22">
        <v>0.35</v>
      </c>
      <c r="G43" s="22">
        <v>0.3</v>
      </c>
      <c r="H43" s="22">
        <f t="shared" si="4"/>
        <v>1</v>
      </c>
    </row>
    <row r="44" spans="2:8" s="7" customFormat="1" outlineLevel="1">
      <c r="B44" s="21" t="str">
        <f>'Program Budget'!D20</f>
        <v xml:space="preserve">Accountant </v>
      </c>
      <c r="C44" s="21"/>
      <c r="D44" s="22">
        <v>0</v>
      </c>
      <c r="E44" s="22">
        <v>0.25</v>
      </c>
      <c r="F44" s="22">
        <v>0.5</v>
      </c>
      <c r="G44" s="22">
        <v>0.25</v>
      </c>
      <c r="H44" s="22">
        <f t="shared" si="4"/>
        <v>1</v>
      </c>
    </row>
    <row r="45" spans="2:8" s="7" customFormat="1" outlineLevel="1">
      <c r="B45" s="21" t="str">
        <f>'Program Budget'!D21</f>
        <v>Administration/ HR Manager</v>
      </c>
      <c r="C45" s="21"/>
      <c r="D45" s="22">
        <v>0.05</v>
      </c>
      <c r="E45" s="22">
        <v>0.25</v>
      </c>
      <c r="F45" s="22">
        <v>0.45</v>
      </c>
      <c r="G45" s="22">
        <v>0.25</v>
      </c>
      <c r="H45" s="22">
        <f t="shared" si="4"/>
        <v>1</v>
      </c>
    </row>
    <row r="46" spans="2:8" s="7" customFormat="1" outlineLevel="1">
      <c r="B46" s="21" t="str">
        <f>'Program Budget'!D22</f>
        <v>Grants &amp; Contracts Manager</v>
      </c>
      <c r="C46" s="21"/>
      <c r="D46" s="22">
        <v>0</v>
      </c>
      <c r="E46" s="22">
        <v>0.3</v>
      </c>
      <c r="F46" s="22">
        <v>0.4</v>
      </c>
      <c r="G46" s="22">
        <v>0.3</v>
      </c>
      <c r="H46" s="22">
        <f t="shared" si="4"/>
        <v>1</v>
      </c>
    </row>
    <row r="47" spans="2:8" s="7" customFormat="1" outlineLevel="1">
      <c r="B47" s="21" t="str">
        <f>'Program Budget'!D23</f>
        <v>Compliance &amp; Procurement Specialist</v>
      </c>
      <c r="C47" s="21"/>
      <c r="D47" s="22">
        <v>0</v>
      </c>
      <c r="E47" s="22">
        <v>0.3</v>
      </c>
      <c r="F47" s="22">
        <v>0.4</v>
      </c>
      <c r="G47" s="22">
        <v>0.3</v>
      </c>
      <c r="H47" s="22">
        <f t="shared" si="4"/>
        <v>1</v>
      </c>
    </row>
    <row r="48" spans="2:8" s="7" customFormat="1" outlineLevel="1">
      <c r="B48" s="21" t="str">
        <f>'Program Budget'!D24</f>
        <v>Driver</v>
      </c>
      <c r="C48" s="21"/>
      <c r="D48" s="22">
        <v>0</v>
      </c>
      <c r="E48" s="22">
        <v>0.25</v>
      </c>
      <c r="F48" s="22">
        <v>0.5</v>
      </c>
      <c r="G48" s="22">
        <v>0.25</v>
      </c>
      <c r="H48" s="22">
        <f t="shared" si="4"/>
        <v>1</v>
      </c>
    </row>
    <row r="49" spans="2:8" s="7" customFormat="1" outlineLevel="1">
      <c r="B49" s="19" t="s">
        <v>424</v>
      </c>
      <c r="C49" s="19"/>
      <c r="D49" s="25"/>
      <c r="E49" s="25"/>
      <c r="F49" s="25"/>
      <c r="G49" s="25"/>
      <c r="H49" s="25"/>
    </row>
    <row r="50" spans="2:8" s="7" customFormat="1" outlineLevel="1">
      <c r="B50" s="21" t="str">
        <f>'Program Budget'!D26</f>
        <v>Senior Vice President of Programs</v>
      </c>
      <c r="C50" s="21"/>
      <c r="D50" s="99">
        <v>0.02</v>
      </c>
      <c r="E50" s="99">
        <v>0.01</v>
      </c>
      <c r="F50" s="99">
        <v>0.01</v>
      </c>
      <c r="G50" s="99">
        <v>0.01</v>
      </c>
      <c r="H50" s="99">
        <f>SUM(D50:G50)</f>
        <v>0.05</v>
      </c>
    </row>
    <row r="51" spans="2:8" s="7" customFormat="1" outlineLevel="1">
      <c r="B51" s="21" t="str">
        <f>'Program Budget'!D27</f>
        <v xml:space="preserve">Senior Program Director </v>
      </c>
      <c r="C51" s="21"/>
      <c r="D51" s="22">
        <v>0.05</v>
      </c>
      <c r="E51" s="22">
        <v>0.05</v>
      </c>
      <c r="F51" s="22">
        <v>0.1</v>
      </c>
      <c r="G51" s="22">
        <v>0.05</v>
      </c>
      <c r="H51" s="22">
        <f>SUM(D51:G51)</f>
        <v>0.25</v>
      </c>
    </row>
    <row r="52" spans="2:8" s="7" customFormat="1" outlineLevel="1">
      <c r="B52" s="21" t="str">
        <f>'Program Budget'!D28</f>
        <v>Associate Director</v>
      </c>
      <c r="C52" s="21"/>
      <c r="D52" s="22">
        <v>0.05</v>
      </c>
      <c r="E52" s="22">
        <v>0.2</v>
      </c>
      <c r="F52" s="22">
        <v>0.55000000000000004</v>
      </c>
      <c r="G52" s="22">
        <v>0.2</v>
      </c>
      <c r="H52" s="22">
        <f t="shared" ref="H52:H54" si="5">SUM(D52:G52)</f>
        <v>1</v>
      </c>
    </row>
    <row r="53" spans="2:8" s="7" customFormat="1" outlineLevel="1">
      <c r="B53" s="21" t="str">
        <f>'Program Budget'!D29</f>
        <v>Compliance &amp; Contracts Director</v>
      </c>
      <c r="C53" s="21"/>
      <c r="D53" s="22">
        <v>0.05</v>
      </c>
      <c r="E53" s="22">
        <v>0.05</v>
      </c>
      <c r="F53" s="22">
        <v>0.1</v>
      </c>
      <c r="G53" s="22">
        <v>0.05</v>
      </c>
      <c r="H53" s="22">
        <f t="shared" si="5"/>
        <v>0.25</v>
      </c>
    </row>
    <row r="54" spans="2:8" s="7" customFormat="1" outlineLevel="1">
      <c r="B54" s="21" t="str">
        <f>'Program Budget'!D30</f>
        <v>Finance, HR, &amp; Administration Home Office Support</v>
      </c>
      <c r="C54" s="21"/>
      <c r="D54" s="22">
        <v>0.05</v>
      </c>
      <c r="E54" s="22">
        <v>0.15</v>
      </c>
      <c r="F54" s="22">
        <v>0.35</v>
      </c>
      <c r="G54" s="22">
        <v>0.15</v>
      </c>
      <c r="H54" s="22">
        <f t="shared" si="5"/>
        <v>0.70000000000000007</v>
      </c>
    </row>
    <row r="55" spans="2:8" s="7" customFormat="1" outlineLevel="1">
      <c r="B55" s="26" t="s">
        <v>219</v>
      </c>
      <c r="C55" s="26"/>
      <c r="D55" s="27"/>
      <c r="E55" s="27"/>
      <c r="F55" s="27"/>
      <c r="G55" s="27"/>
      <c r="H55" s="27"/>
    </row>
    <row r="56" spans="2:8">
      <c r="D56" s="10"/>
      <c r="E56" s="6"/>
      <c r="G56" s="6"/>
      <c r="H56" s="10"/>
    </row>
    <row r="57" spans="2:8" ht="61.5">
      <c r="B57" s="4"/>
      <c r="C57" s="4"/>
      <c r="D57" s="11" t="s">
        <v>418</v>
      </c>
      <c r="E57" s="11" t="str">
        <f>'USDA Budget Summary'!$A$28</f>
        <v xml:space="preserve">Activity 1: Increase Agricultural Productivity &amp; Trade through Livestock Production </v>
      </c>
      <c r="F57" s="11" t="str">
        <f>'USDA Budget Summary'!$A$29</f>
        <v>Activity 2: Improve Trade Finance Capacity to Increase US Exports to Nigeria</v>
      </c>
      <c r="G57" s="11" t="str">
        <f>'USDA Budget Summary'!$A$30</f>
        <v xml:space="preserve">Activity 3: Expand Trade by Reducing Non-Tariff Trade Barriers </v>
      </c>
      <c r="H57" s="11" t="s">
        <v>419</v>
      </c>
    </row>
    <row r="58" spans="2:8" s="16" customFormat="1" ht="12.3">
      <c r="B58" s="13" t="s">
        <v>66</v>
      </c>
      <c r="C58" s="13"/>
      <c r="D58" s="14" t="s">
        <v>420</v>
      </c>
      <c r="E58" s="14" t="s">
        <v>420</v>
      </c>
      <c r="F58" s="14" t="s">
        <v>421</v>
      </c>
      <c r="G58" s="14" t="s">
        <v>421</v>
      </c>
      <c r="H58" s="14" t="s">
        <v>421</v>
      </c>
    </row>
    <row r="59" spans="2:8" s="7" customFormat="1">
      <c r="B59" s="17" t="s">
        <v>422</v>
      </c>
      <c r="C59" s="17"/>
      <c r="D59" s="17"/>
      <c r="E59" s="17"/>
      <c r="F59" s="17"/>
      <c r="G59" s="17"/>
      <c r="H59" s="17"/>
    </row>
    <row r="60" spans="2:8" s="7" customFormat="1" outlineLevel="1">
      <c r="B60" s="19" t="s">
        <v>425</v>
      </c>
      <c r="C60" s="19"/>
      <c r="D60" s="19"/>
      <c r="E60" s="19"/>
      <c r="F60" s="19"/>
      <c r="G60" s="19"/>
      <c r="H60" s="19"/>
    </row>
    <row r="61" spans="2:8" s="7" customFormat="1" outlineLevel="1">
      <c r="B61" s="21" t="str">
        <f>'Program Budget'!D12</f>
        <v>Key Personnel: Chief of Party</v>
      </c>
      <c r="C61" s="21"/>
      <c r="D61" s="22">
        <v>0.05</v>
      </c>
      <c r="E61" s="22">
        <v>0.2</v>
      </c>
      <c r="F61" s="22">
        <v>0.55000000000000004</v>
      </c>
      <c r="G61" s="22">
        <v>0.2</v>
      </c>
      <c r="H61" s="22">
        <f t="shared" ref="H61" si="6">SUM(D61:G61)</f>
        <v>1</v>
      </c>
    </row>
    <row r="62" spans="2:8" s="7" customFormat="1" outlineLevel="1">
      <c r="B62" s="21" t="str">
        <f>'Program Budget'!D13</f>
        <v>Technical Director</v>
      </c>
      <c r="C62" s="21"/>
      <c r="D62" s="22">
        <v>0</v>
      </c>
      <c r="E62" s="22">
        <v>0.2</v>
      </c>
      <c r="F62" s="22">
        <v>0.6</v>
      </c>
      <c r="G62" s="22">
        <v>0.2</v>
      </c>
      <c r="H62" s="22">
        <f t="shared" ref="H62:H73" si="7">SUM(D62:G62)</f>
        <v>1</v>
      </c>
    </row>
    <row r="63" spans="2:8" s="7" customFormat="1" outlineLevel="1">
      <c r="B63" s="21" t="str">
        <f>'Program Budget'!D14</f>
        <v>Technical Lead - Activity 2 US Exports</v>
      </c>
      <c r="C63" s="21"/>
      <c r="D63" s="22">
        <v>0</v>
      </c>
      <c r="E63" s="22">
        <v>0</v>
      </c>
      <c r="F63" s="22">
        <v>1</v>
      </c>
      <c r="G63" s="22">
        <v>0</v>
      </c>
      <c r="H63" s="22">
        <f t="shared" si="7"/>
        <v>1</v>
      </c>
    </row>
    <row r="64" spans="2:8" s="7" customFormat="1" outlineLevel="1">
      <c r="B64" s="21" t="str">
        <f>'Program Budget'!D15</f>
        <v>Technical Lead - Activity 2 Access to Finance Specialist</v>
      </c>
      <c r="C64" s="21"/>
      <c r="D64" s="22">
        <v>0</v>
      </c>
      <c r="E64" s="22">
        <v>0</v>
      </c>
      <c r="F64" s="22">
        <v>1</v>
      </c>
      <c r="G64" s="22">
        <v>0</v>
      </c>
      <c r="H64" s="22">
        <f t="shared" si="7"/>
        <v>1</v>
      </c>
    </row>
    <row r="65" spans="2:8" s="7" customFormat="1" outlineLevel="1">
      <c r="B65" s="21" t="str">
        <f>'Program Budget'!D16</f>
        <v>Communications/Strategic Partnerships Manager</v>
      </c>
      <c r="C65" s="21"/>
      <c r="D65" s="22">
        <v>0</v>
      </c>
      <c r="E65" s="22">
        <v>0.4</v>
      </c>
      <c r="F65" s="22">
        <v>0.35</v>
      </c>
      <c r="G65" s="22">
        <v>0.25</v>
      </c>
      <c r="H65" s="22">
        <f t="shared" si="7"/>
        <v>1</v>
      </c>
    </row>
    <row r="66" spans="2:8" s="7" customFormat="1" outlineLevel="1">
      <c r="B66" s="21" t="str">
        <f>'Program Budget'!D17</f>
        <v xml:space="preserve">M&amp;E Director </v>
      </c>
      <c r="C66" s="21"/>
      <c r="D66" s="22">
        <v>0.05</v>
      </c>
      <c r="E66" s="22">
        <v>0.25</v>
      </c>
      <c r="F66" s="22">
        <v>0.45</v>
      </c>
      <c r="G66" s="22">
        <v>0.25</v>
      </c>
      <c r="H66" s="22">
        <f t="shared" si="7"/>
        <v>1</v>
      </c>
    </row>
    <row r="67" spans="2:8" s="7" customFormat="1" outlineLevel="1">
      <c r="B67" s="21" t="str">
        <f>'Program Budget'!D18</f>
        <v>M&amp;E Specialist</v>
      </c>
      <c r="C67" s="21"/>
      <c r="D67" s="22">
        <v>0.05</v>
      </c>
      <c r="E67" s="22">
        <v>0.25</v>
      </c>
      <c r="F67" s="22">
        <v>0.45</v>
      </c>
      <c r="G67" s="22">
        <v>0.25</v>
      </c>
      <c r="H67" s="22">
        <f t="shared" si="7"/>
        <v>1</v>
      </c>
    </row>
    <row r="68" spans="2:8" s="7" customFormat="1" outlineLevel="1">
      <c r="B68" s="21" t="str">
        <f>'Program Budget'!D19</f>
        <v xml:space="preserve">Key Personnel: Finance &amp; Administration (F&amp;A) Director </v>
      </c>
      <c r="C68" s="21"/>
      <c r="D68" s="22">
        <v>0.05</v>
      </c>
      <c r="E68" s="22">
        <v>0.3</v>
      </c>
      <c r="F68" s="22">
        <v>0.35</v>
      </c>
      <c r="G68" s="22">
        <v>0.3</v>
      </c>
      <c r="H68" s="22">
        <f t="shared" si="7"/>
        <v>1</v>
      </c>
    </row>
    <row r="69" spans="2:8" s="7" customFormat="1" outlineLevel="1">
      <c r="B69" s="21" t="str">
        <f>'Program Budget'!D20</f>
        <v xml:space="preserve">Accountant </v>
      </c>
      <c r="C69" s="21"/>
      <c r="D69" s="22">
        <v>0</v>
      </c>
      <c r="E69" s="22">
        <v>0.25</v>
      </c>
      <c r="F69" s="22">
        <v>0.5</v>
      </c>
      <c r="G69" s="22">
        <v>0.25</v>
      </c>
      <c r="H69" s="22">
        <f t="shared" si="7"/>
        <v>1</v>
      </c>
    </row>
    <row r="70" spans="2:8" s="7" customFormat="1" outlineLevel="1">
      <c r="B70" s="21" t="str">
        <f>'Program Budget'!D21</f>
        <v>Administration/ HR Manager</v>
      </c>
      <c r="C70" s="21"/>
      <c r="D70" s="22">
        <v>0.05</v>
      </c>
      <c r="E70" s="22">
        <v>0.25</v>
      </c>
      <c r="F70" s="22">
        <v>0.45</v>
      </c>
      <c r="G70" s="22">
        <v>0.25</v>
      </c>
      <c r="H70" s="22">
        <f t="shared" si="7"/>
        <v>1</v>
      </c>
    </row>
    <row r="71" spans="2:8" s="7" customFormat="1" outlineLevel="1">
      <c r="B71" s="21" t="str">
        <f>'Program Budget'!D22</f>
        <v>Grants &amp; Contracts Manager</v>
      </c>
      <c r="C71" s="21"/>
      <c r="D71" s="22">
        <v>0</v>
      </c>
      <c r="E71" s="22">
        <v>0.3</v>
      </c>
      <c r="F71" s="22">
        <v>0.4</v>
      </c>
      <c r="G71" s="22">
        <v>0.3</v>
      </c>
      <c r="H71" s="22">
        <f t="shared" si="7"/>
        <v>1</v>
      </c>
    </row>
    <row r="72" spans="2:8" s="7" customFormat="1" outlineLevel="1">
      <c r="B72" s="21" t="str">
        <f>'Program Budget'!D23</f>
        <v>Compliance &amp; Procurement Specialist</v>
      </c>
      <c r="C72" s="21"/>
      <c r="D72" s="22">
        <v>0</v>
      </c>
      <c r="E72" s="22">
        <v>0.3</v>
      </c>
      <c r="F72" s="22">
        <v>0.4</v>
      </c>
      <c r="G72" s="22">
        <v>0.3</v>
      </c>
      <c r="H72" s="22">
        <f t="shared" si="7"/>
        <v>1</v>
      </c>
    </row>
    <row r="73" spans="2:8" s="7" customFormat="1" outlineLevel="1">
      <c r="B73" s="21" t="str">
        <f>'Program Budget'!D24</f>
        <v>Driver</v>
      </c>
      <c r="C73" s="21"/>
      <c r="D73" s="22">
        <v>0</v>
      </c>
      <c r="E73" s="22">
        <v>0.25</v>
      </c>
      <c r="F73" s="22">
        <v>0.5</v>
      </c>
      <c r="G73" s="22">
        <v>0.25</v>
      </c>
      <c r="H73" s="22">
        <f t="shared" si="7"/>
        <v>1</v>
      </c>
    </row>
    <row r="74" spans="2:8" s="7" customFormat="1" outlineLevel="1">
      <c r="B74" s="19" t="s">
        <v>424</v>
      </c>
      <c r="C74" s="19"/>
      <c r="D74" s="25"/>
      <c r="E74" s="25"/>
      <c r="F74" s="25"/>
      <c r="G74" s="25"/>
      <c r="H74" s="25"/>
    </row>
    <row r="75" spans="2:8" s="7" customFormat="1" outlineLevel="1">
      <c r="B75" s="21" t="str">
        <f>'Program Budget'!D26</f>
        <v>Senior Vice President of Programs</v>
      </c>
      <c r="C75" s="21"/>
      <c r="D75" s="99">
        <v>0.02</v>
      </c>
      <c r="E75" s="99">
        <v>0.01</v>
      </c>
      <c r="F75" s="99">
        <v>0.01</v>
      </c>
      <c r="G75" s="99">
        <v>0.01</v>
      </c>
      <c r="H75" s="99">
        <f>SUM(D75:G75)</f>
        <v>0.05</v>
      </c>
    </row>
    <row r="76" spans="2:8" s="7" customFormat="1" outlineLevel="1">
      <c r="B76" s="21" t="str">
        <f>'Program Budget'!D27</f>
        <v xml:space="preserve">Senior Program Director </v>
      </c>
      <c r="C76" s="21"/>
      <c r="D76" s="22">
        <v>0.05</v>
      </c>
      <c r="E76" s="22">
        <v>0.05</v>
      </c>
      <c r="F76" s="22">
        <v>0.1</v>
      </c>
      <c r="G76" s="22">
        <v>0.05</v>
      </c>
      <c r="H76" s="22">
        <f>SUM(D76:G76)</f>
        <v>0.25</v>
      </c>
    </row>
    <row r="77" spans="2:8" s="7" customFormat="1" outlineLevel="1">
      <c r="B77" s="21" t="str">
        <f>'Program Budget'!D28</f>
        <v>Associate Director</v>
      </c>
      <c r="C77" s="21"/>
      <c r="D77" s="22">
        <v>0.05</v>
      </c>
      <c r="E77" s="22">
        <v>0.2</v>
      </c>
      <c r="F77" s="22">
        <v>0.55000000000000004</v>
      </c>
      <c r="G77" s="22">
        <v>0.2</v>
      </c>
      <c r="H77" s="22">
        <f t="shared" ref="H77:H79" si="8">SUM(D77:G77)</f>
        <v>1</v>
      </c>
    </row>
    <row r="78" spans="2:8" s="7" customFormat="1" outlineLevel="1">
      <c r="B78" s="21" t="str">
        <f>'Program Budget'!D29</f>
        <v>Compliance &amp; Contracts Director</v>
      </c>
      <c r="C78" s="21"/>
      <c r="D78" s="22">
        <v>0.05</v>
      </c>
      <c r="E78" s="22">
        <v>0.05</v>
      </c>
      <c r="F78" s="22">
        <v>0.1</v>
      </c>
      <c r="G78" s="22">
        <v>0.05</v>
      </c>
      <c r="H78" s="22">
        <f t="shared" si="8"/>
        <v>0.25</v>
      </c>
    </row>
    <row r="79" spans="2:8" s="7" customFormat="1" outlineLevel="1">
      <c r="B79" s="21" t="str">
        <f>'Program Budget'!D30</f>
        <v>Finance, HR, &amp; Administration Home Office Support</v>
      </c>
      <c r="C79" s="21"/>
      <c r="D79" s="22">
        <v>0.05</v>
      </c>
      <c r="E79" s="22">
        <v>0.15</v>
      </c>
      <c r="F79" s="22">
        <v>0.35</v>
      </c>
      <c r="G79" s="22">
        <v>0.15</v>
      </c>
      <c r="H79" s="22">
        <f t="shared" si="8"/>
        <v>0.70000000000000007</v>
      </c>
    </row>
    <row r="80" spans="2:8" s="7" customFormat="1" outlineLevel="1">
      <c r="B80" s="26" t="s">
        <v>219</v>
      </c>
      <c r="C80" s="26"/>
      <c r="D80" s="27"/>
      <c r="E80" s="27"/>
      <c r="F80" s="27"/>
      <c r="G80" s="27"/>
      <c r="H80" s="27"/>
    </row>
    <row r="81" spans="2:8">
      <c r="D81" s="10"/>
      <c r="E81" s="6"/>
      <c r="G81" s="6"/>
      <c r="H81" s="10"/>
    </row>
    <row r="82" spans="2:8" ht="61.5">
      <c r="B82" s="4"/>
      <c r="C82" s="4"/>
      <c r="D82" s="11" t="s">
        <v>418</v>
      </c>
      <c r="E82" s="11" t="str">
        <f>'USDA Budget Summary'!$A$28</f>
        <v xml:space="preserve">Activity 1: Increase Agricultural Productivity &amp; Trade through Livestock Production </v>
      </c>
      <c r="F82" s="11" t="str">
        <f>'USDA Budget Summary'!$A$29</f>
        <v>Activity 2: Improve Trade Finance Capacity to Increase US Exports to Nigeria</v>
      </c>
      <c r="G82" s="11" t="str">
        <f>'USDA Budget Summary'!$A$30</f>
        <v xml:space="preserve">Activity 3: Expand Trade by Reducing Non-Tariff Trade Barriers </v>
      </c>
      <c r="H82" s="11" t="s">
        <v>419</v>
      </c>
    </row>
    <row r="83" spans="2:8" s="16" customFormat="1" ht="12.3">
      <c r="B83" s="13" t="s">
        <v>67</v>
      </c>
      <c r="C83" s="13"/>
      <c r="D83" s="14" t="s">
        <v>420</v>
      </c>
      <c r="E83" s="14" t="s">
        <v>420</v>
      </c>
      <c r="F83" s="14" t="s">
        <v>421</v>
      </c>
      <c r="G83" s="14" t="s">
        <v>421</v>
      </c>
      <c r="H83" s="14" t="s">
        <v>421</v>
      </c>
    </row>
    <row r="84" spans="2:8" s="7" customFormat="1">
      <c r="B84" s="17" t="s">
        <v>422</v>
      </c>
      <c r="C84" s="17"/>
      <c r="D84" s="17"/>
      <c r="E84" s="17"/>
      <c r="F84" s="17"/>
      <c r="G84" s="17"/>
      <c r="H84" s="17"/>
    </row>
    <row r="85" spans="2:8" s="7" customFormat="1" outlineLevel="1">
      <c r="B85" s="19" t="s">
        <v>425</v>
      </c>
      <c r="C85" s="19"/>
      <c r="D85" s="19"/>
      <c r="E85" s="19"/>
      <c r="F85" s="19"/>
      <c r="G85" s="19"/>
      <c r="H85" s="19"/>
    </row>
    <row r="86" spans="2:8" s="7" customFormat="1" outlineLevel="1">
      <c r="B86" s="21" t="str">
        <f>'Program Budget'!D12</f>
        <v>Key Personnel: Chief of Party</v>
      </c>
      <c r="C86" s="21"/>
      <c r="D86" s="22">
        <v>0.05</v>
      </c>
      <c r="E86" s="22">
        <v>0.3</v>
      </c>
      <c r="F86" s="22">
        <v>0.6</v>
      </c>
      <c r="G86" s="22">
        <v>0.05</v>
      </c>
      <c r="H86" s="22">
        <f t="shared" ref="H86" si="9">SUM(D86:G86)</f>
        <v>1</v>
      </c>
    </row>
    <row r="87" spans="2:8" s="7" customFormat="1" outlineLevel="1">
      <c r="B87" s="21" t="str">
        <f>'Program Budget'!D13</f>
        <v>Technical Director</v>
      </c>
      <c r="C87" s="21"/>
      <c r="D87" s="22">
        <v>0</v>
      </c>
      <c r="E87" s="22">
        <v>0.3</v>
      </c>
      <c r="F87" s="22">
        <v>0.6</v>
      </c>
      <c r="G87" s="22">
        <v>0.1</v>
      </c>
      <c r="H87" s="22">
        <f t="shared" ref="H87:H98" si="10">SUM(D87:G87)</f>
        <v>0.99999999999999989</v>
      </c>
    </row>
    <row r="88" spans="2:8" s="7" customFormat="1" outlineLevel="1">
      <c r="B88" s="21" t="str">
        <f>'Program Budget'!D14</f>
        <v>Technical Lead - Activity 2 US Exports</v>
      </c>
      <c r="C88" s="21"/>
      <c r="D88" s="22">
        <v>0</v>
      </c>
      <c r="E88" s="22">
        <v>0</v>
      </c>
      <c r="F88" s="22">
        <v>1</v>
      </c>
      <c r="G88" s="22">
        <v>0</v>
      </c>
      <c r="H88" s="22">
        <f t="shared" si="10"/>
        <v>1</v>
      </c>
    </row>
    <row r="89" spans="2:8" s="7" customFormat="1" outlineLevel="1">
      <c r="B89" s="21" t="str">
        <f>'Program Budget'!D15</f>
        <v>Technical Lead - Activity 2 Access to Finance Specialist</v>
      </c>
      <c r="C89" s="21"/>
      <c r="D89" s="22">
        <v>0</v>
      </c>
      <c r="E89" s="22">
        <v>0</v>
      </c>
      <c r="F89" s="22">
        <v>1</v>
      </c>
      <c r="G89" s="22">
        <v>0</v>
      </c>
      <c r="H89" s="22">
        <f t="shared" si="10"/>
        <v>1</v>
      </c>
    </row>
    <row r="90" spans="2:8" s="7" customFormat="1" outlineLevel="1">
      <c r="B90" s="21" t="str">
        <f>'Program Budget'!D16</f>
        <v>Communications/Strategic Partnerships Manager</v>
      </c>
      <c r="C90" s="21"/>
      <c r="D90" s="22">
        <v>0</v>
      </c>
      <c r="E90" s="22">
        <v>0.5</v>
      </c>
      <c r="F90" s="22">
        <v>0.5</v>
      </c>
      <c r="G90" s="22">
        <v>0</v>
      </c>
      <c r="H90" s="22">
        <f t="shared" si="10"/>
        <v>1</v>
      </c>
    </row>
    <row r="91" spans="2:8" s="7" customFormat="1" outlineLevel="1">
      <c r="B91" s="21" t="str">
        <f>'Program Budget'!D17</f>
        <v xml:space="preserve">M&amp;E Director </v>
      </c>
      <c r="C91" s="21"/>
      <c r="D91" s="22">
        <v>0.05</v>
      </c>
      <c r="E91" s="22">
        <v>0.35</v>
      </c>
      <c r="F91" s="22">
        <v>0.5</v>
      </c>
      <c r="G91" s="22">
        <v>0.1</v>
      </c>
      <c r="H91" s="22">
        <f t="shared" si="10"/>
        <v>0.99999999999999989</v>
      </c>
    </row>
    <row r="92" spans="2:8" s="7" customFormat="1" outlineLevel="1">
      <c r="B92" s="21" t="str">
        <f>'Program Budget'!D18</f>
        <v>M&amp;E Specialist</v>
      </c>
      <c r="C92" s="21"/>
      <c r="D92" s="22">
        <v>0.05</v>
      </c>
      <c r="E92" s="22">
        <v>0.35</v>
      </c>
      <c r="F92" s="22">
        <v>0.5</v>
      </c>
      <c r="G92" s="22">
        <v>0.1</v>
      </c>
      <c r="H92" s="22">
        <f t="shared" si="10"/>
        <v>0.99999999999999989</v>
      </c>
    </row>
    <row r="93" spans="2:8" s="7" customFormat="1" outlineLevel="1">
      <c r="B93" s="21" t="str">
        <f>'Program Budget'!D19</f>
        <v xml:space="preserve">Key Personnel: Finance &amp; Administration (F&amp;A) Director </v>
      </c>
      <c r="C93" s="21"/>
      <c r="D93" s="22">
        <v>0.05</v>
      </c>
      <c r="E93" s="22">
        <v>0.4</v>
      </c>
      <c r="F93" s="22">
        <v>0.5</v>
      </c>
      <c r="G93" s="22">
        <v>0.05</v>
      </c>
      <c r="H93" s="22">
        <f t="shared" si="10"/>
        <v>1</v>
      </c>
    </row>
    <row r="94" spans="2:8" s="7" customFormat="1" outlineLevel="1">
      <c r="B94" s="21" t="str">
        <f>'Program Budget'!D20</f>
        <v xml:space="preserve">Accountant </v>
      </c>
      <c r="C94" s="21"/>
      <c r="D94" s="22">
        <v>0</v>
      </c>
      <c r="E94" s="22">
        <v>0.4</v>
      </c>
      <c r="F94" s="22">
        <v>0.55000000000000004</v>
      </c>
      <c r="G94" s="22">
        <v>0.05</v>
      </c>
      <c r="H94" s="22">
        <f t="shared" si="10"/>
        <v>1</v>
      </c>
    </row>
    <row r="95" spans="2:8" s="7" customFormat="1" outlineLevel="1">
      <c r="B95" s="21" t="str">
        <f>'Program Budget'!D21</f>
        <v>Administration/ HR Manager</v>
      </c>
      <c r="C95" s="21"/>
      <c r="D95" s="22">
        <v>0.05</v>
      </c>
      <c r="E95" s="22">
        <v>0.35</v>
      </c>
      <c r="F95" s="22">
        <v>0.55000000000000004</v>
      </c>
      <c r="G95" s="22">
        <v>0.05</v>
      </c>
      <c r="H95" s="22">
        <f t="shared" si="10"/>
        <v>1</v>
      </c>
    </row>
    <row r="96" spans="2:8" s="7" customFormat="1" outlineLevel="1">
      <c r="B96" s="21" t="str">
        <f>'Program Budget'!D22</f>
        <v>Grants &amp; Contracts Manager</v>
      </c>
      <c r="C96" s="21"/>
      <c r="D96" s="22">
        <v>0</v>
      </c>
      <c r="E96" s="22">
        <v>0.4</v>
      </c>
      <c r="F96" s="22">
        <v>0.6</v>
      </c>
      <c r="G96" s="22">
        <v>0</v>
      </c>
      <c r="H96" s="22">
        <f t="shared" si="10"/>
        <v>1</v>
      </c>
    </row>
    <row r="97" spans="2:8" s="7" customFormat="1" outlineLevel="1">
      <c r="B97" s="21" t="str">
        <f>'Program Budget'!D23</f>
        <v>Compliance &amp; Procurement Specialist</v>
      </c>
      <c r="C97" s="21"/>
      <c r="D97" s="22">
        <v>0</v>
      </c>
      <c r="E97" s="22">
        <v>0.4</v>
      </c>
      <c r="F97" s="22">
        <v>0.6</v>
      </c>
      <c r="G97" s="22">
        <v>0</v>
      </c>
      <c r="H97" s="22">
        <f t="shared" si="10"/>
        <v>1</v>
      </c>
    </row>
    <row r="98" spans="2:8" s="7" customFormat="1" outlineLevel="1">
      <c r="B98" s="21" t="str">
        <f>'Program Budget'!D24</f>
        <v>Driver</v>
      </c>
      <c r="C98" s="21"/>
      <c r="D98" s="22">
        <v>0</v>
      </c>
      <c r="E98" s="22">
        <v>0.35</v>
      </c>
      <c r="F98" s="22">
        <v>0.65</v>
      </c>
      <c r="G98" s="22">
        <v>0</v>
      </c>
      <c r="H98" s="22">
        <f t="shared" si="10"/>
        <v>1</v>
      </c>
    </row>
    <row r="99" spans="2:8" s="7" customFormat="1" outlineLevel="1">
      <c r="B99" s="19" t="s">
        <v>424</v>
      </c>
      <c r="C99" s="19"/>
      <c r="D99" s="25"/>
      <c r="E99" s="25"/>
      <c r="F99" s="25"/>
      <c r="G99" s="25"/>
      <c r="H99" s="25"/>
    </row>
    <row r="100" spans="2:8" s="7" customFormat="1" outlineLevel="1">
      <c r="B100" s="21" t="str">
        <f>'Program Budget'!D26</f>
        <v>Senior Vice President of Programs</v>
      </c>
      <c r="C100" s="21"/>
      <c r="D100" s="99">
        <v>0.02</v>
      </c>
      <c r="E100" s="99">
        <v>0.01</v>
      </c>
      <c r="F100" s="99">
        <v>0.01</v>
      </c>
      <c r="G100" s="99">
        <v>0.01</v>
      </c>
      <c r="H100" s="99">
        <f>SUM(D100:G100)</f>
        <v>0.05</v>
      </c>
    </row>
    <row r="101" spans="2:8" s="7" customFormat="1" outlineLevel="1">
      <c r="B101" s="21" t="str">
        <f>'Program Budget'!D27</f>
        <v xml:space="preserve">Senior Program Director </v>
      </c>
      <c r="C101" s="21"/>
      <c r="D101" s="22">
        <v>0.05</v>
      </c>
      <c r="E101" s="22">
        <v>0.05</v>
      </c>
      <c r="F101" s="22">
        <v>0.1</v>
      </c>
      <c r="G101" s="22">
        <v>0.05</v>
      </c>
      <c r="H101" s="22">
        <f>SUM(D101:G101)</f>
        <v>0.25</v>
      </c>
    </row>
    <row r="102" spans="2:8" s="7" customFormat="1" outlineLevel="1">
      <c r="B102" s="21" t="str">
        <f>'Program Budget'!D28</f>
        <v>Associate Director</v>
      </c>
      <c r="C102" s="21"/>
      <c r="D102" s="22">
        <v>0.05</v>
      </c>
      <c r="E102" s="22">
        <v>0.2</v>
      </c>
      <c r="F102" s="22">
        <v>0.55000000000000004</v>
      </c>
      <c r="G102" s="22">
        <v>0.2</v>
      </c>
      <c r="H102" s="22">
        <f t="shared" ref="H102:H104" si="11">SUM(D102:G102)</f>
        <v>1</v>
      </c>
    </row>
    <row r="103" spans="2:8" s="7" customFormat="1" outlineLevel="1">
      <c r="B103" s="21" t="str">
        <f>'Program Budget'!D29</f>
        <v>Compliance &amp; Contracts Director</v>
      </c>
      <c r="C103" s="21"/>
      <c r="D103" s="22">
        <v>0.05</v>
      </c>
      <c r="E103" s="22">
        <v>0.05</v>
      </c>
      <c r="F103" s="22">
        <v>0.1</v>
      </c>
      <c r="G103" s="22">
        <v>0.05</v>
      </c>
      <c r="H103" s="22">
        <f t="shared" si="11"/>
        <v>0.25</v>
      </c>
    </row>
    <row r="104" spans="2:8" s="7" customFormat="1" outlineLevel="1">
      <c r="B104" s="21" t="str">
        <f>'Program Budget'!D30</f>
        <v>Finance, HR, &amp; Administration Home Office Support</v>
      </c>
      <c r="C104" s="21"/>
      <c r="D104" s="22">
        <v>0.05</v>
      </c>
      <c r="E104" s="22">
        <v>0.15</v>
      </c>
      <c r="F104" s="22">
        <v>0.35</v>
      </c>
      <c r="G104" s="22">
        <v>0.15</v>
      </c>
      <c r="H104" s="22">
        <f t="shared" si="11"/>
        <v>0.70000000000000007</v>
      </c>
    </row>
    <row r="105" spans="2:8" s="7" customFormat="1" outlineLevel="1">
      <c r="B105" s="26" t="s">
        <v>219</v>
      </c>
      <c r="C105" s="26"/>
      <c r="D105" s="27"/>
      <c r="E105" s="27"/>
      <c r="F105" s="27"/>
      <c r="G105" s="27"/>
      <c r="H105" s="27"/>
    </row>
    <row r="106" spans="2:8">
      <c r="D106" s="10"/>
      <c r="E106" s="6"/>
      <c r="G106" s="6"/>
      <c r="H106" s="10"/>
    </row>
    <row r="107" spans="2:8" ht="61.5">
      <c r="B107" s="4"/>
      <c r="C107" s="4"/>
      <c r="D107" s="11" t="s">
        <v>418</v>
      </c>
      <c r="E107" s="11" t="str">
        <f>'USDA Budget Summary'!$A$28</f>
        <v xml:space="preserve">Activity 1: Increase Agricultural Productivity &amp; Trade through Livestock Production </v>
      </c>
      <c r="F107" s="11" t="str">
        <f>'USDA Budget Summary'!$A$29</f>
        <v>Activity 2: Improve Trade Finance Capacity to Increase US Exports to Nigeria</v>
      </c>
      <c r="G107" s="11" t="str">
        <f>'USDA Budget Summary'!$A$30</f>
        <v xml:space="preserve">Activity 3: Expand Trade by Reducing Non-Tariff Trade Barriers </v>
      </c>
      <c r="H107" s="11" t="s">
        <v>419</v>
      </c>
    </row>
    <row r="108" spans="2:8" s="16" customFormat="1" ht="12.3">
      <c r="B108" s="13" t="s">
        <v>68</v>
      </c>
      <c r="C108" s="13"/>
      <c r="D108" s="14" t="s">
        <v>420</v>
      </c>
      <c r="E108" s="14" t="s">
        <v>420</v>
      </c>
      <c r="F108" s="14" t="s">
        <v>421</v>
      </c>
      <c r="G108" s="14" t="s">
        <v>421</v>
      </c>
      <c r="H108" s="14" t="s">
        <v>421</v>
      </c>
    </row>
    <row r="109" spans="2:8" s="7" customFormat="1">
      <c r="B109" s="17" t="s">
        <v>422</v>
      </c>
      <c r="C109" s="17"/>
      <c r="D109" s="17"/>
      <c r="E109" s="17"/>
      <c r="F109" s="17"/>
      <c r="G109" s="17"/>
      <c r="H109" s="17"/>
    </row>
    <row r="110" spans="2:8" s="7" customFormat="1" outlineLevel="1">
      <c r="B110" s="19" t="s">
        <v>425</v>
      </c>
      <c r="C110" s="19"/>
      <c r="D110" s="19"/>
      <c r="E110" s="19"/>
      <c r="F110" s="19"/>
      <c r="G110" s="19"/>
      <c r="H110" s="19"/>
    </row>
    <row r="111" spans="2:8" s="7" customFormat="1" outlineLevel="1">
      <c r="B111" s="21" t="str">
        <f>'Program Budget'!D12</f>
        <v>Key Personnel: Chief of Party</v>
      </c>
      <c r="C111" s="21"/>
      <c r="D111" s="22">
        <v>0</v>
      </c>
      <c r="E111" s="22">
        <v>0</v>
      </c>
      <c r="F111" s="22">
        <v>0</v>
      </c>
      <c r="G111" s="22">
        <v>0</v>
      </c>
      <c r="H111" s="22">
        <f t="shared" ref="H111" si="12">SUM(D111:G111)</f>
        <v>0</v>
      </c>
    </row>
    <row r="112" spans="2:8" s="7" customFormat="1" outlineLevel="1">
      <c r="B112" s="21" t="str">
        <f>'Program Budget'!D13</f>
        <v>Technical Director</v>
      </c>
      <c r="C112" s="21"/>
      <c r="D112" s="22">
        <v>0</v>
      </c>
      <c r="E112" s="22">
        <v>0</v>
      </c>
      <c r="F112" s="22">
        <v>0</v>
      </c>
      <c r="G112" s="22">
        <v>0</v>
      </c>
      <c r="H112" s="22">
        <f t="shared" ref="H112:H123" si="13">SUM(D112:G112)</f>
        <v>0</v>
      </c>
    </row>
    <row r="113" spans="2:8" s="7" customFormat="1" outlineLevel="1">
      <c r="B113" s="21" t="str">
        <f>'Program Budget'!D14</f>
        <v>Technical Lead - Activity 2 US Exports</v>
      </c>
      <c r="C113" s="21"/>
      <c r="D113" s="22">
        <v>0</v>
      </c>
      <c r="E113" s="22">
        <v>0</v>
      </c>
      <c r="F113" s="22">
        <v>0</v>
      </c>
      <c r="G113" s="22">
        <v>0</v>
      </c>
      <c r="H113" s="22">
        <f t="shared" si="13"/>
        <v>0</v>
      </c>
    </row>
    <row r="114" spans="2:8" s="7" customFormat="1" outlineLevel="1">
      <c r="B114" s="21" t="str">
        <f>'Program Budget'!D15</f>
        <v>Technical Lead - Activity 2 Access to Finance Specialist</v>
      </c>
      <c r="C114" s="21"/>
      <c r="D114" s="22">
        <v>0</v>
      </c>
      <c r="E114" s="22">
        <v>0</v>
      </c>
      <c r="F114" s="22">
        <v>0</v>
      </c>
      <c r="G114" s="22">
        <v>0</v>
      </c>
      <c r="H114" s="22">
        <f t="shared" si="13"/>
        <v>0</v>
      </c>
    </row>
    <row r="115" spans="2:8" s="7" customFormat="1" outlineLevel="1">
      <c r="B115" s="21" t="str">
        <f>'Program Budget'!D16</f>
        <v>Communications/Strategic Partnerships Manager</v>
      </c>
      <c r="C115" s="21"/>
      <c r="D115" s="22">
        <v>0</v>
      </c>
      <c r="E115" s="22">
        <v>0</v>
      </c>
      <c r="F115" s="22">
        <v>0</v>
      </c>
      <c r="G115" s="22">
        <v>0</v>
      </c>
      <c r="H115" s="22">
        <f t="shared" si="13"/>
        <v>0</v>
      </c>
    </row>
    <row r="116" spans="2:8" s="7" customFormat="1" outlineLevel="1">
      <c r="B116" s="21" t="str">
        <f>'Program Budget'!D17</f>
        <v xml:space="preserve">M&amp;E Director </v>
      </c>
      <c r="C116" s="21"/>
      <c r="D116" s="22">
        <v>0</v>
      </c>
      <c r="E116" s="22">
        <v>0</v>
      </c>
      <c r="F116" s="22">
        <v>0</v>
      </c>
      <c r="G116" s="22">
        <v>0</v>
      </c>
      <c r="H116" s="22">
        <f t="shared" si="13"/>
        <v>0</v>
      </c>
    </row>
    <row r="117" spans="2:8" s="7" customFormat="1" outlineLevel="1">
      <c r="B117" s="21" t="str">
        <f>'Program Budget'!D18</f>
        <v>M&amp;E Specialist</v>
      </c>
      <c r="C117" s="21"/>
      <c r="D117" s="22">
        <v>0</v>
      </c>
      <c r="E117" s="22">
        <v>0</v>
      </c>
      <c r="F117" s="22">
        <v>0</v>
      </c>
      <c r="G117" s="22">
        <v>0</v>
      </c>
      <c r="H117" s="22">
        <f t="shared" si="13"/>
        <v>0</v>
      </c>
    </row>
    <row r="118" spans="2:8" s="7" customFormat="1" outlineLevel="1">
      <c r="B118" s="21" t="str">
        <f>'Program Budget'!D19</f>
        <v xml:space="preserve">Key Personnel: Finance &amp; Administration (F&amp;A) Director </v>
      </c>
      <c r="C118" s="21"/>
      <c r="D118" s="22">
        <v>0</v>
      </c>
      <c r="E118" s="22">
        <v>0</v>
      </c>
      <c r="F118" s="22">
        <v>0</v>
      </c>
      <c r="G118" s="22">
        <v>0</v>
      </c>
      <c r="H118" s="22">
        <f t="shared" si="13"/>
        <v>0</v>
      </c>
    </row>
    <row r="119" spans="2:8" s="7" customFormat="1" outlineLevel="1">
      <c r="B119" s="21" t="str">
        <f>'Program Budget'!D20</f>
        <v xml:space="preserve">Accountant </v>
      </c>
      <c r="C119" s="21"/>
      <c r="D119" s="22">
        <v>0</v>
      </c>
      <c r="E119" s="22">
        <v>0</v>
      </c>
      <c r="F119" s="22">
        <v>0</v>
      </c>
      <c r="G119" s="22">
        <v>0</v>
      </c>
      <c r="H119" s="22">
        <f t="shared" si="13"/>
        <v>0</v>
      </c>
    </row>
    <row r="120" spans="2:8" s="7" customFormat="1" outlineLevel="1">
      <c r="B120" s="21" t="str">
        <f>'Program Budget'!D21</f>
        <v>Administration/ HR Manager</v>
      </c>
      <c r="C120" s="21"/>
      <c r="D120" s="22">
        <v>0</v>
      </c>
      <c r="E120" s="22">
        <v>0</v>
      </c>
      <c r="F120" s="22">
        <v>0</v>
      </c>
      <c r="G120" s="22">
        <v>0</v>
      </c>
      <c r="H120" s="22">
        <f t="shared" si="13"/>
        <v>0</v>
      </c>
    </row>
    <row r="121" spans="2:8" s="7" customFormat="1" outlineLevel="1">
      <c r="B121" s="21" t="str">
        <f>'Program Budget'!D22</f>
        <v>Grants &amp; Contracts Manager</v>
      </c>
      <c r="C121" s="21"/>
      <c r="D121" s="22">
        <v>0</v>
      </c>
      <c r="E121" s="22">
        <v>0</v>
      </c>
      <c r="F121" s="22">
        <v>0</v>
      </c>
      <c r="G121" s="22">
        <v>0</v>
      </c>
      <c r="H121" s="22">
        <f t="shared" si="13"/>
        <v>0</v>
      </c>
    </row>
    <row r="122" spans="2:8" s="7" customFormat="1" outlineLevel="1">
      <c r="B122" s="21" t="str">
        <f>'Program Budget'!D23</f>
        <v>Compliance &amp; Procurement Specialist</v>
      </c>
      <c r="C122" s="21"/>
      <c r="D122" s="22">
        <v>0</v>
      </c>
      <c r="E122" s="22">
        <v>0</v>
      </c>
      <c r="F122" s="22">
        <v>0</v>
      </c>
      <c r="G122" s="22">
        <v>0</v>
      </c>
      <c r="H122" s="22">
        <f t="shared" si="13"/>
        <v>0</v>
      </c>
    </row>
    <row r="123" spans="2:8" s="7" customFormat="1" outlineLevel="1">
      <c r="B123" s="21" t="str">
        <f>'Program Budget'!D24</f>
        <v>Driver</v>
      </c>
      <c r="C123" s="21"/>
      <c r="D123" s="22">
        <v>0</v>
      </c>
      <c r="E123" s="22">
        <v>0</v>
      </c>
      <c r="F123" s="22">
        <v>0</v>
      </c>
      <c r="G123" s="22">
        <v>0</v>
      </c>
      <c r="H123" s="22">
        <f t="shared" si="13"/>
        <v>0</v>
      </c>
    </row>
    <row r="124" spans="2:8" s="7" customFormat="1" outlineLevel="1">
      <c r="B124" s="19" t="s">
        <v>424</v>
      </c>
      <c r="C124" s="19"/>
      <c r="D124" s="25"/>
      <c r="E124" s="25"/>
      <c r="F124" s="25"/>
      <c r="G124" s="25"/>
      <c r="H124" s="25"/>
    </row>
    <row r="125" spans="2:8" s="7" customFormat="1" outlineLevel="1">
      <c r="B125" s="21" t="str">
        <f>'Program Budget'!D26</f>
        <v>Senior Vice President of Programs</v>
      </c>
      <c r="C125" s="21"/>
      <c r="D125" s="99">
        <v>0</v>
      </c>
      <c r="E125" s="99">
        <v>0</v>
      </c>
      <c r="F125" s="99">
        <v>0</v>
      </c>
      <c r="G125" s="99">
        <v>0</v>
      </c>
      <c r="H125" s="99">
        <f>SUM(D125:G125)</f>
        <v>0</v>
      </c>
    </row>
    <row r="126" spans="2:8" s="7" customFormat="1" outlineLevel="1">
      <c r="B126" s="21" t="str">
        <f>'Program Budget'!D27</f>
        <v xml:space="preserve">Senior Program Director </v>
      </c>
      <c r="C126" s="21"/>
      <c r="D126" s="22">
        <v>0</v>
      </c>
      <c r="E126" s="22">
        <v>0</v>
      </c>
      <c r="F126" s="22">
        <v>0</v>
      </c>
      <c r="G126" s="22">
        <v>0</v>
      </c>
      <c r="H126" s="22">
        <f>SUM(D126:G126)</f>
        <v>0</v>
      </c>
    </row>
    <row r="127" spans="2:8" s="7" customFormat="1" outlineLevel="1">
      <c r="B127" s="21" t="str">
        <f>'Program Budget'!D28</f>
        <v>Associate Director</v>
      </c>
      <c r="C127" s="21"/>
      <c r="D127" s="22">
        <v>0</v>
      </c>
      <c r="E127" s="22">
        <v>0</v>
      </c>
      <c r="F127" s="22">
        <v>0</v>
      </c>
      <c r="G127" s="22">
        <v>0</v>
      </c>
      <c r="H127" s="22">
        <f t="shared" ref="H127:H129" si="14">SUM(D127:G127)</f>
        <v>0</v>
      </c>
    </row>
    <row r="128" spans="2:8" s="7" customFormat="1" outlineLevel="1">
      <c r="B128" s="21" t="str">
        <f>'Program Budget'!D29</f>
        <v>Compliance &amp; Contracts Director</v>
      </c>
      <c r="C128" s="21"/>
      <c r="D128" s="22">
        <v>0</v>
      </c>
      <c r="E128" s="22">
        <v>0</v>
      </c>
      <c r="F128" s="22">
        <v>0</v>
      </c>
      <c r="G128" s="22">
        <v>0</v>
      </c>
      <c r="H128" s="22">
        <f t="shared" si="14"/>
        <v>0</v>
      </c>
    </row>
    <row r="129" spans="2:8" s="7" customFormat="1" outlineLevel="1">
      <c r="B129" s="21" t="str">
        <f>'Program Budget'!D30</f>
        <v>Finance, HR, &amp; Administration Home Office Support</v>
      </c>
      <c r="C129" s="21"/>
      <c r="D129" s="22">
        <v>0</v>
      </c>
      <c r="E129" s="22">
        <v>0</v>
      </c>
      <c r="F129" s="22">
        <v>0</v>
      </c>
      <c r="G129" s="22">
        <v>0</v>
      </c>
      <c r="H129" s="22">
        <f t="shared" si="14"/>
        <v>0</v>
      </c>
    </row>
    <row r="130" spans="2:8" s="7" customFormat="1" outlineLevel="1">
      <c r="B130" s="26" t="s">
        <v>219</v>
      </c>
      <c r="C130" s="26"/>
      <c r="D130" s="27"/>
      <c r="E130" s="27"/>
      <c r="F130" s="27"/>
      <c r="G130" s="27"/>
      <c r="H130" s="27"/>
    </row>
  </sheetData>
  <mergeCells count="5">
    <mergeCell ref="B1:H1"/>
    <mergeCell ref="B2:H2"/>
    <mergeCell ref="B3:H3"/>
    <mergeCell ref="B4:H4"/>
    <mergeCell ref="B5:H5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F023C-3AE7-4E9C-A381-4C4F2117FE7B}">
  <dimension ref="B1:R49"/>
  <sheetViews>
    <sheetView topLeftCell="B6" zoomScale="85" zoomScaleNormal="85" workbookViewId="0">
      <selection activeCell="O36" sqref="O36"/>
    </sheetView>
  </sheetViews>
  <sheetFormatPr defaultColWidth="8.5546875" defaultRowHeight="12.6" outlineLevelRow="1"/>
  <cols>
    <col min="1" max="1" width="2.44140625" style="5" customWidth="1"/>
    <col min="2" max="2" width="52.44140625" style="6" customWidth="1"/>
    <col min="3" max="3" width="15.109375" style="7" bestFit="1" customWidth="1"/>
    <col min="4" max="4" width="10.44140625" style="7" bestFit="1" customWidth="1"/>
    <col min="5" max="5" width="18" style="8" bestFit="1" customWidth="1"/>
    <col min="6" max="6" width="15.109375" style="7" bestFit="1" customWidth="1"/>
    <col min="7" max="7" width="10.44140625" style="6" bestFit="1" customWidth="1"/>
    <col min="8" max="8" width="18.44140625" style="9" bestFit="1" customWidth="1"/>
    <col min="9" max="9" width="15.109375" style="7" bestFit="1" customWidth="1"/>
    <col min="10" max="10" width="10.44140625" style="6" bestFit="1" customWidth="1"/>
    <col min="11" max="11" width="18" style="6" bestFit="1" customWidth="1"/>
    <col min="12" max="12" width="15.109375" style="7" bestFit="1" customWidth="1"/>
    <col min="13" max="13" width="10.44140625" style="6" bestFit="1" customWidth="1"/>
    <col min="14" max="14" width="18" style="6" bestFit="1" customWidth="1"/>
    <col min="15" max="15" width="15.109375" style="7" bestFit="1" customWidth="1"/>
    <col min="16" max="16" width="10.44140625" style="10" bestFit="1" customWidth="1"/>
    <col min="17" max="17" width="18" style="6" bestFit="1" customWidth="1"/>
    <col min="18" max="18" width="16.44140625" style="6" bestFit="1" customWidth="1"/>
    <col min="19" max="16384" width="8.5546875" style="5"/>
  </cols>
  <sheetData>
    <row r="1" spans="2:18" ht="13.5" customHeight="1">
      <c r="B1" s="913" t="s">
        <v>174</v>
      </c>
      <c r="C1" s="913"/>
      <c r="D1" s="913"/>
      <c r="E1" s="913"/>
      <c r="F1" s="913"/>
      <c r="G1" s="913"/>
      <c r="H1" s="913"/>
      <c r="I1" s="913"/>
      <c r="J1" s="913"/>
      <c r="K1" s="913"/>
      <c r="L1" s="913"/>
      <c r="M1" s="913"/>
      <c r="N1" s="913"/>
      <c r="O1" s="913"/>
      <c r="P1" s="913"/>
      <c r="Q1" s="913"/>
      <c r="R1" s="913"/>
    </row>
    <row r="2" spans="2:18" ht="13.5" customHeight="1">
      <c r="B2" s="913" t="s">
        <v>175</v>
      </c>
      <c r="C2" s="913"/>
      <c r="D2" s="913"/>
      <c r="E2" s="913"/>
      <c r="F2" s="913"/>
      <c r="G2" s="913"/>
      <c r="H2" s="913"/>
      <c r="I2" s="913"/>
      <c r="J2" s="913"/>
      <c r="K2" s="913"/>
      <c r="L2" s="913"/>
      <c r="M2" s="913"/>
      <c r="N2" s="913"/>
      <c r="O2" s="913"/>
      <c r="P2" s="913"/>
      <c r="Q2" s="913"/>
      <c r="R2" s="913"/>
    </row>
    <row r="3" spans="2:18">
      <c r="B3" s="913" t="s">
        <v>388</v>
      </c>
      <c r="C3" s="913"/>
      <c r="D3" s="913"/>
      <c r="E3" s="913"/>
      <c r="F3" s="913"/>
      <c r="G3" s="913"/>
      <c r="H3" s="913"/>
      <c r="I3" s="913"/>
      <c r="J3" s="913"/>
      <c r="K3" s="913"/>
      <c r="L3" s="913"/>
      <c r="M3" s="913"/>
      <c r="N3" s="913"/>
      <c r="O3" s="913"/>
      <c r="P3" s="913"/>
      <c r="Q3" s="913"/>
      <c r="R3" s="913"/>
    </row>
    <row r="4" spans="2:18">
      <c r="B4" s="913" t="s">
        <v>177</v>
      </c>
      <c r="C4" s="913"/>
      <c r="D4" s="913"/>
      <c r="E4" s="913"/>
      <c r="F4" s="913"/>
      <c r="G4" s="913"/>
      <c r="H4" s="913"/>
      <c r="I4" s="913"/>
      <c r="J4" s="913"/>
      <c r="K4" s="913"/>
      <c r="L4" s="913"/>
      <c r="M4" s="913"/>
      <c r="N4" s="913"/>
      <c r="O4" s="913"/>
      <c r="P4" s="913"/>
      <c r="Q4" s="913"/>
      <c r="R4" s="913"/>
    </row>
    <row r="5" spans="2:18">
      <c r="B5" s="913" t="s">
        <v>417</v>
      </c>
      <c r="C5" s="913"/>
      <c r="D5" s="913"/>
      <c r="E5" s="913"/>
      <c r="F5" s="913"/>
      <c r="G5" s="913"/>
      <c r="H5" s="913"/>
      <c r="I5" s="913"/>
      <c r="J5" s="913"/>
      <c r="K5" s="913"/>
      <c r="L5" s="913"/>
      <c r="M5" s="913"/>
      <c r="N5" s="913"/>
      <c r="O5" s="913"/>
      <c r="P5" s="913"/>
      <c r="Q5" s="913"/>
      <c r="R5" s="913"/>
    </row>
    <row r="6" spans="2:18">
      <c r="B6" s="1"/>
      <c r="C6" s="2"/>
      <c r="D6" s="2"/>
      <c r="E6" s="2"/>
      <c r="F6" s="2"/>
      <c r="G6" s="2"/>
      <c r="H6" s="3"/>
      <c r="I6" s="2"/>
      <c r="J6" s="1"/>
      <c r="K6" s="1"/>
      <c r="L6" s="2"/>
      <c r="M6" s="1"/>
      <c r="N6" s="1"/>
      <c r="O6" s="2"/>
      <c r="P6" s="1"/>
      <c r="Q6" s="1"/>
      <c r="R6" s="1"/>
    </row>
    <row r="7" spans="2:18" ht="24.6">
      <c r="B7" s="4"/>
      <c r="C7" s="11" t="s">
        <v>426</v>
      </c>
      <c r="D7" s="11" t="s">
        <v>427</v>
      </c>
      <c r="E7" s="11" t="s">
        <v>428</v>
      </c>
      <c r="F7" s="11" t="s">
        <v>429</v>
      </c>
      <c r="G7" s="11" t="s">
        <v>430</v>
      </c>
      <c r="H7" s="12" t="s">
        <v>431</v>
      </c>
      <c r="I7" s="11" t="s">
        <v>432</v>
      </c>
      <c r="J7" s="11" t="s">
        <v>433</v>
      </c>
      <c r="K7" s="11" t="s">
        <v>434</v>
      </c>
      <c r="L7" s="11" t="s">
        <v>435</v>
      </c>
      <c r="M7" s="11" t="s">
        <v>436</v>
      </c>
      <c r="N7" s="11" t="s">
        <v>437</v>
      </c>
      <c r="O7" s="11" t="s">
        <v>438</v>
      </c>
      <c r="P7" s="11" t="s">
        <v>439</v>
      </c>
      <c r="Q7" s="11" t="s">
        <v>440</v>
      </c>
      <c r="R7" s="11" t="s">
        <v>441</v>
      </c>
    </row>
    <row r="8" spans="2:18" s="16" customFormat="1" ht="12.3">
      <c r="B8" s="13"/>
      <c r="C8" s="14" t="s">
        <v>420</v>
      </c>
      <c r="D8" s="14" t="s">
        <v>420</v>
      </c>
      <c r="E8" s="14" t="s">
        <v>420</v>
      </c>
      <c r="F8" s="14" t="s">
        <v>420</v>
      </c>
      <c r="G8" s="14" t="s">
        <v>421</v>
      </c>
      <c r="H8" s="15" t="s">
        <v>421</v>
      </c>
      <c r="I8" s="14" t="s">
        <v>420</v>
      </c>
      <c r="J8" s="14" t="s">
        <v>421</v>
      </c>
      <c r="K8" s="14" t="s">
        <v>421</v>
      </c>
      <c r="L8" s="14" t="s">
        <v>420</v>
      </c>
      <c r="M8" s="14" t="s">
        <v>421</v>
      </c>
      <c r="N8" s="14" t="s">
        <v>421</v>
      </c>
      <c r="O8" s="14" t="s">
        <v>420</v>
      </c>
      <c r="P8" s="14" t="s">
        <v>421</v>
      </c>
      <c r="Q8" s="14" t="s">
        <v>421</v>
      </c>
      <c r="R8" s="14" t="s">
        <v>421</v>
      </c>
    </row>
    <row r="9" spans="2:18" s="7" customFormat="1">
      <c r="B9" s="17" t="s">
        <v>422</v>
      </c>
      <c r="C9" s="17"/>
      <c r="D9" s="17"/>
      <c r="E9" s="17"/>
      <c r="F9" s="17"/>
      <c r="G9" s="17"/>
      <c r="H9" s="18"/>
      <c r="I9" s="17"/>
      <c r="J9" s="17"/>
      <c r="K9" s="17"/>
      <c r="L9" s="17"/>
      <c r="M9" s="17"/>
      <c r="N9" s="17"/>
      <c r="O9" s="17"/>
      <c r="P9" s="17"/>
      <c r="Q9" s="17"/>
      <c r="R9" s="17"/>
    </row>
    <row r="10" spans="2:18" s="7" customFormat="1" outlineLevel="1">
      <c r="B10" s="19" t="s">
        <v>425</v>
      </c>
      <c r="C10" s="19"/>
      <c r="D10" s="19"/>
      <c r="E10" s="19"/>
      <c r="F10" s="19"/>
      <c r="G10" s="19"/>
      <c r="H10" s="20"/>
      <c r="I10" s="19"/>
      <c r="J10" s="19"/>
      <c r="K10" s="19"/>
      <c r="L10" s="19"/>
      <c r="M10" s="19"/>
      <c r="N10" s="19"/>
      <c r="O10" s="19"/>
      <c r="P10" s="19"/>
      <c r="Q10" s="19"/>
      <c r="R10" s="19"/>
    </row>
    <row r="11" spans="2:18" s="7" customFormat="1" outlineLevel="1">
      <c r="B11" s="21" t="str">
        <f>'Program Budget'!D12</f>
        <v>Key Personnel: Chief of Party</v>
      </c>
      <c r="C11" s="60">
        <f>'Program Budget'!G12</f>
        <v>11</v>
      </c>
      <c r="D11" s="22">
        <f>'Program Budget'!E12+'Program Budget'!E131+'Program Budget'!E188+'Program Budget'!E268</f>
        <v>0.99999999999999989</v>
      </c>
      <c r="E11" s="23">
        <f>'Program Budget'!I12+'Program Budget'!I131+'Program Budget'!I188+'Program Budget'!I268</f>
        <v>105416.66666666667</v>
      </c>
      <c r="F11" s="60">
        <f>'Program Budget'!K12</f>
        <v>12</v>
      </c>
      <c r="G11" s="22">
        <f>'Program Budget'!J12+'Program Budget'!J131+'Program Budget'!J188+'Program Budget'!J268</f>
        <v>1</v>
      </c>
      <c r="H11" s="23">
        <f>'Program Budget'!L12+'Program Budget'!L131+'Program Budget'!L188+'Program Budget'!L268</f>
        <v>120750</v>
      </c>
      <c r="I11" s="60">
        <f>'Program Budget'!N12</f>
        <v>12</v>
      </c>
      <c r="J11" s="22">
        <f>'Program Budget'!M12+'Program Budget'!M131+'Program Budget'!M188+'Program Budget'!M268</f>
        <v>1</v>
      </c>
      <c r="K11" s="23">
        <f>'Program Budget'!O12+'Program Budget'!O131+'Program Budget'!O188+'Program Budget'!O268</f>
        <v>126787.50000000001</v>
      </c>
      <c r="L11" s="60">
        <f>'Program Budget'!Q12</f>
        <v>12</v>
      </c>
      <c r="M11" s="22">
        <f>'Program Budget'!P12+'Program Budget'!P131+'Program Budget'!P188+'Program Budget'!P268</f>
        <v>1</v>
      </c>
      <c r="N11" s="23">
        <f>'Program Budget'!R12+'Program Budget'!R131+'Program Budget'!R188+'Program Budget'!R268</f>
        <v>133126.875</v>
      </c>
      <c r="O11" s="60">
        <f>'Program Budget'!T12</f>
        <v>0</v>
      </c>
      <c r="P11" s="22">
        <f>'Program Budget'!S12+'Program Budget'!S131+'Program Budget'!S188+'Program Budget'!S268</f>
        <v>0</v>
      </c>
      <c r="Q11" s="23">
        <f>'Program Budget'!U12+'Program Budget'!U131+'Program Budget'!U188+'Program Budget'!U268</f>
        <v>0</v>
      </c>
      <c r="R11" s="135">
        <f t="shared" ref="R11:R23" si="0">E11+H11+K11+N11+Q11</f>
        <v>486081.04166666669</v>
      </c>
    </row>
    <row r="12" spans="2:18" s="7" customFormat="1" outlineLevel="1">
      <c r="B12" s="21" t="str">
        <f>'Program Budget'!D13</f>
        <v>Technical Director</v>
      </c>
      <c r="C12" s="60">
        <f>'Program Budget'!G13</f>
        <v>9</v>
      </c>
      <c r="D12" s="22">
        <f>'Program Budget'!E13+'Program Budget'!E132+'Program Budget'!E189+'Program Budget'!E269</f>
        <v>1</v>
      </c>
      <c r="E12" s="23">
        <f>'Program Budget'!I13+'Program Budget'!I132+'Program Budget'!I189+'Program Budget'!I269</f>
        <v>31500</v>
      </c>
      <c r="F12" s="60">
        <f>'Program Budget'!K13</f>
        <v>12</v>
      </c>
      <c r="G12" s="22">
        <f>'Program Budget'!J13+'Program Budget'!J132+'Program Budget'!J189+'Program Budget'!J269</f>
        <v>1</v>
      </c>
      <c r="H12" s="23">
        <f>'Program Budget'!L13+'Program Budget'!L132+'Program Budget'!L189+'Program Budget'!L269</f>
        <v>44100</v>
      </c>
      <c r="I12" s="60">
        <f>'Program Budget'!N13</f>
        <v>12</v>
      </c>
      <c r="J12" s="22">
        <f>'Program Budget'!M13+'Program Budget'!M132+'Program Budget'!M189+'Program Budget'!M269</f>
        <v>1</v>
      </c>
      <c r="K12" s="23">
        <f>'Program Budget'!O13+'Program Budget'!O132+'Program Budget'!O189+'Program Budget'!O269</f>
        <v>46305</v>
      </c>
      <c r="L12" s="60">
        <f>'Program Budget'!Q13</f>
        <v>12</v>
      </c>
      <c r="M12" s="22">
        <f>'Program Budget'!P13+'Program Budget'!P132+'Program Budget'!P189+'Program Budget'!P269</f>
        <v>0.99999999999999989</v>
      </c>
      <c r="N12" s="23">
        <f>'Program Budget'!R13+'Program Budget'!R132+'Program Budget'!R189+'Program Budget'!R269</f>
        <v>48620.250000000007</v>
      </c>
      <c r="O12" s="60">
        <f>'Program Budget'!T13</f>
        <v>0</v>
      </c>
      <c r="P12" s="22">
        <f>'Program Budget'!S13+'Program Budget'!S132+'Program Budget'!S189+'Program Budget'!S269</f>
        <v>0</v>
      </c>
      <c r="Q12" s="23">
        <f>'Program Budget'!U13+'Program Budget'!U132+'Program Budget'!U189+'Program Budget'!U269</f>
        <v>0</v>
      </c>
      <c r="R12" s="135">
        <f t="shared" si="0"/>
        <v>170525.25</v>
      </c>
    </row>
    <row r="13" spans="2:18" s="7" customFormat="1" outlineLevel="1">
      <c r="B13" s="21" t="str">
        <f>'Program Budget'!D14</f>
        <v>Technical Lead - Activity 2 US Exports</v>
      </c>
      <c r="C13" s="60">
        <f>'Program Budget'!G14</f>
        <v>8</v>
      </c>
      <c r="D13" s="22">
        <f>'Program Budget'!E14+'Program Budget'!E133+'Program Budget'!E190+'Program Budget'!E270</f>
        <v>1</v>
      </c>
      <c r="E13" s="23">
        <f>'Program Budget'!I14+'Program Budget'!I133+'Program Budget'!I190+'Program Budget'!I270</f>
        <v>22666.666666666672</v>
      </c>
      <c r="F13" s="60">
        <f>'Program Budget'!K14</f>
        <v>12</v>
      </c>
      <c r="G13" s="22">
        <f>'Program Budget'!J14+'Program Budget'!J133+'Program Budget'!J190+'Program Budget'!J270</f>
        <v>1</v>
      </c>
      <c r="H13" s="23">
        <f>'Program Budget'!L14+'Program Budget'!L133+'Program Budget'!L190+'Program Budget'!L270</f>
        <v>35700</v>
      </c>
      <c r="I13" s="60">
        <f>'Program Budget'!N14</f>
        <v>12</v>
      </c>
      <c r="J13" s="22">
        <f>'Program Budget'!M14+'Program Budget'!M133+'Program Budget'!M190+'Program Budget'!M270</f>
        <v>1</v>
      </c>
      <c r="K13" s="23">
        <f>'Program Budget'!O14+'Program Budget'!O133+'Program Budget'!O190+'Program Budget'!O270</f>
        <v>37485</v>
      </c>
      <c r="L13" s="60">
        <f>'Program Budget'!Q14</f>
        <v>12</v>
      </c>
      <c r="M13" s="22">
        <f>'Program Budget'!P14+'Program Budget'!P133+'Program Budget'!P190+'Program Budget'!P270</f>
        <v>1</v>
      </c>
      <c r="N13" s="23">
        <f>'Program Budget'!R14+'Program Budget'!R133+'Program Budget'!R190+'Program Budget'!R270</f>
        <v>39359.25</v>
      </c>
      <c r="O13" s="60">
        <f>'Program Budget'!T14</f>
        <v>0</v>
      </c>
      <c r="P13" s="22">
        <f>'Program Budget'!S14+'Program Budget'!S133+'Program Budget'!S190+'Program Budget'!S270</f>
        <v>0</v>
      </c>
      <c r="Q13" s="23">
        <f>'Program Budget'!U14+'Program Budget'!U133+'Program Budget'!U190+'Program Budget'!U270</f>
        <v>0</v>
      </c>
      <c r="R13" s="135">
        <f t="shared" si="0"/>
        <v>135210.91666666669</v>
      </c>
    </row>
    <row r="14" spans="2:18" s="7" customFormat="1" outlineLevel="1">
      <c r="B14" s="21" t="str">
        <f>'Program Budget'!D15</f>
        <v>Technical Lead - Activity 2 Access to Finance Specialist</v>
      </c>
      <c r="C14" s="60">
        <f>'Program Budget'!G15</f>
        <v>8</v>
      </c>
      <c r="D14" s="22">
        <f>'Program Budget'!E15+'Program Budget'!E134+'Program Budget'!E191+'Program Budget'!E271</f>
        <v>1</v>
      </c>
      <c r="E14" s="23">
        <f>'Program Budget'!I15+'Program Budget'!I134+'Program Budget'!I191+'Program Budget'!I271</f>
        <v>22666.666666666672</v>
      </c>
      <c r="F14" s="60">
        <f>'Program Budget'!K15</f>
        <v>12</v>
      </c>
      <c r="G14" s="22">
        <f>'Program Budget'!J15+'Program Budget'!J134+'Program Budget'!J191+'Program Budget'!J271</f>
        <v>1</v>
      </c>
      <c r="H14" s="23">
        <f>'Program Budget'!L15+'Program Budget'!L134+'Program Budget'!L191+'Program Budget'!L271</f>
        <v>35700</v>
      </c>
      <c r="I14" s="60">
        <f>'Program Budget'!N15</f>
        <v>12</v>
      </c>
      <c r="J14" s="22">
        <f>'Program Budget'!M15+'Program Budget'!M134+'Program Budget'!M191+'Program Budget'!M271</f>
        <v>1</v>
      </c>
      <c r="K14" s="23">
        <f>'Program Budget'!O15+'Program Budget'!O134+'Program Budget'!O191+'Program Budget'!O271</f>
        <v>37485</v>
      </c>
      <c r="L14" s="60">
        <f>'Program Budget'!Q15</f>
        <v>12</v>
      </c>
      <c r="M14" s="22">
        <f>'Program Budget'!P15+'Program Budget'!P134+'Program Budget'!P191+'Program Budget'!P271</f>
        <v>1</v>
      </c>
      <c r="N14" s="23">
        <f>'Program Budget'!R15+'Program Budget'!R134+'Program Budget'!R191+'Program Budget'!R271</f>
        <v>39359.25</v>
      </c>
      <c r="O14" s="60">
        <f>'Program Budget'!T15</f>
        <v>0</v>
      </c>
      <c r="P14" s="22">
        <f>'Program Budget'!S15+'Program Budget'!S134+'Program Budget'!S191+'Program Budget'!S271</f>
        <v>0</v>
      </c>
      <c r="Q14" s="23">
        <f>'Program Budget'!U15+'Program Budget'!U134+'Program Budget'!U191+'Program Budget'!U271</f>
        <v>0</v>
      </c>
      <c r="R14" s="135">
        <f t="shared" si="0"/>
        <v>135210.91666666669</v>
      </c>
    </row>
    <row r="15" spans="2:18" s="7" customFormat="1" outlineLevel="1">
      <c r="B15" s="21" t="str">
        <f>'Program Budget'!D16</f>
        <v>Communications/Strategic Partnerships Manager</v>
      </c>
      <c r="C15" s="60">
        <f>'Program Budget'!G16</f>
        <v>8</v>
      </c>
      <c r="D15" s="22">
        <f>'Program Budget'!E16+'Program Budget'!E135+'Program Budget'!E192+'Program Budget'!E272</f>
        <v>1</v>
      </c>
      <c r="E15" s="23">
        <f>'Program Budget'!I16+'Program Budget'!I135+'Program Budget'!I192+'Program Budget'!I272</f>
        <v>21333.333333333332</v>
      </c>
      <c r="F15" s="60">
        <f>'Program Budget'!K16</f>
        <v>12</v>
      </c>
      <c r="G15" s="22">
        <f>'Program Budget'!J16+'Program Budget'!J135+'Program Budget'!J192+'Program Budget'!J272</f>
        <v>1</v>
      </c>
      <c r="H15" s="23">
        <f>'Program Budget'!L16+'Program Budget'!L135+'Program Budget'!L192+'Program Budget'!L272</f>
        <v>33600</v>
      </c>
      <c r="I15" s="60">
        <f>'Program Budget'!N16</f>
        <v>12</v>
      </c>
      <c r="J15" s="22">
        <f>'Program Budget'!M16+'Program Budget'!M135+'Program Budget'!M192+'Program Budget'!M272</f>
        <v>1</v>
      </c>
      <c r="K15" s="23">
        <f>'Program Budget'!O16+'Program Budget'!O135+'Program Budget'!O192+'Program Budget'!O272</f>
        <v>35280</v>
      </c>
      <c r="L15" s="60">
        <f>'Program Budget'!Q16</f>
        <v>12</v>
      </c>
      <c r="M15" s="22">
        <f>'Program Budget'!P16+'Program Budget'!P135+'Program Budget'!P192+'Program Budget'!P272</f>
        <v>1</v>
      </c>
      <c r="N15" s="23">
        <f>'Program Budget'!R16+'Program Budget'!R135+'Program Budget'!R192+'Program Budget'!R272</f>
        <v>37044</v>
      </c>
      <c r="O15" s="60">
        <f>'Program Budget'!T16</f>
        <v>0</v>
      </c>
      <c r="P15" s="22">
        <f>'Program Budget'!S16+'Program Budget'!S135+'Program Budget'!S192+'Program Budget'!S272</f>
        <v>0</v>
      </c>
      <c r="Q15" s="23">
        <f>'Program Budget'!U16+'Program Budget'!U135+'Program Budget'!U192+'Program Budget'!U272</f>
        <v>0</v>
      </c>
      <c r="R15" s="135">
        <f t="shared" si="0"/>
        <v>127257.33333333333</v>
      </c>
    </row>
    <row r="16" spans="2:18" s="7" customFormat="1" outlineLevel="1">
      <c r="B16" s="21" t="str">
        <f>'Program Budget'!D17</f>
        <v xml:space="preserve">M&amp;E Director </v>
      </c>
      <c r="C16" s="60">
        <f>'Program Budget'!G17</f>
        <v>10</v>
      </c>
      <c r="D16" s="22">
        <f>'Program Budget'!E17+'Program Budget'!E136+'Program Budget'!E193+'Program Budget'!E273</f>
        <v>1</v>
      </c>
      <c r="E16" s="23">
        <f>'Program Budget'!I17+'Program Budget'!I136+'Program Budget'!I193+'Program Budget'!I273</f>
        <v>35000</v>
      </c>
      <c r="F16" s="60">
        <f>'Program Budget'!K17</f>
        <v>12</v>
      </c>
      <c r="G16" s="22">
        <f>'Program Budget'!J17+'Program Budget'!J136+'Program Budget'!J193+'Program Budget'!J273</f>
        <v>1</v>
      </c>
      <c r="H16" s="23">
        <f>'Program Budget'!L17+'Program Budget'!L136+'Program Budget'!L193+'Program Budget'!L273</f>
        <v>44100</v>
      </c>
      <c r="I16" s="60">
        <f>'Program Budget'!N17</f>
        <v>12</v>
      </c>
      <c r="J16" s="22">
        <f>'Program Budget'!M17+'Program Budget'!M136+'Program Budget'!M193+'Program Budget'!M273</f>
        <v>1</v>
      </c>
      <c r="K16" s="23">
        <f>'Program Budget'!O17+'Program Budget'!O136+'Program Budget'!O193+'Program Budget'!O273</f>
        <v>46305</v>
      </c>
      <c r="L16" s="60">
        <f>'Program Budget'!Q17</f>
        <v>12</v>
      </c>
      <c r="M16" s="22">
        <f>'Program Budget'!P17+'Program Budget'!P136+'Program Budget'!P193+'Program Budget'!P273</f>
        <v>0.99999999999999989</v>
      </c>
      <c r="N16" s="23">
        <f>'Program Budget'!R17+'Program Budget'!R136+'Program Budget'!R193+'Program Budget'!R273</f>
        <v>48620.25</v>
      </c>
      <c r="O16" s="60">
        <f>'Program Budget'!T17</f>
        <v>0</v>
      </c>
      <c r="P16" s="22">
        <f>'Program Budget'!S17+'Program Budget'!S136+'Program Budget'!S193+'Program Budget'!S273</f>
        <v>0</v>
      </c>
      <c r="Q16" s="23">
        <f>'Program Budget'!U17+'Program Budget'!U136+'Program Budget'!U193+'Program Budget'!U273</f>
        <v>0</v>
      </c>
      <c r="R16" s="135">
        <f t="shared" si="0"/>
        <v>174025.25</v>
      </c>
    </row>
    <row r="17" spans="2:18" s="7" customFormat="1" outlineLevel="1">
      <c r="B17" s="21" t="str">
        <f>'Program Budget'!D18</f>
        <v>M&amp;E Specialist</v>
      </c>
      <c r="C17" s="60">
        <f>'Program Budget'!G18</f>
        <v>8</v>
      </c>
      <c r="D17" s="22">
        <f>'Program Budget'!E18+'Program Budget'!E137+'Program Budget'!E194+'Program Budget'!E274</f>
        <v>1</v>
      </c>
      <c r="E17" s="23">
        <f>'Program Budget'!I18+'Program Budget'!I137+'Program Budget'!I194+'Program Budget'!I274</f>
        <v>16000</v>
      </c>
      <c r="F17" s="60">
        <f>'Program Budget'!K18</f>
        <v>12</v>
      </c>
      <c r="G17" s="22">
        <f>'Program Budget'!J18+'Program Budget'!J137+'Program Budget'!J194+'Program Budget'!J274</f>
        <v>1</v>
      </c>
      <c r="H17" s="23">
        <f>'Program Budget'!L18+'Program Budget'!L137+'Program Budget'!L194+'Program Budget'!L274</f>
        <v>25200</v>
      </c>
      <c r="I17" s="60">
        <f>'Program Budget'!N18</f>
        <v>12</v>
      </c>
      <c r="J17" s="22">
        <f>'Program Budget'!M18+'Program Budget'!M137+'Program Budget'!M194+'Program Budget'!M274</f>
        <v>1</v>
      </c>
      <c r="K17" s="23">
        <f>'Program Budget'!O18+'Program Budget'!O137+'Program Budget'!O194+'Program Budget'!O274</f>
        <v>26460</v>
      </c>
      <c r="L17" s="60">
        <f>'Program Budget'!Q18</f>
        <v>12</v>
      </c>
      <c r="M17" s="22">
        <f>'Program Budget'!P18+'Program Budget'!P137+'Program Budget'!P194+'Program Budget'!P274</f>
        <v>0.99999999999999989</v>
      </c>
      <c r="N17" s="23">
        <f>'Program Budget'!R18+'Program Budget'!R137+'Program Budget'!R194+'Program Budget'!R274</f>
        <v>27783</v>
      </c>
      <c r="O17" s="60">
        <f>'Program Budget'!T18</f>
        <v>0</v>
      </c>
      <c r="P17" s="22">
        <f>'Program Budget'!S18+'Program Budget'!S137+'Program Budget'!S194+'Program Budget'!S274</f>
        <v>0</v>
      </c>
      <c r="Q17" s="23">
        <f>'Program Budget'!U18+'Program Budget'!U137+'Program Budget'!U194+'Program Budget'!U274</f>
        <v>0</v>
      </c>
      <c r="R17" s="135">
        <f t="shared" si="0"/>
        <v>95443</v>
      </c>
    </row>
    <row r="18" spans="2:18" s="7" customFormat="1" outlineLevel="1">
      <c r="B18" s="21" t="str">
        <f>'Program Budget'!D19</f>
        <v xml:space="preserve">Key Personnel: Finance &amp; Administration (F&amp;A) Director </v>
      </c>
      <c r="C18" s="60">
        <f>'Program Budget'!G19</f>
        <v>10</v>
      </c>
      <c r="D18" s="22">
        <f>'Program Budget'!E19+'Program Budget'!E138+'Program Budget'!E195+'Program Budget'!E275</f>
        <v>1</v>
      </c>
      <c r="E18" s="23">
        <f>'Program Budget'!I19+'Program Budget'!I138+'Program Budget'!I195+'Program Budget'!I275</f>
        <v>35000</v>
      </c>
      <c r="F18" s="60">
        <f>'Program Budget'!K19</f>
        <v>12</v>
      </c>
      <c r="G18" s="22">
        <f>'Program Budget'!J19+'Program Budget'!J138+'Program Budget'!J195+'Program Budget'!J275</f>
        <v>1</v>
      </c>
      <c r="H18" s="23">
        <f>'Program Budget'!L19+'Program Budget'!L138+'Program Budget'!L195+'Program Budget'!L275</f>
        <v>44100</v>
      </c>
      <c r="I18" s="60">
        <f>'Program Budget'!N19</f>
        <v>12</v>
      </c>
      <c r="J18" s="22">
        <f>'Program Budget'!M19+'Program Budget'!M138+'Program Budget'!M195+'Program Budget'!M275</f>
        <v>1</v>
      </c>
      <c r="K18" s="23">
        <f>'Program Budget'!O19+'Program Budget'!O138+'Program Budget'!O195+'Program Budget'!O275</f>
        <v>46305</v>
      </c>
      <c r="L18" s="60">
        <f>'Program Budget'!Q19</f>
        <v>12</v>
      </c>
      <c r="M18" s="22">
        <f>'Program Budget'!P19+'Program Budget'!P138+'Program Budget'!P195+'Program Budget'!P275</f>
        <v>1</v>
      </c>
      <c r="N18" s="23">
        <f>'Program Budget'!R19+'Program Budget'!R138+'Program Budget'!R195+'Program Budget'!R275</f>
        <v>48620.25</v>
      </c>
      <c r="O18" s="60">
        <f>'Program Budget'!T19</f>
        <v>0</v>
      </c>
      <c r="P18" s="22">
        <f>'Program Budget'!S19+'Program Budget'!S138+'Program Budget'!S195+'Program Budget'!S275</f>
        <v>0</v>
      </c>
      <c r="Q18" s="23">
        <f>'Program Budget'!U19+'Program Budget'!U138+'Program Budget'!U195+'Program Budget'!U275</f>
        <v>0</v>
      </c>
      <c r="R18" s="135">
        <f t="shared" si="0"/>
        <v>174025.25</v>
      </c>
    </row>
    <row r="19" spans="2:18" s="7" customFormat="1" outlineLevel="1">
      <c r="B19" s="21" t="str">
        <f>'Program Budget'!D20</f>
        <v xml:space="preserve">Accountant </v>
      </c>
      <c r="C19" s="60">
        <f>'Program Budget'!G20</f>
        <v>8</v>
      </c>
      <c r="D19" s="22">
        <f>'Program Budget'!E20+'Program Budget'!E139+'Program Budget'!E196+'Program Budget'!E276</f>
        <v>1</v>
      </c>
      <c r="E19" s="23">
        <f>'Program Budget'!I20+'Program Budget'!I139+'Program Budget'!I196+'Program Budget'!I276</f>
        <v>16000</v>
      </c>
      <c r="F19" s="60">
        <f>'Program Budget'!K20</f>
        <v>12</v>
      </c>
      <c r="G19" s="22">
        <f>'Program Budget'!J20+'Program Budget'!J139+'Program Budget'!J196+'Program Budget'!J276</f>
        <v>1</v>
      </c>
      <c r="H19" s="23">
        <f>'Program Budget'!L20+'Program Budget'!L139+'Program Budget'!L196+'Program Budget'!L276</f>
        <v>25200</v>
      </c>
      <c r="I19" s="60">
        <f>'Program Budget'!N20</f>
        <v>12</v>
      </c>
      <c r="J19" s="22">
        <f>'Program Budget'!M20+'Program Budget'!M139+'Program Budget'!M196+'Program Budget'!M276</f>
        <v>1</v>
      </c>
      <c r="K19" s="23">
        <f>'Program Budget'!O20+'Program Budget'!O139+'Program Budget'!O196+'Program Budget'!O276</f>
        <v>26460</v>
      </c>
      <c r="L19" s="60">
        <f>'Program Budget'!Q20</f>
        <v>12</v>
      </c>
      <c r="M19" s="22">
        <f>'Program Budget'!P20+'Program Budget'!P139+'Program Budget'!P196+'Program Budget'!P276</f>
        <v>1</v>
      </c>
      <c r="N19" s="23">
        <f>'Program Budget'!R20+'Program Budget'!R139+'Program Budget'!R196+'Program Budget'!R276</f>
        <v>27783.000000000007</v>
      </c>
      <c r="O19" s="60">
        <f>'Program Budget'!T20</f>
        <v>0</v>
      </c>
      <c r="P19" s="22">
        <f>'Program Budget'!S20+'Program Budget'!S139+'Program Budget'!S196+'Program Budget'!S276</f>
        <v>0</v>
      </c>
      <c r="Q19" s="23">
        <f>'Program Budget'!U20+'Program Budget'!U139+'Program Budget'!U196+'Program Budget'!U276</f>
        <v>0</v>
      </c>
      <c r="R19" s="135">
        <f t="shared" si="0"/>
        <v>95443</v>
      </c>
    </row>
    <row r="20" spans="2:18" s="7" customFormat="1" outlineLevel="1">
      <c r="B20" s="21" t="str">
        <f>'Program Budget'!D21</f>
        <v>Administration/ HR Manager</v>
      </c>
      <c r="C20" s="60">
        <f>'Program Budget'!G21</f>
        <v>10</v>
      </c>
      <c r="D20" s="22">
        <f>'Program Budget'!E21+'Program Budget'!E140+'Program Budget'!E197+'Program Budget'!E277</f>
        <v>1</v>
      </c>
      <c r="E20" s="23">
        <f>'Program Budget'!I21+'Program Budget'!I140+'Program Budget'!I197+'Program Budget'!I277</f>
        <v>26666.666666666668</v>
      </c>
      <c r="F20" s="60">
        <f>'Program Budget'!K21</f>
        <v>12</v>
      </c>
      <c r="G20" s="22">
        <f>'Program Budget'!J21+'Program Budget'!J140+'Program Budget'!J197+'Program Budget'!J277</f>
        <v>1</v>
      </c>
      <c r="H20" s="23">
        <f>'Program Budget'!L21+'Program Budget'!L140+'Program Budget'!L197+'Program Budget'!L277</f>
        <v>33600</v>
      </c>
      <c r="I20" s="60">
        <f>'Program Budget'!N21</f>
        <v>12</v>
      </c>
      <c r="J20" s="22">
        <f>'Program Budget'!M21+'Program Budget'!M140+'Program Budget'!M197+'Program Budget'!M277</f>
        <v>1</v>
      </c>
      <c r="K20" s="23">
        <f>'Program Budget'!O21+'Program Budget'!O140+'Program Budget'!O197+'Program Budget'!O277</f>
        <v>35280</v>
      </c>
      <c r="L20" s="60">
        <f>'Program Budget'!Q21</f>
        <v>12</v>
      </c>
      <c r="M20" s="22">
        <f>'Program Budget'!P21+'Program Budget'!P140+'Program Budget'!P197+'Program Budget'!P277</f>
        <v>1</v>
      </c>
      <c r="N20" s="23">
        <f>'Program Budget'!R21+'Program Budget'!R140+'Program Budget'!R197+'Program Budget'!R277</f>
        <v>37044</v>
      </c>
      <c r="O20" s="60">
        <f>'Program Budget'!T21</f>
        <v>0</v>
      </c>
      <c r="P20" s="22">
        <f>'Program Budget'!S21+'Program Budget'!S140+'Program Budget'!S197+'Program Budget'!S277</f>
        <v>0</v>
      </c>
      <c r="Q20" s="23">
        <f>'Program Budget'!U21+'Program Budget'!U140+'Program Budget'!U197+'Program Budget'!U277</f>
        <v>0</v>
      </c>
      <c r="R20" s="135">
        <f t="shared" si="0"/>
        <v>132590.66666666669</v>
      </c>
    </row>
    <row r="21" spans="2:18" s="7" customFormat="1" outlineLevel="1">
      <c r="B21" s="21" t="str">
        <f>'Program Budget'!D22</f>
        <v>Grants &amp; Contracts Manager</v>
      </c>
      <c r="C21" s="60">
        <f>'Program Budget'!G22</f>
        <v>9</v>
      </c>
      <c r="D21" s="22">
        <f>'Program Budget'!E22+'Program Budget'!E141+'Program Budget'!E198+'Program Budget'!E278</f>
        <v>1</v>
      </c>
      <c r="E21" s="23">
        <f>'Program Budget'!I22+'Program Budget'!I141+'Program Budget'!I198+'Program Budget'!I278</f>
        <v>24000</v>
      </c>
      <c r="F21" s="60">
        <f>'Program Budget'!K22</f>
        <v>12</v>
      </c>
      <c r="G21" s="22">
        <f>'Program Budget'!J22+'Program Budget'!J141+'Program Budget'!J198+'Program Budget'!J278</f>
        <v>1</v>
      </c>
      <c r="H21" s="23">
        <f>'Program Budget'!L22+'Program Budget'!L141+'Program Budget'!L198+'Program Budget'!L278</f>
        <v>33600</v>
      </c>
      <c r="I21" s="60">
        <f>'Program Budget'!N22</f>
        <v>12</v>
      </c>
      <c r="J21" s="22">
        <f>'Program Budget'!M22+'Program Budget'!M141+'Program Budget'!M198+'Program Budget'!M278</f>
        <v>1</v>
      </c>
      <c r="K21" s="23">
        <f>'Program Budget'!O22+'Program Budget'!O141+'Program Budget'!O198+'Program Budget'!O278</f>
        <v>35280</v>
      </c>
      <c r="L21" s="60">
        <f>'Program Budget'!Q22</f>
        <v>12</v>
      </c>
      <c r="M21" s="22">
        <f>'Program Budget'!P22+'Program Budget'!P141+'Program Budget'!P198+'Program Budget'!P278</f>
        <v>1</v>
      </c>
      <c r="N21" s="23">
        <f>'Program Budget'!R22+'Program Budget'!R141+'Program Budget'!R198+'Program Budget'!R278</f>
        <v>37044</v>
      </c>
      <c r="O21" s="60">
        <f>'Program Budget'!T22</f>
        <v>0</v>
      </c>
      <c r="P21" s="22">
        <f>'Program Budget'!S22+'Program Budget'!S141+'Program Budget'!S198+'Program Budget'!S278</f>
        <v>0</v>
      </c>
      <c r="Q21" s="23">
        <f>'Program Budget'!U22+'Program Budget'!U141+'Program Budget'!U198+'Program Budget'!U278</f>
        <v>0</v>
      </c>
      <c r="R21" s="135">
        <f t="shared" si="0"/>
        <v>129924</v>
      </c>
    </row>
    <row r="22" spans="2:18" s="7" customFormat="1" outlineLevel="1">
      <c r="B22" s="21" t="str">
        <f>'Program Budget'!D23</f>
        <v>Compliance &amp; Procurement Specialist</v>
      </c>
      <c r="C22" s="60">
        <f>'Program Budget'!G23</f>
        <v>9</v>
      </c>
      <c r="D22" s="22">
        <f>'Program Budget'!E23+'Program Budget'!E142+'Program Budget'!E199+'Program Budget'!E279</f>
        <v>1</v>
      </c>
      <c r="E22" s="23">
        <f>'Program Budget'!I23+'Program Budget'!I142+'Program Budget'!I199+'Program Budget'!I279</f>
        <v>18000</v>
      </c>
      <c r="F22" s="60">
        <f>'Program Budget'!K23</f>
        <v>12</v>
      </c>
      <c r="G22" s="22">
        <f>'Program Budget'!J23+'Program Budget'!J142+'Program Budget'!J199+'Program Budget'!J279</f>
        <v>1</v>
      </c>
      <c r="H22" s="23">
        <f>'Program Budget'!L23+'Program Budget'!L142+'Program Budget'!L199+'Program Budget'!L279</f>
        <v>25200</v>
      </c>
      <c r="I22" s="60">
        <f>'Program Budget'!N23</f>
        <v>12</v>
      </c>
      <c r="J22" s="22">
        <f>'Program Budget'!M23+'Program Budget'!M142+'Program Budget'!M199+'Program Budget'!M279</f>
        <v>1</v>
      </c>
      <c r="K22" s="23">
        <f>'Program Budget'!O23+'Program Budget'!O142+'Program Budget'!O199+'Program Budget'!O279</f>
        <v>26460</v>
      </c>
      <c r="L22" s="60">
        <f>'Program Budget'!Q23</f>
        <v>12</v>
      </c>
      <c r="M22" s="22">
        <f>'Program Budget'!P23+'Program Budget'!P142+'Program Budget'!P199+'Program Budget'!P279</f>
        <v>1</v>
      </c>
      <c r="N22" s="23">
        <f>'Program Budget'!R23+'Program Budget'!R142+'Program Budget'!R199+'Program Budget'!R279</f>
        <v>27783</v>
      </c>
      <c r="O22" s="60">
        <f>'Program Budget'!T23</f>
        <v>0</v>
      </c>
      <c r="P22" s="22">
        <f>'Program Budget'!S23+'Program Budget'!S142+'Program Budget'!S199+'Program Budget'!S279</f>
        <v>0</v>
      </c>
      <c r="Q22" s="23">
        <f>'Program Budget'!U23+'Program Budget'!U142+'Program Budget'!U199+'Program Budget'!U279</f>
        <v>0</v>
      </c>
      <c r="R22" s="135">
        <f t="shared" si="0"/>
        <v>97443</v>
      </c>
    </row>
    <row r="23" spans="2:18" s="7" customFormat="1" outlineLevel="1">
      <c r="B23" s="21" t="str">
        <f>'Program Budget'!D24</f>
        <v>Driver</v>
      </c>
      <c r="C23" s="60">
        <f>'Program Budget'!G24</f>
        <v>7</v>
      </c>
      <c r="D23" s="22">
        <f>'Program Budget'!E24+'Program Budget'!E143+'Program Budget'!E200+'Program Budget'!E280</f>
        <v>1</v>
      </c>
      <c r="E23" s="23">
        <f>'Program Budget'!I24+'Program Budget'!I143+'Program Budget'!I200+'Program Budget'!I280</f>
        <v>3500</v>
      </c>
      <c r="F23" s="60">
        <f>'Program Budget'!K24</f>
        <v>12</v>
      </c>
      <c r="G23" s="22">
        <f>'Program Budget'!J24+'Program Budget'!J143+'Program Budget'!J200+'Program Budget'!J280</f>
        <v>1</v>
      </c>
      <c r="H23" s="23">
        <f>'Program Budget'!L24+'Program Budget'!L143+'Program Budget'!L200+'Program Budget'!L280</f>
        <v>6300</v>
      </c>
      <c r="I23" s="60">
        <f>'Program Budget'!N24</f>
        <v>12</v>
      </c>
      <c r="J23" s="22">
        <f>'Program Budget'!M24+'Program Budget'!M143+'Program Budget'!M200+'Program Budget'!M280</f>
        <v>1</v>
      </c>
      <c r="K23" s="23">
        <f>'Program Budget'!O24+'Program Budget'!O143+'Program Budget'!O200+'Program Budget'!O280</f>
        <v>6615</v>
      </c>
      <c r="L23" s="60">
        <f>'Program Budget'!Q24</f>
        <v>12</v>
      </c>
      <c r="M23" s="22">
        <f>'Program Budget'!P24+'Program Budget'!P143+'Program Budget'!P200+'Program Budget'!P280</f>
        <v>1</v>
      </c>
      <c r="N23" s="23">
        <f>'Program Budget'!R24+'Program Budget'!R143+'Program Budget'!R200+'Program Budget'!R280</f>
        <v>6945.75</v>
      </c>
      <c r="O23" s="60">
        <f>'Program Budget'!T24</f>
        <v>0</v>
      </c>
      <c r="P23" s="22">
        <f>'Program Budget'!S24+'Program Budget'!S143+'Program Budget'!S200+'Program Budget'!S280</f>
        <v>0</v>
      </c>
      <c r="Q23" s="23">
        <f>'Program Budget'!U24+'Program Budget'!U143+'Program Budget'!U200+'Program Budget'!U280</f>
        <v>0</v>
      </c>
      <c r="R23" s="135">
        <f t="shared" si="0"/>
        <v>23360.75</v>
      </c>
    </row>
    <row r="24" spans="2:18" s="7" customFormat="1" outlineLevel="1">
      <c r="B24" s="19" t="s">
        <v>424</v>
      </c>
      <c r="C24" s="59"/>
      <c r="D24" s="59"/>
      <c r="E24" s="25"/>
      <c r="F24" s="59"/>
      <c r="G24" s="59"/>
      <c r="H24" s="20"/>
      <c r="I24" s="59"/>
      <c r="J24" s="59"/>
      <c r="K24" s="25"/>
      <c r="L24" s="59"/>
      <c r="M24" s="59"/>
      <c r="N24" s="25"/>
      <c r="O24" s="59"/>
      <c r="P24" s="59"/>
      <c r="Q24" s="25"/>
      <c r="R24" s="136"/>
    </row>
    <row r="25" spans="2:18" s="7" customFormat="1" outlineLevel="1">
      <c r="B25" s="21" t="str">
        <f>'Program Budget'!D26</f>
        <v>Senior Vice President of Programs</v>
      </c>
      <c r="C25" s="854">
        <f>'Program Budget'!G26</f>
        <v>12</v>
      </c>
      <c r="D25" s="99">
        <f>'Program Budget'!E26+'Program Budget'!E145+'Program Budget'!E202+'Program Budget'!E282</f>
        <v>0.05</v>
      </c>
      <c r="E25" s="855">
        <f>'Program Budget'!I26+'Program Budget'!I145+'Program Budget'!I202+'Program Budget'!I282</f>
        <v>8100</v>
      </c>
      <c r="F25" s="854">
        <f>'Program Budget'!K26</f>
        <v>12</v>
      </c>
      <c r="G25" s="99">
        <f>'Program Budget'!J26+'Program Budget'!J145+'Program Budget'!J202+'Program Budget'!J282</f>
        <v>0.05</v>
      </c>
      <c r="H25" s="855">
        <f>'Program Budget'!L26+'Program Budget'!L145+'Program Budget'!L202+'Program Budget'!L282</f>
        <v>8505</v>
      </c>
      <c r="I25" s="854">
        <f>'Program Budget'!N26</f>
        <v>12</v>
      </c>
      <c r="J25" s="99">
        <f>'Program Budget'!M26+'Program Budget'!M145+'Program Budget'!M202+'Program Budget'!M282</f>
        <v>0.05</v>
      </c>
      <c r="K25" s="855">
        <f>'Program Budget'!O26+'Program Budget'!O145+'Program Budget'!O202+'Program Budget'!O282</f>
        <v>8930.25</v>
      </c>
      <c r="L25" s="854">
        <f>'Program Budget'!Q26</f>
        <v>12</v>
      </c>
      <c r="M25" s="99">
        <f>'Program Budget'!P26+'Program Budget'!P145+'Program Budget'!P202+'Program Budget'!P282</f>
        <v>0.05</v>
      </c>
      <c r="N25" s="855">
        <f>'Program Budget'!R26+'Program Budget'!R145+'Program Budget'!R202+'Program Budget'!R282</f>
        <v>9376.7625000000007</v>
      </c>
      <c r="O25" s="854">
        <f>'Program Budget'!T26</f>
        <v>0</v>
      </c>
      <c r="P25" s="99">
        <f>'Program Budget'!S26+'Program Budget'!S145+'Program Budget'!S202+'Program Budget'!S282</f>
        <v>0</v>
      </c>
      <c r="Q25" s="855">
        <f>'Program Budget'!U26+'Program Budget'!U145+'Program Budget'!U202+'Program Budget'!U282</f>
        <v>0</v>
      </c>
      <c r="R25" s="856">
        <f>E25+H25+K25+N25+Q25</f>
        <v>34912.012499999997</v>
      </c>
    </row>
    <row r="26" spans="2:18" s="7" customFormat="1" outlineLevel="1">
      <c r="B26" s="21" t="str">
        <f>'Program Budget'!D27</f>
        <v xml:space="preserve">Senior Program Director </v>
      </c>
      <c r="C26" s="60">
        <f>'Program Budget'!G27</f>
        <v>12</v>
      </c>
      <c r="D26" s="22">
        <f>'Program Budget'!E27+'Program Budget'!E146+'Program Budget'!E203+'Program Budget'!E283</f>
        <v>0.25</v>
      </c>
      <c r="E26" s="23">
        <f>'Program Budget'!I27+'Program Budget'!I146+'Program Budget'!I203+'Program Budget'!I283</f>
        <v>37500</v>
      </c>
      <c r="F26" s="60">
        <f>'Program Budget'!K27</f>
        <v>12</v>
      </c>
      <c r="G26" s="22">
        <f>'Program Budget'!J27+'Program Budget'!J146+'Program Budget'!J203+'Program Budget'!J283</f>
        <v>0.25</v>
      </c>
      <c r="H26" s="23">
        <f>'Program Budget'!L27+'Program Budget'!L146+'Program Budget'!L203+'Program Budget'!L283</f>
        <v>39375</v>
      </c>
      <c r="I26" s="60">
        <f>'Program Budget'!N27</f>
        <v>12</v>
      </c>
      <c r="J26" s="22">
        <f>'Program Budget'!M27+'Program Budget'!M146+'Program Budget'!M203+'Program Budget'!M283</f>
        <v>0.25</v>
      </c>
      <c r="K26" s="23">
        <f>'Program Budget'!O27+'Program Budget'!O146+'Program Budget'!O203+'Program Budget'!O283</f>
        <v>41343.75</v>
      </c>
      <c r="L26" s="60">
        <f>'Program Budget'!Q27</f>
        <v>12</v>
      </c>
      <c r="M26" s="22">
        <f>'Program Budget'!P27+'Program Budget'!P146+'Program Budget'!P203+'Program Budget'!P283</f>
        <v>0.25</v>
      </c>
      <c r="N26" s="23">
        <f>'Program Budget'!R27+'Program Budget'!R146+'Program Budget'!R203+'Program Budget'!R283</f>
        <v>43410.9375</v>
      </c>
      <c r="O26" s="60">
        <f>'Program Budget'!T27</f>
        <v>0</v>
      </c>
      <c r="P26" s="22">
        <f>'Program Budget'!S27+'Program Budget'!S146+'Program Budget'!S203+'Program Budget'!S283</f>
        <v>0</v>
      </c>
      <c r="Q26" s="23">
        <f>'Program Budget'!U27+'Program Budget'!U146+'Program Budget'!U203+'Program Budget'!U283</f>
        <v>0</v>
      </c>
      <c r="R26" s="135">
        <f t="shared" ref="R26:R29" si="1">E26+H26+K26+N26+Q26</f>
        <v>161629.6875</v>
      </c>
    </row>
    <row r="27" spans="2:18" s="7" customFormat="1" outlineLevel="1">
      <c r="B27" s="21" t="str">
        <f>'Program Budget'!D28</f>
        <v>Associate Director</v>
      </c>
      <c r="C27" s="60">
        <f>'Program Budget'!G28</f>
        <v>12</v>
      </c>
      <c r="D27" s="22">
        <f>'Program Budget'!E28+'Program Budget'!E147+'Program Budget'!E204+'Program Budget'!E284</f>
        <v>1</v>
      </c>
      <c r="E27" s="23">
        <f>'Program Budget'!I28+'Program Budget'!I147+'Program Budget'!I204+'Program Budget'!I284</f>
        <v>90000</v>
      </c>
      <c r="F27" s="60">
        <f>'Program Budget'!K28</f>
        <v>12</v>
      </c>
      <c r="G27" s="22">
        <f>'Program Budget'!J28+'Program Budget'!J147+'Program Budget'!J204+'Program Budget'!J284</f>
        <v>1</v>
      </c>
      <c r="H27" s="23">
        <f>'Program Budget'!L28+'Program Budget'!L147+'Program Budget'!L204+'Program Budget'!L284</f>
        <v>94500</v>
      </c>
      <c r="I27" s="60">
        <f>'Program Budget'!N28</f>
        <v>12</v>
      </c>
      <c r="J27" s="22">
        <f>'Program Budget'!M28+'Program Budget'!M147+'Program Budget'!M204+'Program Budget'!M284</f>
        <v>1</v>
      </c>
      <c r="K27" s="23">
        <f>'Program Budget'!O28+'Program Budget'!O147+'Program Budget'!O204+'Program Budget'!O284</f>
        <v>99225</v>
      </c>
      <c r="L27" s="60">
        <f>'Program Budget'!Q28</f>
        <v>12</v>
      </c>
      <c r="M27" s="22">
        <f>'Program Budget'!P28+'Program Budget'!P147+'Program Budget'!P204+'Program Budget'!P284</f>
        <v>1</v>
      </c>
      <c r="N27" s="23">
        <f>'Program Budget'!R28+'Program Budget'!R147+'Program Budget'!R204+'Program Budget'!R284</f>
        <v>104186.25</v>
      </c>
      <c r="O27" s="60">
        <f>'Program Budget'!T28</f>
        <v>0</v>
      </c>
      <c r="P27" s="22">
        <f>'Program Budget'!S28+'Program Budget'!S147+'Program Budget'!S204+'Program Budget'!S284</f>
        <v>0</v>
      </c>
      <c r="Q27" s="23">
        <f>'Program Budget'!U28+'Program Budget'!U147+'Program Budget'!U204+'Program Budget'!U284</f>
        <v>0</v>
      </c>
      <c r="R27" s="135">
        <f t="shared" si="1"/>
        <v>387911.25</v>
      </c>
    </row>
    <row r="28" spans="2:18" s="7" customFormat="1" outlineLevel="1">
      <c r="B28" s="21" t="str">
        <f>'Program Budget'!D29</f>
        <v>Compliance &amp; Contracts Director</v>
      </c>
      <c r="C28" s="60">
        <f>'Program Budget'!G29</f>
        <v>12</v>
      </c>
      <c r="D28" s="22">
        <f>'Program Budget'!E29+'Program Budget'!E148+'Program Budget'!E205+'Program Budget'!E285</f>
        <v>0.25</v>
      </c>
      <c r="E28" s="23">
        <f>'Program Budget'!I29+'Program Budget'!I148+'Program Budget'!I205+'Program Budget'!I285</f>
        <v>27500</v>
      </c>
      <c r="F28" s="60">
        <f>'Program Budget'!K29</f>
        <v>12</v>
      </c>
      <c r="G28" s="22">
        <f>'Program Budget'!J29+'Program Budget'!J148+'Program Budget'!J205+'Program Budget'!J285</f>
        <v>0.25</v>
      </c>
      <c r="H28" s="23">
        <f>'Program Budget'!L29+'Program Budget'!L148+'Program Budget'!L205+'Program Budget'!L285</f>
        <v>28875</v>
      </c>
      <c r="I28" s="60">
        <f>'Program Budget'!N29</f>
        <v>12</v>
      </c>
      <c r="J28" s="22">
        <f>'Program Budget'!M29+'Program Budget'!M148+'Program Budget'!M205+'Program Budget'!M285</f>
        <v>0.25</v>
      </c>
      <c r="K28" s="23">
        <f>'Program Budget'!O29+'Program Budget'!O148+'Program Budget'!O205+'Program Budget'!O285</f>
        <v>30318.75</v>
      </c>
      <c r="L28" s="60">
        <f>'Program Budget'!Q29</f>
        <v>12</v>
      </c>
      <c r="M28" s="22">
        <f>'Program Budget'!P29+'Program Budget'!P148+'Program Budget'!P205+'Program Budget'!P285</f>
        <v>0.25</v>
      </c>
      <c r="N28" s="23">
        <f>'Program Budget'!R29+'Program Budget'!R148+'Program Budget'!R205+'Program Budget'!R285</f>
        <v>31834.6875</v>
      </c>
      <c r="O28" s="60">
        <f>'Program Budget'!T29</f>
        <v>0</v>
      </c>
      <c r="P28" s="22">
        <f>'Program Budget'!S29+'Program Budget'!S148+'Program Budget'!S205+'Program Budget'!S285</f>
        <v>0</v>
      </c>
      <c r="Q28" s="23">
        <f>'Program Budget'!U29+'Program Budget'!U148+'Program Budget'!U205+'Program Budget'!U285</f>
        <v>0</v>
      </c>
      <c r="R28" s="135">
        <f t="shared" si="1"/>
        <v>118528.4375</v>
      </c>
    </row>
    <row r="29" spans="2:18" s="7" customFormat="1" outlineLevel="1">
      <c r="B29" s="21" t="str">
        <f>'Program Budget'!D30</f>
        <v>Finance, HR, &amp; Administration Home Office Support</v>
      </c>
      <c r="C29" s="60">
        <f>'Program Budget'!G30</f>
        <v>12</v>
      </c>
      <c r="D29" s="22">
        <f>'Program Budget'!E30+'Program Budget'!E149+'Program Budget'!E206+'Program Budget'!E286</f>
        <v>0.7</v>
      </c>
      <c r="E29" s="23">
        <f>'Program Budget'!I30+'Program Budget'!I149+'Program Budget'!I206+'Program Budget'!I286</f>
        <v>63000</v>
      </c>
      <c r="F29" s="60">
        <f>'Program Budget'!K30</f>
        <v>12</v>
      </c>
      <c r="G29" s="22">
        <f>'Program Budget'!J30+'Program Budget'!J149+'Program Budget'!J206+'Program Budget'!J286</f>
        <v>0.70000000000000007</v>
      </c>
      <c r="H29" s="23">
        <f>'Program Budget'!L30+'Program Budget'!L149+'Program Budget'!L206+'Program Budget'!L286</f>
        <v>66150</v>
      </c>
      <c r="I29" s="60">
        <f>'Program Budget'!N30</f>
        <v>12</v>
      </c>
      <c r="J29" s="22">
        <f>'Program Budget'!M30+'Program Budget'!M149+'Program Budget'!M206+'Program Budget'!M286</f>
        <v>0.70000000000000007</v>
      </c>
      <c r="K29" s="23">
        <f>'Program Budget'!O30+'Program Budget'!O149+'Program Budget'!O206+'Program Budget'!O286</f>
        <v>69457.5</v>
      </c>
      <c r="L29" s="60">
        <f>'Program Budget'!Q30</f>
        <v>12</v>
      </c>
      <c r="M29" s="22">
        <f>'Program Budget'!P30+'Program Budget'!P149+'Program Budget'!P206+'Program Budget'!P286</f>
        <v>0.70000000000000007</v>
      </c>
      <c r="N29" s="23">
        <f>'Program Budget'!R30+'Program Budget'!R149+'Program Budget'!R206+'Program Budget'!R286</f>
        <v>72930.375</v>
      </c>
      <c r="O29" s="60">
        <f>'Program Budget'!T30</f>
        <v>0</v>
      </c>
      <c r="P29" s="22">
        <f>'Program Budget'!S30+'Program Budget'!S149+'Program Budget'!S206+'Program Budget'!S286</f>
        <v>0</v>
      </c>
      <c r="Q29" s="23">
        <f>'Program Budget'!U30+'Program Budget'!U149+'Program Budget'!U206+'Program Budget'!U286</f>
        <v>0</v>
      </c>
      <c r="R29" s="135">
        <f t="shared" si="1"/>
        <v>271537.875</v>
      </c>
    </row>
    <row r="30" spans="2:18" s="7" customFormat="1" outlineLevel="1">
      <c r="B30" s="26" t="s">
        <v>219</v>
      </c>
      <c r="C30" s="27"/>
      <c r="D30" s="27"/>
      <c r="E30" s="28">
        <f>SUM(E11:E29)</f>
        <v>603850</v>
      </c>
      <c r="F30" s="27"/>
      <c r="G30" s="27"/>
      <c r="H30" s="28">
        <f>SUM(H11:H29)</f>
        <v>744555</v>
      </c>
      <c r="I30" s="27"/>
      <c r="J30" s="27"/>
      <c r="K30" s="28">
        <f>SUM(K11:K29)</f>
        <v>781782.75</v>
      </c>
      <c r="L30" s="27"/>
      <c r="M30" s="27"/>
      <c r="N30" s="28">
        <f>SUM(N11:N29)</f>
        <v>820871.88749999995</v>
      </c>
      <c r="O30" s="27"/>
      <c r="P30" s="27"/>
      <c r="Q30" s="28">
        <f>SUM(Q11:Q29)</f>
        <v>0</v>
      </c>
      <c r="R30" s="28">
        <f>SUM(R11:R29)</f>
        <v>2951059.6375000002</v>
      </c>
    </row>
    <row r="32" spans="2:18">
      <c r="F32" s="122"/>
      <c r="H32" s="8"/>
      <c r="I32" s="122"/>
    </row>
    <row r="33" spans="5:18">
      <c r="F33" s="122"/>
      <c r="H33" s="8"/>
      <c r="I33" s="122"/>
      <c r="R33" s="813"/>
    </row>
    <row r="34" spans="5:18">
      <c r="F34" s="122"/>
      <c r="H34" s="8"/>
      <c r="I34" s="122"/>
      <c r="R34" s="813"/>
    </row>
    <row r="35" spans="5:18">
      <c r="F35" s="122"/>
      <c r="H35" s="8"/>
      <c r="I35" s="122"/>
    </row>
    <row r="36" spans="5:18">
      <c r="F36" s="122"/>
      <c r="H36" s="8"/>
      <c r="I36" s="122"/>
    </row>
    <row r="37" spans="5:18">
      <c r="F37" s="122"/>
      <c r="H37" s="8"/>
      <c r="I37" s="122"/>
    </row>
    <row r="38" spans="5:18">
      <c r="F38" s="122"/>
      <c r="H38" s="8"/>
      <c r="I38" s="122"/>
    </row>
    <row r="39" spans="5:18">
      <c r="E39" s="370"/>
      <c r="F39" s="122"/>
      <c r="H39" s="8"/>
      <c r="I39" s="122"/>
    </row>
    <row r="40" spans="5:18">
      <c r="F40" s="122"/>
      <c r="H40" s="8"/>
      <c r="I40" s="122"/>
    </row>
    <row r="41" spans="5:18">
      <c r="F41" s="122"/>
      <c r="H41" s="8"/>
      <c r="I41" s="122"/>
    </row>
    <row r="42" spans="5:18">
      <c r="F42" s="122"/>
      <c r="H42" s="8"/>
      <c r="I42" s="122"/>
    </row>
    <row r="43" spans="5:18">
      <c r="F43" s="122"/>
      <c r="H43" s="8"/>
      <c r="I43" s="122"/>
    </row>
    <row r="44" spans="5:18">
      <c r="F44" s="122"/>
      <c r="H44" s="8"/>
      <c r="I44" s="122"/>
    </row>
    <row r="45" spans="5:18">
      <c r="F45" s="122"/>
      <c r="H45" s="8"/>
      <c r="I45" s="122"/>
    </row>
    <row r="46" spans="5:18">
      <c r="F46" s="122"/>
      <c r="H46" s="8"/>
      <c r="I46" s="122"/>
    </row>
    <row r="47" spans="5:18">
      <c r="F47" s="122"/>
      <c r="H47" s="8"/>
      <c r="I47" s="122"/>
    </row>
    <row r="48" spans="5:18">
      <c r="F48" s="122"/>
      <c r="H48" s="8"/>
      <c r="I48" s="122"/>
    </row>
    <row r="49" spans="6:9">
      <c r="F49" s="122"/>
      <c r="I49" s="122"/>
    </row>
  </sheetData>
  <mergeCells count="5">
    <mergeCell ref="B1:R1"/>
    <mergeCell ref="B2:R2"/>
    <mergeCell ref="B3:R3"/>
    <mergeCell ref="B4:R4"/>
    <mergeCell ref="B5:R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SharedWithUsers xmlns="dc808d36-874f-4b27-aec2-2fd649817929">
      <UserInfo>
        <DisplayName/>
        <AccountId xsi:nil="true"/>
        <AccountType/>
      </UserInfo>
    </SharedWithUsers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9" ma:contentTypeDescription="Create a new document." ma:contentTypeScope="" ma:versionID="a5577d833b9f28dcc6be37a04859b9a8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ae50cb7862d574a2d96b6910b4abdc85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3E7B32A-376E-41F5-8BAD-5BA7D75DB916}">
  <ds:schemaRefs>
    <ds:schemaRef ds:uri="http://schemas.microsoft.com/office/2006/metadata/properties"/>
    <ds:schemaRef ds:uri="http://schemas.microsoft.com/office/infopath/2007/PartnerControls"/>
    <ds:schemaRef ds:uri="dc808d36-874f-4b27-aec2-2fd649817929"/>
    <ds:schemaRef ds:uri="ba2e8617-29ee-40b9-b822-c9e0f853d80d"/>
    <ds:schemaRef ds:uri="f2466082-b6bf-4153-98c3-3c41e85fda18"/>
  </ds:schemaRefs>
</ds:datastoreItem>
</file>

<file path=customXml/itemProps2.xml><?xml version="1.0" encoding="utf-8"?>
<ds:datastoreItem xmlns:ds="http://schemas.openxmlformats.org/officeDocument/2006/customXml" ds:itemID="{3316A195-F478-4256-96CF-892E1E481714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E2A8DC50-8388-43FB-AA99-04840CE438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466082-b6bf-4153-98c3-3c41e85fda18"/>
    <ds:schemaRef ds:uri="dc808d36-874f-4b27-aec2-2fd6498179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694317B-D0E0-4282-8BFC-94619C138F2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17</vt:i4>
      </vt:variant>
    </vt:vector>
  </HeadingPairs>
  <TitlesOfParts>
    <vt:vector size="29" baseType="lpstr">
      <vt:lpstr>USDA Budget Summary</vt:lpstr>
      <vt:lpstr>Detailed Budget</vt:lpstr>
      <vt:lpstr>Admin</vt:lpstr>
      <vt:lpstr>Activity 1</vt:lpstr>
      <vt:lpstr>Activity 2</vt:lpstr>
      <vt:lpstr>Activity 3</vt:lpstr>
      <vt:lpstr>CABI Sub Budget</vt:lpstr>
      <vt:lpstr>USSEC Sub Budget</vt:lpstr>
      <vt:lpstr>Program Budget</vt:lpstr>
      <vt:lpstr>Indirect Calculations</vt:lpstr>
      <vt:lpstr>LOE Breakdown by Year</vt:lpstr>
      <vt:lpstr>Personnel &amp; LOE Summary</vt:lpstr>
      <vt:lpstr>'Activity 1'!Print_Area</vt:lpstr>
      <vt:lpstr>'Activity 2'!Print_Area</vt:lpstr>
      <vt:lpstr>'Activity 3'!Print_Area</vt:lpstr>
      <vt:lpstr>Admin!Print_Area</vt:lpstr>
      <vt:lpstr>'CABI Sub Budget'!Print_Area</vt:lpstr>
      <vt:lpstr>'Detailed Budget'!Print_Area</vt:lpstr>
      <vt:lpstr>'Indirect Calculations'!Print_Area</vt:lpstr>
      <vt:lpstr>'Program Budget'!Print_Area</vt:lpstr>
      <vt:lpstr>'USDA Budget Summary'!Print_Area</vt:lpstr>
      <vt:lpstr>'USSEC Sub Budget'!Print_Area</vt:lpstr>
      <vt:lpstr>'Activity 1'!Print_Titles</vt:lpstr>
      <vt:lpstr>'Activity 2'!Print_Titles</vt:lpstr>
      <vt:lpstr>'Activity 3'!Print_Titles</vt:lpstr>
      <vt:lpstr>Admin!Print_Titles</vt:lpstr>
      <vt:lpstr>'CABI Sub Budget'!Print_Titles</vt:lpstr>
      <vt:lpstr>'Detailed Budget'!Print_Titles</vt:lpstr>
      <vt:lpstr>'USSEC Sub Budget'!Print_Titles</vt:lpstr>
    </vt:vector>
  </TitlesOfParts>
  <Manager/>
  <Company>Compañeros de las Americas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Danielle Martin</dc:creator>
  <cp:keywords>Food For Development</cp:keywords>
  <dc:description/>
  <cp:lastModifiedBy>Danielle Martin</cp:lastModifiedBy>
  <cp:revision/>
  <dcterms:created xsi:type="dcterms:W3CDTF">2007-06-26T13:33:20Z</dcterms:created>
  <dcterms:modified xsi:type="dcterms:W3CDTF">2026-05-26T17:43:29Z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7412600</vt:r8>
  </property>
  <property fmtid="{D5CDD505-2E9C-101B-9397-08002B2CF9AE}" pid="3" name="ContentTypeId">
    <vt:lpwstr>0x0101003206C8355D678A459F2EF8957171B231</vt:lpwstr>
  </property>
  <property fmtid="{D5CDD505-2E9C-101B-9397-08002B2CF9AE}" pid="4" name="WorkbookGuid">
    <vt:lpwstr>f9165d3f-2e95-4cb0-b0d6-1503465abe40</vt:lpwstr>
  </property>
  <property fmtid="{D5CDD505-2E9C-101B-9397-08002B2CF9AE}" pid="5" name="TaxKeyword">
    <vt:lpwstr>81;#Food For Development|98747836-2529-4530-bb6a-d74dee1d6b61</vt:lpwstr>
  </property>
  <property fmtid="{D5CDD505-2E9C-101B-9397-08002B2CF9AE}" pid="6" name="Tags">
    <vt:lpwstr/>
  </property>
  <property fmtid="{D5CDD505-2E9C-101B-9397-08002B2CF9AE}" pid="7" name="MediaServiceImageTags">
    <vt:lpwstr/>
  </property>
  <property fmtid="{D5CDD505-2E9C-101B-9397-08002B2CF9AE}" pid="8" name="xd_Signature">
    <vt:bool>false</vt:bool>
  </property>
  <property fmtid="{D5CDD505-2E9C-101B-9397-08002B2CF9AE}" pid="9" name="xd_ProgID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_ExtendedDescription">
    <vt:lpwstr/>
  </property>
  <property fmtid="{D5CDD505-2E9C-101B-9397-08002B2CF9AE}" pid="13" name="TriggerFlowInfo">
    <vt:lpwstr/>
  </property>
</Properties>
</file>