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225"/>
  <workbookPr defaultThemeVersion="124226"/>
  <mc:AlternateContent xmlns:mc="http://schemas.openxmlformats.org/markup-compatibility/2006">
    <mc:Choice Requires="x15">
      <x15ac:absPath xmlns:x15ac="http://schemas.microsoft.com/office/spreadsheetml/2010/11/ac" url="https://partnersnet107.sharepoint.com/sites/FA/Finance  Operational/Direct Awards/Awards FY 2024/DOS268 DR 100K/"/>
    </mc:Choice>
  </mc:AlternateContent>
  <xr:revisionPtr revIDLastSave="1218" documentId="13_ncr:1_{38593E4A-BE23-409E-BE00-A81F7736DC45}" xr6:coauthVersionLast="47" xr6:coauthVersionMax="47" xr10:uidLastSave="{3A55B549-2319-4931-9D46-33DCB1FA0058}"/>
  <bookViews>
    <workbookView xWindow="-96" yWindow="-96" windowWidth="23232" windowHeight="12552" tabRatio="270" activeTab="2" xr2:uid="{00000000-000D-0000-FFFF-FFFF00000000}"/>
  </bookViews>
  <sheets>
    <sheet name="1. Summary Budget" sheetId="3" state="hidden" r:id="rId1"/>
    <sheet name="1. Budget $100k" sheetId="5" state="hidden" r:id="rId2"/>
    <sheet name="Budget Summary" sheetId="7" r:id="rId3"/>
    <sheet name="Budget Narrative" sheetId="8" r:id="rId4"/>
  </sheets>
  <definedNames>
    <definedName name="_xlnm.Print_Area" localSheetId="1">'1. Budget $100k'!$A$1:$H$28</definedName>
    <definedName name="_xlnm.Print_Area" localSheetId="0">'1. Summary Budget'!$A$1:$D$18</definedName>
    <definedName name="_xlnm.Print_Area" localSheetId="2">'Budget Summary'!$D$1:$K$35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9" i="7" l="1"/>
  <c r="K10" i="7"/>
  <c r="K17" i="7"/>
  <c r="H18" i="7"/>
  <c r="H19" i="7" s="1"/>
  <c r="K19" i="7" s="1"/>
  <c r="K20" i="7"/>
  <c r="K26" i="7"/>
  <c r="K27" i="7" s="1"/>
  <c r="K31" i="7"/>
  <c r="K32" i="7" s="1"/>
  <c r="F22" i="5"/>
  <c r="H26" i="5"/>
  <c r="H16" i="5"/>
  <c r="H15" i="5"/>
  <c r="H21" i="5"/>
  <c r="H23" i="5"/>
  <c r="E13" i="5"/>
  <c r="H13" i="5"/>
  <c r="E14" i="5"/>
  <c r="H14" i="5"/>
  <c r="H12" i="5"/>
  <c r="D10" i="3"/>
  <c r="D15" i="3"/>
  <c r="D13" i="3"/>
  <c r="D16" i="3"/>
  <c r="D17" i="3"/>
  <c r="H28" i="5"/>
  <c r="D18" i="3"/>
  <c r="K11" i="7" l="1"/>
  <c r="K13" i="7"/>
  <c r="K14" i="7" s="1"/>
  <c r="K18" i="7"/>
  <c r="K21" i="7" s="1"/>
  <c r="K33" i="7"/>
  <c r="K34" i="7" s="1"/>
  <c r="K35" i="7" l="1"/>
</calcChain>
</file>

<file path=xl/sharedStrings.xml><?xml version="1.0" encoding="utf-8"?>
<sst xmlns="http://schemas.openxmlformats.org/spreadsheetml/2006/main" count="241" uniqueCount="134">
  <si>
    <t>SUMMARY BUDGET</t>
  </si>
  <si>
    <t>Partners of the Americas</t>
  </si>
  <si>
    <t>100,000 Strong in the Americas</t>
  </si>
  <si>
    <t>24 Months</t>
  </si>
  <si>
    <t xml:space="preserve">        </t>
  </si>
  <si>
    <t>Original Budget</t>
  </si>
  <si>
    <t>A</t>
  </si>
  <si>
    <t>Personnel</t>
  </si>
  <si>
    <t>B</t>
  </si>
  <si>
    <t>Fringe Benefits</t>
  </si>
  <si>
    <t>C</t>
  </si>
  <si>
    <t xml:space="preserve">Travel </t>
  </si>
  <si>
    <t>D</t>
  </si>
  <si>
    <t>Equipment</t>
  </si>
  <si>
    <t>E</t>
  </si>
  <si>
    <t>Supplies</t>
  </si>
  <si>
    <t>F</t>
  </si>
  <si>
    <t>Contractual</t>
  </si>
  <si>
    <t>G</t>
  </si>
  <si>
    <t>Construction</t>
  </si>
  <si>
    <t>H</t>
  </si>
  <si>
    <t>Other Direct Costs</t>
  </si>
  <si>
    <t>I</t>
  </si>
  <si>
    <t>Total Direct charges</t>
  </si>
  <si>
    <t>J</t>
  </si>
  <si>
    <t>Total Indirect costs</t>
  </si>
  <si>
    <t>K</t>
  </si>
  <si>
    <t xml:space="preserve">Total Project Cost </t>
  </si>
  <si>
    <t>L</t>
  </si>
  <si>
    <t>Cost Share (if applicable)</t>
  </si>
  <si>
    <t>* line item amounts auto-fill from "Detailed Grant Budget Template" tab</t>
  </si>
  <si>
    <t xml:space="preserve"> LINE-ITEM BUDGET</t>
  </si>
  <si>
    <t>Project Title</t>
  </si>
  <si>
    <t>Project Duration: 24 months</t>
  </si>
  <si>
    <t>Project duration</t>
  </si>
  <si>
    <t>Unit Cost</t>
  </si>
  <si>
    <t>Original Budget Federal Share</t>
  </si>
  <si>
    <t>Unit</t>
  </si>
  <si>
    <t>Number</t>
  </si>
  <si>
    <t xml:space="preserve"> Amount  </t>
  </si>
  <si>
    <t>Rate</t>
  </si>
  <si>
    <t>months or years</t>
  </si>
  <si>
    <t>salary           (monthly)</t>
  </si>
  <si>
    <r>
      <t xml:space="preserve">% effort for Personnel </t>
    </r>
    <r>
      <rPr>
        <u/>
        <sz val="12"/>
        <color theme="1"/>
        <rFont val="Times New Roman"/>
        <family val="1"/>
      </rPr>
      <t>only</t>
    </r>
    <r>
      <rPr>
        <sz val="12"/>
        <color theme="1"/>
        <rFont val="Times New Roman"/>
        <family val="1"/>
      </rPr>
      <t xml:space="preserve"> </t>
    </r>
  </si>
  <si>
    <t>Fringe</t>
  </si>
  <si>
    <t># people</t>
  </si>
  <si>
    <t># units</t>
  </si>
  <si>
    <t>unit Cost</t>
  </si>
  <si>
    <t>C.1</t>
  </si>
  <si>
    <t>Staff/Consultant Travel</t>
  </si>
  <si>
    <t>C.1.1</t>
  </si>
  <si>
    <t>International Round Trip Airfare</t>
  </si>
  <si>
    <t>trips</t>
  </si>
  <si>
    <t>C.1.2</t>
  </si>
  <si>
    <t xml:space="preserve">International M&amp;IE </t>
  </si>
  <si>
    <t>days</t>
  </si>
  <si>
    <t>C.1.3</t>
  </si>
  <si>
    <t>International Lodging</t>
  </si>
  <si>
    <t>nights</t>
  </si>
  <si>
    <t>C.1.4</t>
  </si>
  <si>
    <t>International Local Transportation</t>
  </si>
  <si>
    <t>Subtotal Travel</t>
  </si>
  <si>
    <t>Equipment  (&gt; $5,000 per unit )</t>
  </si>
  <si>
    <t>unit cost</t>
  </si>
  <si>
    <t>Supplies  (&lt; $5,000 per unit)</t>
  </si>
  <si>
    <t>Contractual (Subrecipients, Subcontracts, and Consultant fees)</t>
  </si>
  <si>
    <t>F.1</t>
  </si>
  <si>
    <t>Sub-grants</t>
  </si>
  <si>
    <t xml:space="preserve">     daily rate</t>
  </si>
  <si>
    <t>F.1.1</t>
  </si>
  <si>
    <t>HEI Sub-grants</t>
  </si>
  <si>
    <t>grants</t>
  </si>
  <si>
    <t>Subtotal Contractual</t>
  </si>
  <si>
    <t>Translation Costs</t>
  </si>
  <si>
    <t>documents</t>
  </si>
  <si>
    <t>Total Direct Costs</t>
  </si>
  <si>
    <t xml:space="preserve">Indirect Costs </t>
  </si>
  <si>
    <t>F.1.2</t>
  </si>
  <si>
    <t>A.1</t>
  </si>
  <si>
    <t>A.2</t>
  </si>
  <si>
    <t>months</t>
  </si>
  <si>
    <t>Subtotal Personnel</t>
  </si>
  <si>
    <t>Subtotal Fringe</t>
  </si>
  <si>
    <t>B.1</t>
  </si>
  <si>
    <t>US-Based Personnel Fringe Benefits</t>
  </si>
  <si>
    <t>Communications Officer</t>
  </si>
  <si>
    <t>MEL Officer</t>
  </si>
  <si>
    <t>Expanding Caribbean-U.S. Higher Education Climate Cooperation and Inclusive Education Exchanges through 100K Strong Americas</t>
  </si>
  <si>
    <t>Describe each budget line item in detail</t>
  </si>
  <si>
    <t>Describe any Cost Share</t>
  </si>
  <si>
    <t>Travel</t>
  </si>
  <si>
    <t>Equipment (per unit cost of $5,000 or more)</t>
  </si>
  <si>
    <t>Supplies/Materials (per unit cost of less than $5,000)</t>
  </si>
  <si>
    <t>Other direct costs</t>
  </si>
  <si>
    <t>POA is budgeting an international M&amp;IE rate of $103/day for four (4) days total to cover one trip. This is the M&amp;IE rate based on the DOS Foreign Per Diem rates shown for Santo Domingo, Dominican Republic. The total estimated amount is $412.</t>
  </si>
  <si>
    <t>POA is budgeting an international lodging rate of $225/night based on an average across a sample of different WHA countries. POA estimates three (3) nights to cover the one trips. This is a reduced ldoging rate based on previous trips and a portion of the USG lodging rates. The total estimated amount is $675.</t>
  </si>
  <si>
    <t>POA is budgeting an average of $80/day for four (4) days during international travel to cover taxis, subways, buses, metro, and trains over the one trips. The total estimated amount is $320.</t>
  </si>
  <si>
    <t>Sub-grants will be awarded to HEI teams for new Caribbean-U.S. exchange programs. These funds will also facilitate fundraising by reducing the amount required from public-private donors and showing DOS/POA investment. POA is budgeting approximately $35,000/grant for five (5) grants to be awarded to selected HEI recipients, pending the proposal evaluation and selection process. NOTE: The actual number of 100K Strong sub-grants in this proposed budget are approximate. Final amounts of sub-grants will vary according to potential non-USG funds and agreements with private-public sector partners, as well as the results of 100K sub-grant evaluation/selection process. The anticipated total amount for line however, will not vary. The total cost for the HEI sub-grants is $140,000.</t>
  </si>
  <si>
    <t>Communications Officer, with an annual salary of $60,637, equal to $5,053/month, will dedicate 5% of their time to implement the program’s communications and marketing strategy. They will support outreach, communications, and marketing for partnership development, grant competition promotion, material design, and event planning. They will also lead digital communications/marketing efforts to promote 100K projects and grant impact, including sharing faculty and student stories on the 100K website and ensuring online and social media presence. The total for this position is $6,064 for 24 months.</t>
  </si>
  <si>
    <t>MEL Officer, with an annual salary of $57,516, equal to is $4,793/month, will dedicate 7% of their time to support MEL activities: determine data collection timeline; design/administer survey tools to HEI grantees, and students; track, collect, and analyse data and HEI sub-grant reports; collect 100K student stories; and maintain the program’s M&amp;E database. The total for this position is $8,052 for 24 months.</t>
  </si>
  <si>
    <t>In accordance with Partners’ personnel policy and NICRA letter, Partners has budgeted a 23.47% fringe rate on the salary charged to the grant for the Communications Officer. Fringe benefits include insurance, mandatory taxes, pension, and other employee benefits. The total is $1,186.</t>
  </si>
  <si>
    <t xml:space="preserve">In accordance with Partners’ personnel policy and NICRA letter, Partners has budgeted a 23.47% fringe rate on the salary charged to the grant for the MEL Officer. Fringe benefits include insurance, mandatory taxes, pension, and other employee benefits. The total is $1,125. </t>
  </si>
  <si>
    <t>POA is budgeting to translate documents from English to Spanish or Spanish to English, as needed. Based on vendor quotes, POA estimates $200 per document that will be translated. From experience, POA is budgeting for two (2) documents to be translated during the project. The total amount is $400.</t>
  </si>
  <si>
    <t>POA is budgeting one (1) international roundtrip trip ticket at an estimated average rate of $650 per trip for the winners announcement event and stakeholder engagement in the Caribbean region. Flights will comply with the Fly America Act and be in economy class. The total estimated amount is $650.</t>
  </si>
  <si>
    <t>H.1.1</t>
  </si>
  <si>
    <t>H.1</t>
  </si>
  <si>
    <t>Translation</t>
  </si>
  <si>
    <t>Subtotal Other Direct Costs</t>
  </si>
  <si>
    <t>Entity:</t>
  </si>
  <si>
    <t>P</t>
  </si>
  <si>
    <t>Program-Dept.:</t>
  </si>
  <si>
    <t>Funder-Grant:</t>
  </si>
  <si>
    <t>Budget Code</t>
  </si>
  <si>
    <t>Account Code</t>
  </si>
  <si>
    <t>Country Code</t>
  </si>
  <si>
    <t>GRANTS</t>
  </si>
  <si>
    <t>89000</t>
  </si>
  <si>
    <t>USA</t>
  </si>
  <si>
    <t>TRANS</t>
  </si>
  <si>
    <t>81021</t>
  </si>
  <si>
    <t>IDC</t>
  </si>
  <si>
    <t>94050</t>
  </si>
  <si>
    <t>STFTRAVEL</t>
  </si>
  <si>
    <t>86040</t>
  </si>
  <si>
    <t>STFCN DIEM</t>
  </si>
  <si>
    <t>86050</t>
  </si>
  <si>
    <t>LODGING</t>
  </si>
  <si>
    <t>86030</t>
  </si>
  <si>
    <t>LOCAL TRVL</t>
  </si>
  <si>
    <t>86000</t>
  </si>
  <si>
    <t>PERSNL</t>
  </si>
  <si>
    <t>50000</t>
  </si>
  <si>
    <t>FRINGE</t>
  </si>
  <si>
    <t>DOS268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</si>
</sst>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quot;$&quot;* #,##0_);_(&quot;$&quot;* \(#,##0\);_(&quot;$&quot;* &quot;-&quot;??_);_(@_)"/>
    <numFmt numFmtId="165" formatCode="0.0%"/>
    <numFmt numFmtId="166" formatCode="0.0"/>
  </numFmts>
  <fonts count="29"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2"/>
      <color theme="1"/>
      <name val="Times New Roman"/>
      <family val="1"/>
    </font>
    <font>
      <sz val="8"/>
      <color theme="1"/>
      <name val="Calibri"/>
      <family val="2"/>
      <scheme val="minor"/>
    </font>
    <font>
      <b/>
      <sz val="11"/>
      <color theme="1"/>
      <name val="Times New Roman"/>
      <family val="1"/>
    </font>
    <font>
      <b/>
      <sz val="12"/>
      <color theme="1"/>
      <name val="Calibri"/>
      <family val="2"/>
      <scheme val="minor"/>
    </font>
    <font>
      <i/>
      <sz val="12"/>
      <color theme="1"/>
      <name val="Calibri"/>
      <family val="2"/>
      <scheme val="minor"/>
    </font>
    <font>
      <sz val="12"/>
      <color theme="1"/>
      <name val="Calibri"/>
      <family val="2"/>
      <scheme val="minor"/>
    </font>
    <font>
      <sz val="11"/>
      <color theme="1"/>
      <name val="Times New Roman"/>
      <family val="1"/>
    </font>
    <font>
      <sz val="12"/>
      <name val="Calibri"/>
      <family val="2"/>
      <scheme val="minor"/>
    </font>
    <font>
      <sz val="11"/>
      <color theme="1"/>
      <name val="Calibri"/>
      <family val="2"/>
      <scheme val="minor"/>
    </font>
    <font>
      <sz val="8"/>
      <name val="Calibri"/>
      <family val="2"/>
      <scheme val="minor"/>
    </font>
    <font>
      <sz val="12"/>
      <color rgb="FFFF0000"/>
      <name val="Calibri"/>
      <family val="2"/>
      <scheme val="minor"/>
    </font>
    <font>
      <b/>
      <i/>
      <sz val="12"/>
      <color theme="1"/>
      <name val="Calibri"/>
      <family val="2"/>
      <scheme val="minor"/>
    </font>
    <font>
      <i/>
      <sz val="12"/>
      <name val="Calibri"/>
      <family val="2"/>
      <scheme val="minor"/>
    </font>
    <font>
      <sz val="12"/>
      <color theme="1"/>
      <name val="Times New Roman"/>
      <family val="1"/>
    </font>
    <font>
      <u/>
      <sz val="12"/>
      <color theme="1"/>
      <name val="Times New Roman"/>
      <family val="1"/>
    </font>
    <font>
      <sz val="12"/>
      <name val="Times New Roman"/>
      <family val="1"/>
    </font>
    <font>
      <i/>
      <sz val="12"/>
      <color theme="1"/>
      <name val="Times New Roman"/>
      <family val="1"/>
    </font>
    <font>
      <sz val="10"/>
      <name val="Arial"/>
      <family val="2"/>
    </font>
    <font>
      <b/>
      <sz val="14"/>
      <name val="Arial"/>
      <family val="2"/>
    </font>
    <font>
      <b/>
      <sz val="12"/>
      <name val="Calibri"/>
      <family val="2"/>
      <scheme val="minor"/>
    </font>
    <font>
      <b/>
      <sz val="12"/>
      <color rgb="FF000000"/>
      <name val="Calibri"/>
      <family val="2"/>
      <scheme val="minor"/>
    </font>
    <font>
      <b/>
      <sz val="11"/>
      <name val="Arial"/>
      <family val="2"/>
    </font>
  </fonts>
  <fills count="8">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
      <patternFill patternType="solid">
        <fgColor theme="9" tint="0.39997558519241921"/>
        <bgColor indexed="64"/>
      </patternFill>
    </fill>
    <fill>
      <patternFill patternType="solid">
        <fgColor theme="6" tint="0.799981688894314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style="thin">
        <color indexed="64"/>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s>
  <cellStyleXfs count="4">
    <xf numFmtId="0" fontId="0" fillId="0" borderId="0"/>
    <xf numFmtId="44" fontId="15" fillId="0" borderId="0" applyFont="0" applyFill="0" applyBorder="0" applyAlignment="0" applyProtection="0"/>
    <xf numFmtId="9" fontId="15" fillId="0" borderId="0" applyFont="0" applyFill="0" applyBorder="0" applyAlignment="0" applyProtection="0"/>
    <xf numFmtId="0" fontId="24" fillId="0" borderId="0"/>
  </cellStyleXfs>
  <cellXfs count="178">
    <xf numFmtId="0" fontId="0" fillId="0" borderId="0" xfId="0"/>
    <xf numFmtId="49" fontId="8" fillId="0" borderId="0" xfId="0" applyNumberFormat="1" applyFont="1"/>
    <xf numFmtId="0" fontId="9" fillId="3" borderId="6" xfId="0" applyFont="1" applyFill="1" applyBorder="1" applyAlignment="1">
      <alignment vertical="center" wrapText="1"/>
    </xf>
    <xf numFmtId="0" fontId="0" fillId="0" borderId="0" xfId="0" applyAlignment="1">
      <alignment vertical="center"/>
    </xf>
    <xf numFmtId="49" fontId="6" fillId="3" borderId="2" xfId="0" applyNumberFormat="1" applyFont="1" applyFill="1" applyBorder="1" applyAlignment="1">
      <alignment vertical="center"/>
    </xf>
    <xf numFmtId="49" fontId="6" fillId="3" borderId="7" xfId="0" applyNumberFormat="1" applyFont="1" applyFill="1" applyBorder="1" applyAlignment="1">
      <alignment vertical="center"/>
    </xf>
    <xf numFmtId="0" fontId="9" fillId="3" borderId="8" xfId="0" applyFont="1" applyFill="1" applyBorder="1" applyAlignment="1">
      <alignment vertical="center" wrapText="1"/>
    </xf>
    <xf numFmtId="0" fontId="9" fillId="3" borderId="0" xfId="0" applyFont="1" applyFill="1" applyAlignment="1">
      <alignment vertical="center" wrapText="1"/>
    </xf>
    <xf numFmtId="49" fontId="6" fillId="3" borderId="9" xfId="0" applyNumberFormat="1" applyFont="1" applyFill="1" applyBorder="1" applyAlignment="1">
      <alignment vertical="center"/>
    </xf>
    <xf numFmtId="49" fontId="0" fillId="3" borderId="6" xfId="0" applyNumberFormat="1" applyFill="1" applyBorder="1" applyAlignment="1">
      <alignment vertical="center"/>
    </xf>
    <xf numFmtId="49" fontId="6" fillId="3" borderId="8" xfId="0" applyNumberFormat="1" applyFont="1" applyFill="1" applyBorder="1" applyAlignment="1">
      <alignment vertical="center"/>
    </xf>
    <xf numFmtId="49" fontId="6" fillId="3" borderId="0" xfId="0" applyNumberFormat="1" applyFont="1" applyFill="1" applyAlignment="1">
      <alignment vertical="center"/>
    </xf>
    <xf numFmtId="49" fontId="6" fillId="3" borderId="6" xfId="0" applyNumberFormat="1" applyFont="1" applyFill="1" applyBorder="1" applyAlignment="1">
      <alignment vertical="center"/>
    </xf>
    <xf numFmtId="0" fontId="7" fillId="4" borderId="6" xfId="0" applyFont="1" applyFill="1" applyBorder="1" applyAlignment="1">
      <alignment vertical="center" wrapText="1"/>
    </xf>
    <xf numFmtId="49" fontId="10" fillId="4" borderId="2" xfId="0" applyNumberFormat="1" applyFont="1" applyFill="1" applyBorder="1" applyAlignment="1">
      <alignment vertical="center"/>
    </xf>
    <xf numFmtId="49" fontId="10" fillId="4" borderId="6" xfId="0" applyNumberFormat="1" applyFont="1" applyFill="1" applyBorder="1" applyAlignment="1">
      <alignment vertical="center"/>
    </xf>
    <xf numFmtId="4" fontId="7" fillId="4" borderId="3" xfId="0" applyNumberFormat="1" applyFont="1" applyFill="1" applyBorder="1" applyAlignment="1">
      <alignment horizontal="right" vertical="center" wrapText="1"/>
    </xf>
    <xf numFmtId="0" fontId="12" fillId="0" borderId="0" xfId="0" applyFont="1"/>
    <xf numFmtId="0" fontId="9" fillId="3" borderId="3" xfId="0" applyFont="1" applyFill="1" applyBorder="1" applyAlignment="1">
      <alignment vertical="center" wrapText="1"/>
    </xf>
    <xf numFmtId="0" fontId="14" fillId="0" borderId="0" xfId="0" applyFont="1"/>
    <xf numFmtId="164" fontId="7" fillId="4" borderId="3" xfId="1" applyNumberFormat="1" applyFont="1" applyFill="1" applyBorder="1" applyAlignment="1">
      <alignment horizontal="right" vertical="center" wrapText="1"/>
    </xf>
    <xf numFmtId="0" fontId="5" fillId="0" borderId="0" xfId="0" applyFont="1"/>
    <xf numFmtId="0" fontId="7" fillId="4" borderId="4" xfId="0" applyFont="1" applyFill="1" applyBorder="1" applyAlignment="1">
      <alignment horizontal="center" vertical="center" wrapText="1"/>
    </xf>
    <xf numFmtId="49" fontId="10" fillId="3" borderId="2" xfId="0" applyNumberFormat="1" applyFont="1" applyFill="1" applyBorder="1" applyAlignment="1">
      <alignment vertical="center"/>
    </xf>
    <xf numFmtId="0" fontId="7" fillId="3" borderId="6" xfId="0" applyFont="1" applyFill="1" applyBorder="1" applyAlignment="1">
      <alignment vertical="center" wrapText="1"/>
    </xf>
    <xf numFmtId="0" fontId="20" fillId="3" borderId="6" xfId="0" applyFont="1" applyFill="1" applyBorder="1" applyAlignment="1">
      <alignment horizontal="center" vertical="center" wrapText="1"/>
    </xf>
    <xf numFmtId="0" fontId="20" fillId="3" borderId="3" xfId="0" applyFont="1" applyFill="1" applyBorder="1" applyAlignment="1">
      <alignment horizontal="center" vertical="center" wrapText="1"/>
    </xf>
    <xf numFmtId="0" fontId="5" fillId="0" borderId="0" xfId="0" applyFont="1" applyAlignment="1">
      <alignment vertical="center"/>
    </xf>
    <xf numFmtId="49" fontId="10" fillId="3" borderId="6" xfId="0" applyNumberFormat="1" applyFont="1" applyFill="1" applyBorder="1" applyAlignment="1">
      <alignment vertical="center"/>
    </xf>
    <xf numFmtId="4" fontId="20" fillId="3" borderId="6" xfId="0" applyNumberFormat="1" applyFont="1" applyFill="1" applyBorder="1" applyAlignment="1">
      <alignment horizontal="center" vertical="center" wrapText="1"/>
    </xf>
    <xf numFmtId="0" fontId="20" fillId="3" borderId="0" xfId="0" applyFont="1" applyFill="1" applyAlignment="1">
      <alignment horizontal="center" vertical="center" wrapText="1"/>
    </xf>
    <xf numFmtId="0" fontId="23" fillId="2" borderId="6" xfId="0" applyFont="1" applyFill="1" applyBorder="1" applyAlignment="1">
      <alignment wrapText="1"/>
    </xf>
    <xf numFmtId="0" fontId="20" fillId="2" borderId="6" xfId="0" applyFont="1" applyFill="1" applyBorder="1" applyAlignment="1">
      <alignment wrapText="1"/>
    </xf>
    <xf numFmtId="0" fontId="20" fillId="2" borderId="6" xfId="0" applyFont="1" applyFill="1" applyBorder="1" applyAlignment="1">
      <alignment horizontal="right" wrapText="1"/>
    </xf>
    <xf numFmtId="4" fontId="20" fillId="2" borderId="6" xfId="0" applyNumberFormat="1" applyFont="1" applyFill="1" applyBorder="1" applyAlignment="1">
      <alignment wrapText="1"/>
    </xf>
    <xf numFmtId="0" fontId="20" fillId="2" borderId="3" xfId="0" applyFont="1" applyFill="1" applyBorder="1" applyAlignment="1">
      <alignment wrapText="1"/>
    </xf>
    <xf numFmtId="0" fontId="22" fillId="0" borderId="11" xfId="0" applyFont="1" applyBorder="1" applyAlignment="1">
      <alignment wrapText="1"/>
    </xf>
    <xf numFmtId="0" fontId="20" fillId="0" borderId="5" xfId="0" applyFont="1" applyBorder="1" applyAlignment="1">
      <alignment horizontal="center" wrapText="1"/>
    </xf>
    <xf numFmtId="44" fontId="20" fillId="0" borderId="5" xfId="1" applyFont="1" applyBorder="1" applyAlignment="1">
      <alignment wrapText="1"/>
    </xf>
    <xf numFmtId="0" fontId="20" fillId="0" borderId="5" xfId="0" applyFont="1" applyBorder="1" applyAlignment="1">
      <alignment wrapText="1"/>
    </xf>
    <xf numFmtId="0" fontId="22" fillId="0" borderId="3" xfId="0" applyFont="1" applyBorder="1" applyAlignment="1">
      <alignment wrapText="1"/>
    </xf>
    <xf numFmtId="0" fontId="22" fillId="0" borderId="6" xfId="0" applyFont="1" applyBorder="1" applyAlignment="1">
      <alignment vertical="center" wrapText="1"/>
    </xf>
    <xf numFmtId="49" fontId="14" fillId="5" borderId="2" xfId="0" applyNumberFormat="1" applyFont="1" applyFill="1" applyBorder="1"/>
    <xf numFmtId="49" fontId="14" fillId="5" borderId="6" xfId="0" applyNumberFormat="1" applyFont="1" applyFill="1" applyBorder="1"/>
    <xf numFmtId="0" fontId="22" fillId="0" borderId="3" xfId="0" applyFont="1" applyBorder="1" applyAlignment="1">
      <alignment vertical="center" wrapText="1"/>
    </xf>
    <xf numFmtId="0" fontId="7" fillId="2" borderId="6" xfId="0" applyFont="1" applyFill="1" applyBorder="1"/>
    <xf numFmtId="4" fontId="7" fillId="2" borderId="6" xfId="0" applyNumberFormat="1" applyFont="1" applyFill="1" applyBorder="1"/>
    <xf numFmtId="49" fontId="10" fillId="3" borderId="9" xfId="0" applyNumberFormat="1" applyFont="1" applyFill="1" applyBorder="1" applyAlignment="1">
      <alignment vertical="center"/>
    </xf>
    <xf numFmtId="49" fontId="10" fillId="3" borderId="0" xfId="0" applyNumberFormat="1" applyFont="1" applyFill="1" applyAlignment="1">
      <alignment vertical="center"/>
    </xf>
    <xf numFmtId="0" fontId="7" fillId="3" borderId="0" xfId="0" applyFont="1" applyFill="1" applyAlignment="1">
      <alignment vertical="center" wrapText="1"/>
    </xf>
    <xf numFmtId="4" fontId="20" fillId="3" borderId="0" xfId="0" applyNumberFormat="1" applyFont="1" applyFill="1" applyAlignment="1">
      <alignment horizontal="center" vertical="center" wrapText="1"/>
    </xf>
    <xf numFmtId="0" fontId="20" fillId="3" borderId="10" xfId="0" applyFont="1" applyFill="1" applyBorder="1" applyAlignment="1">
      <alignment horizontal="center" vertical="center" wrapText="1"/>
    </xf>
    <xf numFmtId="0" fontId="20" fillId="3" borderId="11" xfId="0" applyFont="1" applyFill="1" applyBorder="1" applyAlignment="1">
      <alignment horizontal="center" vertical="center" wrapText="1"/>
    </xf>
    <xf numFmtId="0" fontId="23" fillId="2" borderId="6" xfId="0" applyFont="1" applyFill="1" applyBorder="1" applyAlignment="1">
      <alignment horizontal="left" indent="1"/>
    </xf>
    <xf numFmtId="0" fontId="20" fillId="2" borderId="6" xfId="0" applyFont="1" applyFill="1" applyBorder="1"/>
    <xf numFmtId="4" fontId="20" fillId="2" borderId="6" xfId="0" applyNumberFormat="1" applyFont="1" applyFill="1" applyBorder="1"/>
    <xf numFmtId="0" fontId="20" fillId="2" borderId="3" xfId="0" applyFont="1" applyFill="1" applyBorder="1"/>
    <xf numFmtId="0" fontId="20" fillId="5" borderId="3" xfId="0" applyFont="1" applyFill="1" applyBorder="1" applyAlignment="1">
      <alignment horizontal="left" vertical="center" wrapText="1" indent="1"/>
    </xf>
    <xf numFmtId="0" fontId="20" fillId="0" borderId="4" xfId="0" applyFont="1" applyBorder="1" applyAlignment="1">
      <alignment horizontal="center"/>
    </xf>
    <xf numFmtId="44" fontId="20" fillId="0" borderId="4" xfId="1" applyFont="1" applyBorder="1"/>
    <xf numFmtId="9" fontId="22" fillId="0" borderId="1" xfId="0" applyNumberFormat="1" applyFont="1" applyBorder="1" applyAlignment="1">
      <alignment horizontal="center" vertical="center"/>
    </xf>
    <xf numFmtId="0" fontId="22" fillId="0" borderId="8" xfId="0" applyFont="1" applyBorder="1" applyAlignment="1">
      <alignment vertical="center" wrapText="1"/>
    </xf>
    <xf numFmtId="0" fontId="22" fillId="0" borderId="1" xfId="0" applyFont="1" applyBorder="1" applyAlignment="1">
      <alignment horizontal="center" vertical="center"/>
    </xf>
    <xf numFmtId="44" fontId="22" fillId="0" borderId="1" xfId="1" applyFont="1" applyBorder="1" applyAlignment="1">
      <alignment horizontal="center" vertical="center"/>
    </xf>
    <xf numFmtId="0" fontId="20" fillId="4" borderId="6" xfId="0" applyFont="1" applyFill="1" applyBorder="1" applyAlignment="1">
      <alignment horizontal="left" vertical="center"/>
    </xf>
    <xf numFmtId="0" fontId="20" fillId="4" borderId="6" xfId="0" applyFont="1" applyFill="1" applyBorder="1" applyAlignment="1">
      <alignment horizontal="center" vertical="center" wrapText="1"/>
    </xf>
    <xf numFmtId="4" fontId="20" fillId="4" borderId="6" xfId="0" applyNumberFormat="1" applyFont="1" applyFill="1" applyBorder="1" applyAlignment="1">
      <alignment horizontal="center" vertical="center" wrapText="1"/>
    </xf>
    <xf numFmtId="49" fontId="5" fillId="0" borderId="0" xfId="0" applyNumberFormat="1" applyFont="1"/>
    <xf numFmtId="0" fontId="17" fillId="0" borderId="0" xfId="0" applyFont="1"/>
    <xf numFmtId="0" fontId="5" fillId="5" borderId="0" xfId="0" applyFont="1" applyFill="1"/>
    <xf numFmtId="0" fontId="20" fillId="3" borderId="6" xfId="0" applyFont="1" applyFill="1" applyBorder="1" applyAlignment="1">
      <alignment horizontal="center" vertical="top" wrapText="1"/>
    </xf>
    <xf numFmtId="49" fontId="4" fillId="5" borderId="2" xfId="0" applyNumberFormat="1" applyFont="1" applyFill="1" applyBorder="1" applyAlignment="1">
      <alignment vertical="center"/>
    </xf>
    <xf numFmtId="49" fontId="11" fillId="0" borderId="0" xfId="0" applyNumberFormat="1" applyFont="1" applyAlignment="1">
      <alignment horizontal="center"/>
    </xf>
    <xf numFmtId="164" fontId="13" fillId="5" borderId="1" xfId="1" applyNumberFormat="1" applyFont="1" applyFill="1" applyBorder="1" applyAlignment="1">
      <alignment vertical="center" wrapText="1"/>
    </xf>
    <xf numFmtId="4" fontId="17" fillId="0" borderId="0" xfId="0" applyNumberFormat="1" applyFont="1"/>
    <xf numFmtId="44" fontId="20" fillId="5" borderId="5" xfId="1" applyFont="1" applyFill="1" applyBorder="1" applyAlignment="1">
      <alignment wrapText="1"/>
    </xf>
    <xf numFmtId="44" fontId="7" fillId="2" borderId="3" xfId="1" applyFont="1" applyFill="1" applyBorder="1" applyAlignment="1"/>
    <xf numFmtId="0" fontId="4" fillId="0" borderId="0" xfId="0" applyFont="1"/>
    <xf numFmtId="49" fontId="4" fillId="3" borderId="6" xfId="0" applyNumberFormat="1" applyFont="1" applyFill="1" applyBorder="1" applyAlignment="1">
      <alignment vertical="center"/>
    </xf>
    <xf numFmtId="0" fontId="4" fillId="0" borderId="0" xfId="0" applyFont="1" applyAlignment="1">
      <alignment vertical="center"/>
    </xf>
    <xf numFmtId="49" fontId="4" fillId="2" borderId="2" xfId="0" applyNumberFormat="1" applyFont="1" applyFill="1" applyBorder="1"/>
    <xf numFmtId="49" fontId="4" fillId="2" borderId="6" xfId="0" applyNumberFormat="1" applyFont="1" applyFill="1" applyBorder="1"/>
    <xf numFmtId="49" fontId="4" fillId="5" borderId="7" xfId="0" applyNumberFormat="1" applyFont="1" applyFill="1" applyBorder="1" applyAlignment="1">
      <alignment vertical="center"/>
    </xf>
    <xf numFmtId="49" fontId="4" fillId="5" borderId="8" xfId="0" applyNumberFormat="1" applyFont="1" applyFill="1" applyBorder="1" applyAlignment="1">
      <alignment vertical="center"/>
    </xf>
    <xf numFmtId="49" fontId="4" fillId="5" borderId="6" xfId="0" applyNumberFormat="1" applyFont="1" applyFill="1" applyBorder="1" applyAlignment="1">
      <alignment vertical="center"/>
    </xf>
    <xf numFmtId="49" fontId="4" fillId="5" borderId="2" xfId="0" applyNumberFormat="1" applyFont="1" applyFill="1" applyBorder="1"/>
    <xf numFmtId="49" fontId="4" fillId="5" borderId="6" xfId="0" applyNumberFormat="1" applyFont="1" applyFill="1" applyBorder="1"/>
    <xf numFmtId="165" fontId="4" fillId="0" borderId="0" xfId="2" applyNumberFormat="1" applyFont="1"/>
    <xf numFmtId="49" fontId="4" fillId="2" borderId="2" xfId="0" applyNumberFormat="1" applyFont="1" applyFill="1" applyBorder="1" applyAlignment="1">
      <alignment horizontal="left"/>
    </xf>
    <xf numFmtId="49" fontId="4" fillId="2" borderId="6" xfId="0" applyNumberFormat="1" applyFont="1" applyFill="1" applyBorder="1" applyAlignment="1">
      <alignment horizontal="left" indent="1"/>
    </xf>
    <xf numFmtId="49" fontId="4" fillId="2" borderId="7" xfId="0" applyNumberFormat="1" applyFont="1" applyFill="1" applyBorder="1" applyAlignment="1">
      <alignment horizontal="left"/>
    </xf>
    <xf numFmtId="49" fontId="4" fillId="2" borderId="8" xfId="0" applyNumberFormat="1" applyFont="1" applyFill="1" applyBorder="1" applyAlignment="1">
      <alignment horizontal="left" indent="1"/>
    </xf>
    <xf numFmtId="49" fontId="4" fillId="0" borderId="0" xfId="0" applyNumberFormat="1" applyFont="1"/>
    <xf numFmtId="44" fontId="4" fillId="0" borderId="0" xfId="0" applyNumberFormat="1" applyFont="1"/>
    <xf numFmtId="44" fontId="7" fillId="3" borderId="3" xfId="1" applyFont="1" applyFill="1" applyBorder="1" applyAlignment="1">
      <alignment vertical="center" wrapText="1"/>
    </xf>
    <xf numFmtId="44" fontId="7" fillId="4" borderId="3" xfId="1" applyFont="1" applyFill="1" applyBorder="1" applyAlignment="1">
      <alignment vertical="center" wrapText="1"/>
    </xf>
    <xf numFmtId="1" fontId="20" fillId="0" borderId="5" xfId="0" applyNumberFormat="1" applyFont="1" applyBorder="1" applyAlignment="1">
      <alignment horizontal="center" wrapText="1"/>
    </xf>
    <xf numFmtId="166" fontId="20" fillId="0" borderId="4" xfId="0" applyNumberFormat="1" applyFont="1" applyBorder="1" applyAlignment="1">
      <alignment horizontal="center"/>
    </xf>
    <xf numFmtId="49" fontId="3" fillId="5" borderId="7" xfId="0" applyNumberFormat="1" applyFont="1" applyFill="1" applyBorder="1" applyAlignment="1">
      <alignment vertical="center"/>
    </xf>
    <xf numFmtId="49" fontId="3" fillId="5" borderId="2" xfId="0" applyNumberFormat="1" applyFont="1" applyFill="1" applyBorder="1" applyAlignment="1">
      <alignment vertical="center"/>
    </xf>
    <xf numFmtId="0" fontId="20" fillId="3" borderId="1" xfId="0" applyFont="1" applyFill="1" applyBorder="1" applyAlignment="1">
      <alignment horizontal="center" vertical="center" wrapText="1"/>
    </xf>
    <xf numFmtId="49" fontId="4" fillId="0" borderId="6" xfId="0" applyNumberFormat="1" applyFont="1" applyBorder="1" applyAlignment="1">
      <alignment vertical="center"/>
    </xf>
    <xf numFmtId="9" fontId="20" fillId="0" borderId="5" xfId="2" applyFont="1" applyBorder="1" applyAlignment="1">
      <alignment horizontal="center" wrapText="1"/>
    </xf>
    <xf numFmtId="44" fontId="20" fillId="0" borderId="5" xfId="1" applyFont="1" applyBorder="1" applyAlignment="1">
      <alignment horizontal="center" wrapText="1"/>
    </xf>
    <xf numFmtId="10" fontId="20" fillId="3" borderId="6" xfId="0" applyNumberFormat="1" applyFont="1" applyFill="1" applyBorder="1" applyAlignment="1">
      <alignment horizontal="center" vertical="center" wrapText="1"/>
    </xf>
    <xf numFmtId="10" fontId="20" fillId="0" borderId="1" xfId="0" applyNumberFormat="1" applyFont="1" applyBorder="1" applyAlignment="1">
      <alignment horizontal="center" vertical="center" wrapText="1"/>
    </xf>
    <xf numFmtId="0" fontId="20" fillId="0" borderId="1" xfId="0" applyFont="1" applyBorder="1" applyAlignment="1">
      <alignment horizontal="center" vertical="center" wrapText="1"/>
    </xf>
    <xf numFmtId="44" fontId="20" fillId="0" borderId="1" xfId="0" applyNumberFormat="1" applyFont="1" applyBorder="1" applyAlignment="1">
      <alignment horizontal="center" vertical="center" wrapText="1"/>
    </xf>
    <xf numFmtId="0" fontId="25" fillId="6" borderId="14" xfId="3" applyFont="1" applyFill="1" applyBorder="1"/>
    <xf numFmtId="0" fontId="24" fillId="0" borderId="0" xfId="3"/>
    <xf numFmtId="0" fontId="26" fillId="7" borderId="15" xfId="3" applyFont="1" applyFill="1" applyBorder="1" applyAlignment="1">
      <alignment horizontal="left"/>
    </xf>
    <xf numFmtId="0" fontId="26" fillId="7" borderId="1" xfId="3" applyFont="1" applyFill="1" applyBorder="1" applyAlignment="1">
      <alignment wrapText="1"/>
    </xf>
    <xf numFmtId="0" fontId="26" fillId="7" borderId="16" xfId="3" applyFont="1" applyFill="1" applyBorder="1" applyAlignment="1">
      <alignment wrapText="1"/>
    </xf>
    <xf numFmtId="0" fontId="14" fillId="0" borderId="15" xfId="3" applyFont="1" applyBorder="1"/>
    <xf numFmtId="0" fontId="14" fillId="5" borderId="1" xfId="3" applyFont="1" applyFill="1" applyBorder="1" applyAlignment="1">
      <alignment wrapText="1"/>
    </xf>
    <xf numFmtId="0" fontId="14" fillId="5" borderId="16" xfId="3" applyFont="1" applyFill="1" applyBorder="1" applyAlignment="1">
      <alignment wrapText="1"/>
    </xf>
    <xf numFmtId="0" fontId="26" fillId="0" borderId="15" xfId="3" applyFont="1" applyBorder="1"/>
    <xf numFmtId="0" fontId="26" fillId="0" borderId="1" xfId="3" applyFont="1" applyBorder="1" applyAlignment="1">
      <alignment wrapText="1"/>
    </xf>
    <xf numFmtId="0" fontId="26" fillId="0" borderId="16" xfId="3" applyFont="1" applyBorder="1" applyAlignment="1">
      <alignment wrapText="1"/>
    </xf>
    <xf numFmtId="0" fontId="14" fillId="4" borderId="15" xfId="3" applyFont="1" applyFill="1" applyBorder="1"/>
    <xf numFmtId="0" fontId="14" fillId="4" borderId="1" xfId="3" applyFont="1" applyFill="1" applyBorder="1" applyAlignment="1">
      <alignment wrapText="1"/>
    </xf>
    <xf numFmtId="0" fontId="14" fillId="4" borderId="16" xfId="3" applyFont="1" applyFill="1" applyBorder="1" applyAlignment="1">
      <alignment wrapText="1"/>
    </xf>
    <xf numFmtId="1" fontId="26" fillId="7" borderId="15" xfId="3" applyNumberFormat="1" applyFont="1" applyFill="1" applyBorder="1" applyAlignment="1">
      <alignment horizontal="left"/>
    </xf>
    <xf numFmtId="0" fontId="27" fillId="0" borderId="1" xfId="3" applyFont="1" applyBorder="1" applyAlignment="1">
      <alignment wrapText="1"/>
    </xf>
    <xf numFmtId="0" fontId="27" fillId="0" borderId="16" xfId="3" applyFont="1" applyBorder="1" applyAlignment="1">
      <alignment wrapText="1"/>
    </xf>
    <xf numFmtId="0" fontId="26" fillId="4" borderId="1" xfId="3" applyFont="1" applyFill="1" applyBorder="1" applyAlignment="1">
      <alignment wrapText="1"/>
    </xf>
    <xf numFmtId="0" fontId="26" fillId="4" borderId="16" xfId="3" applyFont="1" applyFill="1" applyBorder="1" applyAlignment="1">
      <alignment wrapText="1"/>
    </xf>
    <xf numFmtId="0" fontId="14" fillId="0" borderId="1" xfId="3" applyFont="1" applyBorder="1" applyAlignment="1">
      <alignment wrapText="1"/>
    </xf>
    <xf numFmtId="0" fontId="14" fillId="0" borderId="16" xfId="3" applyFont="1" applyBorder="1" applyAlignment="1">
      <alignment wrapText="1"/>
    </xf>
    <xf numFmtId="0" fontId="14" fillId="4" borderId="17" xfId="3" applyFont="1" applyFill="1" applyBorder="1"/>
    <xf numFmtId="0" fontId="14" fillId="4" borderId="18" xfId="3" applyFont="1" applyFill="1" applyBorder="1" applyAlignment="1">
      <alignment wrapText="1"/>
    </xf>
    <xf numFmtId="0" fontId="14" fillId="4" borderId="19" xfId="3" applyFont="1" applyFill="1" applyBorder="1" applyAlignment="1">
      <alignment wrapText="1"/>
    </xf>
    <xf numFmtId="0" fontId="24" fillId="0" borderId="0" xfId="3" applyAlignment="1">
      <alignment wrapText="1"/>
    </xf>
    <xf numFmtId="44" fontId="5" fillId="0" borderId="0" xfId="0" applyNumberFormat="1" applyFont="1" applyAlignment="1">
      <alignment vertical="center"/>
    </xf>
    <xf numFmtId="166" fontId="14" fillId="0" borderId="15" xfId="3" applyNumberFormat="1" applyFont="1" applyBorder="1"/>
    <xf numFmtId="9" fontId="5" fillId="0" borderId="0" xfId="2" applyFont="1" applyAlignment="1">
      <alignment vertical="center"/>
    </xf>
    <xf numFmtId="49" fontId="2" fillId="5" borderId="2" xfId="0" applyNumberFormat="1" applyFont="1" applyFill="1" applyBorder="1" applyAlignment="1">
      <alignment vertical="center"/>
    </xf>
    <xf numFmtId="44" fontId="22" fillId="0" borderId="1" xfId="1" applyFont="1" applyFill="1" applyBorder="1" applyAlignment="1">
      <alignment horizontal="center" vertical="center"/>
    </xf>
    <xf numFmtId="44" fontId="20" fillId="0" borderId="1" xfId="1" applyFont="1" applyFill="1" applyBorder="1" applyAlignment="1"/>
    <xf numFmtId="49" fontId="1" fillId="0" borderId="7" xfId="0" applyNumberFormat="1" applyFont="1" applyBorder="1" applyAlignment="1">
      <alignment horizontal="left"/>
    </xf>
    <xf numFmtId="49" fontId="1" fillId="2" borderId="2" xfId="0" applyNumberFormat="1" applyFont="1" applyFill="1" applyBorder="1" applyAlignment="1">
      <alignment horizontal="left"/>
    </xf>
    <xf numFmtId="0" fontId="22" fillId="0" borderId="6" xfId="0" applyFont="1" applyBorder="1" applyAlignment="1">
      <alignment horizontal="center" vertical="center"/>
    </xf>
    <xf numFmtId="44" fontId="22" fillId="0" borderId="6" xfId="1" applyFont="1" applyFill="1" applyBorder="1" applyAlignment="1">
      <alignment horizontal="center" vertical="center"/>
    </xf>
    <xf numFmtId="9" fontId="22" fillId="0" borderId="6" xfId="0" applyNumberFormat="1" applyFont="1" applyBorder="1" applyAlignment="1">
      <alignment horizontal="center" vertical="center"/>
    </xf>
    <xf numFmtId="44" fontId="7" fillId="0" borderId="3" xfId="1" applyFont="1" applyFill="1" applyBorder="1" applyAlignment="1"/>
    <xf numFmtId="0" fontId="1" fillId="0" borderId="0" xfId="0" applyFont="1"/>
    <xf numFmtId="44" fontId="5" fillId="0" borderId="0" xfId="0" applyNumberFormat="1" applyFont="1"/>
    <xf numFmtId="44" fontId="1" fillId="0" borderId="0" xfId="0" applyNumberFormat="1" applyFont="1"/>
    <xf numFmtId="0" fontId="7" fillId="4" borderId="1" xfId="0" applyFont="1" applyFill="1" applyBorder="1" applyAlignment="1">
      <alignment horizontal="center" wrapText="1"/>
    </xf>
    <xf numFmtId="0" fontId="7" fillId="4" borderId="4" xfId="0" applyFont="1" applyFill="1" applyBorder="1" applyAlignment="1">
      <alignment horizontal="center" wrapText="1"/>
    </xf>
    <xf numFmtId="49" fontId="10" fillId="0" borderId="0" xfId="0" applyNumberFormat="1" applyFont="1" applyAlignment="1">
      <alignment horizontal="center"/>
    </xf>
    <xf numFmtId="49" fontId="11" fillId="0" borderId="0" xfId="0" applyNumberFormat="1" applyFont="1" applyAlignment="1">
      <alignment horizontal="center"/>
    </xf>
    <xf numFmtId="10" fontId="7" fillId="0" borderId="6" xfId="0" applyNumberFormat="1" applyFont="1" applyBorder="1" applyAlignment="1">
      <alignment horizontal="left" vertical="center" wrapText="1"/>
    </xf>
    <xf numFmtId="0" fontId="7" fillId="0" borderId="6" xfId="0" applyFont="1" applyBorder="1" applyAlignment="1">
      <alignment horizontal="left" vertical="center" wrapText="1"/>
    </xf>
    <xf numFmtId="0" fontId="7" fillId="3" borderId="8" xfId="0" applyFont="1" applyFill="1" applyBorder="1" applyAlignment="1">
      <alignment horizontal="left" vertical="center" wrapText="1"/>
    </xf>
    <xf numFmtId="0" fontId="20" fillId="2" borderId="2" xfId="0" applyFont="1" applyFill="1" applyBorder="1" applyAlignment="1">
      <alignment horizontal="left"/>
    </xf>
    <xf numFmtId="0" fontId="20" fillId="2" borderId="6" xfId="0" applyFont="1" applyFill="1" applyBorder="1" applyAlignment="1">
      <alignment horizontal="left"/>
    </xf>
    <xf numFmtId="0" fontId="20" fillId="2" borderId="2" xfId="0" applyFont="1" applyFill="1" applyBorder="1" applyAlignment="1">
      <alignment horizontal="left" wrapText="1"/>
    </xf>
    <xf numFmtId="0" fontId="20" fillId="2" borderId="6" xfId="0" applyFont="1" applyFill="1" applyBorder="1" applyAlignment="1">
      <alignment horizontal="left" wrapText="1"/>
    </xf>
    <xf numFmtId="49" fontId="18" fillId="0" borderId="0" xfId="0" applyNumberFormat="1" applyFont="1" applyAlignment="1">
      <alignment horizontal="center"/>
    </xf>
    <xf numFmtId="49" fontId="19" fillId="0" borderId="0" xfId="0" applyNumberFormat="1" applyFont="1" applyAlignment="1">
      <alignment horizontal="center"/>
    </xf>
    <xf numFmtId="0" fontId="7" fillId="4" borderId="1"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18" fillId="0" borderId="0" xfId="0" applyFont="1" applyAlignment="1">
      <alignment horizontal="center"/>
    </xf>
    <xf numFmtId="0" fontId="25" fillId="6" borderId="12" xfId="3" applyFont="1" applyFill="1" applyBorder="1"/>
    <xf numFmtId="0" fontId="24" fillId="6" borderId="13" xfId="3" applyFill="1" applyBorder="1"/>
    <xf numFmtId="0" fontId="28" fillId="0" borderId="20" xfId="0" applyFont="1" applyBorder="1" applyAlignment="1">
      <alignment horizontal="left" vertical="center"/>
    </xf>
    <xf numFmtId="0" fontId="28" fillId="0" borderId="21" xfId="0" applyFont="1" applyBorder="1" applyAlignment="1">
      <alignment horizontal="left" vertical="center"/>
    </xf>
    <xf numFmtId="0" fontId="28" fillId="0" borderId="22" xfId="0" applyFont="1" applyBorder="1" applyAlignment="1">
      <alignment horizontal="left" vertical="center"/>
    </xf>
    <xf numFmtId="0" fontId="28" fillId="0" borderId="23" xfId="0" applyFont="1" applyBorder="1" applyAlignment="1">
      <alignment horizontal="left" vertical="center"/>
    </xf>
    <xf numFmtId="0" fontId="28" fillId="0" borderId="24" xfId="0" applyFont="1" applyBorder="1" applyAlignment="1">
      <alignment horizontal="left" vertical="center"/>
    </xf>
    <xf numFmtId="0" fontId="28" fillId="0" borderId="25" xfId="0" applyFont="1" applyBorder="1" applyAlignment="1">
      <alignment horizontal="left" vertical="center"/>
    </xf>
    <xf numFmtId="49" fontId="10" fillId="3" borderId="26" xfId="0" applyNumberFormat="1" applyFont="1" applyFill="1" applyBorder="1" applyAlignment="1">
      <alignment horizontal="center" vertical="center" wrapText="1"/>
    </xf>
    <xf numFmtId="49" fontId="10" fillId="3" borderId="4" xfId="0" applyNumberFormat="1" applyFont="1" applyFill="1" applyBorder="1" applyAlignment="1">
      <alignment horizontal="center" vertical="center" wrapText="1"/>
    </xf>
    <xf numFmtId="49" fontId="10" fillId="3" borderId="27" xfId="0" applyNumberFormat="1" applyFont="1" applyFill="1" applyBorder="1" applyAlignment="1">
      <alignment horizontal="center" vertical="center" wrapText="1"/>
    </xf>
    <xf numFmtId="49" fontId="10" fillId="3" borderId="5" xfId="0" applyNumberFormat="1" applyFont="1" applyFill="1" applyBorder="1" applyAlignment="1">
      <alignment horizontal="center" vertical="center" wrapText="1"/>
    </xf>
    <xf numFmtId="0" fontId="22" fillId="0" borderId="3" xfId="0" applyFont="1" applyBorder="1" applyAlignment="1">
      <alignment horizontal="left" wrapText="1"/>
    </xf>
  </cellXfs>
  <cellStyles count="4">
    <cellStyle name="Currency" xfId="1" builtinId="4"/>
    <cellStyle name="Normal" xfId="0" builtinId="0"/>
    <cellStyle name="Normal 2" xfId="3" xr:uid="{6D0548E3-FF68-2249-BB97-ED26FB152149}"/>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1"/>
  <sheetViews>
    <sheetView workbookViewId="0">
      <selection activeCell="X19" sqref="X19"/>
    </sheetView>
  </sheetViews>
  <sheetFormatPr defaultColWidth="8.68359375" defaultRowHeight="14.4" x14ac:dyDescent="0.55000000000000004"/>
  <cols>
    <col min="1" max="1" width="3.15625" style="1" customWidth="1"/>
    <col min="2" max="2" width="0.68359375" style="1" customWidth="1"/>
    <col min="3" max="3" width="26.3125" customWidth="1"/>
    <col min="4" max="4" width="22.3125" customWidth="1"/>
  </cols>
  <sheetData>
    <row r="1" spans="1:4" s="17" customFormat="1" ht="15.6" x14ac:dyDescent="0.6">
      <c r="A1" s="150" t="s">
        <v>0</v>
      </c>
      <c r="B1" s="150"/>
      <c r="C1" s="150"/>
      <c r="D1" s="150"/>
    </row>
    <row r="2" spans="1:4" s="17" customFormat="1" ht="15.6" x14ac:dyDescent="0.6">
      <c r="A2" s="151" t="s">
        <v>1</v>
      </c>
      <c r="B2" s="151"/>
      <c r="C2" s="151"/>
      <c r="D2" s="151"/>
    </row>
    <row r="3" spans="1:4" s="17" customFormat="1" ht="15.6" x14ac:dyDescent="0.6">
      <c r="A3" s="151" t="s">
        <v>2</v>
      </c>
      <c r="B3" s="151"/>
      <c r="C3" s="151"/>
      <c r="D3" s="151"/>
    </row>
    <row r="4" spans="1:4" s="17" customFormat="1" ht="15.6" x14ac:dyDescent="0.6">
      <c r="A4" s="151" t="s">
        <v>3</v>
      </c>
      <c r="B4" s="151"/>
      <c r="C4" s="151"/>
      <c r="D4" s="151"/>
    </row>
    <row r="5" spans="1:4" ht="3.75" customHeight="1" x14ac:dyDescent="0.55000000000000004"/>
    <row r="6" spans="1:4" s="17" customFormat="1" ht="15" customHeight="1" x14ac:dyDescent="0.6">
      <c r="A6" s="148" t="s">
        <v>4</v>
      </c>
      <c r="B6" s="148"/>
      <c r="C6" s="148"/>
      <c r="D6" s="148" t="s">
        <v>5</v>
      </c>
    </row>
    <row r="7" spans="1:4" s="17" customFormat="1" ht="15.6" x14ac:dyDescent="0.6">
      <c r="A7" s="148"/>
      <c r="B7" s="148"/>
      <c r="C7" s="148"/>
      <c r="D7" s="149"/>
    </row>
    <row r="8" spans="1:4" s="3" customFormat="1" x14ac:dyDescent="0.55000000000000004">
      <c r="A8" s="5" t="s">
        <v>6</v>
      </c>
      <c r="B8" s="9"/>
      <c r="C8" s="2" t="s">
        <v>7</v>
      </c>
      <c r="D8" s="73">
        <v>0</v>
      </c>
    </row>
    <row r="9" spans="1:4" s="3" customFormat="1" x14ac:dyDescent="0.55000000000000004">
      <c r="A9" s="5" t="s">
        <v>8</v>
      </c>
      <c r="B9" s="10"/>
      <c r="C9" s="6" t="s">
        <v>9</v>
      </c>
      <c r="D9" s="73">
        <v>0</v>
      </c>
    </row>
    <row r="10" spans="1:4" ht="15.75" customHeight="1" x14ac:dyDescent="0.55000000000000004">
      <c r="A10" s="5" t="s">
        <v>10</v>
      </c>
      <c r="B10" s="10"/>
      <c r="C10" s="6" t="s">
        <v>11</v>
      </c>
      <c r="D10" s="73">
        <f>'1. Budget $100k'!H16</f>
        <v>2153</v>
      </c>
    </row>
    <row r="11" spans="1:4" ht="17.25" customHeight="1" x14ac:dyDescent="0.55000000000000004">
      <c r="A11" s="5" t="s">
        <v>12</v>
      </c>
      <c r="B11" s="10"/>
      <c r="C11" s="6" t="s">
        <v>13</v>
      </c>
      <c r="D11" s="73">
        <v>0</v>
      </c>
    </row>
    <row r="12" spans="1:4" x14ac:dyDescent="0.55000000000000004">
      <c r="A12" s="5" t="s">
        <v>14</v>
      </c>
      <c r="B12" s="10"/>
      <c r="C12" s="6" t="s">
        <v>15</v>
      </c>
      <c r="D12" s="73">
        <v>0</v>
      </c>
    </row>
    <row r="13" spans="1:4" x14ac:dyDescent="0.55000000000000004">
      <c r="A13" s="8" t="s">
        <v>16</v>
      </c>
      <c r="B13" s="11"/>
      <c r="C13" s="7" t="s">
        <v>17</v>
      </c>
      <c r="D13" s="73">
        <f>'1. Budget $100k'!H23</f>
        <v>75801</v>
      </c>
    </row>
    <row r="14" spans="1:4" ht="16.5" customHeight="1" x14ac:dyDescent="0.55000000000000004">
      <c r="A14" s="4" t="s">
        <v>18</v>
      </c>
      <c r="B14" s="12"/>
      <c r="C14" s="2" t="s">
        <v>19</v>
      </c>
      <c r="D14" s="73">
        <v>0</v>
      </c>
    </row>
    <row r="15" spans="1:4" x14ac:dyDescent="0.55000000000000004">
      <c r="A15" s="4" t="s">
        <v>20</v>
      </c>
      <c r="B15" s="12"/>
      <c r="C15" s="2" t="s">
        <v>21</v>
      </c>
      <c r="D15" s="73" t="e">
        <f>'1. Budget $100k'!#REF!</f>
        <v>#REF!</v>
      </c>
    </row>
    <row r="16" spans="1:4" x14ac:dyDescent="0.55000000000000004">
      <c r="A16" s="4" t="s">
        <v>22</v>
      </c>
      <c r="B16" s="12"/>
      <c r="C16" s="18" t="s">
        <v>23</v>
      </c>
      <c r="D16" s="73">
        <f>'1. Budget $100k'!H26</f>
        <v>77954</v>
      </c>
    </row>
    <row r="17" spans="1:4" x14ac:dyDescent="0.55000000000000004">
      <c r="A17" s="8" t="s">
        <v>24</v>
      </c>
      <c r="B17" s="11"/>
      <c r="C17" s="7" t="s">
        <v>25</v>
      </c>
      <c r="D17" s="73" t="e">
        <f>'1. Budget $100k'!#REF!</f>
        <v>#REF!</v>
      </c>
    </row>
    <row r="18" spans="1:4" s="17" customFormat="1" ht="15.6" x14ac:dyDescent="0.6">
      <c r="A18" s="14" t="s">
        <v>26</v>
      </c>
      <c r="B18" s="15"/>
      <c r="C18" s="13" t="s">
        <v>27</v>
      </c>
      <c r="D18" s="20">
        <f>'1. Budget $100k'!H28</f>
        <v>100000</v>
      </c>
    </row>
    <row r="19" spans="1:4" s="17" customFormat="1" ht="15.6" x14ac:dyDescent="0.6">
      <c r="A19" s="14" t="s">
        <v>28</v>
      </c>
      <c r="B19" s="15"/>
      <c r="C19" s="13" t="s">
        <v>29</v>
      </c>
      <c r="D19" s="16"/>
    </row>
    <row r="20" spans="1:4" ht="12" customHeight="1" x14ac:dyDescent="0.55000000000000004"/>
    <row r="21" spans="1:4" ht="15.6" x14ac:dyDescent="0.6">
      <c r="A21" s="19" t="s">
        <v>30</v>
      </c>
    </row>
  </sheetData>
  <mergeCells count="6">
    <mergeCell ref="A6:C7"/>
    <mergeCell ref="D6:D7"/>
    <mergeCell ref="A1:D1"/>
    <mergeCell ref="A2:D2"/>
    <mergeCell ref="A4:D4"/>
    <mergeCell ref="A3:D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63502-6F25-4DA0-B47D-EB18F0E15673}">
  <dimension ref="A1:I57"/>
  <sheetViews>
    <sheetView zoomScale="110" zoomScaleNormal="110" workbookViewId="0">
      <selection activeCell="K22" sqref="K22"/>
    </sheetView>
  </sheetViews>
  <sheetFormatPr defaultColWidth="8.68359375" defaultRowHeight="15.6" x14ac:dyDescent="0.6"/>
  <cols>
    <col min="1" max="1" width="4.47265625" style="67" customWidth="1"/>
    <col min="2" max="2" width="1.47265625" style="67" customWidth="1"/>
    <col min="3" max="3" width="32.15625" style="21" customWidth="1"/>
    <col min="4" max="4" width="49.47265625" style="21" customWidth="1"/>
    <col min="5" max="5" width="9.68359375" style="21" customWidth="1"/>
    <col min="6" max="6" width="19.83984375" style="21" bestFit="1" customWidth="1"/>
    <col min="7" max="7" width="11.68359375" style="21" customWidth="1"/>
    <col min="8" max="8" width="14.68359375" style="69" customWidth="1"/>
    <col min="9" max="9" width="12" style="21" bestFit="1" customWidth="1"/>
    <col min="10" max="10" width="15.3125" style="21" customWidth="1"/>
    <col min="11" max="16384" width="8.68359375" style="21"/>
  </cols>
  <sheetData>
    <row r="1" spans="1:9" x14ac:dyDescent="0.6">
      <c r="A1" s="150" t="s">
        <v>31</v>
      </c>
      <c r="B1" s="150"/>
      <c r="C1" s="150"/>
      <c r="D1" s="150"/>
      <c r="E1" s="150"/>
      <c r="F1" s="150"/>
      <c r="G1" s="150"/>
      <c r="H1" s="150"/>
      <c r="I1" s="77"/>
    </row>
    <row r="2" spans="1:9" x14ac:dyDescent="0.6">
      <c r="A2" s="159" t="s">
        <v>1</v>
      </c>
      <c r="B2" s="151"/>
      <c r="C2" s="151"/>
      <c r="D2" s="151"/>
      <c r="E2" s="151"/>
      <c r="F2" s="151" t="s">
        <v>32</v>
      </c>
      <c r="G2" s="151"/>
      <c r="H2" s="151"/>
      <c r="I2" s="77"/>
    </row>
    <row r="3" spans="1:9" x14ac:dyDescent="0.6">
      <c r="A3" s="164" t="s">
        <v>87</v>
      </c>
      <c r="B3" s="164"/>
      <c r="C3" s="164"/>
      <c r="D3" s="164"/>
      <c r="E3" s="164"/>
      <c r="F3" s="164"/>
      <c r="G3" s="164"/>
      <c r="H3" s="164"/>
      <c r="I3" s="77"/>
    </row>
    <row r="4" spans="1:9" x14ac:dyDescent="0.6">
      <c r="A4" s="160" t="s">
        <v>33</v>
      </c>
      <c r="B4" s="160"/>
      <c r="C4" s="160"/>
      <c r="D4" s="160"/>
      <c r="E4" s="160"/>
      <c r="F4" s="160" t="s">
        <v>34</v>
      </c>
      <c r="G4" s="160"/>
      <c r="H4" s="160"/>
      <c r="I4" s="77"/>
    </row>
    <row r="5" spans="1:9" ht="15" customHeight="1" x14ac:dyDescent="0.6">
      <c r="A5" s="72"/>
      <c r="B5" s="72"/>
      <c r="C5" s="72"/>
      <c r="D5" s="72"/>
      <c r="E5" s="72"/>
      <c r="F5" s="72"/>
      <c r="G5" s="72"/>
      <c r="H5" s="72"/>
      <c r="I5" s="77"/>
    </row>
    <row r="6" spans="1:9" ht="14.8" customHeight="1" x14ac:dyDescent="0.6">
      <c r="A6" s="148" t="s">
        <v>4</v>
      </c>
      <c r="B6" s="148"/>
      <c r="C6" s="148"/>
      <c r="D6" s="161" t="s">
        <v>35</v>
      </c>
      <c r="E6" s="161"/>
      <c r="F6" s="161"/>
      <c r="G6" s="161"/>
      <c r="H6" s="162" t="s">
        <v>36</v>
      </c>
      <c r="I6" s="77"/>
    </row>
    <row r="7" spans="1:9" x14ac:dyDescent="0.6">
      <c r="A7" s="148"/>
      <c r="B7" s="148"/>
      <c r="C7" s="148"/>
      <c r="D7" s="22" t="s">
        <v>37</v>
      </c>
      <c r="E7" s="22" t="s">
        <v>38</v>
      </c>
      <c r="F7" s="22" t="s">
        <v>39</v>
      </c>
      <c r="G7" s="22" t="s">
        <v>40</v>
      </c>
      <c r="H7" s="163"/>
      <c r="I7" s="77"/>
    </row>
    <row r="8" spans="1:9" s="27" customFormat="1" ht="21" customHeight="1" x14ac:dyDescent="0.55000000000000004">
      <c r="A8" s="23" t="s">
        <v>6</v>
      </c>
      <c r="B8" s="78"/>
      <c r="C8" s="24" t="s">
        <v>7</v>
      </c>
      <c r="D8" s="25" t="s">
        <v>41</v>
      </c>
      <c r="E8" s="25"/>
      <c r="F8" s="70" t="s">
        <v>42</v>
      </c>
      <c r="G8" s="70" t="s">
        <v>43</v>
      </c>
      <c r="H8" s="26"/>
      <c r="I8" s="79"/>
    </row>
    <row r="9" spans="1:9" s="27" customFormat="1" ht="19" customHeight="1" x14ac:dyDescent="0.55000000000000004">
      <c r="A9" s="23" t="s">
        <v>8</v>
      </c>
      <c r="B9" s="78"/>
      <c r="C9" s="24" t="s">
        <v>44</v>
      </c>
      <c r="D9" s="25"/>
      <c r="E9" s="25"/>
      <c r="F9" s="25"/>
      <c r="G9" s="25"/>
      <c r="H9" s="26"/>
      <c r="I9" s="79"/>
    </row>
    <row r="10" spans="1:9" x14ac:dyDescent="0.6">
      <c r="A10" s="23" t="s">
        <v>10</v>
      </c>
      <c r="B10" s="28"/>
      <c r="C10" s="24" t="s">
        <v>11</v>
      </c>
      <c r="D10" s="25" t="s">
        <v>45</v>
      </c>
      <c r="E10" s="30" t="s">
        <v>46</v>
      </c>
      <c r="F10" s="29" t="s">
        <v>47</v>
      </c>
      <c r="G10" s="25"/>
      <c r="H10" s="26"/>
      <c r="I10" s="77"/>
    </row>
    <row r="11" spans="1:9" x14ac:dyDescent="0.6">
      <c r="A11" s="80" t="s">
        <v>48</v>
      </c>
      <c r="B11" s="81"/>
      <c r="C11" s="31" t="s">
        <v>49</v>
      </c>
      <c r="D11" s="32"/>
      <c r="E11" s="33"/>
      <c r="F11" s="34"/>
      <c r="G11" s="32"/>
      <c r="H11" s="35"/>
      <c r="I11" s="77"/>
    </row>
    <row r="12" spans="1:9" x14ac:dyDescent="0.6">
      <c r="A12" s="82" t="s">
        <v>50</v>
      </c>
      <c r="B12" s="83"/>
      <c r="C12" s="36" t="s">
        <v>51</v>
      </c>
      <c r="D12" s="37" t="s">
        <v>52</v>
      </c>
      <c r="E12" s="37">
        <v>1</v>
      </c>
      <c r="F12" s="38">
        <v>650</v>
      </c>
      <c r="G12" s="39"/>
      <c r="H12" s="75">
        <f>E12*F12</f>
        <v>650</v>
      </c>
      <c r="I12" s="77"/>
    </row>
    <row r="13" spans="1:9" x14ac:dyDescent="0.6">
      <c r="A13" s="71" t="s">
        <v>53</v>
      </c>
      <c r="B13" s="84"/>
      <c r="C13" s="40" t="s">
        <v>54</v>
      </c>
      <c r="D13" s="37" t="s">
        <v>55</v>
      </c>
      <c r="E13" s="37">
        <f>E12*4</f>
        <v>4</v>
      </c>
      <c r="F13" s="38">
        <v>103</v>
      </c>
      <c r="G13" s="39"/>
      <c r="H13" s="75">
        <f>E13*F13</f>
        <v>412</v>
      </c>
      <c r="I13" s="77"/>
    </row>
    <row r="14" spans="1:9" x14ac:dyDescent="0.6">
      <c r="A14" s="85" t="s">
        <v>56</v>
      </c>
      <c r="B14" s="86"/>
      <c r="C14" s="41" t="s">
        <v>57</v>
      </c>
      <c r="D14" s="37" t="s">
        <v>58</v>
      </c>
      <c r="E14" s="37">
        <f>E13-1</f>
        <v>3</v>
      </c>
      <c r="F14" s="38">
        <v>257</v>
      </c>
      <c r="G14" s="39"/>
      <c r="H14" s="75">
        <f>E14*F14</f>
        <v>771</v>
      </c>
      <c r="I14" s="77"/>
    </row>
    <row r="15" spans="1:9" ht="17.05" customHeight="1" x14ac:dyDescent="0.6">
      <c r="A15" s="42" t="s">
        <v>59</v>
      </c>
      <c r="B15" s="43"/>
      <c r="C15" s="44" t="s">
        <v>60</v>
      </c>
      <c r="D15" s="37" t="s">
        <v>55</v>
      </c>
      <c r="E15" s="96">
        <v>4</v>
      </c>
      <c r="F15" s="38">
        <v>80</v>
      </c>
      <c r="G15" s="39"/>
      <c r="H15" s="75">
        <f>E15*F15</f>
        <v>320</v>
      </c>
      <c r="I15" s="77"/>
    </row>
    <row r="16" spans="1:9" x14ac:dyDescent="0.6">
      <c r="A16" s="157" t="s">
        <v>61</v>
      </c>
      <c r="B16" s="158"/>
      <c r="C16" s="158"/>
      <c r="D16" s="45"/>
      <c r="E16" s="45"/>
      <c r="F16" s="46"/>
      <c r="G16" s="45"/>
      <c r="H16" s="76">
        <f>SUM(H12:H15)</f>
        <v>2153</v>
      </c>
      <c r="I16" s="87"/>
    </row>
    <row r="17" spans="1:9" x14ac:dyDescent="0.6">
      <c r="A17" s="47" t="s">
        <v>12</v>
      </c>
      <c r="B17" s="48"/>
      <c r="C17" s="49" t="s">
        <v>62</v>
      </c>
      <c r="D17" s="30"/>
      <c r="E17" s="30" t="s">
        <v>46</v>
      </c>
      <c r="F17" s="50" t="s">
        <v>63</v>
      </c>
      <c r="G17" s="30"/>
      <c r="H17" s="51"/>
      <c r="I17" s="87"/>
    </row>
    <row r="18" spans="1:9" x14ac:dyDescent="0.6">
      <c r="A18" s="23" t="s">
        <v>14</v>
      </c>
      <c r="B18" s="28"/>
      <c r="C18" s="24" t="s">
        <v>64</v>
      </c>
      <c r="D18" s="25"/>
      <c r="E18" s="25" t="s">
        <v>46</v>
      </c>
      <c r="F18" s="29" t="s">
        <v>63</v>
      </c>
      <c r="G18" s="25"/>
      <c r="H18" s="26"/>
      <c r="I18" s="87"/>
    </row>
    <row r="19" spans="1:9" x14ac:dyDescent="0.6">
      <c r="A19" s="47" t="s">
        <v>16</v>
      </c>
      <c r="B19" s="48"/>
      <c r="C19" s="154" t="s">
        <v>65</v>
      </c>
      <c r="D19" s="154"/>
      <c r="E19" s="154"/>
      <c r="F19" s="154"/>
      <c r="G19" s="30"/>
      <c r="H19" s="52"/>
      <c r="I19" s="87"/>
    </row>
    <row r="20" spans="1:9" x14ac:dyDescent="0.6">
      <c r="A20" s="88" t="s">
        <v>66</v>
      </c>
      <c r="B20" s="89"/>
      <c r="C20" s="53" t="s">
        <v>67</v>
      </c>
      <c r="D20" s="54"/>
      <c r="E20" s="54"/>
      <c r="F20" s="55" t="s">
        <v>68</v>
      </c>
      <c r="G20" s="54"/>
      <c r="H20" s="56"/>
      <c r="I20" s="87"/>
    </row>
    <row r="21" spans="1:9" x14ac:dyDescent="0.6">
      <c r="A21" s="90" t="s">
        <v>69</v>
      </c>
      <c r="B21" s="91"/>
      <c r="C21" s="57" t="s">
        <v>70</v>
      </c>
      <c r="D21" s="58" t="s">
        <v>71</v>
      </c>
      <c r="E21" s="97">
        <v>2.15</v>
      </c>
      <c r="F21" s="59">
        <v>35000</v>
      </c>
      <c r="G21" s="58"/>
      <c r="H21" s="75">
        <f>E21*F21</f>
        <v>75250</v>
      </c>
      <c r="I21" s="87"/>
    </row>
    <row r="22" spans="1:9" x14ac:dyDescent="0.6">
      <c r="A22" s="90" t="s">
        <v>77</v>
      </c>
      <c r="B22" s="84"/>
      <c r="C22" s="61" t="s">
        <v>73</v>
      </c>
      <c r="D22" s="62" t="s">
        <v>74</v>
      </c>
      <c r="E22" s="62">
        <v>2</v>
      </c>
      <c r="F22" s="63">
        <f>H22/E22</f>
        <v>275.5</v>
      </c>
      <c r="G22" s="60"/>
      <c r="H22" s="75">
        <v>551</v>
      </c>
      <c r="I22" s="87"/>
    </row>
    <row r="23" spans="1:9" x14ac:dyDescent="0.6">
      <c r="A23" s="155" t="s">
        <v>72</v>
      </c>
      <c r="B23" s="156"/>
      <c r="C23" s="156"/>
      <c r="D23" s="45"/>
      <c r="E23" s="45"/>
      <c r="F23" s="46"/>
      <c r="G23" s="45"/>
      <c r="H23" s="76">
        <f>SUM(H21:H22)</f>
        <v>75801</v>
      </c>
      <c r="I23" s="87"/>
    </row>
    <row r="24" spans="1:9" x14ac:dyDescent="0.6">
      <c r="A24" s="47" t="s">
        <v>18</v>
      </c>
      <c r="B24" s="48"/>
      <c r="C24" s="49" t="s">
        <v>19</v>
      </c>
      <c r="D24" s="30"/>
      <c r="E24" s="30"/>
      <c r="F24" s="50"/>
      <c r="G24" s="30"/>
      <c r="H24" s="51"/>
      <c r="I24" s="87"/>
    </row>
    <row r="25" spans="1:9" x14ac:dyDescent="0.6">
      <c r="A25" s="23" t="s">
        <v>20</v>
      </c>
      <c r="B25" s="28"/>
      <c r="C25" s="24" t="s">
        <v>21</v>
      </c>
      <c r="D25" s="25"/>
      <c r="E25" s="25"/>
      <c r="F25" s="29"/>
      <c r="G25" s="25"/>
      <c r="H25" s="26"/>
      <c r="I25" s="87"/>
    </row>
    <row r="26" spans="1:9" x14ac:dyDescent="0.6">
      <c r="A26" s="23" t="s">
        <v>22</v>
      </c>
      <c r="B26" s="28"/>
      <c r="C26" s="24" t="s">
        <v>75</v>
      </c>
      <c r="D26" s="25"/>
      <c r="E26" s="25"/>
      <c r="F26" s="29"/>
      <c r="G26" s="25"/>
      <c r="H26" s="94">
        <f>H16+H23</f>
        <v>77954</v>
      </c>
      <c r="I26" s="77"/>
    </row>
    <row r="27" spans="1:9" x14ac:dyDescent="0.6">
      <c r="A27" s="23" t="s">
        <v>24</v>
      </c>
      <c r="B27" s="28"/>
      <c r="C27" s="24" t="s">
        <v>76</v>
      </c>
      <c r="D27" s="152">
        <v>0.2828</v>
      </c>
      <c r="E27" s="153"/>
      <c r="F27" s="153"/>
      <c r="G27" s="153"/>
      <c r="H27" s="94">
        <v>22046</v>
      </c>
      <c r="I27" s="87"/>
    </row>
    <row r="28" spans="1:9" x14ac:dyDescent="0.6">
      <c r="A28" s="14" t="s">
        <v>26</v>
      </c>
      <c r="B28" s="15"/>
      <c r="C28" s="13" t="s">
        <v>27</v>
      </c>
      <c r="D28" s="64"/>
      <c r="E28" s="65"/>
      <c r="F28" s="66"/>
      <c r="G28" s="65"/>
      <c r="H28" s="95">
        <f>SUM(H26:H27)</f>
        <v>100000</v>
      </c>
      <c r="I28" s="77"/>
    </row>
    <row r="29" spans="1:9" x14ac:dyDescent="0.6">
      <c r="A29" s="92"/>
      <c r="B29" s="92"/>
      <c r="C29" s="77"/>
      <c r="D29" s="77"/>
      <c r="E29" s="77"/>
      <c r="F29" s="77"/>
      <c r="G29" s="77"/>
      <c r="H29" s="77"/>
      <c r="I29" s="77"/>
    </row>
    <row r="30" spans="1:9" x14ac:dyDescent="0.6">
      <c r="A30" s="92"/>
      <c r="B30" s="92"/>
      <c r="C30" s="77"/>
      <c r="D30" s="77"/>
      <c r="E30" s="77"/>
      <c r="F30" s="93"/>
      <c r="G30" s="77"/>
      <c r="H30" s="77"/>
      <c r="I30" s="77"/>
    </row>
    <row r="31" spans="1:9" x14ac:dyDescent="0.6">
      <c r="A31" s="92"/>
      <c r="B31" s="92"/>
      <c r="C31" s="77"/>
      <c r="D31" s="77"/>
      <c r="E31" s="77"/>
      <c r="F31" s="77"/>
      <c r="G31" s="77"/>
      <c r="H31" s="77"/>
      <c r="I31" s="77"/>
    </row>
    <row r="32" spans="1:9" x14ac:dyDescent="0.6">
      <c r="D32" s="77"/>
      <c r="E32" s="77"/>
      <c r="F32" s="77"/>
      <c r="G32" s="77"/>
      <c r="H32" s="77"/>
      <c r="I32" s="77"/>
    </row>
    <row r="33" spans="4:9" x14ac:dyDescent="0.6">
      <c r="D33" s="68"/>
      <c r="E33" s="68"/>
      <c r="F33" s="68"/>
      <c r="G33" s="68"/>
      <c r="H33" s="74"/>
      <c r="I33" s="77"/>
    </row>
    <row r="34" spans="4:9" x14ac:dyDescent="0.6">
      <c r="D34" s="77"/>
      <c r="E34" s="77"/>
      <c r="F34" s="77"/>
      <c r="G34" s="77"/>
      <c r="H34" s="77"/>
      <c r="I34" s="77"/>
    </row>
    <row r="35" spans="4:9" x14ac:dyDescent="0.6">
      <c r="D35" s="77"/>
      <c r="E35" s="77"/>
      <c r="F35" s="77"/>
      <c r="G35" s="77"/>
      <c r="H35" s="77"/>
      <c r="I35" s="77"/>
    </row>
    <row r="36" spans="4:9" x14ac:dyDescent="0.6">
      <c r="D36" s="77"/>
      <c r="E36" s="77"/>
      <c r="F36" s="77"/>
      <c r="G36" s="77"/>
      <c r="H36" s="77"/>
      <c r="I36" s="77"/>
    </row>
    <row r="37" spans="4:9" x14ac:dyDescent="0.6">
      <c r="D37" s="77"/>
      <c r="E37" s="77"/>
      <c r="F37" s="77"/>
      <c r="G37" s="77"/>
      <c r="H37" s="77"/>
      <c r="I37" s="77"/>
    </row>
    <row r="38" spans="4:9" x14ac:dyDescent="0.6">
      <c r="D38" s="77"/>
      <c r="E38" s="77"/>
      <c r="F38" s="77"/>
      <c r="G38" s="77"/>
      <c r="H38" s="77"/>
      <c r="I38" s="77"/>
    </row>
    <row r="39" spans="4:9" x14ac:dyDescent="0.6">
      <c r="D39" s="77"/>
      <c r="E39" s="77"/>
      <c r="F39" s="77"/>
      <c r="G39" s="77"/>
      <c r="H39" s="77"/>
      <c r="I39" s="77"/>
    </row>
    <row r="40" spans="4:9" x14ac:dyDescent="0.6">
      <c r="D40" s="77"/>
      <c r="E40" s="77"/>
      <c r="F40" s="77"/>
      <c r="G40" s="77"/>
      <c r="H40" s="77"/>
      <c r="I40" s="77"/>
    </row>
    <row r="41" spans="4:9" x14ac:dyDescent="0.6">
      <c r="D41" s="77"/>
      <c r="E41" s="77"/>
      <c r="F41" s="77"/>
      <c r="G41" s="77"/>
      <c r="H41" s="77"/>
      <c r="I41" s="77"/>
    </row>
    <row r="42" spans="4:9" x14ac:dyDescent="0.6">
      <c r="D42" s="77"/>
      <c r="E42" s="77"/>
      <c r="F42" s="77"/>
      <c r="G42" s="77"/>
      <c r="H42" s="77"/>
      <c r="I42" s="77"/>
    </row>
    <row r="43" spans="4:9" x14ac:dyDescent="0.6">
      <c r="D43" s="77"/>
      <c r="E43" s="77"/>
      <c r="F43" s="77"/>
      <c r="G43" s="77"/>
      <c r="H43" s="77"/>
      <c r="I43" s="77"/>
    </row>
    <row r="44" spans="4:9" x14ac:dyDescent="0.6">
      <c r="D44" s="77"/>
      <c r="E44" s="77"/>
      <c r="F44" s="77"/>
      <c r="G44" s="77"/>
      <c r="H44" s="77"/>
      <c r="I44" s="77"/>
    </row>
    <row r="45" spans="4:9" x14ac:dyDescent="0.6">
      <c r="D45" s="77"/>
      <c r="E45" s="77"/>
      <c r="F45" s="77"/>
      <c r="G45" s="77"/>
      <c r="H45" s="77"/>
      <c r="I45" s="77"/>
    </row>
    <row r="46" spans="4:9" x14ac:dyDescent="0.6">
      <c r="D46" s="77"/>
      <c r="E46" s="77"/>
      <c r="F46" s="77"/>
      <c r="G46" s="77"/>
      <c r="H46" s="77"/>
      <c r="I46" s="77"/>
    </row>
    <row r="47" spans="4:9" x14ac:dyDescent="0.6">
      <c r="D47" s="77"/>
      <c r="E47" s="77"/>
      <c r="F47" s="77"/>
      <c r="G47" s="77"/>
      <c r="H47" s="77"/>
      <c r="I47" s="77"/>
    </row>
    <row r="48" spans="4:9" x14ac:dyDescent="0.6">
      <c r="G48" s="77"/>
      <c r="H48" s="77"/>
      <c r="I48" s="77"/>
    </row>
    <row r="49" spans="7:9" x14ac:dyDescent="0.6">
      <c r="G49" s="77"/>
      <c r="H49" s="77"/>
      <c r="I49" s="77"/>
    </row>
    <row r="50" spans="7:9" x14ac:dyDescent="0.6">
      <c r="G50" s="77"/>
      <c r="H50" s="77"/>
      <c r="I50" s="77"/>
    </row>
    <row r="51" spans="7:9" x14ac:dyDescent="0.6">
      <c r="G51" s="77"/>
      <c r="H51" s="77"/>
      <c r="I51" s="77"/>
    </row>
    <row r="52" spans="7:9" x14ac:dyDescent="0.6">
      <c r="G52" s="77"/>
      <c r="H52" s="77"/>
      <c r="I52" s="77"/>
    </row>
    <row r="53" spans="7:9" x14ac:dyDescent="0.6">
      <c r="G53" s="77"/>
      <c r="H53" s="77"/>
      <c r="I53" s="77"/>
    </row>
    <row r="54" spans="7:9" x14ac:dyDescent="0.6">
      <c r="G54" s="77"/>
      <c r="H54" s="77"/>
      <c r="I54" s="77"/>
    </row>
    <row r="55" spans="7:9" x14ac:dyDescent="0.6">
      <c r="G55" s="77"/>
      <c r="H55" s="77"/>
      <c r="I55" s="77"/>
    </row>
    <row r="56" spans="7:9" x14ac:dyDescent="0.6">
      <c r="G56" s="77"/>
      <c r="H56" s="77"/>
      <c r="I56" s="77"/>
    </row>
    <row r="57" spans="7:9" x14ac:dyDescent="0.6">
      <c r="G57" s="77"/>
      <c r="H57" s="77"/>
      <c r="I57" s="77"/>
    </row>
  </sheetData>
  <mergeCells count="11">
    <mergeCell ref="D27:G27"/>
    <mergeCell ref="C19:F19"/>
    <mergeCell ref="A23:C23"/>
    <mergeCell ref="A16:C16"/>
    <mergeCell ref="A1:H1"/>
    <mergeCell ref="A2:H2"/>
    <mergeCell ref="A4:H4"/>
    <mergeCell ref="A6:C7"/>
    <mergeCell ref="D6:G6"/>
    <mergeCell ref="H6:H7"/>
    <mergeCell ref="A3:H3"/>
  </mergeCells>
  <phoneticPr fontId="16" type="noConversion"/>
  <pageMargins left="0.25" right="0.25" top="0.25" bottom="0.25" header="0.05" footer="0.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9C0CD-96F2-924B-A15B-9C4A9D8D9778}">
  <dimension ref="A1:T64"/>
  <sheetViews>
    <sheetView tabSelected="1" zoomScale="85" zoomScaleNormal="85" workbookViewId="0">
      <selection activeCell="B6" sqref="B6:B8"/>
    </sheetView>
  </sheetViews>
  <sheetFormatPr defaultColWidth="8.68359375" defaultRowHeight="15.6" x14ac:dyDescent="0.6"/>
  <cols>
    <col min="1" max="1" width="15.1015625" style="21" bestFit="1" customWidth="1"/>
    <col min="2" max="2" width="13.05078125" style="21" bestFit="1" customWidth="1"/>
    <col min="3" max="3" width="12.9453125" style="21" bestFit="1" customWidth="1"/>
    <col min="4" max="4" width="4.47265625" style="67" customWidth="1"/>
    <col min="5" max="5" width="1.47265625" style="67" customWidth="1"/>
    <col min="6" max="6" width="32.15625" style="21" customWidth="1"/>
    <col min="7" max="7" width="21.47265625" style="21" customWidth="1"/>
    <col min="8" max="8" width="9.68359375" style="21" customWidth="1"/>
    <col min="9" max="9" width="16.83984375" style="21" customWidth="1"/>
    <col min="10" max="10" width="11.68359375" style="21" customWidth="1"/>
    <col min="11" max="11" width="19.3125" style="69" customWidth="1"/>
    <col min="12" max="12" width="3.15625" style="21" customWidth="1"/>
    <col min="13" max="13" width="11.68359375" style="21" customWidth="1"/>
    <col min="14" max="14" width="12.68359375" style="21" bestFit="1" customWidth="1"/>
    <col min="15" max="15" width="11.68359375" style="21" bestFit="1" customWidth="1"/>
    <col min="16" max="16" width="12.3125" style="21" customWidth="1"/>
    <col min="17" max="17" width="13.15625" style="21" customWidth="1"/>
    <col min="18" max="18" width="10.68359375" style="21" bestFit="1" customWidth="1"/>
    <col min="19" max="19" width="5.47265625" style="21" customWidth="1"/>
    <col min="20" max="20" width="10.68359375" style="21" bestFit="1" customWidth="1"/>
    <col min="21" max="16384" width="8.68359375" style="21"/>
  </cols>
  <sheetData>
    <row r="1" spans="1:16" x14ac:dyDescent="0.6">
      <c r="D1" s="150" t="s">
        <v>31</v>
      </c>
      <c r="E1" s="150"/>
      <c r="F1" s="150"/>
      <c r="G1" s="150"/>
      <c r="H1" s="150"/>
      <c r="I1" s="150"/>
      <c r="J1" s="150"/>
      <c r="K1" s="150"/>
      <c r="L1" s="77"/>
    </row>
    <row r="2" spans="1:16" ht="15.9" thickBot="1" x14ac:dyDescent="0.65">
      <c r="D2" s="159" t="s">
        <v>1</v>
      </c>
      <c r="E2" s="151"/>
      <c r="F2" s="151"/>
      <c r="G2" s="151"/>
      <c r="H2" s="151"/>
      <c r="I2" s="151" t="s">
        <v>32</v>
      </c>
      <c r="J2" s="151"/>
      <c r="K2" s="151"/>
      <c r="L2" s="77"/>
    </row>
    <row r="3" spans="1:16" x14ac:dyDescent="0.6">
      <c r="A3" s="167" t="s">
        <v>108</v>
      </c>
      <c r="B3" s="168" t="s">
        <v>109</v>
      </c>
      <c r="C3" s="72"/>
      <c r="D3" s="164" t="s">
        <v>87</v>
      </c>
      <c r="E3" s="164"/>
      <c r="F3" s="164"/>
      <c r="G3" s="164"/>
      <c r="H3" s="164"/>
      <c r="I3" s="164"/>
      <c r="J3" s="164"/>
      <c r="K3" s="164"/>
      <c r="L3" s="77"/>
    </row>
    <row r="4" spans="1:16" x14ac:dyDescent="0.6">
      <c r="A4" s="169" t="s">
        <v>110</v>
      </c>
      <c r="B4" s="170">
        <v>40100</v>
      </c>
      <c r="C4" s="145"/>
      <c r="D4" s="160" t="s">
        <v>33</v>
      </c>
      <c r="E4" s="160"/>
      <c r="F4" s="160"/>
      <c r="G4" s="160"/>
      <c r="H4" s="160"/>
      <c r="I4" s="160" t="s">
        <v>34</v>
      </c>
      <c r="J4" s="160"/>
      <c r="K4" s="160"/>
      <c r="L4" s="77"/>
    </row>
    <row r="5" spans="1:16" ht="15" customHeight="1" thickBot="1" x14ac:dyDescent="0.65">
      <c r="A5" s="171" t="s">
        <v>111</v>
      </c>
      <c r="B5" s="172" t="s">
        <v>133</v>
      </c>
      <c r="C5" s="145"/>
      <c r="D5" s="72"/>
      <c r="E5" s="72"/>
      <c r="F5" s="72"/>
      <c r="G5" s="72"/>
      <c r="H5" s="72"/>
      <c r="I5" s="72"/>
      <c r="J5" s="72"/>
      <c r="K5" s="72"/>
      <c r="L5" s="77"/>
    </row>
    <row r="6" spans="1:16" ht="14.8" customHeight="1" x14ac:dyDescent="0.6">
      <c r="A6" s="173" t="s">
        <v>112</v>
      </c>
      <c r="B6" s="173" t="s">
        <v>113</v>
      </c>
      <c r="C6" s="174" t="s">
        <v>114</v>
      </c>
      <c r="D6" s="148" t="s">
        <v>4</v>
      </c>
      <c r="E6" s="148"/>
      <c r="F6" s="148"/>
      <c r="G6" s="161" t="s">
        <v>35</v>
      </c>
      <c r="H6" s="161"/>
      <c r="I6" s="161"/>
      <c r="J6" s="161"/>
      <c r="K6" s="162" t="s">
        <v>36</v>
      </c>
      <c r="L6" s="77"/>
    </row>
    <row r="7" spans="1:16" x14ac:dyDescent="0.6">
      <c r="A7" s="175"/>
      <c r="B7" s="175"/>
      <c r="C7" s="175"/>
      <c r="D7" s="148"/>
      <c r="E7" s="148"/>
      <c r="F7" s="148"/>
      <c r="G7" s="22" t="s">
        <v>37</v>
      </c>
      <c r="H7" s="22" t="s">
        <v>38</v>
      </c>
      <c r="I7" s="22" t="s">
        <v>39</v>
      </c>
      <c r="J7" s="22" t="s">
        <v>40</v>
      </c>
      <c r="K7" s="163"/>
      <c r="L7" s="77"/>
    </row>
    <row r="8" spans="1:16" s="27" customFormat="1" ht="37" customHeight="1" x14ac:dyDescent="0.55000000000000004">
      <c r="A8" s="176"/>
      <c r="B8" s="176"/>
      <c r="C8" s="176"/>
      <c r="D8" s="23" t="s">
        <v>6</v>
      </c>
      <c r="E8" s="78"/>
      <c r="F8" s="24" t="s">
        <v>7</v>
      </c>
      <c r="G8" s="25" t="s">
        <v>41</v>
      </c>
      <c r="H8" s="100"/>
      <c r="I8" s="70" t="s">
        <v>42</v>
      </c>
      <c r="J8" s="70" t="s">
        <v>43</v>
      </c>
      <c r="K8" s="26"/>
      <c r="L8" s="79"/>
    </row>
    <row r="9" spans="1:16" s="27" customFormat="1" ht="21" customHeight="1" x14ac:dyDescent="0.55000000000000004">
      <c r="A9" s="40" t="s">
        <v>130</v>
      </c>
      <c r="B9" s="40" t="s">
        <v>131</v>
      </c>
      <c r="C9" s="36" t="s">
        <v>117</v>
      </c>
      <c r="D9" s="98" t="s">
        <v>78</v>
      </c>
      <c r="E9" s="101"/>
      <c r="F9" s="40" t="s">
        <v>85</v>
      </c>
      <c r="G9" s="37" t="s">
        <v>80</v>
      </c>
      <c r="H9" s="37">
        <v>24</v>
      </c>
      <c r="I9" s="103">
        <v>5053.1189999999997</v>
      </c>
      <c r="J9" s="102">
        <v>0.05</v>
      </c>
      <c r="K9" s="75">
        <f>SUM(H9*I9*J9)</f>
        <v>6063.7428</v>
      </c>
      <c r="L9" s="79"/>
      <c r="M9" s="133"/>
      <c r="O9" s="133"/>
      <c r="P9" s="133"/>
    </row>
    <row r="10" spans="1:16" s="27" customFormat="1" ht="21" customHeight="1" x14ac:dyDescent="0.55000000000000004">
      <c r="A10" s="40" t="s">
        <v>130</v>
      </c>
      <c r="B10" s="40" t="s">
        <v>131</v>
      </c>
      <c r="C10" s="40" t="s">
        <v>117</v>
      </c>
      <c r="D10" s="136" t="s">
        <v>79</v>
      </c>
      <c r="E10" s="101"/>
      <c r="F10" s="40" t="s">
        <v>86</v>
      </c>
      <c r="G10" s="37" t="s">
        <v>80</v>
      </c>
      <c r="H10" s="37">
        <v>24</v>
      </c>
      <c r="I10" s="103">
        <v>4793</v>
      </c>
      <c r="J10" s="102">
        <v>7.0000000000000007E-2</v>
      </c>
      <c r="K10" s="75">
        <f>SUM(H10*I10*J10)</f>
        <v>8052.2400000000007</v>
      </c>
      <c r="L10" s="79"/>
      <c r="M10" s="133"/>
      <c r="O10" s="133"/>
      <c r="P10" s="133"/>
    </row>
    <row r="11" spans="1:16" s="27" customFormat="1" ht="21" customHeight="1" x14ac:dyDescent="0.55000000000000004">
      <c r="D11" s="157" t="s">
        <v>81</v>
      </c>
      <c r="E11" s="158"/>
      <c r="F11" s="158"/>
      <c r="G11" s="45"/>
      <c r="H11" s="45"/>
      <c r="I11" s="46"/>
      <c r="J11" s="45"/>
      <c r="K11" s="76">
        <f>SUM(K9:K10)</f>
        <v>14115.982800000002</v>
      </c>
      <c r="L11" s="79"/>
      <c r="M11" s="135"/>
      <c r="N11" s="133"/>
    </row>
    <row r="12" spans="1:16" s="27" customFormat="1" ht="19" customHeight="1" x14ac:dyDescent="0.55000000000000004">
      <c r="A12" s="24"/>
      <c r="B12" s="24"/>
      <c r="C12" s="24"/>
      <c r="D12" s="23" t="s">
        <v>8</v>
      </c>
      <c r="E12" s="78"/>
      <c r="F12" s="24" t="s">
        <v>44</v>
      </c>
      <c r="G12" s="104"/>
      <c r="H12" s="25"/>
      <c r="I12" s="25"/>
      <c r="J12" s="25"/>
      <c r="K12" s="26"/>
      <c r="L12" s="79"/>
    </row>
    <row r="13" spans="1:16" s="27" customFormat="1" ht="19" customHeight="1" x14ac:dyDescent="0.55000000000000004">
      <c r="A13" s="40" t="s">
        <v>132</v>
      </c>
      <c r="B13" s="177">
        <v>50900</v>
      </c>
      <c r="C13" s="36" t="s">
        <v>117</v>
      </c>
      <c r="D13" s="99" t="s">
        <v>83</v>
      </c>
      <c r="E13" s="99"/>
      <c r="F13" s="40" t="s">
        <v>84</v>
      </c>
      <c r="G13" s="105"/>
      <c r="H13" s="106"/>
      <c r="I13" s="106"/>
      <c r="J13" s="105">
        <v>0.23469999999999999</v>
      </c>
      <c r="K13" s="107">
        <f>K11*J13</f>
        <v>3313.0211631600005</v>
      </c>
      <c r="L13" s="79"/>
    </row>
    <row r="14" spans="1:16" s="27" customFormat="1" ht="19" customHeight="1" x14ac:dyDescent="0.55000000000000004">
      <c r="D14" s="157" t="s">
        <v>82</v>
      </c>
      <c r="E14" s="158"/>
      <c r="F14" s="158"/>
      <c r="G14" s="45"/>
      <c r="H14" s="45"/>
      <c r="I14" s="46"/>
      <c r="J14" s="45"/>
      <c r="K14" s="76">
        <f>SUM(K13)</f>
        <v>3313.0211631600005</v>
      </c>
      <c r="L14" s="79"/>
      <c r="M14" s="135"/>
    </row>
    <row r="15" spans="1:16" x14ac:dyDescent="0.6">
      <c r="A15" s="24"/>
      <c r="B15" s="24"/>
      <c r="C15" s="24"/>
      <c r="D15" s="23" t="s">
        <v>10</v>
      </c>
      <c r="E15" s="28"/>
      <c r="F15" s="24" t="s">
        <v>11</v>
      </c>
      <c r="G15" s="25" t="s">
        <v>45</v>
      </c>
      <c r="H15" s="30" t="s">
        <v>46</v>
      </c>
      <c r="I15" s="29" t="s">
        <v>47</v>
      </c>
      <c r="J15" s="25"/>
      <c r="K15" s="26"/>
      <c r="L15" s="77"/>
    </row>
    <row r="16" spans="1:16" x14ac:dyDescent="0.6">
      <c r="A16" s="31"/>
      <c r="B16" s="31"/>
      <c r="C16" s="31"/>
      <c r="D16" s="80" t="s">
        <v>48</v>
      </c>
      <c r="E16" s="81"/>
      <c r="F16" s="31" t="s">
        <v>49</v>
      </c>
      <c r="G16" s="32"/>
      <c r="H16" s="33"/>
      <c r="I16" s="34"/>
      <c r="J16" s="32"/>
      <c r="K16" s="35"/>
      <c r="L16" s="77"/>
    </row>
    <row r="17" spans="1:20" x14ac:dyDescent="0.6">
      <c r="A17" s="36" t="s">
        <v>122</v>
      </c>
      <c r="B17" s="36" t="s">
        <v>123</v>
      </c>
      <c r="C17" s="36" t="s">
        <v>117</v>
      </c>
      <c r="D17" s="82" t="s">
        <v>50</v>
      </c>
      <c r="E17" s="83"/>
      <c r="F17" s="36" t="s">
        <v>51</v>
      </c>
      <c r="G17" s="37" t="s">
        <v>52</v>
      </c>
      <c r="H17" s="37">
        <v>1</v>
      </c>
      <c r="I17" s="38">
        <v>650</v>
      </c>
      <c r="J17" s="39"/>
      <c r="K17" s="75">
        <f>H17*I17</f>
        <v>650</v>
      </c>
      <c r="L17" s="77"/>
      <c r="N17" s="145"/>
      <c r="O17" s="145"/>
      <c r="P17" s="145"/>
      <c r="Q17" s="145"/>
      <c r="R17" s="145"/>
    </row>
    <row r="18" spans="1:20" x14ac:dyDescent="0.6">
      <c r="A18" s="40" t="s">
        <v>124</v>
      </c>
      <c r="B18" s="40" t="s">
        <v>125</v>
      </c>
      <c r="C18" s="40" t="s">
        <v>117</v>
      </c>
      <c r="D18" s="71" t="s">
        <v>53</v>
      </c>
      <c r="E18" s="84"/>
      <c r="F18" s="40" t="s">
        <v>54</v>
      </c>
      <c r="G18" s="37" t="s">
        <v>55</v>
      </c>
      <c r="H18" s="37">
        <f>H17*4</f>
        <v>4</v>
      </c>
      <c r="I18" s="38">
        <v>103</v>
      </c>
      <c r="J18" s="39"/>
      <c r="K18" s="75">
        <f>H18*I18</f>
        <v>412</v>
      </c>
      <c r="L18" s="77"/>
      <c r="N18" s="146"/>
      <c r="O18" s="146"/>
      <c r="P18" s="146"/>
      <c r="Q18" s="146"/>
      <c r="R18" s="146"/>
      <c r="T18" s="146"/>
    </row>
    <row r="19" spans="1:20" x14ac:dyDescent="0.6">
      <c r="A19" s="41" t="s">
        <v>126</v>
      </c>
      <c r="B19" s="41" t="s">
        <v>127</v>
      </c>
      <c r="C19" s="41" t="s">
        <v>117</v>
      </c>
      <c r="D19" s="85" t="s">
        <v>56</v>
      </c>
      <c r="E19" s="86"/>
      <c r="F19" s="41" t="s">
        <v>57</v>
      </c>
      <c r="G19" s="37" t="s">
        <v>58</v>
      </c>
      <c r="H19" s="37">
        <f>H18-1</f>
        <v>3</v>
      </c>
      <c r="I19" s="38">
        <v>225</v>
      </c>
      <c r="J19" s="39"/>
      <c r="K19" s="75">
        <f>H19*I19</f>
        <v>675</v>
      </c>
      <c r="L19" s="77"/>
      <c r="N19" s="146"/>
      <c r="Q19" s="146"/>
    </row>
    <row r="20" spans="1:20" ht="17.05" customHeight="1" x14ac:dyDescent="0.6">
      <c r="A20" s="44" t="s">
        <v>128</v>
      </c>
      <c r="B20" s="44" t="s">
        <v>129</v>
      </c>
      <c r="C20" s="44" t="s">
        <v>117</v>
      </c>
      <c r="D20" s="42" t="s">
        <v>59</v>
      </c>
      <c r="E20" s="43"/>
      <c r="F20" s="44" t="s">
        <v>60</v>
      </c>
      <c r="G20" s="37" t="s">
        <v>55</v>
      </c>
      <c r="H20" s="96">
        <v>4</v>
      </c>
      <c r="I20" s="38">
        <v>80</v>
      </c>
      <c r="J20" s="39"/>
      <c r="K20" s="75">
        <f>H20*I20</f>
        <v>320</v>
      </c>
      <c r="L20" s="77"/>
      <c r="N20" s="146"/>
      <c r="Q20" s="146"/>
    </row>
    <row r="21" spans="1:20" x14ac:dyDescent="0.6">
      <c r="D21" s="157" t="s">
        <v>61</v>
      </c>
      <c r="E21" s="158"/>
      <c r="F21" s="158"/>
      <c r="G21" s="45"/>
      <c r="H21" s="45"/>
      <c r="I21" s="46"/>
      <c r="J21" s="45"/>
      <c r="K21" s="76">
        <f>SUM(K17:K20)</f>
        <v>2057</v>
      </c>
      <c r="L21" s="87"/>
      <c r="M21" s="135"/>
      <c r="N21" s="147"/>
      <c r="O21" s="146"/>
      <c r="P21" s="146"/>
      <c r="Q21" s="146"/>
      <c r="R21" s="146"/>
    </row>
    <row r="22" spans="1:20" x14ac:dyDescent="0.6">
      <c r="A22" s="49"/>
      <c r="B22" s="49"/>
      <c r="C22" s="49"/>
      <c r="D22" s="47" t="s">
        <v>12</v>
      </c>
      <c r="E22" s="48"/>
      <c r="F22" s="49" t="s">
        <v>62</v>
      </c>
      <c r="G22" s="30"/>
      <c r="H22" s="30" t="s">
        <v>46</v>
      </c>
      <c r="I22" s="50" t="s">
        <v>63</v>
      </c>
      <c r="J22" s="30"/>
      <c r="K22" s="51"/>
      <c r="L22" s="87"/>
    </row>
    <row r="23" spans="1:20" x14ac:dyDescent="0.6">
      <c r="A23" s="24"/>
      <c r="B23" s="24"/>
      <c r="C23" s="24"/>
      <c r="D23" s="23" t="s">
        <v>14</v>
      </c>
      <c r="E23" s="28"/>
      <c r="F23" s="24" t="s">
        <v>64</v>
      </c>
      <c r="G23" s="25"/>
      <c r="H23" s="25" t="s">
        <v>46</v>
      </c>
      <c r="I23" s="29" t="s">
        <v>63</v>
      </c>
      <c r="J23" s="25"/>
      <c r="K23" s="26"/>
      <c r="L23" s="87"/>
      <c r="N23" s="146"/>
      <c r="O23" s="146"/>
      <c r="P23" s="146"/>
      <c r="Q23" s="146"/>
      <c r="R23" s="146"/>
    </row>
    <row r="24" spans="1:20" x14ac:dyDescent="0.6">
      <c r="D24" s="47" t="s">
        <v>16</v>
      </c>
      <c r="E24" s="48"/>
      <c r="F24" s="154" t="s">
        <v>65</v>
      </c>
      <c r="G24" s="154"/>
      <c r="H24" s="154"/>
      <c r="I24" s="154"/>
      <c r="J24" s="30"/>
      <c r="K24" s="52"/>
      <c r="L24" s="87"/>
    </row>
    <row r="25" spans="1:20" x14ac:dyDescent="0.6">
      <c r="A25" s="53"/>
      <c r="B25" s="53"/>
      <c r="C25" s="53"/>
      <c r="D25" s="88" t="s">
        <v>66</v>
      </c>
      <c r="E25" s="89"/>
      <c r="F25" s="53" t="s">
        <v>67</v>
      </c>
      <c r="G25" s="54"/>
      <c r="H25" s="54"/>
      <c r="I25" s="55" t="s">
        <v>68</v>
      </c>
      <c r="J25" s="54"/>
      <c r="K25" s="56"/>
      <c r="L25" s="87"/>
    </row>
    <row r="26" spans="1:20" x14ac:dyDescent="0.6">
      <c r="A26" s="57" t="s">
        <v>115</v>
      </c>
      <c r="B26" s="57" t="s">
        <v>116</v>
      </c>
      <c r="C26" s="57" t="s">
        <v>117</v>
      </c>
      <c r="D26" s="90" t="s">
        <v>69</v>
      </c>
      <c r="E26" s="91"/>
      <c r="F26" s="57" t="s">
        <v>70</v>
      </c>
      <c r="G26" s="58" t="s">
        <v>71</v>
      </c>
      <c r="H26" s="58">
        <v>5</v>
      </c>
      <c r="I26" s="59">
        <v>35000</v>
      </c>
      <c r="J26" s="58"/>
      <c r="K26" s="75">
        <f>H26*I26</f>
        <v>175000</v>
      </c>
      <c r="L26" s="87"/>
      <c r="N26" s="145"/>
    </row>
    <row r="27" spans="1:20" x14ac:dyDescent="0.6">
      <c r="D27" s="155" t="s">
        <v>72</v>
      </c>
      <c r="E27" s="156"/>
      <c r="F27" s="156"/>
      <c r="G27" s="45"/>
      <c r="H27" s="45"/>
      <c r="I27" s="46"/>
      <c r="J27" s="45"/>
      <c r="K27" s="76">
        <f>SUM(K26)</f>
        <v>175000</v>
      </c>
      <c r="L27" s="87"/>
      <c r="M27" s="135"/>
      <c r="N27" s="146"/>
    </row>
    <row r="28" spans="1:20" x14ac:dyDescent="0.6">
      <c r="A28" s="49"/>
      <c r="B28" s="49"/>
      <c r="C28" s="49"/>
      <c r="D28" s="47" t="s">
        <v>18</v>
      </c>
      <c r="E28" s="48"/>
      <c r="F28" s="49" t="s">
        <v>19</v>
      </c>
      <c r="G28" s="30"/>
      <c r="H28" s="30"/>
      <c r="I28" s="50"/>
      <c r="J28" s="30"/>
      <c r="K28" s="51"/>
      <c r="L28" s="87"/>
    </row>
    <row r="29" spans="1:20" x14ac:dyDescent="0.6">
      <c r="A29" s="24"/>
      <c r="B29" s="24"/>
      <c r="C29" s="24"/>
      <c r="D29" s="23" t="s">
        <v>20</v>
      </c>
      <c r="E29" s="28"/>
      <c r="F29" s="24" t="s">
        <v>21</v>
      </c>
      <c r="G29" s="25"/>
      <c r="H29" s="25"/>
      <c r="I29" s="29"/>
      <c r="J29" s="25"/>
      <c r="K29" s="26"/>
      <c r="L29" s="87"/>
    </row>
    <row r="30" spans="1:20" x14ac:dyDescent="0.6">
      <c r="A30" s="53"/>
      <c r="B30" s="53"/>
      <c r="C30" s="53"/>
      <c r="D30" s="140" t="s">
        <v>105</v>
      </c>
      <c r="E30" s="89"/>
      <c r="F30" s="53" t="s">
        <v>21</v>
      </c>
      <c r="G30" s="54"/>
      <c r="H30" s="54"/>
      <c r="I30" s="55" t="s">
        <v>68</v>
      </c>
      <c r="J30" s="54"/>
      <c r="K30" s="56"/>
      <c r="L30" s="87"/>
    </row>
    <row r="31" spans="1:20" x14ac:dyDescent="0.6">
      <c r="A31" s="61" t="s">
        <v>118</v>
      </c>
      <c r="B31" s="61" t="s">
        <v>119</v>
      </c>
      <c r="C31" s="61" t="s">
        <v>117</v>
      </c>
      <c r="D31" s="139" t="s">
        <v>104</v>
      </c>
      <c r="E31" s="101"/>
      <c r="F31" s="61" t="s">
        <v>106</v>
      </c>
      <c r="G31" s="62" t="s">
        <v>74</v>
      </c>
      <c r="H31" s="62">
        <v>2</v>
      </c>
      <c r="I31" s="137">
        <v>200</v>
      </c>
      <c r="J31" s="60"/>
      <c r="K31" s="138">
        <f>H31*I31</f>
        <v>400</v>
      </c>
      <c r="L31" s="87"/>
    </row>
    <row r="32" spans="1:20" x14ac:dyDescent="0.6">
      <c r="D32" s="157" t="s">
        <v>107</v>
      </c>
      <c r="E32" s="158"/>
      <c r="F32" s="158"/>
      <c r="G32" s="141"/>
      <c r="H32" s="141"/>
      <c r="I32" s="142"/>
      <c r="J32" s="143"/>
      <c r="K32" s="144">
        <f>SUM(K31)</f>
        <v>400</v>
      </c>
      <c r="L32" s="87"/>
    </row>
    <row r="33" spans="1:13" x14ac:dyDescent="0.6">
      <c r="A33" s="24"/>
      <c r="B33" s="24"/>
      <c r="C33" s="24"/>
      <c r="D33" s="23" t="s">
        <v>22</v>
      </c>
      <c r="E33" s="28"/>
      <c r="F33" s="24" t="s">
        <v>75</v>
      </c>
      <c r="G33" s="25"/>
      <c r="H33" s="25"/>
      <c r="I33" s="29"/>
      <c r="J33" s="25"/>
      <c r="K33" s="94">
        <f>SUM(K11,K14,K21,K27,K32)</f>
        <v>194886.00396316001</v>
      </c>
      <c r="L33" s="77"/>
    </row>
    <row r="34" spans="1:13" x14ac:dyDescent="0.6">
      <c r="A34" s="24" t="s">
        <v>120</v>
      </c>
      <c r="B34" s="24" t="s">
        <v>121</v>
      </c>
      <c r="C34" s="24" t="s">
        <v>117</v>
      </c>
      <c r="D34" s="23" t="s">
        <v>24</v>
      </c>
      <c r="E34" s="28"/>
      <c r="F34" s="24" t="s">
        <v>76</v>
      </c>
      <c r="G34" s="152">
        <v>0.2828</v>
      </c>
      <c r="H34" s="153"/>
      <c r="I34" s="153"/>
      <c r="J34" s="153"/>
      <c r="K34" s="94">
        <f>ROUND(K33*G34,0)</f>
        <v>55114</v>
      </c>
      <c r="L34" s="87"/>
      <c r="M34" s="135"/>
    </row>
    <row r="35" spans="1:13" x14ac:dyDescent="0.6">
      <c r="A35" s="13"/>
      <c r="B35" s="13"/>
      <c r="C35" s="13"/>
      <c r="D35" s="14" t="s">
        <v>26</v>
      </c>
      <c r="E35" s="15"/>
      <c r="F35" s="13" t="s">
        <v>27</v>
      </c>
      <c r="G35" s="64"/>
      <c r="H35" s="65"/>
      <c r="I35" s="66"/>
      <c r="J35" s="65"/>
      <c r="K35" s="95">
        <f>SUM(K33:K34)</f>
        <v>250000.00396316001</v>
      </c>
      <c r="L35" s="77"/>
    </row>
    <row r="36" spans="1:13" x14ac:dyDescent="0.6">
      <c r="A36" s="77"/>
      <c r="B36" s="77"/>
      <c r="C36" s="77"/>
      <c r="D36" s="92"/>
      <c r="E36" s="92"/>
      <c r="F36" s="77"/>
      <c r="G36" s="77"/>
      <c r="H36" s="77"/>
      <c r="I36" s="77"/>
      <c r="J36" s="77"/>
      <c r="K36" s="77"/>
      <c r="L36" s="77"/>
    </row>
    <row r="37" spans="1:13" x14ac:dyDescent="0.6">
      <c r="A37" s="77"/>
      <c r="B37" s="77"/>
      <c r="C37" s="77"/>
      <c r="D37" s="92"/>
      <c r="E37" s="92"/>
      <c r="F37" s="77"/>
      <c r="G37" s="77"/>
      <c r="H37" s="77"/>
      <c r="I37" s="93"/>
      <c r="J37" s="77"/>
      <c r="K37" s="77"/>
      <c r="L37" s="77"/>
    </row>
    <row r="38" spans="1:13" x14ac:dyDescent="0.6">
      <c r="A38" s="77"/>
      <c r="B38" s="77"/>
      <c r="C38" s="77"/>
      <c r="D38" s="92"/>
      <c r="E38" s="92"/>
      <c r="F38" s="77"/>
      <c r="G38" s="77"/>
      <c r="H38" s="77"/>
      <c r="I38" s="77"/>
      <c r="J38" s="77"/>
      <c r="K38" s="77"/>
      <c r="L38" s="77"/>
    </row>
    <row r="39" spans="1:13" x14ac:dyDescent="0.6">
      <c r="G39" s="77"/>
      <c r="H39" s="77"/>
      <c r="I39" s="77"/>
      <c r="J39" s="77"/>
      <c r="K39" s="77"/>
      <c r="L39" s="77"/>
    </row>
    <row r="40" spans="1:13" x14ac:dyDescent="0.6">
      <c r="G40" s="68"/>
      <c r="H40" s="68"/>
      <c r="I40" s="68"/>
      <c r="J40" s="68"/>
      <c r="K40" s="74"/>
      <c r="L40" s="77"/>
    </row>
    <row r="41" spans="1:13" x14ac:dyDescent="0.6">
      <c r="G41" s="77"/>
      <c r="H41" s="77"/>
      <c r="I41" s="77"/>
      <c r="J41" s="77"/>
      <c r="K41" s="77"/>
      <c r="L41" s="77"/>
    </row>
    <row r="42" spans="1:13" x14ac:dyDescent="0.6">
      <c r="G42" s="77"/>
      <c r="H42" s="77"/>
      <c r="I42" s="77"/>
      <c r="J42" s="77"/>
      <c r="K42" s="77"/>
      <c r="L42" s="77"/>
    </row>
    <row r="43" spans="1:13" x14ac:dyDescent="0.6">
      <c r="G43" s="77"/>
      <c r="H43" s="77"/>
      <c r="I43" s="77"/>
      <c r="J43" s="77"/>
      <c r="K43" s="77"/>
      <c r="L43" s="77"/>
    </row>
    <row r="44" spans="1:13" x14ac:dyDescent="0.6">
      <c r="G44" s="77"/>
      <c r="H44" s="77"/>
      <c r="I44" s="77"/>
      <c r="J44" s="77"/>
      <c r="K44" s="77"/>
      <c r="L44" s="77"/>
    </row>
    <row r="45" spans="1:13" x14ac:dyDescent="0.6">
      <c r="G45" s="77"/>
      <c r="H45" s="77"/>
      <c r="I45" s="77"/>
      <c r="J45" s="77"/>
      <c r="K45" s="77"/>
      <c r="L45" s="77"/>
    </row>
    <row r="46" spans="1:13" x14ac:dyDescent="0.6">
      <c r="G46" s="77"/>
      <c r="H46" s="77"/>
      <c r="I46" s="77"/>
      <c r="J46" s="77"/>
      <c r="K46" s="77"/>
      <c r="L46" s="77"/>
    </row>
    <row r="47" spans="1:13" x14ac:dyDescent="0.6">
      <c r="G47" s="77"/>
      <c r="H47" s="77"/>
      <c r="I47" s="77"/>
      <c r="J47" s="77"/>
      <c r="K47" s="77"/>
      <c r="L47" s="77"/>
    </row>
    <row r="48" spans="1:13" x14ac:dyDescent="0.6">
      <c r="G48" s="77"/>
      <c r="H48" s="77"/>
      <c r="I48" s="77"/>
      <c r="J48" s="77"/>
      <c r="K48" s="77"/>
      <c r="L48" s="77"/>
    </row>
    <row r="49" spans="7:12" x14ac:dyDescent="0.6">
      <c r="G49" s="77"/>
      <c r="H49" s="77"/>
      <c r="I49" s="77"/>
      <c r="J49" s="77"/>
      <c r="K49" s="77"/>
      <c r="L49" s="77"/>
    </row>
    <row r="50" spans="7:12" x14ac:dyDescent="0.6">
      <c r="G50" s="77"/>
      <c r="H50" s="77"/>
      <c r="I50" s="77"/>
      <c r="J50" s="77"/>
      <c r="K50" s="77"/>
      <c r="L50" s="77"/>
    </row>
    <row r="51" spans="7:12" x14ac:dyDescent="0.6">
      <c r="G51" s="77"/>
      <c r="H51" s="77"/>
      <c r="I51" s="77"/>
      <c r="J51" s="77"/>
      <c r="K51" s="77"/>
      <c r="L51" s="77"/>
    </row>
    <row r="52" spans="7:12" x14ac:dyDescent="0.6">
      <c r="G52" s="77"/>
      <c r="H52" s="77"/>
      <c r="I52" s="77"/>
      <c r="J52" s="77"/>
      <c r="K52" s="77"/>
      <c r="L52" s="77"/>
    </row>
    <row r="53" spans="7:12" x14ac:dyDescent="0.6">
      <c r="G53" s="77"/>
      <c r="H53" s="77"/>
      <c r="I53" s="77"/>
      <c r="J53" s="77"/>
      <c r="K53" s="77"/>
      <c r="L53" s="77"/>
    </row>
    <row r="54" spans="7:12" x14ac:dyDescent="0.6">
      <c r="G54" s="77"/>
      <c r="H54" s="77"/>
      <c r="I54" s="77"/>
      <c r="J54" s="77"/>
      <c r="K54" s="77"/>
      <c r="L54" s="77"/>
    </row>
    <row r="55" spans="7:12" x14ac:dyDescent="0.6">
      <c r="J55" s="77"/>
      <c r="K55" s="77"/>
      <c r="L55" s="77"/>
    </row>
    <row r="56" spans="7:12" x14ac:dyDescent="0.6">
      <c r="J56" s="77"/>
      <c r="K56" s="77"/>
      <c r="L56" s="77"/>
    </row>
    <row r="57" spans="7:12" x14ac:dyDescent="0.6">
      <c r="J57" s="77"/>
      <c r="K57" s="77"/>
      <c r="L57" s="77"/>
    </row>
    <row r="58" spans="7:12" x14ac:dyDescent="0.6">
      <c r="J58" s="77"/>
      <c r="K58" s="77"/>
      <c r="L58" s="77"/>
    </row>
    <row r="59" spans="7:12" x14ac:dyDescent="0.6">
      <c r="J59" s="77"/>
      <c r="K59" s="77"/>
      <c r="L59" s="77"/>
    </row>
    <row r="60" spans="7:12" x14ac:dyDescent="0.6">
      <c r="J60" s="77"/>
      <c r="K60" s="77"/>
      <c r="L60" s="77"/>
    </row>
    <row r="61" spans="7:12" x14ac:dyDescent="0.6">
      <c r="J61" s="77"/>
      <c r="K61" s="77"/>
      <c r="L61" s="77"/>
    </row>
    <row r="62" spans="7:12" x14ac:dyDescent="0.6">
      <c r="J62" s="77"/>
      <c r="K62" s="77"/>
      <c r="L62" s="77"/>
    </row>
    <row r="63" spans="7:12" x14ac:dyDescent="0.6">
      <c r="J63" s="77"/>
      <c r="K63" s="77"/>
      <c r="L63" s="77"/>
    </row>
    <row r="64" spans="7:12" x14ac:dyDescent="0.6">
      <c r="J64" s="77"/>
      <c r="K64" s="77"/>
      <c r="L64" s="77"/>
    </row>
  </sheetData>
  <mergeCells count="17">
    <mergeCell ref="A6:A8"/>
    <mergeCell ref="B6:B8"/>
    <mergeCell ref="C6:C8"/>
    <mergeCell ref="D21:F21"/>
    <mergeCell ref="F24:I24"/>
    <mergeCell ref="D27:F27"/>
    <mergeCell ref="G34:J34"/>
    <mergeCell ref="D1:K1"/>
    <mergeCell ref="D2:K2"/>
    <mergeCell ref="D3:K3"/>
    <mergeCell ref="D4:K4"/>
    <mergeCell ref="D6:F7"/>
    <mergeCell ref="G6:J6"/>
    <mergeCell ref="K6:K7"/>
    <mergeCell ref="D14:F14"/>
    <mergeCell ref="D11:F11"/>
    <mergeCell ref="D32:F32"/>
  </mergeCells>
  <phoneticPr fontId="16" type="noConversion"/>
  <pageMargins left="0.25" right="0.25" top="0.25" bottom="0.25" header="0.05" footer="0.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3396D-277C-6340-9CF2-2FAE59EEF8EB}">
  <dimension ref="A1:C31"/>
  <sheetViews>
    <sheetView topLeftCell="A9" zoomScaleNormal="100" workbookViewId="0">
      <selection activeCell="C19" sqref="C19"/>
    </sheetView>
  </sheetViews>
  <sheetFormatPr defaultColWidth="8.83984375" defaultRowHeight="12.3" x14ac:dyDescent="0.4"/>
  <cols>
    <col min="1" max="1" width="8.83984375" style="109"/>
    <col min="2" max="2" width="96" style="132" customWidth="1"/>
    <col min="3" max="3" width="55.47265625" style="132" customWidth="1"/>
    <col min="4" max="16384" width="8.83984375" style="109"/>
  </cols>
  <sheetData>
    <row r="1" spans="1:3" ht="17.7" x14ac:dyDescent="0.6">
      <c r="A1" s="165" t="s">
        <v>88</v>
      </c>
      <c r="B1" s="166"/>
      <c r="C1" s="108" t="s">
        <v>89</v>
      </c>
    </row>
    <row r="2" spans="1:3" ht="15.6" x14ac:dyDescent="0.6">
      <c r="A2" s="110">
        <v>1</v>
      </c>
      <c r="B2" s="111" t="s">
        <v>7</v>
      </c>
      <c r="C2" s="112"/>
    </row>
    <row r="3" spans="1:3" ht="93.6" x14ac:dyDescent="0.6">
      <c r="A3" s="113">
        <v>1.1000000000000001</v>
      </c>
      <c r="B3" s="114" t="s">
        <v>98</v>
      </c>
      <c r="C3" s="115"/>
    </row>
    <row r="4" spans="1:3" ht="62.4" x14ac:dyDescent="0.6">
      <c r="A4" s="113">
        <v>1.2</v>
      </c>
      <c r="B4" s="114" t="s">
        <v>99</v>
      </c>
      <c r="C4" s="115"/>
    </row>
    <row r="5" spans="1:3" ht="46.8" x14ac:dyDescent="0.6">
      <c r="A5" s="113">
        <v>1.3</v>
      </c>
      <c r="B5" s="114" t="s">
        <v>100</v>
      </c>
      <c r="C5" s="115"/>
    </row>
    <row r="6" spans="1:3" ht="46.8" x14ac:dyDescent="0.6">
      <c r="A6" s="113">
        <v>1.4</v>
      </c>
      <c r="B6" s="114" t="s">
        <v>101</v>
      </c>
      <c r="C6" s="115"/>
    </row>
    <row r="7" spans="1:3" ht="15.6" x14ac:dyDescent="0.6">
      <c r="A7" s="116"/>
      <c r="B7" s="117"/>
      <c r="C7" s="118"/>
    </row>
    <row r="8" spans="1:3" ht="15.6" x14ac:dyDescent="0.6">
      <c r="A8" s="119"/>
      <c r="B8" s="120"/>
      <c r="C8" s="121"/>
    </row>
    <row r="9" spans="1:3" ht="15.6" x14ac:dyDescent="0.6">
      <c r="A9" s="110">
        <v>2</v>
      </c>
      <c r="B9" s="111" t="s">
        <v>90</v>
      </c>
      <c r="C9" s="112"/>
    </row>
    <row r="10" spans="1:3" ht="46.8" x14ac:dyDescent="0.6">
      <c r="A10" s="134">
        <v>2.1</v>
      </c>
      <c r="B10" s="127" t="s">
        <v>103</v>
      </c>
      <c r="C10" s="118"/>
    </row>
    <row r="11" spans="1:3" ht="46.8" x14ac:dyDescent="0.6">
      <c r="A11" s="134">
        <v>2.2000000000000002</v>
      </c>
      <c r="B11" s="127" t="s">
        <v>94</v>
      </c>
      <c r="C11" s="118"/>
    </row>
    <row r="12" spans="1:3" ht="46.8" x14ac:dyDescent="0.6">
      <c r="A12" s="134">
        <v>2.2999999999999998</v>
      </c>
      <c r="B12" s="127" t="s">
        <v>95</v>
      </c>
      <c r="C12" s="118"/>
    </row>
    <row r="13" spans="1:3" ht="31.2" x14ac:dyDescent="0.6">
      <c r="A13" s="134">
        <v>2.4</v>
      </c>
      <c r="B13" s="127" t="s">
        <v>96</v>
      </c>
      <c r="C13" s="118"/>
    </row>
    <row r="14" spans="1:3" ht="15.6" x14ac:dyDescent="0.6">
      <c r="A14" s="119"/>
      <c r="B14" s="120"/>
      <c r="C14" s="121"/>
    </row>
    <row r="15" spans="1:3" ht="15.6" x14ac:dyDescent="0.6">
      <c r="A15" s="122">
        <v>3</v>
      </c>
      <c r="B15" s="111" t="s">
        <v>91</v>
      </c>
      <c r="C15" s="112"/>
    </row>
    <row r="16" spans="1:3" ht="15.6" x14ac:dyDescent="0.6">
      <c r="A16" s="116"/>
      <c r="B16" s="117"/>
      <c r="C16" s="118"/>
    </row>
    <row r="17" spans="1:3" ht="15.6" x14ac:dyDescent="0.6">
      <c r="A17" s="119"/>
      <c r="B17" s="120"/>
      <c r="C17" s="121"/>
    </row>
    <row r="18" spans="1:3" ht="15.6" x14ac:dyDescent="0.6">
      <c r="A18" s="110">
        <v>4</v>
      </c>
      <c r="B18" s="111" t="s">
        <v>92</v>
      </c>
      <c r="C18" s="112"/>
    </row>
    <row r="19" spans="1:3" ht="15.6" x14ac:dyDescent="0.6">
      <c r="A19" s="116"/>
      <c r="B19" s="123"/>
      <c r="C19" s="124"/>
    </row>
    <row r="20" spans="1:3" ht="15.6" x14ac:dyDescent="0.6">
      <c r="A20" s="119"/>
      <c r="B20" s="125"/>
      <c r="C20" s="126"/>
    </row>
    <row r="21" spans="1:3" ht="15.6" x14ac:dyDescent="0.6">
      <c r="A21" s="110">
        <v>5</v>
      </c>
      <c r="B21" s="111" t="s">
        <v>17</v>
      </c>
      <c r="C21" s="112"/>
    </row>
    <row r="22" spans="1:3" ht="124.8" x14ac:dyDescent="0.6">
      <c r="A22" s="113">
        <v>5.0999999999999996</v>
      </c>
      <c r="B22" s="127" t="s">
        <v>97</v>
      </c>
      <c r="C22" s="128"/>
    </row>
    <row r="23" spans="1:3" ht="15.6" x14ac:dyDescent="0.6">
      <c r="A23" s="116"/>
      <c r="B23" s="117"/>
      <c r="C23" s="118"/>
    </row>
    <row r="24" spans="1:3" ht="15.6" x14ac:dyDescent="0.6">
      <c r="A24" s="119"/>
      <c r="B24" s="120"/>
      <c r="C24" s="121"/>
    </row>
    <row r="25" spans="1:3" ht="15.6" x14ac:dyDescent="0.6">
      <c r="A25" s="110">
        <v>6</v>
      </c>
      <c r="B25" s="111" t="s">
        <v>19</v>
      </c>
      <c r="C25" s="112"/>
    </row>
    <row r="26" spans="1:3" ht="15.6" x14ac:dyDescent="0.6">
      <c r="A26" s="116"/>
      <c r="B26" s="117"/>
      <c r="C26" s="118"/>
    </row>
    <row r="27" spans="1:3" ht="15.6" x14ac:dyDescent="0.6">
      <c r="A27" s="119"/>
      <c r="B27" s="120"/>
      <c r="C27" s="121"/>
    </row>
    <row r="28" spans="1:3" ht="15.6" x14ac:dyDescent="0.6">
      <c r="A28" s="110">
        <v>7</v>
      </c>
      <c r="B28" s="111" t="s">
        <v>93</v>
      </c>
      <c r="C28" s="112"/>
    </row>
    <row r="29" spans="1:3" ht="46.8" x14ac:dyDescent="0.6">
      <c r="A29" s="113">
        <v>7.1</v>
      </c>
      <c r="B29" s="114" t="s">
        <v>102</v>
      </c>
      <c r="C29" s="115"/>
    </row>
    <row r="30" spans="1:3" ht="15.6" x14ac:dyDescent="0.6">
      <c r="A30" s="116"/>
      <c r="B30" s="117"/>
      <c r="C30" s="118"/>
    </row>
    <row r="31" spans="1:3" ht="15.9" thickBot="1" x14ac:dyDescent="0.65">
      <c r="A31" s="129"/>
      <c r="B31" s="130"/>
      <c r="C31" s="131"/>
    </row>
  </sheetData>
  <mergeCells count="1">
    <mergeCell ref="A1:B1"/>
  </mergeCells>
  <pageMargins left="0.25" right="0.25" top="0.75" bottom="0.75" header="0.3" footer="0.3"/>
  <pageSetup scale="79" orientation="landscape" horizontalDpi="4294967295" verticalDpi="4294967295" r:id="rId1"/>
  <rowBreaks count="1" manualBreakCount="1">
    <brk id="29"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9" ma:contentTypeDescription="Create a new document." ma:contentTypeScope="" ma:versionID="a5577d833b9f28dcc6be37a04859b9a8">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ae50cb7862d574a2d96b6910b4abdc85"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dc808d36-874f-4b27-aec2-2fd649817929">
      <UserInfo>
        <DisplayName/>
        <AccountId xsi:nil="true"/>
        <AccountType/>
      </UserInfo>
    </SharedWithUsers>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EEADDE9-7D58-4696-B6EF-F2F7EE03BD2A}"/>
</file>

<file path=customXml/itemProps2.xml><?xml version="1.0" encoding="utf-8"?>
<ds:datastoreItem xmlns:ds="http://schemas.openxmlformats.org/officeDocument/2006/customXml" ds:itemID="{12B46EBA-CC5A-4D3A-A948-EDE0270BDF13}">
  <ds:schemaRefs>
    <ds:schemaRef ds:uri="http://schemas.microsoft.com/sharepoint/v3/contenttype/forms"/>
  </ds:schemaRefs>
</ds:datastoreItem>
</file>

<file path=customXml/itemProps3.xml><?xml version="1.0" encoding="utf-8"?>
<ds:datastoreItem xmlns:ds="http://schemas.openxmlformats.org/officeDocument/2006/customXml" ds:itemID="{3671461A-AAE4-4A65-8DF2-9702D1169F22}">
  <ds:schemaRefs>
    <ds:schemaRef ds:uri="dc808d36-874f-4b27-aec2-2fd649817929"/>
    <ds:schemaRef ds:uri="http://purl.org/dc/elements/1.1/"/>
    <ds:schemaRef ds:uri="http://schemas.microsoft.com/office/2006/documentManagement/types"/>
    <ds:schemaRef ds:uri="http://schemas.openxmlformats.org/package/2006/metadata/core-properties"/>
    <ds:schemaRef ds:uri="f8135ccf-0908-4d8c-8b6a-2ec449ff78ed"/>
    <ds:schemaRef ds:uri="http://schemas.microsoft.com/office/2006/metadata/properties"/>
    <ds:schemaRef ds:uri="http://purl.org/dc/dcmitype/"/>
    <ds:schemaRef ds:uri="http://schemas.microsoft.com/office/infopath/2007/PartnerControl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1. Summary Budget</vt:lpstr>
      <vt:lpstr>1. Budget $100k</vt:lpstr>
      <vt:lpstr>Budget Summary</vt:lpstr>
      <vt:lpstr>Budget Narrative</vt:lpstr>
      <vt:lpstr>'1. Budget $100k'!Print_Area</vt:lpstr>
      <vt:lpstr>'1. Summary Budget'!Print_Area</vt:lpstr>
      <vt:lpstr>'Budget Summary'!Print_Area</vt:lpstr>
    </vt:vector>
  </TitlesOfParts>
  <Manager/>
  <Company>U.S. Department of State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ThompsonLD</dc:creator>
  <cp:keywords/>
  <dc:description/>
  <cp:lastModifiedBy>Danielle Martin</cp:lastModifiedBy>
  <cp:revision/>
  <dcterms:created xsi:type="dcterms:W3CDTF">2011-04-25T16:36:39Z</dcterms:created>
  <dcterms:modified xsi:type="dcterms:W3CDTF">2024-12-08T22:58:13Z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65d9ee-429a-4d5f-97cc-cfb56e044a6e_Enabled">
    <vt:lpwstr>True</vt:lpwstr>
  </property>
  <property fmtid="{D5CDD505-2E9C-101B-9397-08002B2CF9AE}" pid="3" name="MSIP_Label_1665d9ee-429a-4d5f-97cc-cfb56e044a6e_SiteId">
    <vt:lpwstr>66cf5074-5afe-48d1-a691-a12b2121f44b</vt:lpwstr>
  </property>
  <property fmtid="{D5CDD505-2E9C-101B-9397-08002B2CF9AE}" pid="4" name="MSIP_Label_1665d9ee-429a-4d5f-97cc-cfb56e044a6e_Owner">
    <vt:lpwstr>ProctorME@state.gov</vt:lpwstr>
  </property>
  <property fmtid="{D5CDD505-2E9C-101B-9397-08002B2CF9AE}" pid="5" name="MSIP_Label_1665d9ee-429a-4d5f-97cc-cfb56e044a6e_SetDate">
    <vt:lpwstr>2020-05-22T16:53:29.0373647Z</vt:lpwstr>
  </property>
  <property fmtid="{D5CDD505-2E9C-101B-9397-08002B2CF9AE}" pid="6" name="MSIP_Label_1665d9ee-429a-4d5f-97cc-cfb56e044a6e_Name">
    <vt:lpwstr>Unclassified</vt:lpwstr>
  </property>
  <property fmtid="{D5CDD505-2E9C-101B-9397-08002B2CF9AE}" pid="7" name="MSIP_Label_1665d9ee-429a-4d5f-97cc-cfb56e044a6e_Application">
    <vt:lpwstr>Microsoft Azure Information Protection</vt:lpwstr>
  </property>
  <property fmtid="{D5CDD505-2E9C-101B-9397-08002B2CF9AE}" pid="8" name="MSIP_Label_1665d9ee-429a-4d5f-97cc-cfb56e044a6e_ActionId">
    <vt:lpwstr>ac692d21-a394-4b6a-96e9-b3db398d30ac</vt:lpwstr>
  </property>
  <property fmtid="{D5CDD505-2E9C-101B-9397-08002B2CF9AE}" pid="9" name="MSIP_Label_1665d9ee-429a-4d5f-97cc-cfb56e044a6e_Extended_MSFT_Method">
    <vt:lpwstr>Manual</vt:lpwstr>
  </property>
  <property fmtid="{D5CDD505-2E9C-101B-9397-08002B2CF9AE}" pid="10" name="Sensitivity">
    <vt:lpwstr>Unclassified</vt:lpwstr>
  </property>
  <property fmtid="{D5CDD505-2E9C-101B-9397-08002B2CF9AE}" pid="11" name="ContentTypeId">
    <vt:lpwstr>0x0101003206C8355D678A459F2EF8957171B231</vt:lpwstr>
  </property>
  <property fmtid="{D5CDD505-2E9C-101B-9397-08002B2CF9AE}" pid="12" name="Order">
    <vt:r8>11853400</vt:r8>
  </property>
  <property fmtid="{D5CDD505-2E9C-101B-9397-08002B2CF9AE}" pid="13" name="xd_Signature">
    <vt:bool>false</vt:bool>
  </property>
  <property fmtid="{D5CDD505-2E9C-101B-9397-08002B2CF9AE}" pid="14" name="xd_ProgID">
    <vt:lpwstr/>
  </property>
  <property fmtid="{D5CDD505-2E9C-101B-9397-08002B2CF9AE}" pid="15" name="ComplianceAssetId">
    <vt:lpwstr/>
  </property>
  <property fmtid="{D5CDD505-2E9C-101B-9397-08002B2CF9AE}" pid="16" name="TemplateUrl">
    <vt:lpwstr/>
  </property>
  <property fmtid="{D5CDD505-2E9C-101B-9397-08002B2CF9AE}" pid="17" name="MediaServiceImageTags">
    <vt:lpwstr/>
  </property>
</Properties>
</file>