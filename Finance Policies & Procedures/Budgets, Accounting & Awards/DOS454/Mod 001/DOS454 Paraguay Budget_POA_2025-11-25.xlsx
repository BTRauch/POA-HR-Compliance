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276" documentId="13_ncr:1_{009D0943-E5B7-492E-9AF5-961899549652}" xr6:coauthVersionLast="47" xr6:coauthVersionMax="47" xr10:uidLastSave="{81B06B1E-C05C-43B5-A77A-9F9CCE016EC4}"/>
  <bookViews>
    <workbookView xWindow="-96" yWindow="-96" windowWidth="23232" windowHeight="12552" xr2:uid="{00000000-000D-0000-FFFF-FFFF00000000}"/>
  </bookViews>
  <sheets>
    <sheet name="POA Line Item Budget" sheetId="5" r:id="rId1"/>
    <sheet name="M&amp;E Budget" sheetId="12" r:id="rId2"/>
    <sheet name="Summary by Year" sheetId="6" r:id="rId3"/>
  </sheets>
  <definedNames>
    <definedName name="_xlnm.Print_Area" localSheetId="0">'POA Line Item Budget'!$D$8:$AA$130</definedName>
    <definedName name="_xlnm.Print_Area" localSheetId="2">'Summary by Year'!$A$4:$H$17</definedName>
    <definedName name="_xlnm.Print_Titles" localSheetId="0">'POA Line Item Budget'!$9:$9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6" l="1"/>
  <c r="H13" i="6"/>
  <c r="N106" i="5"/>
  <c r="M107" i="5"/>
  <c r="N107" i="5" s="1"/>
  <c r="M104" i="5"/>
  <c r="J107" i="5"/>
  <c r="J105" i="5"/>
  <c r="J106" i="5"/>
  <c r="J108" i="5"/>
  <c r="J109" i="5"/>
  <c r="J110" i="5"/>
  <c r="M96" i="5"/>
  <c r="N96" i="5" s="1"/>
  <c r="M97" i="5"/>
  <c r="J96" i="5"/>
  <c r="M61" i="5"/>
  <c r="Q61" i="5" s="1"/>
  <c r="M55" i="5"/>
  <c r="M116" i="5"/>
  <c r="N116" i="5" s="1"/>
  <c r="M118" i="5"/>
  <c r="M110" i="5"/>
  <c r="Q110" i="5" s="1"/>
  <c r="R110" i="5" s="1"/>
  <c r="R57" i="5"/>
  <c r="R59" i="5"/>
  <c r="M64" i="5"/>
  <c r="Q64" i="5" s="1"/>
  <c r="M63" i="5"/>
  <c r="Q63" i="5" s="1"/>
  <c r="U63" i="5" s="1"/>
  <c r="Z63" i="5" s="1"/>
  <c r="Q55" i="5"/>
  <c r="U55" i="5" s="1"/>
  <c r="V55" i="5" s="1"/>
  <c r="J64" i="5"/>
  <c r="J63" i="5"/>
  <c r="J61" i="5"/>
  <c r="J59" i="5"/>
  <c r="J57" i="5"/>
  <c r="J56" i="5"/>
  <c r="M50" i="5"/>
  <c r="N50" i="5" s="1"/>
  <c r="J50" i="5"/>
  <c r="AA107" i="5" l="1"/>
  <c r="AA96" i="5"/>
  <c r="AA57" i="5"/>
  <c r="U110" i="5"/>
  <c r="V110" i="5" s="1"/>
  <c r="U61" i="5"/>
  <c r="R61" i="5"/>
  <c r="N61" i="5"/>
  <c r="U64" i="5"/>
  <c r="Y64" i="5" s="1"/>
  <c r="Z64" i="5" s="1"/>
  <c r="R64" i="5"/>
  <c r="R63" i="5"/>
  <c r="AA63" i="5" s="1"/>
  <c r="B7" i="12" s="1"/>
  <c r="AA59" i="5"/>
  <c r="Q50" i="5"/>
  <c r="Y110" i="5" l="1"/>
  <c r="Z110" i="5" s="1"/>
  <c r="R50" i="5"/>
  <c r="U50" i="5"/>
  <c r="V50" i="5" s="1"/>
  <c r="Y61" i="5"/>
  <c r="Z61" i="5" s="1"/>
  <c r="Z65" i="5" s="1"/>
  <c r="F12" i="6" s="1"/>
  <c r="V61" i="5"/>
  <c r="AA64" i="5"/>
  <c r="B8" i="12" s="1"/>
  <c r="AA50" i="5" l="1"/>
  <c r="AA61" i="5"/>
  <c r="M121" i="5"/>
  <c r="Q121" i="5" s="1"/>
  <c r="R121" i="5" s="1"/>
  <c r="M120" i="5"/>
  <c r="Q120" i="5" s="1"/>
  <c r="R120" i="5" s="1"/>
  <c r="N110" i="5"/>
  <c r="J118" i="5"/>
  <c r="J116" i="5"/>
  <c r="J115" i="5"/>
  <c r="J113" i="5"/>
  <c r="M109" i="5"/>
  <c r="M108" i="5"/>
  <c r="Q104" i="5"/>
  <c r="AA106" i="5"/>
  <c r="M89" i="5"/>
  <c r="N89" i="5" s="1"/>
  <c r="M90" i="5"/>
  <c r="Q90" i="5" s="1"/>
  <c r="M91" i="5"/>
  <c r="N91" i="5" s="1"/>
  <c r="M92" i="5"/>
  <c r="N92" i="5" s="1"/>
  <c r="M93" i="5"/>
  <c r="Q93" i="5" s="1"/>
  <c r="N94" i="5"/>
  <c r="N95" i="5"/>
  <c r="Q97" i="5"/>
  <c r="M98" i="5"/>
  <c r="N98" i="5" s="1"/>
  <c r="M99" i="5"/>
  <c r="N99" i="5" s="1"/>
  <c r="M100" i="5"/>
  <c r="N100" i="5" s="1"/>
  <c r="J100" i="5"/>
  <c r="J99" i="5"/>
  <c r="J98" i="5"/>
  <c r="J95" i="5"/>
  <c r="J94" i="5"/>
  <c r="J92" i="5"/>
  <c r="J91" i="5"/>
  <c r="J90" i="5"/>
  <c r="J89" i="5"/>
  <c r="N55" i="5"/>
  <c r="M54" i="5"/>
  <c r="N54" i="5" s="1"/>
  <c r="M53" i="5"/>
  <c r="Q53" i="5" s="1"/>
  <c r="M52" i="5"/>
  <c r="N52" i="5" s="1"/>
  <c r="M51" i="5"/>
  <c r="M67" i="5"/>
  <c r="Q67" i="5" s="1"/>
  <c r="R67" i="5" s="1"/>
  <c r="J55" i="5"/>
  <c r="J54" i="5"/>
  <c r="J53" i="5"/>
  <c r="J52" i="5"/>
  <c r="J51" i="5"/>
  <c r="M122" i="5"/>
  <c r="N122" i="5" s="1"/>
  <c r="M82" i="5"/>
  <c r="Q82" i="5" s="1"/>
  <c r="E20" i="5"/>
  <c r="M13" i="5"/>
  <c r="Q13" i="5" s="1"/>
  <c r="R13" i="5" s="1"/>
  <c r="M12" i="5"/>
  <c r="J13" i="5"/>
  <c r="I20" i="5" s="1"/>
  <c r="M126" i="5"/>
  <c r="Q126" i="5" s="1"/>
  <c r="M125" i="5"/>
  <c r="Q125" i="5" s="1"/>
  <c r="M88" i="5"/>
  <c r="Q88" i="5" s="1"/>
  <c r="M87" i="5"/>
  <c r="Q87" i="5" s="1"/>
  <c r="M86" i="5"/>
  <c r="Q86" i="5" s="1"/>
  <c r="M85" i="5"/>
  <c r="N85" i="5" s="1"/>
  <c r="M84" i="5"/>
  <c r="N84" i="5" s="1"/>
  <c r="M83" i="5"/>
  <c r="Q83" i="5" s="1"/>
  <c r="M80" i="5"/>
  <c r="Q80" i="5" s="1"/>
  <c r="M79" i="5"/>
  <c r="Q79" i="5" s="1"/>
  <c r="M76" i="5"/>
  <c r="N76" i="5" s="1"/>
  <c r="T42" i="5"/>
  <c r="M40" i="5"/>
  <c r="Q40" i="5" s="1"/>
  <c r="U40" i="5" s="1"/>
  <c r="V40" i="5" s="1"/>
  <c r="P41" i="5"/>
  <c r="P42" i="5" s="1"/>
  <c r="M36" i="5"/>
  <c r="Q36" i="5" s="1"/>
  <c r="M37" i="5"/>
  <c r="Q37" i="5" s="1"/>
  <c r="R37" i="5" s="1"/>
  <c r="M35" i="5"/>
  <c r="Q35" i="5" s="1"/>
  <c r="AA30" i="5"/>
  <c r="X29" i="5"/>
  <c r="X28" i="5"/>
  <c r="T29" i="5"/>
  <c r="T28" i="5"/>
  <c r="P29" i="5"/>
  <c r="P28" i="5"/>
  <c r="D19" i="5"/>
  <c r="D21" i="5"/>
  <c r="D22" i="5"/>
  <c r="D18" i="5"/>
  <c r="A5" i="12"/>
  <c r="A6" i="12"/>
  <c r="A4" i="12"/>
  <c r="M38" i="5"/>
  <c r="Q38" i="5" s="1"/>
  <c r="R38" i="5" s="1"/>
  <c r="G38" i="5"/>
  <c r="G37" i="5"/>
  <c r="J37" i="5" s="1"/>
  <c r="J36" i="5"/>
  <c r="J35" i="5"/>
  <c r="L41" i="5"/>
  <c r="L42" i="5" s="1"/>
  <c r="J41" i="5"/>
  <c r="M42" i="5"/>
  <c r="Q42" i="5" s="1"/>
  <c r="U42" i="5" s="1"/>
  <c r="M41" i="5"/>
  <c r="Q41" i="5" s="1"/>
  <c r="J40" i="5"/>
  <c r="J122" i="5"/>
  <c r="J121" i="5"/>
  <c r="J124" i="5"/>
  <c r="AA124" i="5" s="1"/>
  <c r="B4" i="12" s="1"/>
  <c r="J85" i="5"/>
  <c r="J84" i="5"/>
  <c r="M78" i="5"/>
  <c r="Q78" i="5" s="1"/>
  <c r="J76" i="5"/>
  <c r="J68" i="5"/>
  <c r="M68" i="5"/>
  <c r="N68" i="5" s="1"/>
  <c r="I32" i="5"/>
  <c r="R83" i="5" l="1"/>
  <c r="U83" i="5"/>
  <c r="V83" i="5" s="1"/>
  <c r="R86" i="5"/>
  <c r="U86" i="5"/>
  <c r="V86" i="5" s="1"/>
  <c r="R90" i="5"/>
  <c r="U90" i="5"/>
  <c r="V90" i="5" s="1"/>
  <c r="R87" i="5"/>
  <c r="U87" i="5"/>
  <c r="V87" i="5" s="1"/>
  <c r="R82" i="5"/>
  <c r="U82" i="5"/>
  <c r="V82" i="5" s="1"/>
  <c r="R80" i="5"/>
  <c r="U80" i="5"/>
  <c r="V80" i="5" s="1"/>
  <c r="R78" i="5"/>
  <c r="U78" i="5"/>
  <c r="V78" i="5" s="1"/>
  <c r="R88" i="5"/>
  <c r="U88" i="5"/>
  <c r="V88" i="5" s="1"/>
  <c r="R79" i="5"/>
  <c r="U79" i="5"/>
  <c r="V79" i="5" s="1"/>
  <c r="R53" i="5"/>
  <c r="U53" i="5"/>
  <c r="V53" i="5" s="1"/>
  <c r="N109" i="5"/>
  <c r="Q109" i="5"/>
  <c r="J65" i="5"/>
  <c r="N108" i="5"/>
  <c r="Q108" i="5"/>
  <c r="N118" i="5"/>
  <c r="Q118" i="5"/>
  <c r="N51" i="5"/>
  <c r="Q51" i="5"/>
  <c r="V42" i="5"/>
  <c r="AA115" i="5"/>
  <c r="AA113" i="5"/>
  <c r="AA116" i="5"/>
  <c r="AA110" i="5"/>
  <c r="Q94" i="5"/>
  <c r="R94" i="5" s="1"/>
  <c r="AA94" i="5" s="1"/>
  <c r="Q92" i="5"/>
  <c r="Q100" i="5"/>
  <c r="Q95" i="5"/>
  <c r="R95" i="5" s="1"/>
  <c r="AA95" i="5" s="1"/>
  <c r="N90" i="5"/>
  <c r="Q89" i="5"/>
  <c r="Q98" i="5"/>
  <c r="Q91" i="5"/>
  <c r="Q99" i="5"/>
  <c r="Q54" i="5"/>
  <c r="R55" i="5"/>
  <c r="N121" i="5"/>
  <c r="Q52" i="5"/>
  <c r="N53" i="5"/>
  <c r="U120" i="5"/>
  <c r="U121" i="5"/>
  <c r="J20" i="5"/>
  <c r="Q122" i="5"/>
  <c r="R122" i="5" s="1"/>
  <c r="N35" i="5"/>
  <c r="V35" i="5"/>
  <c r="R35" i="5"/>
  <c r="V37" i="5"/>
  <c r="U13" i="5"/>
  <c r="Q20" i="5"/>
  <c r="R20" i="5" s="1"/>
  <c r="N13" i="5"/>
  <c r="M20" i="5" s="1"/>
  <c r="N20" i="5" s="1"/>
  <c r="R41" i="5"/>
  <c r="N40" i="5"/>
  <c r="N37" i="5"/>
  <c r="Q76" i="5"/>
  <c r="N80" i="5"/>
  <c r="Q68" i="5"/>
  <c r="R68" i="5" s="1"/>
  <c r="V38" i="5"/>
  <c r="R40" i="5"/>
  <c r="R104" i="5"/>
  <c r="U104" i="5"/>
  <c r="R125" i="5"/>
  <c r="U125" i="5"/>
  <c r="R36" i="5"/>
  <c r="V36" i="5"/>
  <c r="R126" i="5"/>
  <c r="U126" i="5"/>
  <c r="N79" i="5"/>
  <c r="N36" i="5"/>
  <c r="R42" i="5"/>
  <c r="U67" i="5"/>
  <c r="U41" i="5"/>
  <c r="Q84" i="5"/>
  <c r="N78" i="5"/>
  <c r="Q85" i="5"/>
  <c r="J38" i="5"/>
  <c r="N38" i="5"/>
  <c r="N41" i="5"/>
  <c r="N42" i="5"/>
  <c r="J42" i="5"/>
  <c r="J78" i="5"/>
  <c r="J80" i="5"/>
  <c r="J79" i="5"/>
  <c r="G15" i="6"/>
  <c r="G17" i="6" s="1"/>
  <c r="I72" i="5"/>
  <c r="J72" i="5" s="1"/>
  <c r="M71" i="5"/>
  <c r="J71" i="5"/>
  <c r="Y13" i="5" l="1"/>
  <c r="V13" i="5"/>
  <c r="AA79" i="5"/>
  <c r="AA90" i="5"/>
  <c r="AA53" i="5"/>
  <c r="R84" i="5"/>
  <c r="U84" i="5"/>
  <c r="V84" i="5" s="1"/>
  <c r="R98" i="5"/>
  <c r="U98" i="5"/>
  <c r="R89" i="5"/>
  <c r="U89" i="5"/>
  <c r="V89" i="5" s="1"/>
  <c r="AA80" i="5"/>
  <c r="U76" i="5"/>
  <c r="R76" i="5"/>
  <c r="R52" i="5"/>
  <c r="U52" i="5"/>
  <c r="V52" i="5" s="1"/>
  <c r="AA78" i="5"/>
  <c r="R108" i="5"/>
  <c r="U108" i="5"/>
  <c r="R100" i="5"/>
  <c r="U100" i="5"/>
  <c r="R54" i="5"/>
  <c r="U54" i="5"/>
  <c r="V54" i="5" s="1"/>
  <c r="R92" i="5"/>
  <c r="U92" i="5"/>
  <c r="V92" i="5" s="1"/>
  <c r="V120" i="5"/>
  <c r="Y120" i="5"/>
  <c r="Z120" i="5" s="1"/>
  <c r="R85" i="5"/>
  <c r="U85" i="5"/>
  <c r="V85" i="5" s="1"/>
  <c r="R99" i="5"/>
  <c r="U99" i="5"/>
  <c r="R109" i="5"/>
  <c r="U109" i="5"/>
  <c r="V121" i="5"/>
  <c r="Y121" i="5"/>
  <c r="Z121" i="5" s="1"/>
  <c r="R91" i="5"/>
  <c r="U91" i="5"/>
  <c r="V91" i="5" s="1"/>
  <c r="R51" i="5"/>
  <c r="U51" i="5"/>
  <c r="V51" i="5" s="1"/>
  <c r="N65" i="5"/>
  <c r="AA36" i="5"/>
  <c r="U118" i="5"/>
  <c r="R118" i="5"/>
  <c r="AA40" i="5"/>
  <c r="AA38" i="5"/>
  <c r="AA37" i="5"/>
  <c r="V41" i="5"/>
  <c r="AA41" i="5" s="1"/>
  <c r="AA42" i="5"/>
  <c r="AA55" i="5"/>
  <c r="U68" i="5"/>
  <c r="V68" i="5" s="1"/>
  <c r="AA35" i="5"/>
  <c r="U122" i="5"/>
  <c r="V67" i="5"/>
  <c r="Y67" i="5"/>
  <c r="Z67" i="5" s="1"/>
  <c r="V125" i="5"/>
  <c r="Y125" i="5"/>
  <c r="Z125" i="5" s="1"/>
  <c r="V104" i="5"/>
  <c r="Y104" i="5"/>
  <c r="Z104" i="5" s="1"/>
  <c r="N71" i="5"/>
  <c r="Q71" i="5"/>
  <c r="V126" i="5"/>
  <c r="Y126" i="5"/>
  <c r="Z126" i="5" s="1"/>
  <c r="M72" i="5"/>
  <c r="M70" i="5"/>
  <c r="J70" i="5"/>
  <c r="M69" i="5"/>
  <c r="J69" i="5"/>
  <c r="N67" i="5"/>
  <c r="J67" i="5"/>
  <c r="Z13" i="5" l="1"/>
  <c r="Y20" i="5" s="1"/>
  <c r="Z20" i="5" s="1"/>
  <c r="R65" i="5"/>
  <c r="D12" i="6" s="1"/>
  <c r="V65" i="5"/>
  <c r="E12" i="6" s="1"/>
  <c r="AA52" i="5"/>
  <c r="AA91" i="5"/>
  <c r="AA85" i="5"/>
  <c r="AA54" i="5"/>
  <c r="V100" i="5"/>
  <c r="Y100" i="5"/>
  <c r="Z100" i="5" s="1"/>
  <c r="V108" i="5"/>
  <c r="Y108" i="5"/>
  <c r="Z108" i="5" s="1"/>
  <c r="V109" i="5"/>
  <c r="Y109" i="5"/>
  <c r="Z109" i="5" s="1"/>
  <c r="AA89" i="5"/>
  <c r="AA51" i="5"/>
  <c r="AA65" i="5" s="1"/>
  <c r="AA92" i="5"/>
  <c r="V98" i="5"/>
  <c r="Y98" i="5"/>
  <c r="Z98" i="5" s="1"/>
  <c r="V122" i="5"/>
  <c r="Y122" i="5"/>
  <c r="Z122" i="5" s="1"/>
  <c r="V99" i="5"/>
  <c r="Y99" i="5"/>
  <c r="Z99" i="5" s="1"/>
  <c r="AA99" i="5" s="1"/>
  <c r="V76" i="5"/>
  <c r="Y76" i="5"/>
  <c r="Z76" i="5" s="1"/>
  <c r="V118" i="5"/>
  <c r="Y118" i="5"/>
  <c r="Z118" i="5" s="1"/>
  <c r="AA84" i="5"/>
  <c r="Y68" i="5"/>
  <c r="AA121" i="5"/>
  <c r="AA67" i="5"/>
  <c r="AA13" i="5"/>
  <c r="B2" i="12" s="1"/>
  <c r="U20" i="5"/>
  <c r="V20" i="5" s="1"/>
  <c r="U71" i="5"/>
  <c r="R71" i="5"/>
  <c r="N69" i="5"/>
  <c r="Q69" i="5"/>
  <c r="N70" i="5"/>
  <c r="Q70" i="5"/>
  <c r="N72" i="5"/>
  <c r="Q72" i="5"/>
  <c r="J104" i="5"/>
  <c r="N104" i="5"/>
  <c r="N88" i="5"/>
  <c r="J88" i="5"/>
  <c r="N87" i="5"/>
  <c r="J87" i="5"/>
  <c r="AA87" i="5" s="1"/>
  <c r="AA88" i="5" l="1"/>
  <c r="AA20" i="5"/>
  <c r="B3" i="12" s="1"/>
  <c r="AA76" i="5"/>
  <c r="Z68" i="5"/>
  <c r="AA68" i="5" s="1"/>
  <c r="AA118" i="5"/>
  <c r="AA98" i="5"/>
  <c r="AA109" i="5"/>
  <c r="AA108" i="5"/>
  <c r="AA100" i="5"/>
  <c r="AA122" i="5"/>
  <c r="R72" i="5"/>
  <c r="U72" i="5"/>
  <c r="U69" i="5"/>
  <c r="R69" i="5"/>
  <c r="R70" i="5"/>
  <c r="U70" i="5"/>
  <c r="V71" i="5"/>
  <c r="Y71" i="5"/>
  <c r="Z71" i="5" s="1"/>
  <c r="AA104" i="5"/>
  <c r="J11" i="5"/>
  <c r="M11" i="5"/>
  <c r="Q11" i="5" s="1"/>
  <c r="R127" i="5" l="1"/>
  <c r="D14" i="6" s="1"/>
  <c r="AA71" i="5"/>
  <c r="V69" i="5"/>
  <c r="Y69" i="5"/>
  <c r="Z69" i="5" s="1"/>
  <c r="V72" i="5"/>
  <c r="Y72" i="5"/>
  <c r="Z72" i="5" s="1"/>
  <c r="V70" i="5"/>
  <c r="Y70" i="5"/>
  <c r="Z70" i="5" s="1"/>
  <c r="U11" i="5"/>
  <c r="R11" i="5"/>
  <c r="Q18" i="5" s="1"/>
  <c r="R18" i="5" s="1"/>
  <c r="I18" i="5"/>
  <c r="Z127" i="5" l="1"/>
  <c r="F14" i="6" s="1"/>
  <c r="V127" i="5"/>
  <c r="E14" i="6" s="1"/>
  <c r="AA70" i="5"/>
  <c r="AA69" i="5"/>
  <c r="AA72" i="5"/>
  <c r="V11" i="5"/>
  <c r="U18" i="5" s="1"/>
  <c r="V18" i="5" s="1"/>
  <c r="Y11" i="5"/>
  <c r="Z11" i="5" s="1"/>
  <c r="Y18" i="5" s="1"/>
  <c r="Z18" i="5" s="1"/>
  <c r="N86" i="5"/>
  <c r="J86" i="5"/>
  <c r="N83" i="5"/>
  <c r="J83" i="5"/>
  <c r="N120" i="5"/>
  <c r="J120" i="5"/>
  <c r="N82" i="5"/>
  <c r="J82" i="5"/>
  <c r="AA86" i="5" l="1"/>
  <c r="AA83" i="5"/>
  <c r="AA82" i="5"/>
  <c r="AA120" i="5"/>
  <c r="L29" i="5" l="1"/>
  <c r="L28" i="5"/>
  <c r="G29" i="5"/>
  <c r="G28" i="5"/>
  <c r="M26" i="5"/>
  <c r="Q26" i="5" s="1"/>
  <c r="U26" i="5" l="1"/>
  <c r="R26" i="5"/>
  <c r="M45" i="5"/>
  <c r="Q45" i="5" s="1"/>
  <c r="M27" i="5"/>
  <c r="Q27" i="5" s="1"/>
  <c r="R27" i="5" s="1"/>
  <c r="M28" i="5"/>
  <c r="Q28" i="5" s="1"/>
  <c r="R28" i="5" s="1"/>
  <c r="M29" i="5"/>
  <c r="Q29" i="5" s="1"/>
  <c r="R29" i="5" s="1"/>
  <c r="M31" i="5"/>
  <c r="Q31" i="5" s="1"/>
  <c r="M32" i="5"/>
  <c r="Q32" i="5" s="1"/>
  <c r="M33" i="5"/>
  <c r="Q12" i="5"/>
  <c r="U12" i="5" s="1"/>
  <c r="M14" i="5"/>
  <c r="Q14" i="5" s="1"/>
  <c r="M15" i="5"/>
  <c r="Q15" i="5" s="1"/>
  <c r="U32" i="5" l="1"/>
  <c r="R32" i="5"/>
  <c r="R31" i="5"/>
  <c r="U31" i="5"/>
  <c r="N33" i="5"/>
  <c r="Q33" i="5"/>
  <c r="U29" i="5"/>
  <c r="V29" i="5" s="1"/>
  <c r="U28" i="5"/>
  <c r="V28" i="5" s="1"/>
  <c r="U27" i="5"/>
  <c r="V27" i="5" s="1"/>
  <c r="R45" i="5"/>
  <c r="U45" i="5"/>
  <c r="V26" i="5"/>
  <c r="Y26" i="5"/>
  <c r="Z26" i="5" s="1"/>
  <c r="U15" i="5"/>
  <c r="R15" i="5"/>
  <c r="Q22" i="5" s="1"/>
  <c r="R22" i="5" s="1"/>
  <c r="R14" i="5"/>
  <c r="Q21" i="5" s="1"/>
  <c r="R21" i="5" s="1"/>
  <c r="U14" i="5"/>
  <c r="R12" i="5"/>
  <c r="J14" i="5"/>
  <c r="J12" i="5"/>
  <c r="U33" i="5" l="1"/>
  <c r="R33" i="5"/>
  <c r="R43" i="5" s="1"/>
  <c r="D9" i="6" s="1"/>
  <c r="V31" i="5"/>
  <c r="Y31" i="5"/>
  <c r="Z31" i="5" s="1"/>
  <c r="V32" i="5"/>
  <c r="Y32" i="5"/>
  <c r="Z32" i="5" s="1"/>
  <c r="R47" i="5"/>
  <c r="D11" i="6" s="1"/>
  <c r="Y27" i="5"/>
  <c r="Z27" i="5" s="1"/>
  <c r="Y28" i="5"/>
  <c r="Z28" i="5" s="1"/>
  <c r="V45" i="5"/>
  <c r="Y45" i="5"/>
  <c r="Z45" i="5" s="1"/>
  <c r="Y29" i="5"/>
  <c r="Z29" i="5" s="1"/>
  <c r="V46" i="5"/>
  <c r="Z46" i="5"/>
  <c r="R16" i="5"/>
  <c r="D7" i="6" s="1"/>
  <c r="Q19" i="5"/>
  <c r="R19" i="5" s="1"/>
  <c r="R23" i="5" s="1"/>
  <c r="D8" i="6" s="1"/>
  <c r="V12" i="5"/>
  <c r="U19" i="5" s="1"/>
  <c r="V19" i="5" s="1"/>
  <c r="Y12" i="5"/>
  <c r="Z12" i="5" s="1"/>
  <c r="Y19" i="5" s="1"/>
  <c r="Z19" i="5" s="1"/>
  <c r="V14" i="5"/>
  <c r="U21" i="5" s="1"/>
  <c r="V21" i="5" s="1"/>
  <c r="Y14" i="5"/>
  <c r="Z14" i="5" s="1"/>
  <c r="Y21" i="5" s="1"/>
  <c r="Z21" i="5" s="1"/>
  <c r="V15" i="5"/>
  <c r="U22" i="5" s="1"/>
  <c r="V22" i="5" s="1"/>
  <c r="Y15" i="5"/>
  <c r="Z15" i="5" s="1"/>
  <c r="Y22" i="5" s="1"/>
  <c r="Z22" i="5" s="1"/>
  <c r="I19" i="5"/>
  <c r="I21" i="5"/>
  <c r="E18" i="5"/>
  <c r="J18" i="5" s="1"/>
  <c r="E22" i="5"/>
  <c r="E21" i="5"/>
  <c r="E19" i="5"/>
  <c r="J125" i="5"/>
  <c r="N125" i="5"/>
  <c r="J126" i="5"/>
  <c r="J33" i="5"/>
  <c r="J26" i="5"/>
  <c r="N26" i="5"/>
  <c r="J27" i="5"/>
  <c r="N27" i="5"/>
  <c r="J28" i="5"/>
  <c r="J29" i="5"/>
  <c r="J31" i="5"/>
  <c r="N31" i="5"/>
  <c r="J32" i="5"/>
  <c r="N32" i="5"/>
  <c r="K11" i="5"/>
  <c r="K12" i="5"/>
  <c r="K14" i="5"/>
  <c r="J15" i="5"/>
  <c r="K15" i="5"/>
  <c r="J45" i="5"/>
  <c r="J46" i="5"/>
  <c r="D15" i="6" l="1"/>
  <c r="V33" i="5"/>
  <c r="V43" i="5" s="1"/>
  <c r="E9" i="6" s="1"/>
  <c r="Y33" i="5"/>
  <c r="Z33" i="5" s="1"/>
  <c r="Z43" i="5" s="1"/>
  <c r="F9" i="6" s="1"/>
  <c r="R128" i="5"/>
  <c r="AA125" i="5"/>
  <c r="B5" i="12" s="1"/>
  <c r="Z47" i="5"/>
  <c r="F11" i="6" s="1"/>
  <c r="V47" i="5"/>
  <c r="E11" i="6" s="1"/>
  <c r="K21" i="5"/>
  <c r="J21" i="5"/>
  <c r="K22" i="5"/>
  <c r="AA32" i="5"/>
  <c r="AA26" i="5"/>
  <c r="AA27" i="5"/>
  <c r="AA31" i="5"/>
  <c r="Z23" i="5"/>
  <c r="F8" i="6" s="1"/>
  <c r="V23" i="5"/>
  <c r="E8" i="6" s="1"/>
  <c r="Z16" i="5"/>
  <c r="F7" i="6" s="1"/>
  <c r="V16" i="5"/>
  <c r="J43" i="5"/>
  <c r="B9" i="6" s="1"/>
  <c r="J127" i="5"/>
  <c r="B14" i="6" s="1"/>
  <c r="I22" i="5"/>
  <c r="J22" i="5" s="1"/>
  <c r="K19" i="5"/>
  <c r="J19" i="5"/>
  <c r="N11" i="5"/>
  <c r="AA11" i="5" s="1"/>
  <c r="AA46" i="5"/>
  <c r="N29" i="5"/>
  <c r="AA29" i="5" s="1"/>
  <c r="N12" i="5"/>
  <c r="AA12" i="5" s="1"/>
  <c r="N126" i="5"/>
  <c r="N14" i="5"/>
  <c r="AA14" i="5" s="1"/>
  <c r="K18" i="5"/>
  <c r="J16" i="5"/>
  <c r="B7" i="6" s="1"/>
  <c r="N45" i="5"/>
  <c r="AA45" i="5" s="1"/>
  <c r="N15" i="5"/>
  <c r="AA15" i="5" s="1"/>
  <c r="N28" i="5"/>
  <c r="AA28" i="5" s="1"/>
  <c r="J47" i="5"/>
  <c r="B11" i="6" s="1"/>
  <c r="E7" i="6" l="1"/>
  <c r="E15" i="6" s="1"/>
  <c r="V128" i="5"/>
  <c r="F15" i="6"/>
  <c r="AA33" i="5"/>
  <c r="AA43" i="5" s="1"/>
  <c r="R129" i="5"/>
  <c r="Z128" i="5"/>
  <c r="AA126" i="5"/>
  <c r="B6" i="12" s="1"/>
  <c r="B9" i="12" s="1"/>
  <c r="B10" i="12" s="1"/>
  <c r="N43" i="5"/>
  <c r="C9" i="6" s="1"/>
  <c r="H9" i="6" s="1"/>
  <c r="N127" i="5"/>
  <c r="C14" i="6" s="1"/>
  <c r="H14" i="6" s="1"/>
  <c r="J23" i="5"/>
  <c r="M21" i="5"/>
  <c r="M18" i="5"/>
  <c r="N18" i="5" s="1"/>
  <c r="AA18" i="5" s="1"/>
  <c r="M22" i="5"/>
  <c r="M19" i="5"/>
  <c r="N47" i="5"/>
  <c r="C11" i="6" s="1"/>
  <c r="H11" i="6" s="1"/>
  <c r="N16" i="5"/>
  <c r="C7" i="6" s="1"/>
  <c r="H7" i="6" l="1"/>
  <c r="R130" i="5"/>
  <c r="D16" i="6"/>
  <c r="D17" i="6" s="1"/>
  <c r="Z129" i="5"/>
  <c r="V129" i="5"/>
  <c r="N22" i="5"/>
  <c r="AA22" i="5" s="1"/>
  <c r="N21" i="5"/>
  <c r="AA21" i="5" s="1"/>
  <c r="B8" i="6"/>
  <c r="N19" i="5"/>
  <c r="AA127" i="5"/>
  <c r="Z130" i="5" l="1"/>
  <c r="F16" i="6"/>
  <c r="F17" i="6" s="1"/>
  <c r="V130" i="5"/>
  <c r="E16" i="6"/>
  <c r="E17" i="6" s="1"/>
  <c r="N23" i="5"/>
  <c r="C8" i="6" s="1"/>
  <c r="H8" i="6" s="1"/>
  <c r="AA19" i="5"/>
  <c r="AA47" i="5"/>
  <c r="AA16" i="5"/>
  <c r="AA23" i="5" l="1"/>
  <c r="J128" i="5"/>
  <c r="B12" i="6"/>
  <c r="J129" i="5" l="1"/>
  <c r="J130" i="5" s="1"/>
  <c r="B16" i="6" l="1"/>
  <c r="N128" i="5"/>
  <c r="C12" i="6"/>
  <c r="H12" i="6" s="1"/>
  <c r="B15" i="6"/>
  <c r="N129" i="5" l="1"/>
  <c r="AA129" i="5" s="1"/>
  <c r="B17" i="6"/>
  <c r="AA128" i="5"/>
  <c r="N130" i="5" l="1"/>
  <c r="C16" i="6"/>
  <c r="H16" i="6" s="1"/>
  <c r="AA130" i="5"/>
  <c r="C15" i="6"/>
  <c r="H15" i="6" s="1"/>
  <c r="C17" i="6" l="1"/>
  <c r="H17" i="6" l="1"/>
</calcChain>
</file>

<file path=xl/sharedStrings.xml><?xml version="1.0" encoding="utf-8"?>
<sst xmlns="http://schemas.openxmlformats.org/spreadsheetml/2006/main" count="448" uniqueCount="263">
  <si>
    <t>PARTNERS OF THE AMERICAS</t>
  </si>
  <si>
    <t>Project Name: 2024 TIP Office International Programs to Combat Human Trafficking</t>
  </si>
  <si>
    <t>Funding Opportunity: DFOP0016706</t>
  </si>
  <si>
    <t>Budget Assumptions</t>
  </si>
  <si>
    <t>Inflation - Locally Purchased Goods/Services - 4%</t>
  </si>
  <si>
    <t>Merit Based Increases for HQ &amp; Field Staff - 5%</t>
  </si>
  <si>
    <t>All costs in US$</t>
  </si>
  <si>
    <t>Year 1</t>
  </si>
  <si>
    <t>Year 2</t>
  </si>
  <si>
    <t xml:space="preserve">Total </t>
  </si>
  <si>
    <t>Budget Line Items</t>
  </si>
  <si>
    <t>No.</t>
  </si>
  <si>
    <t>Unit Type</t>
  </si>
  <si>
    <t>No. of Units</t>
  </si>
  <si>
    <t>%</t>
  </si>
  <si>
    <t>Rate</t>
  </si>
  <si>
    <t>JTIP Total</t>
  </si>
  <si>
    <t>Total Federal Funds Requested</t>
  </si>
  <si>
    <t>Personnel</t>
  </si>
  <si>
    <t>FTE/month</t>
  </si>
  <si>
    <t>Subtotal Personnel</t>
  </si>
  <si>
    <t>Fringe Benefits</t>
  </si>
  <si>
    <t>% Salary</t>
  </si>
  <si>
    <t>Subtotal Fringe Benefits</t>
  </si>
  <si>
    <t xml:space="preserve">Travel </t>
  </si>
  <si>
    <t xml:space="preserve">HQ Staff International Travel </t>
  </si>
  <si>
    <t>International Airfare (Washington, DC- Asuncion, Paraguay)</t>
  </si>
  <si>
    <t>Trip</t>
  </si>
  <si>
    <t>Ground Transportation</t>
  </si>
  <si>
    <t>Lodging in Asuncion</t>
  </si>
  <si>
    <t>Night</t>
  </si>
  <si>
    <t>M&amp;IE in Asuncion</t>
  </si>
  <si>
    <t>Day</t>
  </si>
  <si>
    <t xml:space="preserve">Local Staff In-Country Travel </t>
  </si>
  <si>
    <t>Lodging in Chaco, Ciudad del Este, Caaguazú, and Alto Paraná</t>
  </si>
  <si>
    <t>M&amp;IE in Chaco, Ciudad del Este, Caaguazú, and Alto Paraná</t>
  </si>
  <si>
    <t>Ground Transportation in Chaco, Ciudad del Este, Caaguazú, and Alto Paraná</t>
  </si>
  <si>
    <t>Month</t>
  </si>
  <si>
    <t>International Travel - Participants Exchange of Experience on Best Practices for Managing Shelters (Activity 2.1)</t>
  </si>
  <si>
    <t>International Airfare (Asuncion, Paraguay to Chile/Argentina)</t>
  </si>
  <si>
    <t xml:space="preserve">Ground Transportation </t>
  </si>
  <si>
    <t>Lodging in Chile/Argentina</t>
  </si>
  <si>
    <t>M&amp;IE in Chile/Argentina</t>
  </si>
  <si>
    <t>Domestic Travel - Participants of Coordination Meetings to Develop a Network of Alternative Shelters (Activity 3.4)</t>
  </si>
  <si>
    <t>Ground Transportation to/from Asuncion</t>
  </si>
  <si>
    <t>Subtotal Travel</t>
  </si>
  <si>
    <t>Supplies</t>
  </si>
  <si>
    <t>Office Supplies</t>
  </si>
  <si>
    <t xml:space="preserve">Laptop Computers &amp; Software </t>
  </si>
  <si>
    <t>Unit</t>
  </si>
  <si>
    <t>Subtotal Supplies</t>
  </si>
  <si>
    <t>Contractual</t>
  </si>
  <si>
    <t>Subtotal Contractual</t>
  </si>
  <si>
    <t>Other Direct Costs</t>
  </si>
  <si>
    <t>Banking and Cash Handling  &amp; Fiscal Reviews</t>
  </si>
  <si>
    <t>Courier fees/services</t>
  </si>
  <si>
    <t>Communication Costs (Telephone (cellular and land line), email, data)</t>
  </si>
  <si>
    <t>Legal Fees</t>
  </si>
  <si>
    <t>Year</t>
  </si>
  <si>
    <t>Office Space</t>
  </si>
  <si>
    <t>Subscriptions, Timekeeping and Expense Reporting Platform</t>
  </si>
  <si>
    <t>Objectives and Activities</t>
  </si>
  <si>
    <t>O1: Increase comprehensive services for adult trafficking victims, particularly men, through the provision of shelter, trauma-informed mental health counseling, and medical and legal assistance.</t>
  </si>
  <si>
    <t>Activity 1.1: Identify Relevant Institution to Provide Care for Adult Male Victims of Trafficking</t>
  </si>
  <si>
    <t>Meetings with the Board to assess feasibility and requirements for TIP Shelter</t>
  </si>
  <si>
    <t>Meetings</t>
  </si>
  <si>
    <t>Activity 1.2: Sign Agreements with Governmental Institutions to Create Shelter</t>
  </si>
  <si>
    <t>Venue and A/V for Signing Event</t>
  </si>
  <si>
    <t>Event</t>
  </si>
  <si>
    <t>Refreshments/Coffee Break for Signing Event</t>
  </si>
  <si>
    <t>Person</t>
  </si>
  <si>
    <t>Materials and Printing for Signing Event</t>
  </si>
  <si>
    <t>Lumpsum</t>
  </si>
  <si>
    <t>Activity 1.3: Establish Adult Male Victims of Trafficking Shelter</t>
  </si>
  <si>
    <t>Rent and Utilities for TIP Shelter</t>
  </si>
  <si>
    <t>Furniture and Furnishings for TIP Shelter</t>
  </si>
  <si>
    <t>Room</t>
  </si>
  <si>
    <t>Personal Hygiene Products for TIP Shelter</t>
  </si>
  <si>
    <t>Food and Groceries for TIP Victims</t>
  </si>
  <si>
    <t>Essential Needs (Clothing) and Medications for TIP Shelter</t>
  </si>
  <si>
    <t>Operational Supplies for TIP Shelter</t>
  </si>
  <si>
    <t>Security Contractor and Security Systems for TIP Shelter</t>
  </si>
  <si>
    <t xml:space="preserve">O2: Enhance and implement the use of existing protection SOPs to provide trauma-informed and victim-centered care to adult victims of trafficking. </t>
  </si>
  <si>
    <t>Activity 2.1: Increase the Board’s Inter-Institutional Coordination Capacity</t>
  </si>
  <si>
    <t>Board’s Inter-Institutional Coordination Meetings</t>
  </si>
  <si>
    <t xml:space="preserve">O3: Build the Capacity of Non-Specialized Shelters to Support Adult Male Trafficking Victims. </t>
  </si>
  <si>
    <t>Activity 3.4: Develop a Network of Alternative Shelters</t>
  </si>
  <si>
    <t>Venue and A/V for Coordination Meetings to Develop a Network of Alternative Shelters</t>
  </si>
  <si>
    <t>Refreshments/Coffee Break for Coordination Meetings to Develop a Network of Alternative Shelters</t>
  </si>
  <si>
    <t>Materials and Printing for Coordination Meetings to Develop a Network of Alternative Shelters</t>
  </si>
  <si>
    <t>M&amp;E</t>
  </si>
  <si>
    <t>Customize M&amp;E Database for Project</t>
  </si>
  <si>
    <t>M&amp;E Materials</t>
  </si>
  <si>
    <t>M&amp;E Training and Coordination Meetings</t>
  </si>
  <si>
    <t>Subtotal Other Direct Costs</t>
  </si>
  <si>
    <t>Total Direct Costs</t>
  </si>
  <si>
    <t>GRAND TOTAL</t>
  </si>
  <si>
    <t>Activity 1.3: Establish Adult Male Victims of Trafficking Shelter.</t>
  </si>
  <si>
    <t>Psychological Counselors for TIP Shelter</t>
  </si>
  <si>
    <t>Social Workers for TIP Shelter</t>
  </si>
  <si>
    <t>Occupational/Education Support for TIP Shelter</t>
  </si>
  <si>
    <t>Legal Counsel for TIP Shelter</t>
  </si>
  <si>
    <t>Medical Counsel for TIP Shelter</t>
  </si>
  <si>
    <t>Cleaning &amp; Maintenance for TIP Shelter</t>
  </si>
  <si>
    <t>Health, Wellness, &amp; Rehabilitation (Vaccinations, Medications, Health Assessment, etc.) for TIP Shelter</t>
  </si>
  <si>
    <t>Catering/Chef Services for TIP Shelter (excludes food)</t>
  </si>
  <si>
    <t>Transport (fuel and transport of victims)</t>
  </si>
  <si>
    <t>Activity 1.4: Develop an Adult Male Trafficking Victim Care Manual</t>
  </si>
  <si>
    <t>Develop Comprehensive Adult Male Trafficking Victim Care Manual</t>
  </si>
  <si>
    <t>Survivor Inclusion Compensation</t>
  </si>
  <si>
    <t>Activity 1.5: Train Stakeholders on the Adult Male Trafficking Victim Care Manual</t>
  </si>
  <si>
    <t>Venue and A/V for Training on Victim Care Manual</t>
  </si>
  <si>
    <t>Refreshments/Coffee Break for Training on Victim Care Manual</t>
  </si>
  <si>
    <t>Materials and Printing for Training on Victim Care Manual</t>
  </si>
  <si>
    <t>Activity 2.2: Train Relevant Institution Staff on Existing SOPs for Victim Care</t>
  </si>
  <si>
    <t>Updating of the Mechanism of Attention to Victims of Human Trafficking, according to the updated protocols of the institutions</t>
  </si>
  <si>
    <t>Venue and A/V for Training on SOPs for Victim Care</t>
  </si>
  <si>
    <t>Training</t>
  </si>
  <si>
    <t>Refreshments/Coffee Break for Training on SOPs for Victim Care</t>
  </si>
  <si>
    <t>Materials and Printing for Training on SOPs for Victim Care</t>
  </si>
  <si>
    <t>Activity 3.1: Map Existing Organizations Providing Shelter or Similar Services</t>
  </si>
  <si>
    <t>Meetings with Stakeholders to Map Existing Organizations Providing Shelter</t>
  </si>
  <si>
    <t>Activity 3.2: Provide Technical Assistance for Internal Regulatory Adjustments in Alternative Shelters</t>
  </si>
  <si>
    <t>Legal Review for Adjustments to Internal Regulations</t>
  </si>
  <si>
    <t>Days</t>
  </si>
  <si>
    <t>Meetings with Shelters to Provide Assistance and Review of Regulatory Adjustments</t>
  </si>
  <si>
    <t>Activity 3.3: Train Staff at Identified Establishments for Proper Case Handling</t>
  </si>
  <si>
    <t xml:space="preserve">Trainings for Staff on Proper Case Handing and Methodology </t>
  </si>
  <si>
    <t>M&amp;E Budget</t>
  </si>
  <si>
    <t>Total M&amp;E Budget</t>
  </si>
  <si>
    <t>Percentage of M&amp;E Budget</t>
  </si>
  <si>
    <t>Funding Opportunity: DFOP0016706 and Assistance Number: 19.019</t>
  </si>
  <si>
    <t>Total</t>
  </si>
  <si>
    <t>BUDGET SUMMARY CATEGORIES</t>
  </si>
  <si>
    <t>JTIP</t>
  </si>
  <si>
    <t>Cost Share</t>
  </si>
  <si>
    <t>1. Personnel</t>
  </si>
  <si>
    <t>2. Fringe Benefits</t>
  </si>
  <si>
    <t xml:space="preserve">3. Travel </t>
  </si>
  <si>
    <t>4. Equipment</t>
  </si>
  <si>
    <t>5. Supplies</t>
  </si>
  <si>
    <t xml:space="preserve">6. Contractual </t>
  </si>
  <si>
    <t>7. Construction</t>
  </si>
  <si>
    <t>8. Other Direct Costs</t>
  </si>
  <si>
    <t>9. Total Direct Costs</t>
  </si>
  <si>
    <t>10. Indirect Costs</t>
  </si>
  <si>
    <t>11. Total Costs</t>
  </si>
  <si>
    <t>Year 3</t>
  </si>
  <si>
    <t>Year 4</t>
  </si>
  <si>
    <t>Year 5</t>
  </si>
  <si>
    <t>Project Coordinator (50% LOE) - Macarena Jiménez</t>
  </si>
  <si>
    <t xml:space="preserve">Technical Specialist (50% LOE) - Aurora Figueredo </t>
  </si>
  <si>
    <t>Administration and Finance Officer (50% LOE)</t>
  </si>
  <si>
    <t>M&amp;E Coordinator (100% LOE)</t>
  </si>
  <si>
    <t>Indirect Cost (20% reduced NICRA rate)</t>
  </si>
  <si>
    <t>TIP Shelter Manager</t>
  </si>
  <si>
    <t>Consultant to deliver trainings on Adult Male Trafficking Victim Care Manual</t>
  </si>
  <si>
    <t>Consultant to deliver trainings on Existing SOPs</t>
  </si>
  <si>
    <t>M&amp;E. Midterm Evaluation</t>
  </si>
  <si>
    <t>M&amp;E. Final Evaluation</t>
  </si>
  <si>
    <t>Mid-term Evaluation</t>
  </si>
  <si>
    <t>Final Evaluation</t>
  </si>
  <si>
    <t>Printing of Manual</t>
  </si>
  <si>
    <t>Manual</t>
  </si>
  <si>
    <t>Printing of updated document</t>
  </si>
  <si>
    <t>Document</t>
  </si>
  <si>
    <t xml:space="preserve">SUMMARY BUDGET </t>
  </si>
  <si>
    <t>Fringe Benefits - M&amp;E Coordinator (100% LOE)</t>
  </si>
  <si>
    <t xml:space="preserve">Personnel Costs - M&amp;E Coordinator (100% LOE) </t>
  </si>
  <si>
    <t>Project Manager (HQ) (30% LOE)</t>
  </si>
  <si>
    <t>Participant</t>
  </si>
  <si>
    <t>Consultant to develop Adult Male Trafficking Victim Care Manual</t>
  </si>
  <si>
    <t>Budget Code</t>
  </si>
  <si>
    <t>Account Code</t>
  </si>
  <si>
    <t>County Code</t>
  </si>
  <si>
    <t>Entity:</t>
  </si>
  <si>
    <t>P</t>
  </si>
  <si>
    <t>Program/Dept.:</t>
  </si>
  <si>
    <t>Funder-Grant:</t>
  </si>
  <si>
    <t>DOS454</t>
  </si>
  <si>
    <t>PERSNL-F&amp;A</t>
  </si>
  <si>
    <t>PRY</t>
  </si>
  <si>
    <t>FRINGE-PY</t>
  </si>
  <si>
    <t>PERSNL</t>
  </si>
  <si>
    <t>PERSNL-M&amp;E</t>
  </si>
  <si>
    <t>PERSNL-PC</t>
  </si>
  <si>
    <t>PERSNL-TS</t>
  </si>
  <si>
    <t>FRINGE</t>
  </si>
  <si>
    <t>IDC</t>
  </si>
  <si>
    <t>USA</t>
  </si>
  <si>
    <t>M&amp;EMATL</t>
  </si>
  <si>
    <t>M&amp;ETRAIN</t>
  </si>
  <si>
    <t>EVAL</t>
  </si>
  <si>
    <t>STFTRAVEL</t>
  </si>
  <si>
    <t>GROUNDTRAN</t>
  </si>
  <si>
    <t>LODGING</t>
  </si>
  <si>
    <t>STFCN DIEM</t>
  </si>
  <si>
    <t>LSLODGING</t>
  </si>
  <si>
    <t>LSM&amp;IE</t>
  </si>
  <si>
    <t>LSTRANS</t>
  </si>
  <si>
    <t>TRVL.2.1.A</t>
  </si>
  <si>
    <t>TRVL.2.1.B</t>
  </si>
  <si>
    <t>TRVL.2.1.C</t>
  </si>
  <si>
    <t>TRVL.2.1.D</t>
  </si>
  <si>
    <t>TRVL.3.4.A</t>
  </si>
  <si>
    <t>TRVL.3.4.B</t>
  </si>
  <si>
    <t>TRVL.3.4.C</t>
  </si>
  <si>
    <t>SUPPLIES</t>
  </si>
  <si>
    <t>LAPTOP</t>
  </si>
  <si>
    <t>MIDTERM</t>
  </si>
  <si>
    <t>ENDLINE</t>
  </si>
  <si>
    <t>81000 (Consultant)/ 81010 (Professional Fees)</t>
  </si>
  <si>
    <t>TIPMANAGER</t>
  </si>
  <si>
    <t>PSYCHOCONS</t>
  </si>
  <si>
    <t>SOCIALWORK</t>
  </si>
  <si>
    <t>OCCPEDSUP</t>
  </si>
  <si>
    <t>LEGALCONS</t>
  </si>
  <si>
    <t>MEDCONS</t>
  </si>
  <si>
    <t>TIPMANLCON</t>
  </si>
  <si>
    <t>TIPTRAINCO</t>
  </si>
  <si>
    <t>SOPCONS</t>
  </si>
  <si>
    <t>BANK FEES</t>
  </si>
  <si>
    <t>90900 (Bank Fees)/ 82105 (Accounting)</t>
  </si>
  <si>
    <t>USA/PRY</t>
  </si>
  <si>
    <t>LEGAL</t>
  </si>
  <si>
    <t>RENT &amp; UT</t>
  </si>
  <si>
    <t>SUBSCRIPT</t>
  </si>
  <si>
    <t>COMM</t>
  </si>
  <si>
    <t>COURIER</t>
  </si>
  <si>
    <t>PTIP.1.1.A</t>
  </si>
  <si>
    <t>PTIP.1.2.A</t>
  </si>
  <si>
    <t>PTIP.1.2.B</t>
  </si>
  <si>
    <t>PTIP.1.2.C</t>
  </si>
  <si>
    <t>PTIP.1.3.A</t>
  </si>
  <si>
    <t>PTIP.1.3.B</t>
  </si>
  <si>
    <t>PTIP.1.3.C</t>
  </si>
  <si>
    <t>PTIP.1.3.D</t>
  </si>
  <si>
    <t>PTIP.1.3.E</t>
  </si>
  <si>
    <t>PTIP.1.3.F</t>
  </si>
  <si>
    <t>PTIP.1.3.G</t>
  </si>
  <si>
    <t>PTIP.1.3.H</t>
  </si>
  <si>
    <t>PTIP.1.3.I</t>
  </si>
  <si>
    <t>PTIP.1.3.J</t>
  </si>
  <si>
    <t>PTIP.1.3.K</t>
  </si>
  <si>
    <t>PTIP.1.4.A</t>
  </si>
  <si>
    <t>PTIP.1.4.B</t>
  </si>
  <si>
    <t>PTIP.1.4.C</t>
  </si>
  <si>
    <t>PTIP.1.5.A</t>
  </si>
  <si>
    <t>PTIP.1.5.B</t>
  </si>
  <si>
    <t>PTIP.1.5.C</t>
  </si>
  <si>
    <t>PTIP.2.1.A</t>
  </si>
  <si>
    <t>PTIP.2.1.B</t>
  </si>
  <si>
    <t>PTIP.2.1.C</t>
  </si>
  <si>
    <t>PTIP.2.1.D</t>
  </si>
  <si>
    <t>PTIP.2.1.E</t>
  </si>
  <si>
    <t>PTIP.3.1.A</t>
  </si>
  <si>
    <t>PTIP.3.2.A</t>
  </si>
  <si>
    <t>PTIP.3.2.B</t>
  </si>
  <si>
    <t>PTIP.3.3.A</t>
  </si>
  <si>
    <t>PTIP.3.4.A</t>
  </si>
  <si>
    <t>PTIP.3.4.B</t>
  </si>
  <si>
    <t>PTIP.3.4.C</t>
  </si>
  <si>
    <t>82420 (Programs Supplies)/ 85300 (Printing)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</si>
</sst>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INR]\ #,##0.00"/>
    <numFmt numFmtId="165" formatCode="_(* #,##0_);_(* \(#,##0\);_(* &quot;-&quot;??_);_(@_)"/>
    <numFmt numFmtId="166" formatCode="_(&quot;$&quot;* #,##0_);_(&quot;$&quot;* \(#,##0\);_(&quot;$&quot;* &quot;-&quot;??_);_(@_)"/>
    <numFmt numFmtId="167" formatCode="[$$-1009]#,##0"/>
    <numFmt numFmtId="168" formatCode="[$$-1009]#,##0.00"/>
    <numFmt numFmtId="169" formatCode="[$$-1009]#,##0;\-[$$-1009]#,##0"/>
    <numFmt numFmtId="170" formatCode="[$$-1009]#,##0.00;\-[$$-1009]#,##0.00"/>
    <numFmt numFmtId="171" formatCode="&quot;$&quot;#,##0"/>
    <numFmt numFmtId="172" formatCode="_-&quot;$&quot;* #,##0_-;\-&quot;$&quot;* #,##0_-;_-&quot;$&quot;* &quot;-&quot;_-;_-@_-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Helvetica Neue"/>
    </font>
    <font>
      <sz val="11"/>
      <color indexed="9"/>
      <name val="Helvetica Neue"/>
      <family val="3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i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 applyNumberFormat="0" applyFill="0" applyBorder="0" applyProtection="0">
      <alignment vertical="top"/>
    </xf>
    <xf numFmtId="44" fontId="8" fillId="0" borderId="0" applyFont="0" applyFill="0" applyBorder="0" applyAlignment="0" applyProtection="0"/>
  </cellStyleXfs>
  <cellXfs count="314">
    <xf numFmtId="0" fontId="0" fillId="0" borderId="0" xfId="0"/>
    <xf numFmtId="0" fontId="9" fillId="0" borderId="0" xfId="0" applyFont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166" fontId="9" fillId="0" borderId="0" xfId="3" applyNumberFormat="1" applyFont="1" applyBorder="1" applyAlignment="1">
      <alignment vertical="center" wrapText="1"/>
    </xf>
    <xf numFmtId="0" fontId="9" fillId="0" borderId="10" xfId="9" applyFont="1" applyBorder="1" applyAlignment="1">
      <alignment wrapText="1"/>
    </xf>
    <xf numFmtId="9" fontId="9" fillId="0" borderId="4" xfId="8" applyFont="1" applyBorder="1" applyAlignment="1">
      <alignment vertical="center" wrapText="1"/>
    </xf>
    <xf numFmtId="0" fontId="9" fillId="0" borderId="7" xfId="9" applyFont="1" applyBorder="1" applyAlignment="1">
      <alignment wrapText="1"/>
    </xf>
    <xf numFmtId="9" fontId="9" fillId="0" borderId="6" xfId="8" applyFont="1" applyBorder="1" applyAlignment="1">
      <alignment vertical="center" wrapText="1"/>
    </xf>
    <xf numFmtId="0" fontId="9" fillId="0" borderId="0" xfId="9" applyFont="1" applyAlignment="1">
      <alignment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9" fontId="10" fillId="0" borderId="3" xfId="0" applyNumberFormat="1" applyFont="1" applyBorder="1" applyAlignment="1">
      <alignment horizontal="center" vertical="center" wrapText="1"/>
    </xf>
    <xf numFmtId="166" fontId="10" fillId="0" borderId="3" xfId="3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6" fontId="10" fillId="0" borderId="11" xfId="3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166" fontId="10" fillId="5" borderId="3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166" fontId="9" fillId="0" borderId="3" xfId="3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9" fontId="9" fillId="0" borderId="3" xfId="8" applyFont="1" applyFill="1" applyBorder="1" applyAlignment="1">
      <alignment horizontal="center" vertical="center" wrapText="1"/>
    </xf>
    <xf numFmtId="166" fontId="9" fillId="0" borderId="3" xfId="3" applyNumberFormat="1" applyFont="1" applyFill="1" applyBorder="1" applyAlignment="1">
      <alignment vertical="center" wrapText="1"/>
    </xf>
    <xf numFmtId="166" fontId="9" fillId="0" borderId="11" xfId="3" applyNumberFormat="1" applyFont="1" applyFill="1" applyBorder="1" applyAlignment="1">
      <alignment vertical="center" wrapText="1"/>
    </xf>
    <xf numFmtId="169" fontId="9" fillId="0" borderId="0" xfId="0" applyNumberFormat="1" applyFont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165" fontId="10" fillId="2" borderId="3" xfId="1" applyNumberFormat="1" applyFont="1" applyFill="1" applyBorder="1" applyAlignment="1">
      <alignment horizontal="center" vertical="center" wrapText="1"/>
    </xf>
    <xf numFmtId="9" fontId="10" fillId="2" borderId="3" xfId="0" applyNumberFormat="1" applyFont="1" applyFill="1" applyBorder="1" applyAlignment="1">
      <alignment horizontal="center" vertical="center" wrapText="1"/>
    </xf>
    <xf numFmtId="166" fontId="10" fillId="2" borderId="3" xfId="3" applyNumberFormat="1" applyFont="1" applyFill="1" applyBorder="1" applyAlignment="1">
      <alignment vertical="center" wrapText="1"/>
    </xf>
    <xf numFmtId="169" fontId="10" fillId="0" borderId="0" xfId="0" applyNumberFormat="1" applyFont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5" borderId="1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 vertical="center" wrapText="1"/>
    </xf>
    <xf numFmtId="165" fontId="10" fillId="5" borderId="3" xfId="1" applyNumberFormat="1" applyFont="1" applyFill="1" applyBorder="1" applyAlignment="1">
      <alignment horizontal="center" vertical="center" wrapText="1"/>
    </xf>
    <xf numFmtId="9" fontId="10" fillId="5" borderId="3" xfId="0" applyNumberFormat="1" applyFont="1" applyFill="1" applyBorder="1" applyAlignment="1">
      <alignment horizontal="center" vertical="center" wrapText="1"/>
    </xf>
    <xf numFmtId="166" fontId="10" fillId="5" borderId="3" xfId="3" applyNumberFormat="1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10" fontId="9" fillId="0" borderId="3" xfId="0" applyNumberFormat="1" applyFont="1" applyBorder="1" applyAlignment="1">
      <alignment horizontal="center" vertical="center" wrapText="1"/>
    </xf>
    <xf numFmtId="168" fontId="9" fillId="2" borderId="10" xfId="0" applyNumberFormat="1" applyFont="1" applyFill="1" applyBorder="1" applyAlignment="1">
      <alignment horizontal="center" vertical="center" wrapText="1"/>
    </xf>
    <xf numFmtId="10" fontId="9" fillId="2" borderId="3" xfId="8" applyNumberFormat="1" applyFont="1" applyFill="1" applyBorder="1" applyAlignment="1">
      <alignment horizontal="center" vertical="center" wrapText="1"/>
    </xf>
    <xf numFmtId="165" fontId="9" fillId="2" borderId="3" xfId="1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66" fontId="9" fillId="2" borderId="3" xfId="3" applyNumberFormat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168" fontId="10" fillId="5" borderId="10" xfId="0" applyNumberFormat="1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168" fontId="10" fillId="0" borderId="10" xfId="0" applyNumberFormat="1" applyFont="1" applyBorder="1" applyAlignment="1">
      <alignment horizontal="center" vertical="center" wrapText="1"/>
    </xf>
    <xf numFmtId="165" fontId="10" fillId="0" borderId="3" xfId="1" applyNumberFormat="1" applyFont="1" applyFill="1" applyBorder="1" applyAlignment="1">
      <alignment horizontal="center" vertical="center" wrapText="1"/>
    </xf>
    <xf numFmtId="9" fontId="9" fillId="0" borderId="3" xfId="0" applyNumberFormat="1" applyFont="1" applyBorder="1" applyAlignment="1">
      <alignment horizontal="center" vertical="center" wrapText="1"/>
    </xf>
    <xf numFmtId="166" fontId="10" fillId="0" borderId="3" xfId="3" applyNumberFormat="1" applyFont="1" applyFill="1" applyBorder="1" applyAlignment="1">
      <alignment vertical="center" wrapText="1"/>
    </xf>
    <xf numFmtId="165" fontId="9" fillId="0" borderId="3" xfId="1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center" vertical="center" wrapText="1"/>
    </xf>
    <xf numFmtId="165" fontId="10" fillId="2" borderId="3" xfId="1" applyNumberFormat="1" applyFont="1" applyFill="1" applyBorder="1" applyAlignment="1">
      <alignment vertical="center" wrapText="1"/>
    </xf>
    <xf numFmtId="169" fontId="10" fillId="2" borderId="10" xfId="3" applyNumberFormat="1" applyFont="1" applyFill="1" applyBorder="1" applyAlignment="1">
      <alignment vertical="center" wrapText="1"/>
    </xf>
    <xf numFmtId="169" fontId="10" fillId="2" borderId="3" xfId="3" applyNumberFormat="1" applyFont="1" applyFill="1" applyBorder="1" applyAlignment="1">
      <alignment vertical="center" wrapText="1"/>
    </xf>
    <xf numFmtId="165" fontId="10" fillId="5" borderId="3" xfId="1" applyNumberFormat="1" applyFont="1" applyFill="1" applyBorder="1" applyAlignment="1">
      <alignment vertical="center" wrapText="1"/>
    </xf>
    <xf numFmtId="165" fontId="9" fillId="0" borderId="3" xfId="1" applyNumberFormat="1" applyFont="1" applyFill="1" applyBorder="1" applyAlignment="1">
      <alignment vertical="center" wrapText="1"/>
    </xf>
    <xf numFmtId="166" fontId="9" fillId="0" borderId="3" xfId="3" applyNumberFormat="1" applyFont="1" applyBorder="1" applyAlignment="1">
      <alignment vertical="center" wrapText="1"/>
    </xf>
    <xf numFmtId="166" fontId="9" fillId="0" borderId="21" xfId="3" applyNumberFormat="1" applyFont="1" applyBorder="1" applyAlignment="1">
      <alignment vertical="center" wrapText="1"/>
    </xf>
    <xf numFmtId="9" fontId="9" fillId="2" borderId="3" xfId="0" applyNumberFormat="1" applyFont="1" applyFill="1" applyBorder="1" applyAlignment="1">
      <alignment horizontal="center" vertical="center" wrapText="1"/>
    </xf>
    <xf numFmtId="166" fontId="9" fillId="2" borderId="3" xfId="3" applyNumberFormat="1" applyFont="1" applyFill="1" applyBorder="1" applyAlignment="1">
      <alignment vertical="center" wrapText="1"/>
    </xf>
    <xf numFmtId="0" fontId="10" fillId="5" borderId="8" xfId="0" applyFont="1" applyFill="1" applyBorder="1" applyAlignment="1">
      <alignment horizontal="center" vertical="center" wrapText="1"/>
    </xf>
    <xf numFmtId="166" fontId="10" fillId="5" borderId="8" xfId="3" applyNumberFormat="1" applyFont="1" applyFill="1" applyBorder="1" applyAlignment="1">
      <alignment vertical="center" wrapText="1"/>
    </xf>
    <xf numFmtId="0" fontId="9" fillId="0" borderId="3" xfId="7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9" fillId="5" borderId="3" xfId="0" applyNumberFormat="1" applyFont="1" applyFill="1" applyBorder="1" applyAlignment="1">
      <alignment horizontal="center" vertical="center" wrapText="1"/>
    </xf>
    <xf numFmtId="166" fontId="9" fillId="5" borderId="3" xfId="3" applyNumberFormat="1" applyFont="1" applyFill="1" applyBorder="1" applyAlignment="1">
      <alignment vertical="center" wrapText="1"/>
    </xf>
    <xf numFmtId="0" fontId="10" fillId="7" borderId="13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9" fontId="9" fillId="7" borderId="3" xfId="0" applyNumberFormat="1" applyFont="1" applyFill="1" applyBorder="1" applyAlignment="1">
      <alignment horizontal="center" vertical="center" wrapText="1"/>
    </xf>
    <xf numFmtId="166" fontId="9" fillId="7" borderId="3" xfId="3" applyNumberFormat="1" applyFont="1" applyFill="1" applyBorder="1" applyAlignment="1">
      <alignment vertical="center" wrapText="1"/>
    </xf>
    <xf numFmtId="171" fontId="9" fillId="2" borderId="3" xfId="0" applyNumberFormat="1" applyFont="1" applyFill="1" applyBorder="1" applyAlignment="1">
      <alignment vertical="center"/>
    </xf>
    <xf numFmtId="167" fontId="9" fillId="2" borderId="3" xfId="0" applyNumberFormat="1" applyFont="1" applyFill="1" applyBorder="1" applyAlignment="1">
      <alignment horizontal="center" vertical="center"/>
    </xf>
    <xf numFmtId="167" fontId="9" fillId="2" borderId="3" xfId="0" applyNumberFormat="1" applyFont="1" applyFill="1" applyBorder="1" applyAlignment="1">
      <alignment vertical="center"/>
    </xf>
    <xf numFmtId="171" fontId="9" fillId="2" borderId="3" xfId="0" applyNumberFormat="1" applyFont="1" applyFill="1" applyBorder="1" applyAlignment="1">
      <alignment vertical="center" wrapText="1"/>
    </xf>
    <xf numFmtId="166" fontId="9" fillId="0" borderId="4" xfId="3" applyNumberFormat="1" applyFont="1" applyFill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9" fontId="12" fillId="0" borderId="3" xfId="0" applyNumberFormat="1" applyFont="1" applyBorder="1" applyAlignment="1">
      <alignment horizontal="center" vertical="center" wrapText="1"/>
    </xf>
    <xf numFmtId="166" fontId="12" fillId="0" borderId="3" xfId="3" applyNumberFormat="1" applyFont="1" applyFill="1" applyBorder="1" applyAlignment="1">
      <alignment vertical="center" wrapText="1"/>
    </xf>
    <xf numFmtId="166" fontId="9" fillId="4" borderId="3" xfId="3" applyNumberFormat="1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/>
    </xf>
    <xf numFmtId="10" fontId="10" fillId="0" borderId="0" xfId="8" applyNumberFormat="1" applyFont="1" applyFill="1" applyBorder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10" fontId="10" fillId="0" borderId="3" xfId="8" applyNumberFormat="1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 wrapText="1"/>
    </xf>
    <xf numFmtId="9" fontId="10" fillId="5" borderId="5" xfId="0" applyNumberFormat="1" applyFont="1" applyFill="1" applyBorder="1" applyAlignment="1">
      <alignment horizontal="center" vertical="center" wrapText="1"/>
    </xf>
    <xf numFmtId="166" fontId="10" fillId="5" borderId="5" xfId="3" applyNumberFormat="1" applyFont="1" applyFill="1" applyBorder="1" applyAlignment="1">
      <alignment vertical="center" wrapText="1"/>
    </xf>
    <xf numFmtId="2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vertical="center" wrapText="1"/>
    </xf>
    <xf numFmtId="166" fontId="9" fillId="0" borderId="0" xfId="3" applyNumberFormat="1" applyFont="1" applyFill="1" applyBorder="1" applyAlignment="1">
      <alignment vertical="center" wrapText="1"/>
    </xf>
    <xf numFmtId="9" fontId="9" fillId="0" borderId="0" xfId="8" applyFont="1" applyFill="1" applyBorder="1" applyAlignment="1">
      <alignment vertical="center" wrapText="1"/>
    </xf>
    <xf numFmtId="3" fontId="10" fillId="0" borderId="0" xfId="0" applyNumberFormat="1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166" fontId="10" fillId="0" borderId="0" xfId="3" applyNumberFormat="1" applyFont="1" applyBorder="1" applyAlignment="1">
      <alignment vertical="center" wrapText="1"/>
    </xf>
    <xf numFmtId="166" fontId="9" fillId="0" borderId="0" xfId="3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64" fontId="10" fillId="5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166" fontId="10" fillId="2" borderId="4" xfId="3" applyNumberFormat="1" applyFont="1" applyFill="1" applyBorder="1" applyAlignment="1">
      <alignment vertical="center" wrapText="1"/>
    </xf>
    <xf numFmtId="166" fontId="9" fillId="5" borderId="4" xfId="3" applyNumberFormat="1" applyFont="1" applyFill="1" applyBorder="1" applyAlignment="1">
      <alignment vertical="center" wrapText="1"/>
    </xf>
    <xf numFmtId="166" fontId="9" fillId="0" borderId="4" xfId="3" applyNumberFormat="1" applyFont="1" applyBorder="1" applyAlignment="1">
      <alignment vertical="center" wrapText="1"/>
    </xf>
    <xf numFmtId="165" fontId="9" fillId="0" borderId="3" xfId="1" applyNumberFormat="1" applyFont="1" applyFill="1" applyBorder="1" applyAlignment="1">
      <alignment horizontal="center" vertical="center" wrapText="1"/>
    </xf>
    <xf numFmtId="166" fontId="9" fillId="2" borderId="4" xfId="3" applyNumberFormat="1" applyFont="1" applyFill="1" applyBorder="1" applyAlignment="1">
      <alignment vertical="center" wrapText="1"/>
    </xf>
    <xf numFmtId="166" fontId="12" fillId="0" borderId="4" xfId="3" applyNumberFormat="1" applyFont="1" applyFill="1" applyBorder="1" applyAlignment="1">
      <alignment vertical="center" wrapText="1"/>
    </xf>
    <xf numFmtId="166" fontId="10" fillId="5" borderId="4" xfId="3" applyNumberFormat="1" applyFont="1" applyFill="1" applyBorder="1" applyAlignment="1">
      <alignment vertical="center" wrapText="1"/>
    </xf>
    <xf numFmtId="166" fontId="10" fillId="0" borderId="4" xfId="3" applyNumberFormat="1" applyFont="1" applyFill="1" applyBorder="1" applyAlignment="1">
      <alignment vertical="center" wrapText="1"/>
    </xf>
    <xf numFmtId="166" fontId="10" fillId="5" borderId="6" xfId="3" applyNumberFormat="1" applyFont="1" applyFill="1" applyBorder="1" applyAlignment="1">
      <alignment vertical="center" wrapText="1"/>
    </xf>
    <xf numFmtId="0" fontId="9" fillId="0" borderId="0" xfId="0" applyFont="1"/>
    <xf numFmtId="44" fontId="9" fillId="0" borderId="10" xfId="14" applyNumberFormat="1" applyFont="1" applyFill="1" applyBorder="1">
      <alignment vertical="top"/>
    </xf>
    <xf numFmtId="42" fontId="9" fillId="0" borderId="3" xfId="14" applyNumberFormat="1" applyFont="1" applyFill="1" applyBorder="1">
      <alignment vertical="top"/>
    </xf>
    <xf numFmtId="44" fontId="10" fillId="0" borderId="10" xfId="14" applyNumberFormat="1" applyFont="1" applyFill="1" applyBorder="1">
      <alignment vertical="top"/>
    </xf>
    <xf numFmtId="0" fontId="10" fillId="0" borderId="0" xfId="0" applyFont="1"/>
    <xf numFmtId="10" fontId="10" fillId="0" borderId="3" xfId="8" applyNumberFormat="1" applyFont="1" applyFill="1" applyBorder="1" applyAlignment="1">
      <alignment vertical="top"/>
    </xf>
    <xf numFmtId="3" fontId="9" fillId="0" borderId="0" xfId="0" applyNumberFormat="1" applyFont="1"/>
    <xf numFmtId="3" fontId="10" fillId="5" borderId="11" xfId="0" applyNumberFormat="1" applyFont="1" applyFill="1" applyBorder="1" applyAlignment="1">
      <alignment horizontal="center" vertical="center" wrapText="1"/>
    </xf>
    <xf numFmtId="3" fontId="10" fillId="0" borderId="0" xfId="0" applyNumberFormat="1" applyFont="1"/>
    <xf numFmtId="3" fontId="10" fillId="0" borderId="11" xfId="0" applyNumberFormat="1" applyFont="1" applyBorder="1"/>
    <xf numFmtId="169" fontId="9" fillId="0" borderId="10" xfId="3" applyNumberFormat="1" applyFont="1" applyBorder="1" applyAlignment="1"/>
    <xf numFmtId="169" fontId="9" fillId="0" borderId="3" xfId="3" applyNumberFormat="1" applyFont="1" applyBorder="1" applyAlignment="1"/>
    <xf numFmtId="169" fontId="9" fillId="0" borderId="4" xfId="3" applyNumberFormat="1" applyFont="1" applyBorder="1" applyAlignment="1"/>
    <xf numFmtId="9" fontId="9" fillId="0" borderId="0" xfId="8" applyFont="1"/>
    <xf numFmtId="169" fontId="9" fillId="6" borderId="10" xfId="3" applyNumberFormat="1" applyFont="1" applyFill="1" applyBorder="1" applyAlignment="1"/>
    <xf numFmtId="169" fontId="9" fillId="6" borderId="3" xfId="3" applyNumberFormat="1" applyFont="1" applyFill="1" applyBorder="1" applyAlignment="1"/>
    <xf numFmtId="169" fontId="9" fillId="6" borderId="4" xfId="3" applyNumberFormat="1" applyFont="1" applyFill="1" applyBorder="1" applyAlignment="1"/>
    <xf numFmtId="3" fontId="10" fillId="8" borderId="11" xfId="0" applyNumberFormat="1" applyFont="1" applyFill="1" applyBorder="1"/>
    <xf numFmtId="169" fontId="10" fillId="8" borderId="10" xfId="3" applyNumberFormat="1" applyFont="1" applyFill="1" applyBorder="1" applyAlignment="1"/>
    <xf numFmtId="9" fontId="10" fillId="0" borderId="0" xfId="8" applyFont="1"/>
    <xf numFmtId="3" fontId="10" fillId="2" borderId="12" xfId="0" applyNumberFormat="1" applyFont="1" applyFill="1" applyBorder="1"/>
    <xf numFmtId="169" fontId="10" fillId="2" borderId="7" xfId="3" applyNumberFormat="1" applyFont="1" applyFill="1" applyBorder="1" applyAlignment="1"/>
    <xf numFmtId="169" fontId="10" fillId="2" borderId="12" xfId="3" applyNumberFormat="1" applyFont="1" applyFill="1" applyBorder="1" applyAlignment="1"/>
    <xf numFmtId="166" fontId="9" fillId="0" borderId="0" xfId="3" applyNumberFormat="1" applyFont="1"/>
    <xf numFmtId="169" fontId="10" fillId="0" borderId="0" xfId="8" applyNumberFormat="1" applyFont="1"/>
    <xf numFmtId="10" fontId="10" fillId="0" borderId="0" xfId="8" applyNumberFormat="1" applyFont="1"/>
    <xf numFmtId="3" fontId="9" fillId="5" borderId="13" xfId="0" applyNumberFormat="1" applyFont="1" applyFill="1" applyBorder="1" applyAlignment="1">
      <alignment horizontal="center" vertical="center" wrapText="1"/>
    </xf>
    <xf numFmtId="3" fontId="12" fillId="5" borderId="3" xfId="0" applyNumberFormat="1" applyFont="1" applyFill="1" applyBorder="1" applyAlignment="1">
      <alignment horizontal="center" vertical="center" wrapText="1"/>
    </xf>
    <xf numFmtId="166" fontId="10" fillId="5" borderId="24" xfId="3" applyNumberFormat="1" applyFont="1" applyFill="1" applyBorder="1" applyAlignment="1">
      <alignment vertical="center" wrapText="1"/>
    </xf>
    <xf numFmtId="166" fontId="10" fillId="2" borderId="9" xfId="3" applyNumberFormat="1" applyFont="1" applyFill="1" applyBorder="1" applyAlignment="1">
      <alignment vertical="center" wrapText="1"/>
    </xf>
    <xf numFmtId="166" fontId="10" fillId="0" borderId="4" xfId="3" applyNumberFormat="1" applyFont="1" applyBorder="1" applyAlignment="1">
      <alignment horizontal="center" vertical="center" wrapText="1"/>
    </xf>
    <xf numFmtId="166" fontId="10" fillId="5" borderId="13" xfId="3" applyNumberFormat="1" applyFont="1" applyFill="1" applyBorder="1" applyAlignment="1">
      <alignment vertical="center" wrapText="1"/>
    </xf>
    <xf numFmtId="166" fontId="10" fillId="5" borderId="22" xfId="3" applyNumberFormat="1" applyFont="1" applyFill="1" applyBorder="1" applyAlignment="1">
      <alignment vertical="center" wrapText="1"/>
    </xf>
    <xf numFmtId="166" fontId="9" fillId="0" borderId="13" xfId="3" applyNumberFormat="1" applyFont="1" applyFill="1" applyBorder="1" applyAlignment="1">
      <alignment vertical="center" wrapText="1"/>
    </xf>
    <xf numFmtId="166" fontId="9" fillId="0" borderId="22" xfId="3" applyNumberFormat="1" applyFont="1" applyFill="1" applyBorder="1" applyAlignment="1">
      <alignment vertical="center" wrapText="1"/>
    </xf>
    <xf numFmtId="166" fontId="10" fillId="2" borderId="13" xfId="3" applyNumberFormat="1" applyFont="1" applyFill="1" applyBorder="1" applyAlignment="1">
      <alignment vertical="center" wrapText="1"/>
    </xf>
    <xf numFmtId="166" fontId="10" fillId="2" borderId="22" xfId="3" applyNumberFormat="1" applyFont="1" applyFill="1" applyBorder="1" applyAlignment="1">
      <alignment vertical="center" wrapText="1"/>
    </xf>
    <xf numFmtId="166" fontId="10" fillId="0" borderId="13" xfId="3" applyNumberFormat="1" applyFont="1" applyFill="1" applyBorder="1" applyAlignment="1">
      <alignment vertical="center" wrapText="1"/>
    </xf>
    <xf numFmtId="166" fontId="10" fillId="0" borderId="22" xfId="3" applyNumberFormat="1" applyFont="1" applyFill="1" applyBorder="1" applyAlignment="1">
      <alignment vertical="center" wrapText="1"/>
    </xf>
    <xf numFmtId="166" fontId="9" fillId="0" borderId="13" xfId="3" applyNumberFormat="1" applyFont="1" applyBorder="1" applyAlignment="1">
      <alignment vertical="center" wrapText="1"/>
    </xf>
    <xf numFmtId="166" fontId="9" fillId="0" borderId="22" xfId="3" applyNumberFormat="1" applyFont="1" applyBorder="1" applyAlignment="1">
      <alignment vertical="center" wrapText="1"/>
    </xf>
    <xf numFmtId="166" fontId="10" fillId="5" borderId="19" xfId="3" applyNumberFormat="1" applyFont="1" applyFill="1" applyBorder="1" applyAlignment="1">
      <alignment vertical="center" wrapText="1"/>
    </xf>
    <xf numFmtId="166" fontId="10" fillId="5" borderId="25" xfId="3" applyNumberFormat="1" applyFont="1" applyFill="1" applyBorder="1" applyAlignment="1">
      <alignment vertical="center" wrapText="1"/>
    </xf>
    <xf numFmtId="166" fontId="9" fillId="5" borderId="13" xfId="3" applyNumberFormat="1" applyFont="1" applyFill="1" applyBorder="1" applyAlignment="1">
      <alignment vertical="center" wrapText="1"/>
    </xf>
    <xf numFmtId="166" fontId="9" fillId="5" borderId="22" xfId="3" applyNumberFormat="1" applyFont="1" applyFill="1" applyBorder="1" applyAlignment="1">
      <alignment vertical="center" wrapText="1"/>
    </xf>
    <xf numFmtId="166" fontId="9" fillId="7" borderId="13" xfId="3" applyNumberFormat="1" applyFont="1" applyFill="1" applyBorder="1" applyAlignment="1">
      <alignment vertical="center" wrapText="1"/>
    </xf>
    <xf numFmtId="166" fontId="9" fillId="7" borderId="22" xfId="3" applyNumberFormat="1" applyFont="1" applyFill="1" applyBorder="1" applyAlignment="1">
      <alignment vertical="center" wrapText="1"/>
    </xf>
    <xf numFmtId="171" fontId="9" fillId="2" borderId="13" xfId="0" applyNumberFormat="1" applyFont="1" applyFill="1" applyBorder="1" applyAlignment="1">
      <alignment vertical="center" wrapText="1"/>
    </xf>
    <xf numFmtId="171" fontId="9" fillId="2" borderId="22" xfId="0" applyNumberFormat="1" applyFont="1" applyFill="1" applyBorder="1" applyAlignment="1">
      <alignment vertical="center" wrapText="1"/>
    </xf>
    <xf numFmtId="166" fontId="9" fillId="2" borderId="13" xfId="3" applyNumberFormat="1" applyFont="1" applyFill="1" applyBorder="1" applyAlignment="1">
      <alignment vertical="center" wrapText="1"/>
    </xf>
    <xf numFmtId="166" fontId="9" fillId="2" borderId="22" xfId="3" applyNumberFormat="1" applyFont="1" applyFill="1" applyBorder="1" applyAlignment="1">
      <alignment vertical="center" wrapText="1"/>
    </xf>
    <xf numFmtId="166" fontId="12" fillId="0" borderId="13" xfId="3" applyNumberFormat="1" applyFont="1" applyFill="1" applyBorder="1" applyAlignment="1">
      <alignment vertical="center" wrapText="1"/>
    </xf>
    <xf numFmtId="166" fontId="12" fillId="0" borderId="22" xfId="3" applyNumberFormat="1" applyFont="1" applyFill="1" applyBorder="1" applyAlignment="1">
      <alignment vertical="center" wrapText="1"/>
    </xf>
    <xf numFmtId="166" fontId="9" fillId="4" borderId="13" xfId="3" applyNumberFormat="1" applyFont="1" applyFill="1" applyBorder="1" applyAlignment="1">
      <alignment vertical="center" wrapText="1"/>
    </xf>
    <xf numFmtId="166" fontId="9" fillId="4" borderId="22" xfId="3" applyNumberFormat="1" applyFont="1" applyFill="1" applyBorder="1" applyAlignment="1">
      <alignment vertical="center" wrapText="1"/>
    </xf>
    <xf numFmtId="166" fontId="10" fillId="5" borderId="17" xfId="3" applyNumberFormat="1" applyFont="1" applyFill="1" applyBorder="1" applyAlignment="1">
      <alignment vertical="center" wrapText="1"/>
    </xf>
    <xf numFmtId="166" fontId="10" fillId="5" borderId="27" xfId="3" applyNumberFormat="1" applyFont="1" applyFill="1" applyBorder="1" applyAlignment="1">
      <alignment vertical="center" wrapText="1"/>
    </xf>
    <xf numFmtId="166" fontId="10" fillId="0" borderId="22" xfId="3" applyNumberFormat="1" applyFont="1" applyBorder="1" applyAlignment="1">
      <alignment horizontal="center" vertical="center" wrapText="1"/>
    </xf>
    <xf numFmtId="166" fontId="10" fillId="5" borderId="16" xfId="3" applyNumberFormat="1" applyFont="1" applyFill="1" applyBorder="1" applyAlignment="1">
      <alignment vertical="center" wrapText="1"/>
    </xf>
    <xf numFmtId="171" fontId="9" fillId="2" borderId="4" xfId="0" applyNumberFormat="1" applyFont="1" applyFill="1" applyBorder="1" applyAlignment="1">
      <alignment vertical="center" wrapText="1"/>
    </xf>
    <xf numFmtId="166" fontId="9" fillId="4" borderId="4" xfId="3" applyNumberFormat="1" applyFont="1" applyFill="1" applyBorder="1" applyAlignment="1">
      <alignment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left" vertical="center"/>
    </xf>
    <xf numFmtId="167" fontId="9" fillId="2" borderId="4" xfId="0" applyNumberFormat="1" applyFont="1" applyFill="1" applyBorder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166" fontId="10" fillId="0" borderId="9" xfId="3" applyNumberFormat="1" applyFont="1" applyBorder="1" applyAlignment="1">
      <alignment horizontal="center" vertical="center" wrapText="1"/>
    </xf>
    <xf numFmtId="166" fontId="9" fillId="0" borderId="9" xfId="3" applyNumberFormat="1" applyFont="1" applyFill="1" applyBorder="1" applyAlignment="1">
      <alignment vertical="center" wrapText="1"/>
    </xf>
    <xf numFmtId="166" fontId="10" fillId="5" borderId="9" xfId="3" applyNumberFormat="1" applyFont="1" applyFill="1" applyBorder="1" applyAlignment="1">
      <alignment vertical="center" wrapText="1"/>
    </xf>
    <xf numFmtId="166" fontId="10" fillId="0" borderId="9" xfId="3" applyNumberFormat="1" applyFont="1" applyFill="1" applyBorder="1" applyAlignment="1">
      <alignment vertical="center" wrapText="1"/>
    </xf>
    <xf numFmtId="166" fontId="9" fillId="0" borderId="9" xfId="3" applyNumberFormat="1" applyFont="1" applyBorder="1" applyAlignment="1">
      <alignment vertical="center" wrapText="1"/>
    </xf>
    <xf numFmtId="166" fontId="10" fillId="5" borderId="29" xfId="3" applyNumberFormat="1" applyFont="1" applyFill="1" applyBorder="1" applyAlignment="1">
      <alignment vertical="center" wrapText="1"/>
    </xf>
    <xf numFmtId="166" fontId="9" fillId="5" borderId="9" xfId="3" applyNumberFormat="1" applyFont="1" applyFill="1" applyBorder="1" applyAlignment="1">
      <alignment vertical="center" wrapText="1"/>
    </xf>
    <xf numFmtId="166" fontId="9" fillId="7" borderId="9" xfId="3" applyNumberFormat="1" applyFont="1" applyFill="1" applyBorder="1" applyAlignment="1">
      <alignment vertical="center" wrapText="1"/>
    </xf>
    <xf numFmtId="171" fontId="9" fillId="2" borderId="9" xfId="0" applyNumberFormat="1" applyFont="1" applyFill="1" applyBorder="1" applyAlignment="1">
      <alignment vertical="center" wrapText="1"/>
    </xf>
    <xf numFmtId="166" fontId="9" fillId="2" borderId="9" xfId="3" applyNumberFormat="1" applyFont="1" applyFill="1" applyBorder="1" applyAlignment="1">
      <alignment vertical="center" wrapText="1"/>
    </xf>
    <xf numFmtId="166" fontId="12" fillId="0" borderId="9" xfId="3" applyNumberFormat="1" applyFont="1" applyFill="1" applyBorder="1" applyAlignment="1">
      <alignment vertical="center" wrapText="1"/>
    </xf>
    <xf numFmtId="166" fontId="9" fillId="4" borderId="9" xfId="3" applyNumberFormat="1" applyFont="1" applyFill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166" fontId="10" fillId="5" borderId="31" xfId="3" applyNumberFormat="1" applyFont="1" applyFill="1" applyBorder="1" applyAlignment="1">
      <alignment vertical="center" wrapText="1"/>
    </xf>
    <xf numFmtId="166" fontId="10" fillId="5" borderId="30" xfId="3" applyNumberFormat="1" applyFont="1" applyFill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166" fontId="10" fillId="2" borderId="24" xfId="3" applyNumberFormat="1" applyFont="1" applyFill="1" applyBorder="1" applyAlignment="1">
      <alignment vertical="center" wrapText="1"/>
    </xf>
    <xf numFmtId="166" fontId="10" fillId="0" borderId="24" xfId="3" applyNumberFormat="1" applyFont="1" applyFill="1" applyBorder="1" applyAlignment="1">
      <alignment vertical="center" wrapText="1"/>
    </xf>
    <xf numFmtId="166" fontId="10" fillId="5" borderId="20" xfId="3" applyNumberFormat="1" applyFont="1" applyFill="1" applyBorder="1" applyAlignment="1">
      <alignment vertical="center" wrapText="1"/>
    </xf>
    <xf numFmtId="166" fontId="9" fillId="0" borderId="24" xfId="3" applyNumberFormat="1" applyFont="1" applyBorder="1" applyAlignment="1">
      <alignment vertical="center" wrapText="1"/>
    </xf>
    <xf numFmtId="166" fontId="9" fillId="5" borderId="24" xfId="3" applyNumberFormat="1" applyFont="1" applyFill="1" applyBorder="1" applyAlignment="1">
      <alignment vertical="center" wrapText="1"/>
    </xf>
    <xf numFmtId="166" fontId="9" fillId="7" borderId="24" xfId="3" applyNumberFormat="1" applyFont="1" applyFill="1" applyBorder="1" applyAlignment="1">
      <alignment vertical="center" wrapText="1"/>
    </xf>
    <xf numFmtId="171" fontId="9" fillId="2" borderId="24" xfId="0" applyNumberFormat="1" applyFont="1" applyFill="1" applyBorder="1" applyAlignment="1">
      <alignment vertical="center" wrapText="1"/>
    </xf>
    <xf numFmtId="166" fontId="9" fillId="0" borderId="24" xfId="3" applyNumberFormat="1" applyFont="1" applyFill="1" applyBorder="1" applyAlignment="1">
      <alignment vertical="center" wrapText="1"/>
    </xf>
    <xf numFmtId="166" fontId="9" fillId="2" borderId="24" xfId="3" applyNumberFormat="1" applyFont="1" applyFill="1" applyBorder="1" applyAlignment="1">
      <alignment vertical="center" wrapText="1"/>
    </xf>
    <xf numFmtId="166" fontId="10" fillId="5" borderId="32" xfId="3" applyNumberFormat="1" applyFont="1" applyFill="1" applyBorder="1" applyAlignment="1">
      <alignment vertical="center" wrapText="1"/>
    </xf>
    <xf numFmtId="166" fontId="10" fillId="4" borderId="8" xfId="3" applyNumberFormat="1" applyFont="1" applyFill="1" applyBorder="1" applyAlignment="1">
      <alignment vertical="center" wrapText="1"/>
    </xf>
    <xf numFmtId="166" fontId="10" fillId="4" borderId="20" xfId="3" applyNumberFormat="1" applyFont="1" applyFill="1" applyBorder="1" applyAlignment="1">
      <alignment vertical="center" wrapText="1"/>
    </xf>
    <xf numFmtId="166" fontId="10" fillId="4" borderId="29" xfId="3" applyNumberFormat="1" applyFont="1" applyFill="1" applyBorder="1" applyAlignment="1">
      <alignment vertical="center" wrapText="1"/>
    </xf>
    <xf numFmtId="166" fontId="10" fillId="4" borderId="25" xfId="3" applyNumberFormat="1" applyFont="1" applyFill="1" applyBorder="1" applyAlignment="1">
      <alignment vertical="center" wrapText="1"/>
    </xf>
    <xf numFmtId="166" fontId="10" fillId="4" borderId="19" xfId="3" applyNumberFormat="1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166" fontId="9" fillId="4" borderId="24" xfId="3" applyNumberFormat="1" applyFont="1" applyFill="1" applyBorder="1" applyAlignment="1">
      <alignment vertical="center" wrapText="1"/>
    </xf>
    <xf numFmtId="166" fontId="9" fillId="0" borderId="21" xfId="3" applyNumberFormat="1" applyFont="1" applyFill="1" applyBorder="1" applyAlignment="1">
      <alignment vertical="center" wrapText="1"/>
    </xf>
    <xf numFmtId="166" fontId="9" fillId="4" borderId="21" xfId="3" applyNumberFormat="1" applyFont="1" applyFill="1" applyBorder="1" applyAlignment="1">
      <alignment vertical="center" wrapText="1"/>
    </xf>
    <xf numFmtId="169" fontId="10" fillId="2" borderId="9" xfId="3" applyNumberFormat="1" applyFont="1" applyFill="1" applyBorder="1" applyAlignment="1">
      <alignment vertical="center" wrapText="1"/>
    </xf>
    <xf numFmtId="166" fontId="9" fillId="0" borderId="10" xfId="3" applyNumberFormat="1" applyFont="1" applyBorder="1" applyAlignment="1">
      <alignment vertical="center" wrapText="1"/>
    </xf>
    <xf numFmtId="0" fontId="9" fillId="8" borderId="13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165" fontId="9" fillId="8" borderId="3" xfId="1" applyNumberFormat="1" applyFont="1" applyFill="1" applyBorder="1" applyAlignment="1">
      <alignment horizontal="center" vertical="center" wrapText="1"/>
    </xf>
    <xf numFmtId="9" fontId="9" fillId="8" borderId="3" xfId="0" applyNumberFormat="1" applyFont="1" applyFill="1" applyBorder="1" applyAlignment="1">
      <alignment horizontal="center" vertical="center" wrapText="1"/>
    </xf>
    <xf numFmtId="166" fontId="9" fillId="8" borderId="3" xfId="3" applyNumberFormat="1" applyFont="1" applyFill="1" applyBorder="1" applyAlignment="1">
      <alignment vertical="center" wrapText="1"/>
    </xf>
    <xf numFmtId="166" fontId="9" fillId="8" borderId="4" xfId="3" applyNumberFormat="1" applyFont="1" applyFill="1" applyBorder="1" applyAlignment="1">
      <alignment vertical="center" wrapText="1"/>
    </xf>
    <xf numFmtId="166" fontId="9" fillId="8" borderId="9" xfId="3" applyNumberFormat="1" applyFont="1" applyFill="1" applyBorder="1" applyAlignment="1">
      <alignment vertical="center" wrapText="1"/>
    </xf>
    <xf numFmtId="166" fontId="9" fillId="8" borderId="24" xfId="3" applyNumberFormat="1" applyFont="1" applyFill="1" applyBorder="1" applyAlignment="1">
      <alignment vertical="center" wrapText="1"/>
    </xf>
    <xf numFmtId="166" fontId="9" fillId="8" borderId="13" xfId="3" applyNumberFormat="1" applyFont="1" applyFill="1" applyBorder="1" applyAlignment="1">
      <alignment vertical="center" wrapText="1"/>
    </xf>
    <xf numFmtId="166" fontId="9" fillId="8" borderId="22" xfId="3" applyNumberFormat="1" applyFont="1" applyFill="1" applyBorder="1" applyAlignment="1">
      <alignment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9" fillId="8" borderId="13" xfId="0" applyFont="1" applyFill="1" applyBorder="1" applyAlignment="1">
      <alignment horizontal="center" vertical="center" wrapText="1"/>
    </xf>
    <xf numFmtId="166" fontId="10" fillId="5" borderId="33" xfId="3" applyNumberFormat="1" applyFont="1" applyFill="1" applyBorder="1" applyAlignment="1">
      <alignment vertical="center" wrapText="1"/>
    </xf>
    <xf numFmtId="166" fontId="10" fillId="0" borderId="24" xfId="3" applyNumberFormat="1" applyFont="1" applyBorder="1" applyAlignment="1">
      <alignment horizontal="center" vertical="center" wrapText="1"/>
    </xf>
    <xf numFmtId="166" fontId="9" fillId="0" borderId="34" xfId="3" applyNumberFormat="1" applyFont="1" applyBorder="1" applyAlignment="1">
      <alignment vertical="center" wrapText="1"/>
    </xf>
    <xf numFmtId="0" fontId="10" fillId="5" borderId="35" xfId="0" applyFont="1" applyFill="1" applyBorder="1" applyAlignment="1">
      <alignment horizontal="center" vertical="center" wrapText="1"/>
    </xf>
    <xf numFmtId="166" fontId="10" fillId="5" borderId="11" xfId="3" applyNumberFormat="1" applyFont="1" applyFill="1" applyBorder="1" applyAlignment="1">
      <alignment horizontal="center" vertical="center" wrapText="1"/>
    </xf>
    <xf numFmtId="166" fontId="10" fillId="2" borderId="11" xfId="3" applyNumberFormat="1" applyFont="1" applyFill="1" applyBorder="1" applyAlignment="1">
      <alignment vertical="center" wrapText="1"/>
    </xf>
    <xf numFmtId="166" fontId="10" fillId="0" borderId="11" xfId="3" applyNumberFormat="1" applyFont="1" applyFill="1" applyBorder="1" applyAlignment="1">
      <alignment horizontal="center" vertical="center" wrapText="1"/>
    </xf>
    <xf numFmtId="166" fontId="9" fillId="5" borderId="11" xfId="3" applyNumberFormat="1" applyFont="1" applyFill="1" applyBorder="1" applyAlignment="1">
      <alignment horizontal="center" vertical="center" wrapText="1"/>
    </xf>
    <xf numFmtId="166" fontId="9" fillId="5" borderId="36" xfId="3" applyNumberFormat="1" applyFont="1" applyFill="1" applyBorder="1" applyAlignment="1">
      <alignment horizontal="center" vertical="center" wrapText="1"/>
    </xf>
    <xf numFmtId="166" fontId="9" fillId="4" borderId="36" xfId="3" applyNumberFormat="1" applyFont="1" applyFill="1" applyBorder="1" applyAlignment="1">
      <alignment horizontal="center" vertical="center" wrapText="1"/>
    </xf>
    <xf numFmtId="166" fontId="10" fillId="7" borderId="11" xfId="3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vertical="center" wrapText="1"/>
    </xf>
    <xf numFmtId="166" fontId="9" fillId="0" borderId="11" xfId="3" applyNumberFormat="1" applyFont="1" applyFill="1" applyBorder="1" applyAlignment="1">
      <alignment horizontal="center" vertical="center" wrapText="1"/>
    </xf>
    <xf numFmtId="166" fontId="10" fillId="8" borderId="11" xfId="3" applyNumberFormat="1" applyFont="1" applyFill="1" applyBorder="1" applyAlignment="1">
      <alignment horizontal="center" vertical="center" wrapText="1"/>
    </xf>
    <xf numFmtId="166" fontId="9" fillId="2" borderId="11" xfId="3" applyNumberFormat="1" applyFont="1" applyFill="1" applyBorder="1" applyAlignment="1">
      <alignment vertical="center" wrapText="1"/>
    </xf>
    <xf numFmtId="166" fontId="12" fillId="0" borderId="11" xfId="3" applyNumberFormat="1" applyFont="1" applyFill="1" applyBorder="1" applyAlignment="1">
      <alignment horizontal="center" vertical="center" wrapText="1"/>
    </xf>
    <xf numFmtId="166" fontId="9" fillId="2" borderId="11" xfId="3" applyNumberFormat="1" applyFont="1" applyFill="1" applyBorder="1" applyAlignment="1">
      <alignment horizontal="center" vertical="center" wrapText="1"/>
    </xf>
    <xf numFmtId="166" fontId="10" fillId="5" borderId="11" xfId="3" applyNumberFormat="1" applyFont="1" applyFill="1" applyBorder="1" applyAlignment="1">
      <alignment vertical="center" wrapText="1"/>
    </xf>
    <xf numFmtId="166" fontId="10" fillId="0" borderId="11" xfId="3" applyNumberFormat="1" applyFont="1" applyFill="1" applyBorder="1" applyAlignment="1">
      <alignment vertical="center" wrapText="1"/>
    </xf>
    <xf numFmtId="166" fontId="10" fillId="5" borderId="12" xfId="3" applyNumberFormat="1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top" wrapText="1"/>
    </xf>
    <xf numFmtId="0" fontId="10" fillId="5" borderId="9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top" wrapText="1"/>
    </xf>
    <xf numFmtId="169" fontId="9" fillId="0" borderId="9" xfId="3" applyNumberFormat="1" applyFont="1" applyBorder="1" applyAlignment="1"/>
    <xf numFmtId="169" fontId="9" fillId="6" borderId="9" xfId="3" applyNumberFormat="1" applyFont="1" applyFill="1" applyBorder="1" applyAlignment="1"/>
    <xf numFmtId="169" fontId="9" fillId="0" borderId="9" xfId="3" quotePrefix="1" applyNumberFormat="1" applyFont="1" applyBorder="1" applyAlignment="1"/>
    <xf numFmtId="169" fontId="9" fillId="6" borderId="9" xfId="3" quotePrefix="1" applyNumberFormat="1" applyFont="1" applyFill="1" applyBorder="1" applyAlignment="1"/>
    <xf numFmtId="169" fontId="10" fillId="6" borderId="4" xfId="3" applyNumberFormat="1" applyFont="1" applyFill="1" applyBorder="1" applyAlignment="1"/>
    <xf numFmtId="169" fontId="10" fillId="8" borderId="4" xfId="3" applyNumberFormat="1" applyFont="1" applyFill="1" applyBorder="1" applyAlignment="1"/>
    <xf numFmtId="169" fontId="9" fillId="4" borderId="0" xfId="0" applyNumberFormat="1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169" fontId="10" fillId="4" borderId="0" xfId="0" applyNumberFormat="1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170" fontId="10" fillId="4" borderId="0" xfId="0" applyNumberFormat="1" applyFont="1" applyFill="1" applyAlignment="1">
      <alignment vertical="center" wrapText="1"/>
    </xf>
    <xf numFmtId="0" fontId="10" fillId="0" borderId="0" xfId="0" applyFont="1" applyAlignment="1">
      <alignment horizontal="center" wrapText="1"/>
    </xf>
    <xf numFmtId="39" fontId="9" fillId="0" borderId="0" xfId="0" applyNumberFormat="1" applyFont="1" applyAlignment="1">
      <alignment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/>
    </xf>
    <xf numFmtId="0" fontId="11" fillId="3" borderId="15" xfId="9" applyFont="1" applyFill="1" applyBorder="1" applyAlignment="1">
      <alignment horizontal="center"/>
    </xf>
    <xf numFmtId="0" fontId="11" fillId="3" borderId="14" xfId="9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37" xfId="0" applyFont="1" applyFill="1" applyBorder="1" applyAlignment="1">
      <alignment horizontal="center" vertical="center" wrapText="1"/>
    </xf>
    <xf numFmtId="0" fontId="10" fillId="5" borderId="38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3" fontId="10" fillId="5" borderId="13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3" fontId="12" fillId="5" borderId="3" xfId="0" applyNumberFormat="1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1" fillId="0" borderId="24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</cellXfs>
  <cellStyles count="16">
    <cellStyle name="Comma" xfId="1" builtinId="3"/>
    <cellStyle name="Comma 2" xfId="2" xr:uid="{00000000-0005-0000-0000-000001000000}"/>
    <cellStyle name="Comma 2 2" xfId="10" xr:uid="{64CF02FB-A975-4EC6-995F-62AB323CCCF7}"/>
    <cellStyle name="Currency" xfId="3" builtinId="4"/>
    <cellStyle name="Currency [0] 2" xfId="11" xr:uid="{FFB8C640-13DC-4AE0-8567-7B513A188C70}"/>
    <cellStyle name="Currency 2" xfId="4" xr:uid="{00000000-0005-0000-0000-000003000000}"/>
    <cellStyle name="Currency 3" xfId="15" xr:uid="{C80B8AF9-A1B1-46EB-B93C-15695461DF5A}"/>
    <cellStyle name="Normal" xfId="0" builtinId="0"/>
    <cellStyle name="Normal 2" xfId="5" xr:uid="{00000000-0005-0000-0000-000006000000}"/>
    <cellStyle name="Normal 2 2" xfId="6" xr:uid="{00000000-0005-0000-0000-000007000000}"/>
    <cellStyle name="Normal 2 2 2" xfId="13" xr:uid="{8076AE56-5C56-49C1-8343-3664DD1504C3}"/>
    <cellStyle name="Normal 2 3" xfId="12" xr:uid="{FC468EAA-42E0-4D2E-A7F5-A037AFA77F7C}"/>
    <cellStyle name="Normal 3" xfId="14" xr:uid="{00525019-1F59-43DB-A965-A14186096B36}"/>
    <cellStyle name="Normal 3 2" xfId="9" xr:uid="{CB1B23EC-1AED-4453-8AA0-0709390B639D}"/>
    <cellStyle name="Normal_IOCC BPRM Budget - June 2008 draft 1 (051208)" xfId="7" xr:uid="{00000000-0005-0000-0000-000008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L923"/>
  <sheetViews>
    <sheetView tabSelected="1" zoomScale="57" zoomScaleNormal="40" zoomScaleSheetLayoutView="100" workbookViewId="0">
      <pane ySplit="9" topLeftCell="A116" activePane="bottomLeft" state="frozen"/>
      <selection pane="bottomLeft" activeCell="F124" sqref="F124"/>
    </sheetView>
  </sheetViews>
  <sheetFormatPr defaultColWidth="9.1640625" defaultRowHeight="18.3"/>
  <cols>
    <col min="1" max="1" width="24" style="3" customWidth="1"/>
    <col min="2" max="2" width="31.71875" style="3" customWidth="1"/>
    <col min="3" max="3" width="14.6640625" style="3" customWidth="1"/>
    <col min="4" max="4" width="87.44140625" style="3" customWidth="1"/>
    <col min="5" max="5" width="15.27734375" style="3" customWidth="1"/>
    <col min="6" max="6" width="15.27734375" style="29" customWidth="1"/>
    <col min="7" max="7" width="15.27734375" style="116" customWidth="1"/>
    <col min="8" max="8" width="15.27734375" style="61" customWidth="1"/>
    <col min="9" max="9" width="15.27734375" style="70" customWidth="1"/>
    <col min="10" max="10" width="24.71875" style="70" customWidth="1"/>
    <col min="11" max="12" width="15.27734375" style="3" customWidth="1"/>
    <col min="13" max="13" width="15.27734375" style="70" customWidth="1"/>
    <col min="14" max="14" width="17.609375" style="70" customWidth="1"/>
    <col min="15" max="17" width="15.27734375" style="70" customWidth="1"/>
    <col min="18" max="18" width="17.38671875" style="70" customWidth="1"/>
    <col min="19" max="21" width="15.27734375" style="70" customWidth="1"/>
    <col min="22" max="22" width="17.109375" style="70" customWidth="1"/>
    <col min="23" max="25" width="15.27734375" style="70" customWidth="1"/>
    <col min="26" max="26" width="17.88671875" style="70" customWidth="1"/>
    <col min="27" max="27" width="19.83203125" style="70" customWidth="1"/>
    <col min="28" max="28" width="24.71875" style="1" customWidth="1"/>
    <col min="29" max="29" width="38.71875" style="1" customWidth="1"/>
    <col min="30" max="30" width="22.38671875" style="1" customWidth="1"/>
    <col min="31" max="31" width="17.1640625" style="1" customWidth="1"/>
    <col min="32" max="32" width="18.109375" style="1" customWidth="1"/>
    <col min="33" max="33" width="16.88671875" style="1" customWidth="1"/>
    <col min="34" max="141" width="9.1640625" style="1"/>
    <col min="142" max="142" width="9.1640625" style="2"/>
    <col min="143" max="16384" width="9.1640625" style="3"/>
  </cols>
  <sheetData>
    <row r="1" spans="1:142">
      <c r="D1" s="289" t="s">
        <v>0</v>
      </c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</row>
    <row r="2" spans="1:142">
      <c r="D2" s="289" t="s">
        <v>1</v>
      </c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1:142" s="6" customFormat="1" ht="20.7" thickBot="1">
      <c r="A3" s="309" t="s">
        <v>175</v>
      </c>
      <c r="B3" s="309" t="s">
        <v>176</v>
      </c>
      <c r="C3" s="3"/>
      <c r="D3" s="290" t="s">
        <v>2</v>
      </c>
      <c r="E3" s="290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5"/>
    </row>
    <row r="4" spans="1:142" s="1" customFormat="1" ht="20.399999999999999">
      <c r="A4" s="309" t="s">
        <v>177</v>
      </c>
      <c r="B4" s="309">
        <v>20200</v>
      </c>
      <c r="C4" s="3"/>
      <c r="D4" s="292" t="s">
        <v>3</v>
      </c>
      <c r="E4" s="293"/>
      <c r="F4" s="7"/>
      <c r="G4" s="8"/>
      <c r="H4" s="9"/>
      <c r="I4" s="10"/>
      <c r="J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142" s="1" customFormat="1" ht="20.399999999999999">
      <c r="A5" s="309" t="s">
        <v>178</v>
      </c>
      <c r="B5" s="309" t="s">
        <v>179</v>
      </c>
      <c r="C5" s="3"/>
      <c r="D5" s="11" t="s">
        <v>4</v>
      </c>
      <c r="E5" s="12">
        <v>1.04</v>
      </c>
      <c r="F5" s="7"/>
      <c r="G5" s="8"/>
      <c r="H5" s="9"/>
      <c r="I5" s="10"/>
      <c r="J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142" s="1" customFormat="1" ht="18.600000000000001" thickBot="1">
      <c r="A6" s="13"/>
      <c r="B6" s="13"/>
      <c r="C6" s="13"/>
      <c r="D6" s="13" t="s">
        <v>5</v>
      </c>
      <c r="E6" s="14">
        <v>1.05</v>
      </c>
      <c r="F6" s="7"/>
      <c r="G6" s="8"/>
      <c r="H6" s="9"/>
      <c r="I6" s="10"/>
      <c r="J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142" s="1" customFormat="1" ht="18.600000000000001" thickBot="1">
      <c r="A7" s="15"/>
      <c r="B7" s="15"/>
      <c r="C7" s="15"/>
      <c r="D7" s="15"/>
      <c r="F7" s="7"/>
      <c r="G7" s="8"/>
      <c r="H7" s="9"/>
      <c r="I7" s="10"/>
      <c r="J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248"/>
    </row>
    <row r="8" spans="1:142">
      <c r="A8" s="189"/>
      <c r="B8" s="189"/>
      <c r="C8" s="189"/>
      <c r="D8" s="189" t="s">
        <v>6</v>
      </c>
      <c r="E8" s="296" t="s">
        <v>7</v>
      </c>
      <c r="F8" s="297"/>
      <c r="G8" s="297"/>
      <c r="H8" s="297"/>
      <c r="I8" s="297"/>
      <c r="J8" s="298"/>
      <c r="K8" s="294" t="s">
        <v>8</v>
      </c>
      <c r="L8" s="294"/>
      <c r="M8" s="294"/>
      <c r="N8" s="295"/>
      <c r="O8" s="299" t="s">
        <v>147</v>
      </c>
      <c r="P8" s="300"/>
      <c r="Q8" s="300"/>
      <c r="R8" s="301"/>
      <c r="S8" s="299" t="s">
        <v>148</v>
      </c>
      <c r="T8" s="300"/>
      <c r="U8" s="300"/>
      <c r="V8" s="301"/>
      <c r="W8" s="299" t="s">
        <v>149</v>
      </c>
      <c r="X8" s="300"/>
      <c r="Y8" s="300"/>
      <c r="Z8" s="300"/>
      <c r="AA8" s="249" t="s">
        <v>9</v>
      </c>
    </row>
    <row r="9" spans="1:142" s="17" customFormat="1" ht="78" customHeight="1" thickBot="1">
      <c r="A9" s="190" t="s">
        <v>172</v>
      </c>
      <c r="B9" s="190" t="s">
        <v>173</v>
      </c>
      <c r="C9" s="190" t="s">
        <v>174</v>
      </c>
      <c r="D9" s="190" t="s">
        <v>10</v>
      </c>
      <c r="E9" s="20" t="s">
        <v>11</v>
      </c>
      <c r="F9" s="17" t="s">
        <v>12</v>
      </c>
      <c r="G9" s="17" t="s">
        <v>13</v>
      </c>
      <c r="H9" s="18" t="s">
        <v>14</v>
      </c>
      <c r="I9" s="19" t="s">
        <v>15</v>
      </c>
      <c r="J9" s="158" t="s">
        <v>16</v>
      </c>
      <c r="K9" s="16" t="s">
        <v>11</v>
      </c>
      <c r="L9" s="17" t="s">
        <v>13</v>
      </c>
      <c r="M9" s="19" t="s">
        <v>15</v>
      </c>
      <c r="N9" s="158" t="s">
        <v>16</v>
      </c>
      <c r="O9" s="193" t="s">
        <v>11</v>
      </c>
      <c r="P9" s="17" t="s">
        <v>13</v>
      </c>
      <c r="Q9" s="194" t="s">
        <v>15</v>
      </c>
      <c r="R9" s="158" t="s">
        <v>16</v>
      </c>
      <c r="S9" s="193" t="s">
        <v>11</v>
      </c>
      <c r="T9" s="17" t="s">
        <v>13</v>
      </c>
      <c r="U9" s="19" t="s">
        <v>15</v>
      </c>
      <c r="V9" s="185" t="s">
        <v>16</v>
      </c>
      <c r="W9" s="193" t="s">
        <v>11</v>
      </c>
      <c r="X9" s="17" t="s">
        <v>13</v>
      </c>
      <c r="Y9" s="19" t="s">
        <v>15</v>
      </c>
      <c r="Z9" s="247" t="s">
        <v>16</v>
      </c>
      <c r="AA9" s="21" t="s">
        <v>17</v>
      </c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16"/>
    </row>
    <row r="10" spans="1:142" s="6" customFormat="1">
      <c r="A10" s="23"/>
      <c r="B10" s="23"/>
      <c r="C10" s="23"/>
      <c r="D10" s="23" t="s">
        <v>18</v>
      </c>
      <c r="E10" s="24"/>
      <c r="F10" s="25"/>
      <c r="G10" s="117"/>
      <c r="H10" s="44"/>
      <c r="I10" s="47"/>
      <c r="J10" s="125"/>
      <c r="K10" s="267"/>
      <c r="L10" s="48"/>
      <c r="M10" s="47"/>
      <c r="N10" s="125"/>
      <c r="O10" s="159"/>
      <c r="P10" s="47"/>
      <c r="Q10" s="156"/>
      <c r="R10" s="160"/>
      <c r="S10" s="159"/>
      <c r="T10" s="47"/>
      <c r="U10" s="47"/>
      <c r="V10" s="160"/>
      <c r="W10" s="159"/>
      <c r="X10" s="47"/>
      <c r="Y10" s="47"/>
      <c r="Z10" s="156"/>
      <c r="AA10" s="250"/>
      <c r="AB10" s="283"/>
      <c r="AC10" s="4"/>
      <c r="AD10" s="287"/>
      <c r="AE10" s="287"/>
      <c r="AF10" s="287"/>
      <c r="AG10" s="40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5"/>
    </row>
    <row r="11" spans="1:142">
      <c r="A11" s="26" t="s">
        <v>185</v>
      </c>
      <c r="B11" s="26">
        <v>70000</v>
      </c>
      <c r="C11" s="26" t="s">
        <v>181</v>
      </c>
      <c r="D11" s="26" t="s">
        <v>150</v>
      </c>
      <c r="E11" s="27">
        <v>1</v>
      </c>
      <c r="F11" s="28" t="s">
        <v>19</v>
      </c>
      <c r="G11" s="29">
        <v>12</v>
      </c>
      <c r="H11" s="30">
        <v>0.5</v>
      </c>
      <c r="I11" s="31">
        <v>9680</v>
      </c>
      <c r="J11" s="92">
        <f>E11*I11*G11*H11</f>
        <v>58080</v>
      </c>
      <c r="K11" s="209">
        <f>E11</f>
        <v>1</v>
      </c>
      <c r="L11" s="29">
        <v>12</v>
      </c>
      <c r="M11" s="31">
        <f>I11*$E$6</f>
        <v>10164</v>
      </c>
      <c r="N11" s="92">
        <f>K11*M11*L11*H11</f>
        <v>60984</v>
      </c>
      <c r="O11" s="27">
        <v>1</v>
      </c>
      <c r="P11" s="29">
        <v>12</v>
      </c>
      <c r="Q11" s="31">
        <f>M11*$E$6</f>
        <v>10672.2</v>
      </c>
      <c r="R11" s="92">
        <f>H11*O11*P11*Q11</f>
        <v>64033.200000000004</v>
      </c>
      <c r="S11" s="27">
        <v>1</v>
      </c>
      <c r="T11" s="29">
        <v>12</v>
      </c>
      <c r="U11" s="31">
        <f>Q11*$E$6</f>
        <v>11205.810000000001</v>
      </c>
      <c r="V11" s="162">
        <f>H11*S11*T11*U11</f>
        <v>67234.860000000015</v>
      </c>
      <c r="W11" s="27">
        <v>1</v>
      </c>
      <c r="X11" s="29">
        <v>12</v>
      </c>
      <c r="Y11" s="31">
        <f>U11*$E$6</f>
        <v>11766.100500000002</v>
      </c>
      <c r="Z11" s="217">
        <f>H11*W11*X11*Y11</f>
        <v>70596.603000000017</v>
      </c>
      <c r="AA11" s="32">
        <f>J11+N11+R11+V11+Z11</f>
        <v>320928.66300000006</v>
      </c>
      <c r="AB11" s="282"/>
      <c r="AC11" s="40"/>
      <c r="AD11" s="40"/>
      <c r="AE11" s="40"/>
      <c r="AF11" s="40"/>
      <c r="AG11" s="40"/>
    </row>
    <row r="12" spans="1:142">
      <c r="A12" s="26" t="s">
        <v>186</v>
      </c>
      <c r="B12" s="26">
        <v>70000</v>
      </c>
      <c r="C12" s="26" t="s">
        <v>181</v>
      </c>
      <c r="D12" s="26" t="s">
        <v>151</v>
      </c>
      <c r="E12" s="27">
        <v>1</v>
      </c>
      <c r="F12" s="28" t="s">
        <v>19</v>
      </c>
      <c r="G12" s="29">
        <v>9</v>
      </c>
      <c r="H12" s="30">
        <v>0.5</v>
      </c>
      <c r="I12" s="31">
        <v>4800</v>
      </c>
      <c r="J12" s="92">
        <f>E12*I12*G12*H12</f>
        <v>21600</v>
      </c>
      <c r="K12" s="209">
        <f>E12</f>
        <v>1</v>
      </c>
      <c r="L12" s="29">
        <v>12</v>
      </c>
      <c r="M12" s="31">
        <f>I12*$E$6</f>
        <v>5040</v>
      </c>
      <c r="N12" s="92">
        <f>K12*M12*L12*H12</f>
        <v>30240</v>
      </c>
      <c r="O12" s="27">
        <v>1</v>
      </c>
      <c r="P12" s="29">
        <v>12</v>
      </c>
      <c r="Q12" s="31">
        <f>M12*$E$6</f>
        <v>5292</v>
      </c>
      <c r="R12" s="92">
        <f t="shared" ref="R12:R15" si="0">H12*O12*P12*Q12</f>
        <v>31752</v>
      </c>
      <c r="S12" s="27">
        <v>1</v>
      </c>
      <c r="T12" s="29">
        <v>12</v>
      </c>
      <c r="U12" s="31">
        <f>Q12*$E$6</f>
        <v>5556.6</v>
      </c>
      <c r="V12" s="162">
        <f t="shared" ref="V12:V15" si="1">H12*S12*T12*U12</f>
        <v>33339.600000000006</v>
      </c>
      <c r="W12" s="27">
        <v>1</v>
      </c>
      <c r="X12" s="29">
        <v>6</v>
      </c>
      <c r="Y12" s="31">
        <f t="shared" ref="Y12:Y15" si="2">U12*$E$6</f>
        <v>5834.43</v>
      </c>
      <c r="Z12" s="217">
        <f t="shared" ref="Z12:Z15" si="3">H12*W12*X12*Y12</f>
        <v>17503.29</v>
      </c>
      <c r="AA12" s="32">
        <f t="shared" ref="AA12:AA15" si="4">J12+N12+R12+V12+Z12</f>
        <v>134434.89000000001</v>
      </c>
      <c r="AB12" s="282"/>
      <c r="AC12" s="40"/>
      <c r="AD12" s="40"/>
      <c r="AE12" s="40"/>
      <c r="AF12" s="40"/>
      <c r="AG12" s="40"/>
    </row>
    <row r="13" spans="1:142">
      <c r="A13" s="26" t="s">
        <v>184</v>
      </c>
      <c r="B13" s="26">
        <v>70000</v>
      </c>
      <c r="C13" s="26" t="s">
        <v>181</v>
      </c>
      <c r="D13" s="26" t="s">
        <v>153</v>
      </c>
      <c r="E13" s="27">
        <v>1</v>
      </c>
      <c r="F13" s="28" t="s">
        <v>19</v>
      </c>
      <c r="G13" s="29">
        <v>9</v>
      </c>
      <c r="H13" s="30">
        <v>1</v>
      </c>
      <c r="I13" s="31">
        <v>2000</v>
      </c>
      <c r="J13" s="92">
        <f>E13*G13*H13*I13</f>
        <v>18000</v>
      </c>
      <c r="K13" s="209">
        <v>1</v>
      </c>
      <c r="L13" s="29">
        <v>12</v>
      </c>
      <c r="M13" s="31">
        <f>I13*$E$6</f>
        <v>2100</v>
      </c>
      <c r="N13" s="92">
        <f>K13*M13*L13*H13</f>
        <v>25200</v>
      </c>
      <c r="O13" s="27">
        <v>1</v>
      </c>
      <c r="P13" s="29">
        <v>12</v>
      </c>
      <c r="Q13" s="31">
        <f>M13*$E$6</f>
        <v>2205</v>
      </c>
      <c r="R13" s="92">
        <f>O13*Q13*P13*H13</f>
        <v>26460</v>
      </c>
      <c r="S13" s="27">
        <v>1</v>
      </c>
      <c r="T13" s="29">
        <v>12</v>
      </c>
      <c r="U13" s="31">
        <f>Q13*$E$6</f>
        <v>2315.25</v>
      </c>
      <c r="V13" s="92">
        <f>S13*U13*T13*H13</f>
        <v>27783</v>
      </c>
      <c r="W13" s="27">
        <v>1</v>
      </c>
      <c r="X13" s="29">
        <v>8</v>
      </c>
      <c r="Y13" s="31">
        <f>U13*$E$6*H13</f>
        <v>2431.0125000000003</v>
      </c>
      <c r="Z13" s="227">
        <f>W13*Y13*X13*H13</f>
        <v>19448.100000000002</v>
      </c>
      <c r="AA13" s="32">
        <f t="shared" si="4"/>
        <v>116891.1</v>
      </c>
      <c r="AB13" s="282"/>
      <c r="AC13" s="40"/>
      <c r="AD13" s="40"/>
      <c r="AE13" s="40"/>
      <c r="AF13" s="40"/>
      <c r="AG13" s="40"/>
    </row>
    <row r="14" spans="1:142">
      <c r="A14" s="26" t="s">
        <v>180</v>
      </c>
      <c r="B14" s="26">
        <v>70000</v>
      </c>
      <c r="C14" s="26" t="s">
        <v>181</v>
      </c>
      <c r="D14" s="26" t="s">
        <v>152</v>
      </c>
      <c r="E14" s="27">
        <v>1</v>
      </c>
      <c r="F14" s="28" t="s">
        <v>19</v>
      </c>
      <c r="G14" s="29">
        <v>9</v>
      </c>
      <c r="H14" s="30">
        <v>0.5</v>
      </c>
      <c r="I14" s="31">
        <v>2200</v>
      </c>
      <c r="J14" s="92">
        <f>E14*I14*G14*H14</f>
        <v>9900</v>
      </c>
      <c r="K14" s="209">
        <f>E14</f>
        <v>1</v>
      </c>
      <c r="L14" s="29">
        <v>12</v>
      </c>
      <c r="M14" s="31">
        <f>I14*$E$6</f>
        <v>2310</v>
      </c>
      <c r="N14" s="92">
        <f>K14*M14*L14*H14</f>
        <v>13860</v>
      </c>
      <c r="O14" s="27">
        <v>1</v>
      </c>
      <c r="P14" s="29">
        <v>12</v>
      </c>
      <c r="Q14" s="31">
        <f>M14*$E$6</f>
        <v>2425.5</v>
      </c>
      <c r="R14" s="92">
        <f t="shared" si="0"/>
        <v>14553</v>
      </c>
      <c r="S14" s="27">
        <v>1</v>
      </c>
      <c r="T14" s="29">
        <v>12</v>
      </c>
      <c r="U14" s="31">
        <f t="shared" ref="U14:U15" si="5">Q14*$E$6</f>
        <v>2546.7750000000001</v>
      </c>
      <c r="V14" s="162">
        <f t="shared" si="1"/>
        <v>15280.650000000001</v>
      </c>
      <c r="W14" s="27">
        <v>1</v>
      </c>
      <c r="X14" s="29">
        <v>8</v>
      </c>
      <c r="Y14" s="31">
        <f t="shared" si="2"/>
        <v>2674.11375</v>
      </c>
      <c r="Z14" s="217">
        <f t="shared" si="3"/>
        <v>10696.455</v>
      </c>
      <c r="AA14" s="32">
        <f t="shared" si="4"/>
        <v>64290.105000000003</v>
      </c>
      <c r="AB14" s="282"/>
      <c r="AC14" s="40"/>
      <c r="AD14" s="40"/>
      <c r="AE14" s="40"/>
      <c r="AF14" s="40"/>
      <c r="AG14" s="40"/>
    </row>
    <row r="15" spans="1:142">
      <c r="A15" s="26" t="s">
        <v>183</v>
      </c>
      <c r="B15" s="26">
        <v>50000</v>
      </c>
      <c r="C15" s="26" t="s">
        <v>181</v>
      </c>
      <c r="D15" s="26" t="s">
        <v>169</v>
      </c>
      <c r="E15" s="27">
        <v>1</v>
      </c>
      <c r="F15" s="28" t="s">
        <v>19</v>
      </c>
      <c r="G15" s="29">
        <v>12</v>
      </c>
      <c r="H15" s="30">
        <v>0.3</v>
      </c>
      <c r="I15" s="31">
        <v>5567</v>
      </c>
      <c r="J15" s="92">
        <f t="shared" ref="J15" si="6">E15*I15*G15*H15</f>
        <v>20041.2</v>
      </c>
      <c r="K15" s="209">
        <f>E15</f>
        <v>1</v>
      </c>
      <c r="L15" s="29">
        <v>12</v>
      </c>
      <c r="M15" s="31">
        <f>I15*$E$6</f>
        <v>5845.35</v>
      </c>
      <c r="N15" s="92">
        <f>K15*M15*L15*H15</f>
        <v>21043.260000000002</v>
      </c>
      <c r="O15" s="27">
        <v>1</v>
      </c>
      <c r="P15" s="29">
        <v>12</v>
      </c>
      <c r="Q15" s="31">
        <f>M15*$E$6</f>
        <v>6137.6175000000003</v>
      </c>
      <c r="R15" s="92">
        <f t="shared" si="0"/>
        <v>22095.422999999999</v>
      </c>
      <c r="S15" s="27">
        <v>1</v>
      </c>
      <c r="T15" s="29">
        <v>12</v>
      </c>
      <c r="U15" s="31">
        <f t="shared" si="5"/>
        <v>6444.4983750000001</v>
      </c>
      <c r="V15" s="162">
        <f t="shared" si="1"/>
        <v>23200.194149999999</v>
      </c>
      <c r="W15" s="27">
        <v>1</v>
      </c>
      <c r="X15" s="29">
        <v>12</v>
      </c>
      <c r="Y15" s="31">
        <f t="shared" si="2"/>
        <v>6766.7232937500003</v>
      </c>
      <c r="Z15" s="217">
        <f t="shared" si="3"/>
        <v>24360.203857499997</v>
      </c>
      <c r="AA15" s="32">
        <f t="shared" si="4"/>
        <v>110740.28100749999</v>
      </c>
      <c r="AB15" s="282"/>
      <c r="AC15" s="40"/>
      <c r="AD15" s="40"/>
      <c r="AE15" s="40"/>
      <c r="AF15" s="40"/>
      <c r="AG15" s="40"/>
    </row>
    <row r="16" spans="1:142" s="42" customFormat="1">
      <c r="A16" s="34"/>
      <c r="B16" s="34"/>
      <c r="C16" s="34"/>
      <c r="D16" s="34" t="s">
        <v>20</v>
      </c>
      <c r="E16" s="35"/>
      <c r="F16" s="36"/>
      <c r="G16" s="37"/>
      <c r="H16" s="38"/>
      <c r="I16" s="39"/>
      <c r="J16" s="119">
        <f>SUM(J11:J15)</f>
        <v>127621.2</v>
      </c>
      <c r="K16" s="5"/>
      <c r="L16" s="6"/>
      <c r="M16" s="39"/>
      <c r="N16" s="119">
        <f>SUM(N11:N15)</f>
        <v>151327.26</v>
      </c>
      <c r="O16" s="163"/>
      <c r="P16" s="39"/>
      <c r="Q16" s="157"/>
      <c r="R16" s="164">
        <f>SUM(R11:R15)</f>
        <v>158893.62300000002</v>
      </c>
      <c r="S16" s="163"/>
      <c r="T16" s="39"/>
      <c r="U16" s="39"/>
      <c r="V16" s="164">
        <f>SUM(V11:V15)</f>
        <v>166838.30415000001</v>
      </c>
      <c r="W16" s="163"/>
      <c r="X16" s="39"/>
      <c r="Y16" s="39"/>
      <c r="Z16" s="210">
        <f>SUM(Z11:Z15)</f>
        <v>142604.65185750002</v>
      </c>
      <c r="AA16" s="251">
        <f>SUM(AA11:AA15)</f>
        <v>747285.03900750005</v>
      </c>
      <c r="AB16" s="284"/>
      <c r="AC16" s="40"/>
      <c r="AD16" s="40"/>
      <c r="AE16" s="40"/>
      <c r="AF16" s="40"/>
      <c r="AG16" s="40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1"/>
    </row>
    <row r="17" spans="1:33">
      <c r="A17" s="43"/>
      <c r="B17" s="43"/>
      <c r="C17" s="43"/>
      <c r="D17" s="43" t="s">
        <v>21</v>
      </c>
      <c r="E17" s="24"/>
      <c r="F17" s="44"/>
      <c r="G17" s="45"/>
      <c r="H17" s="46"/>
      <c r="I17" s="47"/>
      <c r="J17" s="125"/>
      <c r="K17" s="267"/>
      <c r="L17" s="48"/>
      <c r="M17" s="47"/>
      <c r="N17" s="125"/>
      <c r="O17" s="159"/>
      <c r="P17" s="47"/>
      <c r="Q17" s="196"/>
      <c r="R17" s="160"/>
      <c r="S17" s="159"/>
      <c r="T17" s="47"/>
      <c r="U17" s="47"/>
      <c r="V17" s="160"/>
      <c r="W17" s="159"/>
      <c r="X17" s="47"/>
      <c r="Y17" s="47"/>
      <c r="Z17" s="156"/>
      <c r="AA17" s="250"/>
      <c r="AB17" s="285"/>
      <c r="AC17" s="4"/>
      <c r="AD17" s="4"/>
      <c r="AE17" s="4"/>
      <c r="AF17" s="40"/>
      <c r="AG17" s="40"/>
    </row>
    <row r="18" spans="1:33">
      <c r="A18" s="26" t="s">
        <v>182</v>
      </c>
      <c r="B18" s="26">
        <v>70015</v>
      </c>
      <c r="C18" s="26" t="s">
        <v>181</v>
      </c>
      <c r="D18" s="26" t="str">
        <f>D11</f>
        <v>Project Coordinator (50% LOE) - Macarena Jiménez</v>
      </c>
      <c r="E18" s="27">
        <f>E11</f>
        <v>1</v>
      </c>
      <c r="F18" s="29" t="s">
        <v>22</v>
      </c>
      <c r="G18" s="29">
        <v>1</v>
      </c>
      <c r="H18" s="49">
        <v>0.35270000000000001</v>
      </c>
      <c r="I18" s="31">
        <f>J11</f>
        <v>58080</v>
      </c>
      <c r="J18" s="92">
        <f>E18*I18*G18*H18</f>
        <v>20484.816000000003</v>
      </c>
      <c r="K18" s="209">
        <f>E18</f>
        <v>1</v>
      </c>
      <c r="L18" s="29">
        <v>1</v>
      </c>
      <c r="M18" s="31">
        <f>N11</f>
        <v>60984</v>
      </c>
      <c r="N18" s="92">
        <f>H18*M18*K18*L18</f>
        <v>21509.056800000002</v>
      </c>
      <c r="O18" s="27">
        <v>1</v>
      </c>
      <c r="P18" s="29">
        <v>1</v>
      </c>
      <c r="Q18" s="195">
        <f>R11</f>
        <v>64033.200000000004</v>
      </c>
      <c r="R18" s="162">
        <f>H18*O18*P18*Q18</f>
        <v>22584.509640000004</v>
      </c>
      <c r="S18" s="27">
        <v>1</v>
      </c>
      <c r="T18" s="29">
        <v>1</v>
      </c>
      <c r="U18" s="31">
        <f>V11</f>
        <v>67234.860000000015</v>
      </c>
      <c r="V18" s="162">
        <f t="shared" ref="V18:V22" si="7">H18*S18*T18*U18</f>
        <v>23713.735122000006</v>
      </c>
      <c r="W18" s="27">
        <v>1</v>
      </c>
      <c r="X18" s="29">
        <v>1</v>
      </c>
      <c r="Y18" s="31">
        <f>Z11</f>
        <v>70596.603000000017</v>
      </c>
      <c r="Z18" s="217">
        <f>H18*W18*X18*Y18</f>
        <v>24899.421878100005</v>
      </c>
      <c r="AA18" s="32">
        <f>J18+N18+R18+V18+Z18</f>
        <v>113191.53944010002</v>
      </c>
      <c r="AB18" s="282"/>
      <c r="AC18" s="40"/>
      <c r="AD18" s="40"/>
      <c r="AE18" s="40"/>
      <c r="AF18" s="40"/>
      <c r="AG18" s="40"/>
    </row>
    <row r="19" spans="1:33">
      <c r="A19" s="26" t="s">
        <v>182</v>
      </c>
      <c r="B19" s="26">
        <v>70015</v>
      </c>
      <c r="C19" s="26" t="s">
        <v>181</v>
      </c>
      <c r="D19" s="26" t="str">
        <f>D12</f>
        <v xml:space="preserve">Technical Specialist (50% LOE) - Aurora Figueredo </v>
      </c>
      <c r="E19" s="27">
        <f>E12</f>
        <v>1</v>
      </c>
      <c r="F19" s="29" t="s">
        <v>22</v>
      </c>
      <c r="G19" s="29">
        <v>1</v>
      </c>
      <c r="H19" s="49">
        <v>0.35270000000000001</v>
      </c>
      <c r="I19" s="31">
        <f>J12</f>
        <v>21600</v>
      </c>
      <c r="J19" s="92">
        <f>E19*I19*G19*H19</f>
        <v>7618.3200000000006</v>
      </c>
      <c r="K19" s="209">
        <f>E19</f>
        <v>1</v>
      </c>
      <c r="L19" s="29">
        <v>1</v>
      </c>
      <c r="M19" s="31">
        <f>N12</f>
        <v>30240</v>
      </c>
      <c r="N19" s="92">
        <f t="shared" ref="N19:N22" si="8">H19*M19*K19*L19</f>
        <v>10665.648000000001</v>
      </c>
      <c r="O19" s="27">
        <v>1</v>
      </c>
      <c r="P19" s="29">
        <v>1</v>
      </c>
      <c r="Q19" s="195">
        <f>R12</f>
        <v>31752</v>
      </c>
      <c r="R19" s="162">
        <f t="shared" ref="R19:R22" si="9">H19*O19*P19*Q19</f>
        <v>11198.930400000001</v>
      </c>
      <c r="S19" s="27">
        <v>1</v>
      </c>
      <c r="T19" s="29">
        <v>1</v>
      </c>
      <c r="U19" s="31">
        <f>V12</f>
        <v>33339.600000000006</v>
      </c>
      <c r="V19" s="162">
        <f t="shared" si="7"/>
        <v>11758.876920000002</v>
      </c>
      <c r="W19" s="27">
        <v>1</v>
      </c>
      <c r="X19" s="29">
        <v>1</v>
      </c>
      <c r="Y19" s="31">
        <f>Z12</f>
        <v>17503.29</v>
      </c>
      <c r="Z19" s="217">
        <f t="shared" ref="Z19:Z22" si="10">H19*W19*X19*Y19</f>
        <v>6173.4103830000004</v>
      </c>
      <c r="AA19" s="32">
        <f t="shared" ref="AA19:AA22" si="11">J19+N19+R19+V19+Z19</f>
        <v>47415.185703000003</v>
      </c>
      <c r="AB19" s="282"/>
      <c r="AC19" s="40"/>
      <c r="AD19" s="40"/>
      <c r="AE19" s="40"/>
      <c r="AF19" s="40"/>
      <c r="AG19" s="40"/>
    </row>
    <row r="20" spans="1:33">
      <c r="A20" s="26" t="s">
        <v>182</v>
      </c>
      <c r="B20" s="26">
        <v>70015</v>
      </c>
      <c r="C20" s="26" t="s">
        <v>181</v>
      </c>
      <c r="D20" s="26" t="s">
        <v>153</v>
      </c>
      <c r="E20" s="27">
        <f>E13</f>
        <v>1</v>
      </c>
      <c r="F20" s="29" t="s">
        <v>22</v>
      </c>
      <c r="G20" s="29">
        <v>1</v>
      </c>
      <c r="H20" s="49">
        <v>0.35270000000000001</v>
      </c>
      <c r="I20" s="31">
        <f>J13</f>
        <v>18000</v>
      </c>
      <c r="J20" s="92">
        <f t="shared" ref="J20:J22" si="12">E20*I20*G20*H20</f>
        <v>6348.6</v>
      </c>
      <c r="K20" s="209">
        <v>1</v>
      </c>
      <c r="L20" s="29">
        <v>1</v>
      </c>
      <c r="M20" s="31">
        <f>N13</f>
        <v>25200</v>
      </c>
      <c r="N20" s="92">
        <f t="shared" si="8"/>
        <v>8888.0400000000009</v>
      </c>
      <c r="O20" s="27">
        <v>1</v>
      </c>
      <c r="P20" s="29">
        <v>1</v>
      </c>
      <c r="Q20" s="195">
        <f>R13</f>
        <v>26460</v>
      </c>
      <c r="R20" s="162">
        <f t="shared" si="9"/>
        <v>9332.4420000000009</v>
      </c>
      <c r="S20" s="27">
        <v>1</v>
      </c>
      <c r="T20" s="29">
        <v>1</v>
      </c>
      <c r="U20" s="31">
        <f>V13</f>
        <v>27783</v>
      </c>
      <c r="V20" s="162">
        <f t="shared" si="7"/>
        <v>9799.0640999999996</v>
      </c>
      <c r="W20" s="27">
        <v>1</v>
      </c>
      <c r="X20" s="29">
        <v>1</v>
      </c>
      <c r="Y20" s="31">
        <f>Z13</f>
        <v>19448.100000000002</v>
      </c>
      <c r="Z20" s="217">
        <f t="shared" si="10"/>
        <v>6859.3448700000008</v>
      </c>
      <c r="AA20" s="32">
        <f t="shared" si="11"/>
        <v>41227.490969999999</v>
      </c>
      <c r="AB20" s="282"/>
      <c r="AC20" s="40"/>
      <c r="AD20" s="40"/>
      <c r="AE20" s="40"/>
      <c r="AF20" s="40"/>
    </row>
    <row r="21" spans="1:33">
      <c r="A21" s="26" t="s">
        <v>182</v>
      </c>
      <c r="B21" s="26">
        <v>70015</v>
      </c>
      <c r="C21" s="26" t="s">
        <v>181</v>
      </c>
      <c r="D21" s="26" t="str">
        <f t="shared" ref="D21:E22" si="13">D14</f>
        <v>Administration and Finance Officer (50% LOE)</v>
      </c>
      <c r="E21" s="27">
        <f t="shared" si="13"/>
        <v>1</v>
      </c>
      <c r="F21" s="29" t="s">
        <v>22</v>
      </c>
      <c r="G21" s="29">
        <v>1</v>
      </c>
      <c r="H21" s="49">
        <v>0.35270000000000001</v>
      </c>
      <c r="I21" s="31">
        <f>J14</f>
        <v>9900</v>
      </c>
      <c r="J21" s="92">
        <f t="shared" si="12"/>
        <v>3491.73</v>
      </c>
      <c r="K21" s="209">
        <f>E21</f>
        <v>1</v>
      </c>
      <c r="L21" s="29">
        <v>1</v>
      </c>
      <c r="M21" s="31">
        <f>N14</f>
        <v>13860</v>
      </c>
      <c r="N21" s="92">
        <f t="shared" si="8"/>
        <v>4888.4220000000005</v>
      </c>
      <c r="O21" s="27">
        <v>1</v>
      </c>
      <c r="P21" s="29">
        <v>1</v>
      </c>
      <c r="Q21" s="195">
        <f>R14</f>
        <v>14553</v>
      </c>
      <c r="R21" s="162">
        <f t="shared" si="9"/>
        <v>5132.8431</v>
      </c>
      <c r="S21" s="27">
        <v>1</v>
      </c>
      <c r="T21" s="29">
        <v>1</v>
      </c>
      <c r="U21" s="31">
        <f>V14</f>
        <v>15280.650000000001</v>
      </c>
      <c r="V21" s="162">
        <f t="shared" si="7"/>
        <v>5389.4852550000005</v>
      </c>
      <c r="W21" s="27">
        <v>1</v>
      </c>
      <c r="X21" s="29">
        <v>1</v>
      </c>
      <c r="Y21" s="31">
        <f>Z14</f>
        <v>10696.455</v>
      </c>
      <c r="Z21" s="217">
        <f t="shared" si="10"/>
        <v>3772.6396785000002</v>
      </c>
      <c r="AA21" s="32">
        <f t="shared" si="11"/>
        <v>22675.120033499999</v>
      </c>
      <c r="AB21" s="282"/>
      <c r="AC21" s="33"/>
      <c r="AD21" s="33"/>
      <c r="AE21" s="33"/>
    </row>
    <row r="22" spans="1:33">
      <c r="A22" s="26" t="s">
        <v>187</v>
      </c>
      <c r="B22" s="26">
        <v>50900</v>
      </c>
      <c r="C22" s="26" t="s">
        <v>181</v>
      </c>
      <c r="D22" s="26" t="str">
        <f t="shared" si="13"/>
        <v>Project Manager (HQ) (30% LOE)</v>
      </c>
      <c r="E22" s="27">
        <f t="shared" si="13"/>
        <v>1</v>
      </c>
      <c r="F22" s="29" t="s">
        <v>22</v>
      </c>
      <c r="G22" s="29">
        <v>1</v>
      </c>
      <c r="H22" s="49">
        <v>0.23469999999999999</v>
      </c>
      <c r="I22" s="31">
        <f>J15</f>
        <v>20041.2</v>
      </c>
      <c r="J22" s="92">
        <f t="shared" si="12"/>
        <v>4703.6696400000001</v>
      </c>
      <c r="K22" s="209">
        <f>E22</f>
        <v>1</v>
      </c>
      <c r="L22" s="29">
        <v>1</v>
      </c>
      <c r="M22" s="31">
        <f>N15</f>
        <v>21043.260000000002</v>
      </c>
      <c r="N22" s="92">
        <f t="shared" si="8"/>
        <v>4938.8531220000004</v>
      </c>
      <c r="O22" s="27">
        <v>1</v>
      </c>
      <c r="P22" s="29">
        <v>1</v>
      </c>
      <c r="Q22" s="195">
        <f>R15</f>
        <v>22095.422999999999</v>
      </c>
      <c r="R22" s="162">
        <f t="shared" si="9"/>
        <v>5185.7957780999996</v>
      </c>
      <c r="S22" s="27">
        <v>1</v>
      </c>
      <c r="T22" s="29">
        <v>1</v>
      </c>
      <c r="U22" s="31">
        <f>V15</f>
        <v>23200.194149999999</v>
      </c>
      <c r="V22" s="162">
        <f t="shared" si="7"/>
        <v>5445.0855670049996</v>
      </c>
      <c r="W22" s="27">
        <v>1</v>
      </c>
      <c r="X22" s="29">
        <v>1</v>
      </c>
      <c r="Y22" s="31">
        <f>Z15</f>
        <v>24360.203857499997</v>
      </c>
      <c r="Z22" s="217">
        <f t="shared" si="10"/>
        <v>5717.3398453552491</v>
      </c>
      <c r="AA22" s="32">
        <f t="shared" si="11"/>
        <v>25990.743952460252</v>
      </c>
      <c r="AB22" s="282"/>
      <c r="AC22" s="33"/>
      <c r="AD22" s="33"/>
      <c r="AE22" s="33"/>
    </row>
    <row r="23" spans="1:33">
      <c r="A23" s="34"/>
      <c r="B23" s="34"/>
      <c r="C23" s="34"/>
      <c r="D23" s="34" t="s">
        <v>23</v>
      </c>
      <c r="E23" s="50"/>
      <c r="F23" s="51"/>
      <c r="G23" s="52"/>
      <c r="H23" s="53"/>
      <c r="I23" s="54"/>
      <c r="J23" s="119">
        <f>SUM(J18:J22)</f>
        <v>42647.135640000008</v>
      </c>
      <c r="K23" s="268"/>
      <c r="L23" s="53"/>
      <c r="M23" s="54"/>
      <c r="N23" s="119">
        <f>SUM(N18:N22)</f>
        <v>50890.019921999999</v>
      </c>
      <c r="O23" s="163"/>
      <c r="P23" s="39"/>
      <c r="Q23" s="157"/>
      <c r="R23" s="164">
        <f>SUM(R18:R22)</f>
        <v>53434.520918100003</v>
      </c>
      <c r="S23" s="163"/>
      <c r="T23" s="39"/>
      <c r="U23" s="39"/>
      <c r="V23" s="164">
        <f>SUM(V18:V22)</f>
        <v>56106.246964005011</v>
      </c>
      <c r="W23" s="163"/>
      <c r="X23" s="39"/>
      <c r="Y23" s="39"/>
      <c r="Z23" s="210">
        <f>SUM(Z18:Z22)</f>
        <v>47422.156654955259</v>
      </c>
      <c r="AA23" s="251">
        <f>J23+N23+R23+V23+Z23</f>
        <v>250500.08009906029</v>
      </c>
      <c r="AB23" s="286"/>
      <c r="AC23" s="40"/>
      <c r="AD23" s="40"/>
      <c r="AE23" s="288"/>
    </row>
    <row r="24" spans="1:33">
      <c r="A24" s="43"/>
      <c r="B24" s="43"/>
      <c r="C24" s="43"/>
      <c r="D24" s="43" t="s">
        <v>24</v>
      </c>
      <c r="E24" s="56"/>
      <c r="F24" s="44"/>
      <c r="G24" s="45"/>
      <c r="H24" s="46"/>
      <c r="I24" s="47"/>
      <c r="J24" s="125"/>
      <c r="K24" s="269"/>
      <c r="L24" s="44"/>
      <c r="M24" s="47"/>
      <c r="N24" s="125"/>
      <c r="O24" s="159"/>
      <c r="P24" s="47"/>
      <c r="Q24" s="196"/>
      <c r="R24" s="160"/>
      <c r="S24" s="159"/>
      <c r="T24" s="47"/>
      <c r="U24" s="47"/>
      <c r="V24" s="160"/>
      <c r="W24" s="159"/>
      <c r="X24" s="47"/>
      <c r="Y24" s="47"/>
      <c r="Z24" s="156"/>
      <c r="AA24" s="250"/>
    </row>
    <row r="25" spans="1:33">
      <c r="A25" s="58"/>
      <c r="B25" s="58"/>
      <c r="C25" s="58"/>
      <c r="D25" s="58" t="s">
        <v>25</v>
      </c>
      <c r="E25" s="59"/>
      <c r="G25" s="60"/>
      <c r="I25" s="62"/>
      <c r="J25" s="126"/>
      <c r="K25" s="16"/>
      <c r="L25" s="17"/>
      <c r="M25" s="62"/>
      <c r="N25" s="126"/>
      <c r="O25" s="165"/>
      <c r="P25" s="62"/>
      <c r="Q25" s="197"/>
      <c r="R25" s="166"/>
      <c r="S25" s="165"/>
      <c r="T25" s="62"/>
      <c r="U25" s="62"/>
      <c r="V25" s="166"/>
      <c r="W25" s="165"/>
      <c r="X25" s="62"/>
      <c r="Y25" s="62"/>
      <c r="Z25" s="211"/>
      <c r="AA25" s="252"/>
    </row>
    <row r="26" spans="1:33">
      <c r="A26" s="26" t="s">
        <v>193</v>
      </c>
      <c r="B26" s="26">
        <v>86040</v>
      </c>
      <c r="C26" s="26" t="s">
        <v>189</v>
      </c>
      <c r="D26" s="26" t="s">
        <v>26</v>
      </c>
      <c r="E26" s="27">
        <v>1</v>
      </c>
      <c r="F26" s="29" t="s">
        <v>27</v>
      </c>
      <c r="G26" s="63">
        <v>1</v>
      </c>
      <c r="H26" s="61">
        <v>1</v>
      </c>
      <c r="I26" s="31">
        <v>2000</v>
      </c>
      <c r="J26" s="92">
        <f>E26*I26*G26</f>
        <v>2000</v>
      </c>
      <c r="K26" s="209">
        <v>1</v>
      </c>
      <c r="L26" s="29">
        <v>1</v>
      </c>
      <c r="M26" s="31">
        <f>I26*$E$5</f>
        <v>2080</v>
      </c>
      <c r="N26" s="92">
        <f>K26*M26*L26*H26</f>
        <v>2080</v>
      </c>
      <c r="O26" s="27">
        <v>1</v>
      </c>
      <c r="P26" s="29">
        <v>1</v>
      </c>
      <c r="Q26" s="31">
        <f>M26*$E$5</f>
        <v>2163.2000000000003</v>
      </c>
      <c r="R26" s="92">
        <f>O26*Q26*P26*L26</f>
        <v>2163.2000000000003</v>
      </c>
      <c r="S26" s="27">
        <v>1</v>
      </c>
      <c r="T26" s="29">
        <v>1</v>
      </c>
      <c r="U26" s="31">
        <f>Q26*$E$5</f>
        <v>2249.7280000000005</v>
      </c>
      <c r="V26" s="92">
        <f>S26*U26*T26*P26</f>
        <v>2249.7280000000005</v>
      </c>
      <c r="W26" s="27">
        <v>1</v>
      </c>
      <c r="X26" s="29">
        <v>1</v>
      </c>
      <c r="Y26" s="31">
        <f>U26*$E$5</f>
        <v>2339.7171200000007</v>
      </c>
      <c r="Z26" s="227">
        <f>W26*Y26*X26*T26</f>
        <v>2339.7171200000007</v>
      </c>
      <c r="AA26" s="32">
        <f>J26+N26+R26+V26+Z26</f>
        <v>10832.645120000003</v>
      </c>
      <c r="AB26" s="285"/>
    </row>
    <row r="27" spans="1:33">
      <c r="A27" s="26" t="s">
        <v>194</v>
      </c>
      <c r="B27" s="26">
        <v>86000</v>
      </c>
      <c r="C27" s="26" t="s">
        <v>189</v>
      </c>
      <c r="D27" s="26" t="s">
        <v>28</v>
      </c>
      <c r="E27" s="27">
        <v>1</v>
      </c>
      <c r="F27" s="29" t="s">
        <v>32</v>
      </c>
      <c r="G27" s="63">
        <v>7</v>
      </c>
      <c r="H27" s="61">
        <v>1</v>
      </c>
      <c r="I27" s="31">
        <v>50</v>
      </c>
      <c r="J27" s="92">
        <f>E27*I27*G27</f>
        <v>350</v>
      </c>
      <c r="K27" s="209">
        <v>1</v>
      </c>
      <c r="L27" s="29">
        <v>7</v>
      </c>
      <c r="M27" s="31">
        <f>I27*$E$5</f>
        <v>52</v>
      </c>
      <c r="N27" s="92">
        <f>K27*M27*L27*H27</f>
        <v>364</v>
      </c>
      <c r="O27" s="27">
        <v>1</v>
      </c>
      <c r="P27" s="29">
        <v>7</v>
      </c>
      <c r="Q27" s="31">
        <f>M27*$E$5</f>
        <v>54.08</v>
      </c>
      <c r="R27" s="92">
        <f>O27*Q27*P27</f>
        <v>378.56</v>
      </c>
      <c r="S27" s="27">
        <v>1</v>
      </c>
      <c r="T27" s="29">
        <v>7</v>
      </c>
      <c r="U27" s="31">
        <f>Q27*$E$5</f>
        <v>56.243200000000002</v>
      </c>
      <c r="V27" s="92">
        <f>S27*U27*T27</f>
        <v>393.70240000000001</v>
      </c>
      <c r="W27" s="27">
        <v>1</v>
      </c>
      <c r="X27" s="29">
        <v>7</v>
      </c>
      <c r="Y27" s="31">
        <f>U27*$E$5</f>
        <v>58.492928000000006</v>
      </c>
      <c r="Z27" s="227">
        <f>W27*Y27*X27</f>
        <v>409.45049600000004</v>
      </c>
      <c r="AA27" s="32">
        <f t="shared" ref="AA27:AA33" si="14">J27+N27+R27+V27+Z27</f>
        <v>1895.712896</v>
      </c>
      <c r="AB27" s="285"/>
    </row>
    <row r="28" spans="1:33">
      <c r="A28" s="26" t="s">
        <v>195</v>
      </c>
      <c r="B28" s="26">
        <v>86030</v>
      </c>
      <c r="C28" s="26" t="s">
        <v>189</v>
      </c>
      <c r="D28" s="26" t="s">
        <v>29</v>
      </c>
      <c r="E28" s="27">
        <v>1</v>
      </c>
      <c r="F28" s="29" t="s">
        <v>30</v>
      </c>
      <c r="G28" s="63">
        <f>G26*7</f>
        <v>7</v>
      </c>
      <c r="H28" s="61">
        <v>1</v>
      </c>
      <c r="I28" s="31">
        <v>95</v>
      </c>
      <c r="J28" s="92">
        <f>E28*I28*G28</f>
        <v>665</v>
      </c>
      <c r="K28" s="209">
        <v>1</v>
      </c>
      <c r="L28" s="29">
        <f>L26*7</f>
        <v>7</v>
      </c>
      <c r="M28" s="31">
        <f>I28*$E$5</f>
        <v>98.8</v>
      </c>
      <c r="N28" s="92">
        <f>K28*M28*L28*H28</f>
        <v>691.6</v>
      </c>
      <c r="O28" s="27">
        <v>1</v>
      </c>
      <c r="P28" s="29">
        <f>P26*7</f>
        <v>7</v>
      </c>
      <c r="Q28" s="31">
        <f>M28*$E$5</f>
        <v>102.752</v>
      </c>
      <c r="R28" s="92">
        <f>O28*Q28*P28</f>
        <v>719.26400000000001</v>
      </c>
      <c r="S28" s="27">
        <v>1</v>
      </c>
      <c r="T28" s="29">
        <f>T26*7</f>
        <v>7</v>
      </c>
      <c r="U28" s="31">
        <f>Q28*$E$5</f>
        <v>106.86207999999999</v>
      </c>
      <c r="V28" s="92">
        <f>S28*U28*T28</f>
        <v>748.03455999999994</v>
      </c>
      <c r="W28" s="27">
        <v>1</v>
      </c>
      <c r="X28" s="29">
        <f>X26*7</f>
        <v>7</v>
      </c>
      <c r="Y28" s="31">
        <f>U28*$E$5</f>
        <v>111.1365632</v>
      </c>
      <c r="Z28" s="227">
        <f>W28*Y28*X28</f>
        <v>777.95594240000003</v>
      </c>
      <c r="AA28" s="32">
        <f t="shared" si="14"/>
        <v>3601.8545024</v>
      </c>
      <c r="AB28" s="285"/>
    </row>
    <row r="29" spans="1:33">
      <c r="A29" s="26" t="s">
        <v>196</v>
      </c>
      <c r="B29" s="26">
        <v>86050</v>
      </c>
      <c r="C29" s="26" t="s">
        <v>189</v>
      </c>
      <c r="D29" s="26" t="s">
        <v>31</v>
      </c>
      <c r="E29" s="27">
        <v>1</v>
      </c>
      <c r="F29" s="29" t="s">
        <v>32</v>
      </c>
      <c r="G29" s="63">
        <f>G26*7</f>
        <v>7</v>
      </c>
      <c r="H29" s="61">
        <v>1</v>
      </c>
      <c r="I29" s="31">
        <v>81</v>
      </c>
      <c r="J29" s="92">
        <f>E29*I29*G29</f>
        <v>567</v>
      </c>
      <c r="K29" s="209">
        <v>1</v>
      </c>
      <c r="L29" s="29">
        <f>L26*7</f>
        <v>7</v>
      </c>
      <c r="M29" s="31">
        <f>I29*$E$5</f>
        <v>84.240000000000009</v>
      </c>
      <c r="N29" s="92">
        <f>K29*M29*L29*H29</f>
        <v>589.68000000000006</v>
      </c>
      <c r="O29" s="27">
        <v>1</v>
      </c>
      <c r="P29" s="29">
        <f>P26*7</f>
        <v>7</v>
      </c>
      <c r="Q29" s="31">
        <f>M29*$E$5</f>
        <v>87.609600000000015</v>
      </c>
      <c r="R29" s="92">
        <f>O29*Q29*P29</f>
        <v>613.26720000000012</v>
      </c>
      <c r="S29" s="27">
        <v>1</v>
      </c>
      <c r="T29" s="29">
        <f>T26*7</f>
        <v>7</v>
      </c>
      <c r="U29" s="31">
        <f>Q29*$E$5</f>
        <v>91.113984000000016</v>
      </c>
      <c r="V29" s="92">
        <f>S29*U29*T29</f>
        <v>637.79788800000006</v>
      </c>
      <c r="W29" s="27">
        <v>1</v>
      </c>
      <c r="X29" s="29">
        <f>X26*7</f>
        <v>7</v>
      </c>
      <c r="Y29" s="31">
        <f>U29*$E$5</f>
        <v>94.758543360000019</v>
      </c>
      <c r="Z29" s="227">
        <f>W29*Y29*X29</f>
        <v>663.30980352000017</v>
      </c>
      <c r="AA29" s="32">
        <f t="shared" si="14"/>
        <v>3071.0548915200002</v>
      </c>
      <c r="AB29" s="285"/>
    </row>
    <row r="30" spans="1:33">
      <c r="A30" s="58"/>
      <c r="B30" s="58"/>
      <c r="C30" s="58"/>
      <c r="D30" s="58" t="s">
        <v>33</v>
      </c>
      <c r="E30" s="27"/>
      <c r="G30" s="63"/>
      <c r="I30" s="31"/>
      <c r="J30" s="92"/>
      <c r="K30" s="209"/>
      <c r="L30" s="29"/>
      <c r="M30" s="31"/>
      <c r="N30" s="92"/>
      <c r="O30" s="27"/>
      <c r="P30" s="29"/>
      <c r="Q30" s="31"/>
      <c r="R30" s="92"/>
      <c r="S30" s="27"/>
      <c r="T30" s="29"/>
      <c r="U30" s="31"/>
      <c r="V30" s="92"/>
      <c r="W30" s="27"/>
      <c r="X30" s="29"/>
      <c r="Y30" s="31"/>
      <c r="Z30" s="227"/>
      <c r="AA30" s="32">
        <f t="shared" si="14"/>
        <v>0</v>
      </c>
      <c r="AB30" s="285"/>
    </row>
    <row r="31" spans="1:33">
      <c r="A31" s="26" t="s">
        <v>197</v>
      </c>
      <c r="B31" s="26">
        <v>86030</v>
      </c>
      <c r="C31" s="26" t="s">
        <v>181</v>
      </c>
      <c r="D31" s="26" t="s">
        <v>34</v>
      </c>
      <c r="E31" s="27">
        <v>3</v>
      </c>
      <c r="F31" s="29" t="s">
        <v>30</v>
      </c>
      <c r="G31" s="63">
        <v>3</v>
      </c>
      <c r="H31" s="61">
        <v>1</v>
      </c>
      <c r="I31" s="31">
        <v>85</v>
      </c>
      <c r="J31" s="92">
        <f>E31*I31*G31</f>
        <v>765</v>
      </c>
      <c r="K31" s="209">
        <v>6</v>
      </c>
      <c r="L31" s="29">
        <v>3</v>
      </c>
      <c r="M31" s="31">
        <f>I31*$E$5</f>
        <v>88.4</v>
      </c>
      <c r="N31" s="92">
        <f>K31*M31*L31*H31</f>
        <v>1591.2000000000003</v>
      </c>
      <c r="O31" s="209">
        <v>6</v>
      </c>
      <c r="P31" s="29">
        <v>3</v>
      </c>
      <c r="Q31" s="31">
        <f>M31*$E$5</f>
        <v>91.936000000000007</v>
      </c>
      <c r="R31" s="92">
        <f>O31*Q31*P31</f>
        <v>1654.848</v>
      </c>
      <c r="S31" s="209">
        <v>6</v>
      </c>
      <c r="T31" s="29">
        <v>3</v>
      </c>
      <c r="U31" s="31">
        <f>Q31*$E$5</f>
        <v>95.613440000000011</v>
      </c>
      <c r="V31" s="92">
        <f>S31*U31*T31</f>
        <v>1721.0419200000001</v>
      </c>
      <c r="W31" s="209">
        <v>6</v>
      </c>
      <c r="X31" s="29">
        <v>3</v>
      </c>
      <c r="Y31" s="31">
        <f>U31*$E$5</f>
        <v>99.437977600000011</v>
      </c>
      <c r="Z31" s="92">
        <f>W31*Y31*X31</f>
        <v>1789.8835968000003</v>
      </c>
      <c r="AA31" s="32">
        <f t="shared" si="14"/>
        <v>7521.9735168000007</v>
      </c>
      <c r="AB31" s="285"/>
    </row>
    <row r="32" spans="1:33">
      <c r="A32" s="26" t="s">
        <v>198</v>
      </c>
      <c r="B32" s="26">
        <v>86050</v>
      </c>
      <c r="C32" s="26" t="s">
        <v>181</v>
      </c>
      <c r="D32" s="26" t="s">
        <v>35</v>
      </c>
      <c r="E32" s="27">
        <v>3</v>
      </c>
      <c r="F32" s="29" t="s">
        <v>32</v>
      </c>
      <c r="G32" s="63">
        <v>3</v>
      </c>
      <c r="H32" s="61">
        <v>1</v>
      </c>
      <c r="I32" s="31">
        <f xml:space="preserve"> 60 * 0.9</f>
        <v>54</v>
      </c>
      <c r="J32" s="92">
        <f>E32*I32*G32</f>
        <v>486</v>
      </c>
      <c r="K32" s="209">
        <v>6</v>
      </c>
      <c r="L32" s="29">
        <v>3</v>
      </c>
      <c r="M32" s="31">
        <f>I32*$E$5</f>
        <v>56.160000000000004</v>
      </c>
      <c r="N32" s="92">
        <f>K32*M32*L32*H32</f>
        <v>1010.8800000000001</v>
      </c>
      <c r="O32" s="209">
        <v>6</v>
      </c>
      <c r="P32" s="29">
        <v>3</v>
      </c>
      <c r="Q32" s="31">
        <f>M32*$E$5</f>
        <v>58.406400000000005</v>
      </c>
      <c r="R32" s="92">
        <f>O32*Q32*P32</f>
        <v>1051.3152</v>
      </c>
      <c r="S32" s="209">
        <v>6</v>
      </c>
      <c r="T32" s="29">
        <v>3</v>
      </c>
      <c r="U32" s="31">
        <f>Q32*$E$5</f>
        <v>60.742656000000004</v>
      </c>
      <c r="V32" s="92">
        <f>S32*U32*T32</f>
        <v>1093.367808</v>
      </c>
      <c r="W32" s="209">
        <v>6</v>
      </c>
      <c r="X32" s="29">
        <v>3</v>
      </c>
      <c r="Y32" s="31">
        <f>U32*$E$5</f>
        <v>63.172362240000005</v>
      </c>
      <c r="Z32" s="92">
        <f>W32*Y32*X32</f>
        <v>1137.1025203200002</v>
      </c>
      <c r="AA32" s="32">
        <f t="shared" si="14"/>
        <v>4778.6655283199998</v>
      </c>
      <c r="AB32" s="285"/>
    </row>
    <row r="33" spans="1:142" ht="43.5" customHeight="1">
      <c r="A33" s="26" t="s">
        <v>199</v>
      </c>
      <c r="B33" s="26">
        <v>86000</v>
      </c>
      <c r="C33" s="26" t="s">
        <v>181</v>
      </c>
      <c r="D33" s="26" t="s">
        <v>36</v>
      </c>
      <c r="E33" s="27">
        <v>3</v>
      </c>
      <c r="F33" s="29" t="s">
        <v>27</v>
      </c>
      <c r="G33" s="63">
        <v>1</v>
      </c>
      <c r="H33" s="61">
        <v>1</v>
      </c>
      <c r="I33" s="31">
        <v>750</v>
      </c>
      <c r="J33" s="92">
        <f>E33*I33*G33</f>
        <v>2250</v>
      </c>
      <c r="K33" s="209">
        <v>6</v>
      </c>
      <c r="L33" s="29">
        <v>1</v>
      </c>
      <c r="M33" s="31">
        <f>I33*$E$5</f>
        <v>780</v>
      </c>
      <c r="N33" s="92">
        <f>K33*M33*L33*H33</f>
        <v>4680</v>
      </c>
      <c r="O33" s="209">
        <v>6</v>
      </c>
      <c r="P33" s="29">
        <v>1</v>
      </c>
      <c r="Q33" s="31">
        <f>M33*$E$5</f>
        <v>811.2</v>
      </c>
      <c r="R33" s="92">
        <f>O33*Q33*P33</f>
        <v>4867.2000000000007</v>
      </c>
      <c r="S33" s="209">
        <v>6</v>
      </c>
      <c r="T33" s="29">
        <v>1</v>
      </c>
      <c r="U33" s="31">
        <f>Q33*$E$5</f>
        <v>843.64800000000002</v>
      </c>
      <c r="V33" s="92">
        <f>S33*U33*T33</f>
        <v>5061.8879999999999</v>
      </c>
      <c r="W33" s="209">
        <v>6</v>
      </c>
      <c r="X33" s="29">
        <v>1</v>
      </c>
      <c r="Y33" s="31">
        <f>U33*$E$5</f>
        <v>877.39392000000009</v>
      </c>
      <c r="Z33" s="92">
        <f>W33*Y33*X33</f>
        <v>5264.3635200000008</v>
      </c>
      <c r="AA33" s="32">
        <f t="shared" si="14"/>
        <v>22123.451520000002</v>
      </c>
      <c r="AB33" s="285"/>
    </row>
    <row r="34" spans="1:142" ht="36.6">
      <c r="A34" s="58"/>
      <c r="B34" s="58"/>
      <c r="C34" s="58"/>
      <c r="D34" s="58" t="s">
        <v>38</v>
      </c>
      <c r="E34" s="59"/>
      <c r="G34" s="60"/>
      <c r="I34" s="62"/>
      <c r="J34" s="126"/>
      <c r="K34" s="16"/>
      <c r="L34" s="17"/>
      <c r="M34" s="62"/>
      <c r="N34" s="126"/>
      <c r="O34" s="165"/>
      <c r="P34" s="62"/>
      <c r="Q34" s="197"/>
      <c r="R34" s="166"/>
      <c r="S34" s="165"/>
      <c r="T34" s="62"/>
      <c r="U34" s="62"/>
      <c r="V34" s="166"/>
      <c r="W34" s="165"/>
      <c r="X34" s="62"/>
      <c r="Y34" s="62"/>
      <c r="Z34" s="211"/>
      <c r="AA34" s="252"/>
      <c r="AB34" s="285"/>
    </row>
    <row r="35" spans="1:142">
      <c r="A35" s="26" t="s">
        <v>200</v>
      </c>
      <c r="B35" s="26">
        <v>86040</v>
      </c>
      <c r="C35" s="26" t="s">
        <v>181</v>
      </c>
      <c r="D35" s="26" t="s">
        <v>39</v>
      </c>
      <c r="E35" s="27">
        <v>0</v>
      </c>
      <c r="F35" s="29" t="s">
        <v>27</v>
      </c>
      <c r="G35" s="63">
        <v>0</v>
      </c>
      <c r="H35" s="61">
        <v>1</v>
      </c>
      <c r="I35" s="31">
        <v>350</v>
      </c>
      <c r="J35" s="92">
        <f>E35*I35*G35</f>
        <v>0</v>
      </c>
      <c r="K35" s="209">
        <v>3</v>
      </c>
      <c r="L35" s="29">
        <v>1</v>
      </c>
      <c r="M35" s="31">
        <f>I35*$E$5</f>
        <v>364</v>
      </c>
      <c r="N35" s="92">
        <f>K35*M35*L35*H35</f>
        <v>1092</v>
      </c>
      <c r="O35" s="27">
        <v>3</v>
      </c>
      <c r="P35" s="29">
        <v>1</v>
      </c>
      <c r="Q35" s="31">
        <f>M35*$E$5</f>
        <v>378.56</v>
      </c>
      <c r="R35" s="92">
        <f>O35*Q35*P35*L35</f>
        <v>1135.68</v>
      </c>
      <c r="S35" s="31">
        <v>0</v>
      </c>
      <c r="T35" s="31">
        <v>0</v>
      </c>
      <c r="U35" s="31">
        <v>0</v>
      </c>
      <c r="V35" s="92">
        <f>S35*U35*T35*P35</f>
        <v>0</v>
      </c>
      <c r="W35" s="161">
        <v>0</v>
      </c>
      <c r="X35" s="31">
        <v>0</v>
      </c>
      <c r="Y35" s="31">
        <v>0</v>
      </c>
      <c r="Z35" s="217">
        <v>0</v>
      </c>
      <c r="AA35" s="32">
        <f>J35+N35+R35+V35+Z35</f>
        <v>2227.6800000000003</v>
      </c>
      <c r="AB35" s="285"/>
    </row>
    <row r="36" spans="1:142">
      <c r="A36" s="26" t="s">
        <v>201</v>
      </c>
      <c r="B36" s="26">
        <v>86000</v>
      </c>
      <c r="C36" s="26" t="s">
        <v>181</v>
      </c>
      <c r="D36" s="26" t="s">
        <v>40</v>
      </c>
      <c r="E36" s="27">
        <v>0</v>
      </c>
      <c r="F36" s="29" t="s">
        <v>27</v>
      </c>
      <c r="G36" s="63">
        <v>0</v>
      </c>
      <c r="H36" s="61">
        <v>1</v>
      </c>
      <c r="I36" s="31">
        <v>50</v>
      </c>
      <c r="J36" s="92">
        <f>E36*I36*G36</f>
        <v>0</v>
      </c>
      <c r="K36" s="209">
        <v>3</v>
      </c>
      <c r="L36" s="29">
        <v>1</v>
      </c>
      <c r="M36" s="31">
        <f t="shared" ref="M36:M38" si="15">I36*$E$5</f>
        <v>52</v>
      </c>
      <c r="N36" s="92">
        <f>K36*M36*L36*H36</f>
        <v>156</v>
      </c>
      <c r="O36" s="27">
        <v>3</v>
      </c>
      <c r="P36" s="29">
        <v>1</v>
      </c>
      <c r="Q36" s="31">
        <f t="shared" ref="Q36:Q38" si="16">M36*$E$5</f>
        <v>54.08</v>
      </c>
      <c r="R36" s="92">
        <f>O36*Q36*P36*L36</f>
        <v>162.24</v>
      </c>
      <c r="S36" s="31">
        <v>0</v>
      </c>
      <c r="T36" s="31">
        <v>0</v>
      </c>
      <c r="U36" s="31">
        <v>0</v>
      </c>
      <c r="V36" s="92">
        <f>S36*U36*T36*P36</f>
        <v>0</v>
      </c>
      <c r="W36" s="161">
        <v>0</v>
      </c>
      <c r="X36" s="31">
        <v>0</v>
      </c>
      <c r="Y36" s="31">
        <v>0</v>
      </c>
      <c r="Z36" s="217">
        <v>0</v>
      </c>
      <c r="AA36" s="32">
        <f t="shared" ref="AA36:AA42" si="17">J36+N36+R36+V36+Z36</f>
        <v>318.24</v>
      </c>
      <c r="AB36" s="285"/>
    </row>
    <row r="37" spans="1:142">
      <c r="A37" s="26" t="s">
        <v>202</v>
      </c>
      <c r="B37" s="26">
        <v>86030</v>
      </c>
      <c r="C37" s="26" t="s">
        <v>181</v>
      </c>
      <c r="D37" s="26" t="s">
        <v>41</v>
      </c>
      <c r="E37" s="27">
        <v>0</v>
      </c>
      <c r="F37" s="29" t="s">
        <v>30</v>
      </c>
      <c r="G37" s="63">
        <f>G36*2</f>
        <v>0</v>
      </c>
      <c r="H37" s="61">
        <v>1</v>
      </c>
      <c r="I37" s="31">
        <v>110</v>
      </c>
      <c r="J37" s="92">
        <f>E37*I37*G37</f>
        <v>0</v>
      </c>
      <c r="K37" s="209">
        <v>3</v>
      </c>
      <c r="L37" s="29">
        <v>4</v>
      </c>
      <c r="M37" s="31">
        <f t="shared" si="15"/>
        <v>114.4</v>
      </c>
      <c r="N37" s="92">
        <f>K37*M37*L37*H37</f>
        <v>1372.8000000000002</v>
      </c>
      <c r="O37" s="27">
        <v>3</v>
      </c>
      <c r="P37" s="29">
        <v>4</v>
      </c>
      <c r="Q37" s="31">
        <f t="shared" si="16"/>
        <v>118.97600000000001</v>
      </c>
      <c r="R37" s="92">
        <f>O37*Q37*P37</f>
        <v>1427.7120000000002</v>
      </c>
      <c r="S37" s="31">
        <v>0</v>
      </c>
      <c r="T37" s="31">
        <v>0</v>
      </c>
      <c r="U37" s="31">
        <v>0</v>
      </c>
      <c r="V37" s="92">
        <f>S37*U37*T37*P37</f>
        <v>0</v>
      </c>
      <c r="W37" s="161">
        <v>0</v>
      </c>
      <c r="X37" s="31">
        <v>0</v>
      </c>
      <c r="Y37" s="31">
        <v>0</v>
      </c>
      <c r="Z37" s="217">
        <v>0</v>
      </c>
      <c r="AA37" s="32">
        <f t="shared" si="17"/>
        <v>2800.5120000000006</v>
      </c>
      <c r="AB37" s="285"/>
    </row>
    <row r="38" spans="1:142">
      <c r="A38" s="26" t="s">
        <v>203</v>
      </c>
      <c r="B38" s="26">
        <v>86050</v>
      </c>
      <c r="C38" s="26" t="s">
        <v>181</v>
      </c>
      <c r="D38" s="26" t="s">
        <v>42</v>
      </c>
      <c r="E38" s="27">
        <v>0</v>
      </c>
      <c r="F38" s="29" t="s">
        <v>32</v>
      </c>
      <c r="G38" s="63">
        <f>G36*2</f>
        <v>0</v>
      </c>
      <c r="H38" s="61">
        <v>1</v>
      </c>
      <c r="I38" s="31">
        <v>100</v>
      </c>
      <c r="J38" s="92">
        <f>E38*I38*G38</f>
        <v>0</v>
      </c>
      <c r="K38" s="209">
        <v>3</v>
      </c>
      <c r="L38" s="29">
        <v>4</v>
      </c>
      <c r="M38" s="31">
        <f t="shared" si="15"/>
        <v>104</v>
      </c>
      <c r="N38" s="92">
        <f>K38*M38*L38*H38</f>
        <v>1248</v>
      </c>
      <c r="O38" s="27">
        <v>3</v>
      </c>
      <c r="P38" s="29">
        <v>4</v>
      </c>
      <c r="Q38" s="31">
        <f t="shared" si="16"/>
        <v>108.16</v>
      </c>
      <c r="R38" s="92">
        <f>O38*Q38*P38</f>
        <v>1297.92</v>
      </c>
      <c r="S38" s="31">
        <v>0</v>
      </c>
      <c r="T38" s="31">
        <v>0</v>
      </c>
      <c r="U38" s="31">
        <v>0</v>
      </c>
      <c r="V38" s="92">
        <f>S38*U38*T38*P38</f>
        <v>0</v>
      </c>
      <c r="W38" s="161">
        <v>0</v>
      </c>
      <c r="X38" s="31">
        <v>0</v>
      </c>
      <c r="Y38" s="31">
        <v>0</v>
      </c>
      <c r="Z38" s="217">
        <v>0</v>
      </c>
      <c r="AA38" s="32">
        <f t="shared" si="17"/>
        <v>2545.92</v>
      </c>
      <c r="AB38" s="285"/>
    </row>
    <row r="39" spans="1:142" ht="36.6">
      <c r="A39" s="58"/>
      <c r="B39" s="58"/>
      <c r="C39" s="58"/>
      <c r="D39" s="58" t="s">
        <v>43</v>
      </c>
      <c r="E39" s="59"/>
      <c r="G39" s="60"/>
      <c r="I39" s="62"/>
      <c r="J39" s="126"/>
      <c r="K39" s="16"/>
      <c r="L39" s="17"/>
      <c r="M39" s="62"/>
      <c r="N39" s="126"/>
      <c r="O39" s="165"/>
      <c r="P39" s="62"/>
      <c r="Q39" s="197"/>
      <c r="R39" s="166"/>
      <c r="S39" s="165"/>
      <c r="T39" s="62"/>
      <c r="U39" s="197"/>
      <c r="V39" s="166"/>
      <c r="W39" s="165"/>
      <c r="X39" s="62"/>
      <c r="Y39" s="62"/>
      <c r="Z39" s="211"/>
      <c r="AA39" s="32"/>
      <c r="AB39" s="285"/>
    </row>
    <row r="40" spans="1:142">
      <c r="A40" s="26" t="s">
        <v>204</v>
      </c>
      <c r="B40" s="26">
        <v>86000</v>
      </c>
      <c r="C40" s="26" t="s">
        <v>181</v>
      </c>
      <c r="D40" s="26" t="s">
        <v>44</v>
      </c>
      <c r="E40" s="27">
        <v>1</v>
      </c>
      <c r="F40" s="29" t="s">
        <v>170</v>
      </c>
      <c r="G40" s="63">
        <v>10</v>
      </c>
      <c r="H40" s="61">
        <v>1</v>
      </c>
      <c r="I40" s="31">
        <v>250</v>
      </c>
      <c r="J40" s="92">
        <f>E40*I40*G40</f>
        <v>2500</v>
      </c>
      <c r="K40" s="209">
        <v>2</v>
      </c>
      <c r="L40" s="29">
        <v>10</v>
      </c>
      <c r="M40" s="31">
        <f>I40*$E$5</f>
        <v>260</v>
      </c>
      <c r="N40" s="92">
        <f>K40*M40*L40*H40</f>
        <v>5200</v>
      </c>
      <c r="O40" s="27">
        <v>2</v>
      </c>
      <c r="P40" s="29">
        <v>10</v>
      </c>
      <c r="Q40" s="195">
        <f>M40*$E$5</f>
        <v>270.40000000000003</v>
      </c>
      <c r="R40" s="162">
        <f>H40*O40*P40*Q40</f>
        <v>5408.0000000000009</v>
      </c>
      <c r="S40" s="27">
        <v>2</v>
      </c>
      <c r="T40" s="29">
        <v>10</v>
      </c>
      <c r="U40" s="195">
        <f>Q40*$E$5</f>
        <v>281.21600000000007</v>
      </c>
      <c r="V40" s="162">
        <f>S40*T40*U40*H40</f>
        <v>5624.3200000000015</v>
      </c>
      <c r="W40" s="31">
        <v>0</v>
      </c>
      <c r="X40" s="31">
        <v>0</v>
      </c>
      <c r="Y40" s="31">
        <v>0</v>
      </c>
      <c r="Z40" s="217">
        <v>0</v>
      </c>
      <c r="AA40" s="32">
        <f t="shared" si="17"/>
        <v>18732.32</v>
      </c>
      <c r="AB40" s="285"/>
    </row>
    <row r="41" spans="1:142">
      <c r="A41" s="26" t="s">
        <v>205</v>
      </c>
      <c r="B41" s="26">
        <v>86030</v>
      </c>
      <c r="C41" s="26" t="s">
        <v>181</v>
      </c>
      <c r="D41" s="26" t="s">
        <v>29</v>
      </c>
      <c r="E41" s="27">
        <v>1</v>
      </c>
      <c r="F41" s="29" t="s">
        <v>30</v>
      </c>
      <c r="G41" s="63">
        <v>10</v>
      </c>
      <c r="H41" s="61">
        <v>1</v>
      </c>
      <c r="I41" s="31">
        <v>95</v>
      </c>
      <c r="J41" s="92">
        <f>E41*I41*G41</f>
        <v>950</v>
      </c>
      <c r="K41" s="209">
        <v>2</v>
      </c>
      <c r="L41" s="29">
        <f>L40*1</f>
        <v>10</v>
      </c>
      <c r="M41" s="31">
        <f>I41*$E$5</f>
        <v>98.8</v>
      </c>
      <c r="N41" s="92">
        <f>K41*M41*L41*H41</f>
        <v>1976</v>
      </c>
      <c r="O41" s="27">
        <v>2</v>
      </c>
      <c r="P41" s="29">
        <f>P40*1</f>
        <v>10</v>
      </c>
      <c r="Q41" s="195">
        <f t="shared" ref="Q41:Q42" si="18">M41*$E$5</f>
        <v>102.752</v>
      </c>
      <c r="R41" s="162">
        <f t="shared" ref="R41:R42" si="19">H41*O41*P41*Q41</f>
        <v>2055.04</v>
      </c>
      <c r="S41" s="27">
        <v>2</v>
      </c>
      <c r="T41" s="29">
        <v>10</v>
      </c>
      <c r="U41" s="195">
        <f t="shared" ref="U41" si="20">Q41*$E$5</f>
        <v>106.86207999999999</v>
      </c>
      <c r="V41" s="162">
        <f>H41*S41*T41*U41</f>
        <v>2137.2415999999998</v>
      </c>
      <c r="W41" s="31">
        <v>0</v>
      </c>
      <c r="X41" s="31">
        <v>0</v>
      </c>
      <c r="Y41" s="31">
        <v>0</v>
      </c>
      <c r="Z41" s="217">
        <v>0</v>
      </c>
      <c r="AA41" s="32">
        <f t="shared" si="17"/>
        <v>7118.2816000000003</v>
      </c>
      <c r="AB41" s="285"/>
    </row>
    <row r="42" spans="1:142">
      <c r="A42" s="26" t="s">
        <v>206</v>
      </c>
      <c r="B42" s="26">
        <v>86050</v>
      </c>
      <c r="C42" s="26" t="s">
        <v>181</v>
      </c>
      <c r="D42" s="26" t="s">
        <v>31</v>
      </c>
      <c r="E42" s="27">
        <v>1</v>
      </c>
      <c r="F42" s="29" t="s">
        <v>32</v>
      </c>
      <c r="G42" s="63">
        <v>10</v>
      </c>
      <c r="H42" s="61">
        <v>1</v>
      </c>
      <c r="I42" s="31">
        <v>81</v>
      </c>
      <c r="J42" s="92">
        <f>E42*I42*G42</f>
        <v>810</v>
      </c>
      <c r="K42" s="209">
        <v>2</v>
      </c>
      <c r="L42" s="29">
        <f>L41*1</f>
        <v>10</v>
      </c>
      <c r="M42" s="31">
        <f>I42*$E$5</f>
        <v>84.240000000000009</v>
      </c>
      <c r="N42" s="92">
        <f>K42*M42*L42*H42</f>
        <v>1684.8000000000002</v>
      </c>
      <c r="O42" s="27">
        <v>2</v>
      </c>
      <c r="P42" s="29">
        <f>P41*1</f>
        <v>10</v>
      </c>
      <c r="Q42" s="195">
        <f t="shared" si="18"/>
        <v>87.609600000000015</v>
      </c>
      <c r="R42" s="162">
        <f t="shared" si="19"/>
        <v>1752.1920000000002</v>
      </c>
      <c r="S42" s="27">
        <v>2</v>
      </c>
      <c r="T42" s="29">
        <f>T41*1</f>
        <v>10</v>
      </c>
      <c r="U42" s="195">
        <f>Q42*$E$5</f>
        <v>91.113984000000016</v>
      </c>
      <c r="V42" s="162">
        <f>H42*S42*T42*U42</f>
        <v>1822.2796800000003</v>
      </c>
      <c r="W42" s="31">
        <v>0</v>
      </c>
      <c r="X42" s="31">
        <v>0</v>
      </c>
      <c r="Y42" s="31">
        <v>0</v>
      </c>
      <c r="Z42" s="217">
        <v>0</v>
      </c>
      <c r="AA42" s="32">
        <f t="shared" si="17"/>
        <v>6069.2716800000007</v>
      </c>
      <c r="AB42" s="285"/>
    </row>
    <row r="43" spans="1:142">
      <c r="A43" s="34"/>
      <c r="B43" s="34"/>
      <c r="C43" s="34"/>
      <c r="D43" s="34" t="s">
        <v>45</v>
      </c>
      <c r="E43" s="64"/>
      <c r="F43" s="36"/>
      <c r="G43" s="65"/>
      <c r="H43" s="38"/>
      <c r="I43" s="39"/>
      <c r="J43" s="119">
        <f>SUM(J26:J42)</f>
        <v>11343</v>
      </c>
      <c r="K43" s="229"/>
      <c r="L43" s="67"/>
      <c r="M43" s="39"/>
      <c r="N43" s="119">
        <f>SUM(N26:N42)</f>
        <v>23736.959999999999</v>
      </c>
      <c r="O43" s="163"/>
      <c r="P43" s="39"/>
      <c r="Q43" s="157"/>
      <c r="R43" s="164">
        <f>SUM(R26:R42)</f>
        <v>24686.438400000003</v>
      </c>
      <c r="S43" s="163"/>
      <c r="T43" s="39"/>
      <c r="U43" s="39"/>
      <c r="V43" s="164">
        <f>SUM(V26:V42)</f>
        <v>21489.401856000004</v>
      </c>
      <c r="W43" s="163"/>
      <c r="X43" s="39"/>
      <c r="Y43" s="39"/>
      <c r="Z43" s="210">
        <f>SUM(Z26:Z42)</f>
        <v>12381.782999040002</v>
      </c>
      <c r="AA43" s="251">
        <f>SUM(AA26:AA42)</f>
        <v>93637.583255040008</v>
      </c>
      <c r="AB43" s="285"/>
    </row>
    <row r="44" spans="1:142">
      <c r="A44" s="43"/>
      <c r="B44" s="43"/>
      <c r="C44" s="43"/>
      <c r="D44" s="43" t="s">
        <v>46</v>
      </c>
      <c r="E44" s="57"/>
      <c r="F44" s="44"/>
      <c r="G44" s="68"/>
      <c r="H44" s="46"/>
      <c r="I44" s="47"/>
      <c r="J44" s="125"/>
      <c r="K44" s="269"/>
      <c r="L44" s="44"/>
      <c r="M44" s="47"/>
      <c r="N44" s="125"/>
      <c r="O44" s="159"/>
      <c r="P44" s="47"/>
      <c r="Q44" s="196"/>
      <c r="R44" s="160"/>
      <c r="S44" s="159"/>
      <c r="T44" s="47"/>
      <c r="U44" s="47"/>
      <c r="V44" s="160"/>
      <c r="W44" s="159"/>
      <c r="X44" s="47"/>
      <c r="Y44" s="47"/>
      <c r="Z44" s="156"/>
      <c r="AA44" s="253"/>
      <c r="AB44" s="285"/>
    </row>
    <row r="45" spans="1:142">
      <c r="A45" s="26" t="s">
        <v>207</v>
      </c>
      <c r="B45" s="26">
        <v>82401</v>
      </c>
      <c r="C45" s="26" t="s">
        <v>181</v>
      </c>
      <c r="D45" s="26" t="s">
        <v>47</v>
      </c>
      <c r="E45" s="27">
        <v>1</v>
      </c>
      <c r="F45" s="29" t="s">
        <v>37</v>
      </c>
      <c r="G45" s="69">
        <v>10</v>
      </c>
      <c r="H45" s="61">
        <v>1</v>
      </c>
      <c r="I45" s="31">
        <v>90</v>
      </c>
      <c r="J45" s="121">
        <f t="shared" ref="J45:J46" si="21">E45*I45*G45*H45</f>
        <v>900</v>
      </c>
      <c r="K45" s="209">
        <v>1</v>
      </c>
      <c r="L45" s="29">
        <v>12</v>
      </c>
      <c r="M45" s="70">
        <f>I45*$E$5</f>
        <v>93.600000000000009</v>
      </c>
      <c r="N45" s="121">
        <f>K45*M45*L45*H45</f>
        <v>1123.2</v>
      </c>
      <c r="O45" s="27">
        <v>1</v>
      </c>
      <c r="P45" s="29">
        <v>12</v>
      </c>
      <c r="Q45" s="70">
        <f>M45*$E$5</f>
        <v>97.344000000000008</v>
      </c>
      <c r="R45" s="121">
        <f>O45*Q45*P45</f>
        <v>1168.1280000000002</v>
      </c>
      <c r="S45" s="27">
        <v>1</v>
      </c>
      <c r="T45" s="29">
        <v>12</v>
      </c>
      <c r="U45" s="70">
        <f>Q45*$E$5</f>
        <v>101.23776000000001</v>
      </c>
      <c r="V45" s="121">
        <f>S45*U45*T45</f>
        <v>1214.8531200000002</v>
      </c>
      <c r="W45" s="27">
        <v>1</v>
      </c>
      <c r="X45" s="29">
        <v>12</v>
      </c>
      <c r="Y45" s="70">
        <f>U45*$E$5</f>
        <v>105.28727040000001</v>
      </c>
      <c r="Z45" s="71">
        <f>W45*Y45*X45</f>
        <v>1263.4472448000001</v>
      </c>
      <c r="AA45" s="32">
        <f>J45+N45+R45+V45+Z45</f>
        <v>5669.6283648000008</v>
      </c>
      <c r="AB45" s="285"/>
    </row>
    <row r="46" spans="1:142">
      <c r="A46" s="26" t="s">
        <v>208</v>
      </c>
      <c r="B46" s="26">
        <v>82401</v>
      </c>
      <c r="C46" s="26" t="s">
        <v>181</v>
      </c>
      <c r="D46" s="26" t="s">
        <v>48</v>
      </c>
      <c r="E46" s="27">
        <v>1</v>
      </c>
      <c r="F46" s="29" t="s">
        <v>49</v>
      </c>
      <c r="G46" s="69">
        <v>5</v>
      </c>
      <c r="H46" s="61">
        <v>1</v>
      </c>
      <c r="I46" s="31">
        <v>1200</v>
      </c>
      <c r="J46" s="121">
        <f t="shared" si="21"/>
        <v>6000</v>
      </c>
      <c r="K46" s="195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f>S46*U46*T46*P46</f>
        <v>0</v>
      </c>
      <c r="W46" s="31">
        <v>0</v>
      </c>
      <c r="X46" s="31">
        <v>0</v>
      </c>
      <c r="Y46" s="31">
        <v>0</v>
      </c>
      <c r="Z46" s="31">
        <f>W46*Y46*X46*T46</f>
        <v>0</v>
      </c>
      <c r="AA46" s="32">
        <f t="shared" ref="AA46" si="22">N46+J46</f>
        <v>6000</v>
      </c>
      <c r="AB46" s="285"/>
    </row>
    <row r="47" spans="1:142" s="42" customFormat="1">
      <c r="A47" s="34"/>
      <c r="B47" s="34"/>
      <c r="C47" s="34"/>
      <c r="D47" s="34" t="s">
        <v>50</v>
      </c>
      <c r="E47" s="55"/>
      <c r="F47" s="53"/>
      <c r="G47" s="52"/>
      <c r="H47" s="72"/>
      <c r="I47" s="73"/>
      <c r="J47" s="119">
        <f>SUM(J45:J46)</f>
        <v>6900</v>
      </c>
      <c r="K47" s="229"/>
      <c r="L47" s="67"/>
      <c r="M47" s="39"/>
      <c r="N47" s="119">
        <f>SUM(N45:N46)</f>
        <v>1123.2</v>
      </c>
      <c r="O47" s="163"/>
      <c r="P47" s="39"/>
      <c r="Q47" s="157"/>
      <c r="R47" s="164">
        <f>SUM(R45:R46)</f>
        <v>1168.1280000000002</v>
      </c>
      <c r="S47" s="163"/>
      <c r="T47" s="39"/>
      <c r="U47" s="39"/>
      <c r="V47" s="164">
        <f>SUM(V45:V46)</f>
        <v>1214.8531200000002</v>
      </c>
      <c r="W47" s="163"/>
      <c r="X47" s="39"/>
      <c r="Y47" s="39"/>
      <c r="Z47" s="210">
        <f>SUM(Z45:Z46)</f>
        <v>1263.4472448000001</v>
      </c>
      <c r="AA47" s="251">
        <f>SUM(AA45:AA46)</f>
        <v>11669.628364800001</v>
      </c>
      <c r="AB47" s="40"/>
      <c r="AC47" s="40"/>
      <c r="AD47" s="40"/>
      <c r="AE47" s="33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1"/>
    </row>
    <row r="48" spans="1:142">
      <c r="A48" s="43"/>
      <c r="B48" s="43"/>
      <c r="C48" s="43"/>
      <c r="D48" s="43" t="s">
        <v>51</v>
      </c>
      <c r="E48" s="57"/>
      <c r="F48" s="44"/>
      <c r="G48" s="44"/>
      <c r="H48" s="46"/>
      <c r="I48" s="47"/>
      <c r="J48" s="125"/>
      <c r="K48" s="270"/>
      <c r="L48" s="74"/>
      <c r="M48" s="75"/>
      <c r="N48" s="186"/>
      <c r="O48" s="169"/>
      <c r="P48" s="75"/>
      <c r="Q48" s="199"/>
      <c r="R48" s="170"/>
      <c r="S48" s="169"/>
      <c r="T48" s="75"/>
      <c r="U48" s="75"/>
      <c r="V48" s="170"/>
      <c r="W48" s="169"/>
      <c r="X48" s="75"/>
      <c r="Y48" s="75"/>
      <c r="Z48" s="212"/>
      <c r="AA48" s="254"/>
      <c r="AB48" s="33"/>
      <c r="AC48" s="33"/>
      <c r="AD48" s="33"/>
      <c r="AE48" s="33"/>
    </row>
    <row r="49" spans="1:31" ht="42" customHeight="1">
      <c r="A49" s="311"/>
      <c r="B49" s="311"/>
      <c r="C49" s="311"/>
      <c r="D49" s="310" t="s">
        <v>97</v>
      </c>
      <c r="E49" s="27"/>
      <c r="G49" s="29"/>
      <c r="I49" s="31"/>
      <c r="J49" s="92"/>
      <c r="K49" s="209"/>
      <c r="L49" s="29"/>
      <c r="N49" s="92"/>
      <c r="O49" s="224"/>
      <c r="P49" s="220"/>
      <c r="Q49" s="222"/>
      <c r="R49" s="223"/>
      <c r="S49" s="224"/>
      <c r="T49" s="220"/>
      <c r="U49" s="220"/>
      <c r="V49" s="223"/>
      <c r="W49" s="224"/>
      <c r="X49" s="220"/>
      <c r="Y49" s="220"/>
      <c r="Z49" s="221"/>
      <c r="AA49" s="255"/>
      <c r="AB49" s="33"/>
      <c r="AC49" s="33"/>
      <c r="AD49" s="33"/>
      <c r="AE49" s="33"/>
    </row>
    <row r="50" spans="1:31" ht="18" customHeight="1">
      <c r="A50" s="312" t="s">
        <v>212</v>
      </c>
      <c r="B50" s="312">
        <v>81000</v>
      </c>
      <c r="C50" s="26" t="s">
        <v>181</v>
      </c>
      <c r="D50" s="266" t="s">
        <v>155</v>
      </c>
      <c r="E50" s="27">
        <v>1</v>
      </c>
      <c r="F50" s="76" t="s">
        <v>37</v>
      </c>
      <c r="G50" s="122">
        <v>3</v>
      </c>
      <c r="H50" s="61">
        <v>1</v>
      </c>
      <c r="I50" s="31">
        <v>1950</v>
      </c>
      <c r="J50" s="121">
        <f t="shared" ref="J50:J55" si="23">E50*G50*H50*I50</f>
        <v>5850</v>
      </c>
      <c r="K50" s="209">
        <v>1</v>
      </c>
      <c r="L50" s="29">
        <v>12</v>
      </c>
      <c r="M50" s="70">
        <f t="shared" ref="M50:M54" si="24">I50*$E$5</f>
        <v>2028</v>
      </c>
      <c r="N50" s="121">
        <f t="shared" ref="N50:N55" si="25">K50*L50*M50</f>
        <v>24336</v>
      </c>
      <c r="O50" s="27">
        <v>1</v>
      </c>
      <c r="P50" s="29">
        <v>12</v>
      </c>
      <c r="Q50" s="70">
        <f t="shared" ref="Q50:Q55" si="26">M50*$E$5</f>
        <v>2109.12</v>
      </c>
      <c r="R50" s="121">
        <f t="shared" ref="R50:R55" si="27">O50*P50*Q50</f>
        <v>25309.439999999999</v>
      </c>
      <c r="S50" s="27">
        <v>1</v>
      </c>
      <c r="T50" s="29">
        <v>12</v>
      </c>
      <c r="U50" s="70">
        <f t="shared" ref="U50:U55" si="28">Q50*$E$5</f>
        <v>2193.4848000000002</v>
      </c>
      <c r="V50" s="121">
        <f t="shared" ref="V50:V55" si="29">S50*T50*U50</f>
        <v>26321.817600000002</v>
      </c>
      <c r="W50" s="181">
        <v>0</v>
      </c>
      <c r="X50" s="97">
        <v>0</v>
      </c>
      <c r="Y50" s="97">
        <v>0</v>
      </c>
      <c r="Z50" s="182">
        <v>0</v>
      </c>
      <c r="AA50" s="255">
        <f>J50+N50+R50+V50+Z50</f>
        <v>81817.257600000012</v>
      </c>
      <c r="AC50" s="33"/>
      <c r="AD50" s="33"/>
      <c r="AE50" s="33"/>
    </row>
    <row r="51" spans="1:31">
      <c r="A51" s="3" t="s">
        <v>213</v>
      </c>
      <c r="B51" s="312">
        <v>81000</v>
      </c>
      <c r="C51" s="26" t="s">
        <v>181</v>
      </c>
      <c r="D51" s="308" t="s">
        <v>98</v>
      </c>
      <c r="E51" s="27">
        <v>1</v>
      </c>
      <c r="F51" s="76" t="s">
        <v>37</v>
      </c>
      <c r="G51" s="122">
        <v>3</v>
      </c>
      <c r="H51" s="61">
        <v>1</v>
      </c>
      <c r="I51" s="31">
        <v>925</v>
      </c>
      <c r="J51" s="121">
        <f t="shared" si="23"/>
        <v>2775</v>
      </c>
      <c r="K51" s="209">
        <v>1</v>
      </c>
      <c r="L51" s="29">
        <v>12</v>
      </c>
      <c r="M51" s="70">
        <f t="shared" si="24"/>
        <v>962</v>
      </c>
      <c r="N51" s="121">
        <f t="shared" si="25"/>
        <v>11544</v>
      </c>
      <c r="O51" s="27">
        <v>1</v>
      </c>
      <c r="P51" s="29">
        <v>12</v>
      </c>
      <c r="Q51" s="70">
        <f t="shared" si="26"/>
        <v>1000.48</v>
      </c>
      <c r="R51" s="121">
        <f t="shared" si="27"/>
        <v>12005.76</v>
      </c>
      <c r="S51" s="27">
        <v>1</v>
      </c>
      <c r="T51" s="29">
        <v>12</v>
      </c>
      <c r="U51" s="70">
        <f t="shared" si="28"/>
        <v>1040.4992</v>
      </c>
      <c r="V51" s="121">
        <f t="shared" si="29"/>
        <v>12485.990399999999</v>
      </c>
      <c r="W51" s="181">
        <v>0</v>
      </c>
      <c r="X51" s="97">
        <v>0</v>
      </c>
      <c r="Y51" s="97">
        <v>0</v>
      </c>
      <c r="Z51" s="182">
        <v>0</v>
      </c>
      <c r="AA51" s="255">
        <f>J51+N51+R51+V51+Z51</f>
        <v>38810.750400000004</v>
      </c>
      <c r="AB51" s="282"/>
      <c r="AC51" s="33"/>
      <c r="AD51" s="33"/>
      <c r="AE51" s="33"/>
    </row>
    <row r="52" spans="1:31">
      <c r="A52" s="3" t="s">
        <v>214</v>
      </c>
      <c r="B52" s="312">
        <v>81000</v>
      </c>
      <c r="C52" s="26" t="s">
        <v>181</v>
      </c>
      <c r="D52" s="308" t="s">
        <v>99</v>
      </c>
      <c r="E52" s="27">
        <v>1</v>
      </c>
      <c r="F52" s="76" t="s">
        <v>37</v>
      </c>
      <c r="G52" s="122">
        <v>3</v>
      </c>
      <c r="H52" s="61">
        <v>1</v>
      </c>
      <c r="I52" s="31">
        <v>1500</v>
      </c>
      <c r="J52" s="121">
        <f t="shared" si="23"/>
        <v>4500</v>
      </c>
      <c r="K52" s="209">
        <v>1</v>
      </c>
      <c r="L52" s="29">
        <v>12</v>
      </c>
      <c r="M52" s="70">
        <f t="shared" si="24"/>
        <v>1560</v>
      </c>
      <c r="N52" s="121">
        <f t="shared" si="25"/>
        <v>18720</v>
      </c>
      <c r="O52" s="27">
        <v>1</v>
      </c>
      <c r="P52" s="29">
        <v>12</v>
      </c>
      <c r="Q52" s="70">
        <f t="shared" si="26"/>
        <v>1622.4</v>
      </c>
      <c r="R52" s="121">
        <f t="shared" si="27"/>
        <v>19468.800000000003</v>
      </c>
      <c r="S52" s="27">
        <v>1</v>
      </c>
      <c r="T52" s="29">
        <v>12</v>
      </c>
      <c r="U52" s="70">
        <f t="shared" si="28"/>
        <v>1687.296</v>
      </c>
      <c r="V52" s="121">
        <f t="shared" si="29"/>
        <v>20247.552</v>
      </c>
      <c r="W52" s="181">
        <v>0</v>
      </c>
      <c r="X52" s="97">
        <v>0</v>
      </c>
      <c r="Y52" s="97">
        <v>0</v>
      </c>
      <c r="Z52" s="182">
        <v>0</v>
      </c>
      <c r="AA52" s="255">
        <f t="shared" ref="AA52:AA64" si="30">J52+N52+R52+V52+Z52</f>
        <v>62936.351999999999</v>
      </c>
      <c r="AB52" s="282"/>
      <c r="AC52" s="33"/>
      <c r="AD52" s="33"/>
      <c r="AE52" s="33"/>
    </row>
    <row r="53" spans="1:31">
      <c r="A53" s="3" t="s">
        <v>215</v>
      </c>
      <c r="B53" s="312">
        <v>81000</v>
      </c>
      <c r="C53" s="26" t="s">
        <v>181</v>
      </c>
      <c r="D53" s="308" t="s">
        <v>100</v>
      </c>
      <c r="E53" s="27">
        <v>1</v>
      </c>
      <c r="F53" s="76" t="s">
        <v>37</v>
      </c>
      <c r="G53" s="122">
        <v>3</v>
      </c>
      <c r="H53" s="61">
        <v>1</v>
      </c>
      <c r="I53" s="31">
        <v>925</v>
      </c>
      <c r="J53" s="121">
        <f t="shared" si="23"/>
        <v>2775</v>
      </c>
      <c r="K53" s="209">
        <v>1</v>
      </c>
      <c r="L53" s="29">
        <v>12</v>
      </c>
      <c r="M53" s="70">
        <f t="shared" si="24"/>
        <v>962</v>
      </c>
      <c r="N53" s="121">
        <f t="shared" si="25"/>
        <v>11544</v>
      </c>
      <c r="O53" s="27">
        <v>1</v>
      </c>
      <c r="P53" s="29">
        <v>12</v>
      </c>
      <c r="Q53" s="70">
        <f t="shared" si="26"/>
        <v>1000.48</v>
      </c>
      <c r="R53" s="121">
        <f t="shared" si="27"/>
        <v>12005.76</v>
      </c>
      <c r="S53" s="27">
        <v>1</v>
      </c>
      <c r="T53" s="29">
        <v>12</v>
      </c>
      <c r="U53" s="70">
        <f t="shared" si="28"/>
        <v>1040.4992</v>
      </c>
      <c r="V53" s="121">
        <f t="shared" si="29"/>
        <v>12485.990399999999</v>
      </c>
      <c r="W53" s="181">
        <v>0</v>
      </c>
      <c r="X53" s="97">
        <v>0</v>
      </c>
      <c r="Y53" s="97">
        <v>0</v>
      </c>
      <c r="Z53" s="182">
        <v>0</v>
      </c>
      <c r="AA53" s="255">
        <f t="shared" si="30"/>
        <v>38810.750400000004</v>
      </c>
      <c r="AB53" s="282"/>
      <c r="AC53" s="33"/>
      <c r="AD53" s="33"/>
      <c r="AE53" s="33"/>
    </row>
    <row r="54" spans="1:31" ht="36.6">
      <c r="A54" s="3" t="s">
        <v>216</v>
      </c>
      <c r="B54" s="312" t="s">
        <v>211</v>
      </c>
      <c r="C54" s="26" t="s">
        <v>181</v>
      </c>
      <c r="D54" s="308" t="s">
        <v>101</v>
      </c>
      <c r="E54" s="27">
        <v>1</v>
      </c>
      <c r="F54" s="76" t="s">
        <v>37</v>
      </c>
      <c r="G54" s="122">
        <v>3</v>
      </c>
      <c r="H54" s="61">
        <v>1</v>
      </c>
      <c r="I54" s="31">
        <v>685</v>
      </c>
      <c r="J54" s="121">
        <f t="shared" si="23"/>
        <v>2055</v>
      </c>
      <c r="K54" s="209">
        <v>1</v>
      </c>
      <c r="L54" s="29">
        <v>12</v>
      </c>
      <c r="M54" s="70">
        <f t="shared" si="24"/>
        <v>712.4</v>
      </c>
      <c r="N54" s="121">
        <f t="shared" si="25"/>
        <v>8548.7999999999993</v>
      </c>
      <c r="O54" s="27">
        <v>1</v>
      </c>
      <c r="P54" s="29">
        <v>12</v>
      </c>
      <c r="Q54" s="70">
        <f t="shared" si="26"/>
        <v>740.89599999999996</v>
      </c>
      <c r="R54" s="121">
        <f t="shared" si="27"/>
        <v>8890.7520000000004</v>
      </c>
      <c r="S54" s="27">
        <v>1</v>
      </c>
      <c r="T54" s="29">
        <v>12</v>
      </c>
      <c r="U54" s="70">
        <f t="shared" si="28"/>
        <v>770.53183999999999</v>
      </c>
      <c r="V54" s="121">
        <f t="shared" si="29"/>
        <v>9246.3820799999994</v>
      </c>
      <c r="W54" s="181">
        <v>0</v>
      </c>
      <c r="X54" s="97">
        <v>0</v>
      </c>
      <c r="Y54" s="97">
        <v>0</v>
      </c>
      <c r="Z54" s="182">
        <v>0</v>
      </c>
      <c r="AA54" s="255">
        <f t="shared" si="30"/>
        <v>28740.934079999999</v>
      </c>
      <c r="AB54" s="282"/>
      <c r="AC54" s="33"/>
      <c r="AD54" s="33"/>
      <c r="AE54" s="33"/>
    </row>
    <row r="55" spans="1:31" ht="36.6">
      <c r="A55" s="3" t="s">
        <v>217</v>
      </c>
      <c r="B55" s="312" t="s">
        <v>211</v>
      </c>
      <c r="C55" s="26" t="s">
        <v>181</v>
      </c>
      <c r="D55" s="308" t="s">
        <v>102</v>
      </c>
      <c r="E55" s="27">
        <v>1</v>
      </c>
      <c r="F55" s="76" t="s">
        <v>37</v>
      </c>
      <c r="G55" s="122">
        <v>3</v>
      </c>
      <c r="H55" s="61">
        <v>1</v>
      </c>
      <c r="I55" s="31">
        <v>685</v>
      </c>
      <c r="J55" s="121">
        <f t="shared" si="23"/>
        <v>2055</v>
      </c>
      <c r="K55" s="209">
        <v>1</v>
      </c>
      <c r="L55" s="29">
        <v>12</v>
      </c>
      <c r="M55" s="70">
        <f>I55*$E$5</f>
        <v>712.4</v>
      </c>
      <c r="N55" s="121">
        <f t="shared" si="25"/>
        <v>8548.7999999999993</v>
      </c>
      <c r="O55" s="27">
        <v>1</v>
      </c>
      <c r="P55" s="29">
        <v>12</v>
      </c>
      <c r="Q55" s="70">
        <f t="shared" si="26"/>
        <v>740.89599999999996</v>
      </c>
      <c r="R55" s="121">
        <f t="shared" si="27"/>
        <v>8890.7520000000004</v>
      </c>
      <c r="S55" s="27">
        <v>1</v>
      </c>
      <c r="T55" s="29">
        <v>12</v>
      </c>
      <c r="U55" s="70">
        <f t="shared" si="28"/>
        <v>770.53183999999999</v>
      </c>
      <c r="V55" s="121">
        <f t="shared" si="29"/>
        <v>9246.3820799999994</v>
      </c>
      <c r="W55" s="181">
        <v>0</v>
      </c>
      <c r="X55" s="97">
        <v>0</v>
      </c>
      <c r="Y55" s="97">
        <v>0</v>
      </c>
      <c r="Z55" s="226">
        <v>0</v>
      </c>
      <c r="AA55" s="255">
        <f t="shared" si="30"/>
        <v>28740.934079999999</v>
      </c>
      <c r="AB55" s="282"/>
      <c r="AC55" s="33"/>
      <c r="AD55" s="33"/>
      <c r="AE55" s="33"/>
    </row>
    <row r="56" spans="1:31" ht="44.05" customHeight="1">
      <c r="A56" s="311"/>
      <c r="B56" s="311"/>
      <c r="C56" s="311"/>
      <c r="D56" s="310" t="s">
        <v>107</v>
      </c>
      <c r="E56" s="27"/>
      <c r="F56" s="76"/>
      <c r="G56" s="122"/>
      <c r="I56" s="31"/>
      <c r="J56" s="121">
        <f t="shared" ref="J56" si="31">E56*G56*H56*I56</f>
        <v>0</v>
      </c>
      <c r="K56" s="209"/>
      <c r="L56" s="29"/>
      <c r="N56" s="121"/>
      <c r="O56" s="27"/>
      <c r="P56" s="29"/>
      <c r="R56" s="121"/>
      <c r="S56" s="181"/>
      <c r="T56" s="97"/>
      <c r="U56" s="97"/>
      <c r="V56" s="182"/>
      <c r="W56" s="181"/>
      <c r="X56" s="97"/>
      <c r="Y56" s="97"/>
      <c r="Z56" s="226"/>
      <c r="AA56" s="255"/>
      <c r="AB56" s="282"/>
      <c r="AC56" s="33"/>
      <c r="AD56" s="33"/>
      <c r="AE56" s="33"/>
    </row>
    <row r="57" spans="1:31" ht="32.049999999999997" customHeight="1">
      <c r="A57" s="312" t="s">
        <v>218</v>
      </c>
      <c r="B57" s="312">
        <v>81000</v>
      </c>
      <c r="C57" s="26" t="s">
        <v>181</v>
      </c>
      <c r="D57" s="266" t="s">
        <v>171</v>
      </c>
      <c r="E57" s="27">
        <v>1</v>
      </c>
      <c r="F57" s="76" t="s">
        <v>32</v>
      </c>
      <c r="G57" s="122">
        <v>25</v>
      </c>
      <c r="H57" s="61">
        <v>1</v>
      </c>
      <c r="I57" s="31">
        <v>360</v>
      </c>
      <c r="J57" s="121">
        <f>E57*G57*H57*I57</f>
        <v>9000</v>
      </c>
      <c r="K57" s="226">
        <v>0</v>
      </c>
      <c r="L57" s="97">
        <v>0</v>
      </c>
      <c r="M57" s="97">
        <v>0</v>
      </c>
      <c r="N57" s="182">
        <v>0</v>
      </c>
      <c r="O57" s="181">
        <v>0</v>
      </c>
      <c r="P57" s="97">
        <v>0</v>
      </c>
      <c r="Q57" s="97">
        <v>0</v>
      </c>
      <c r="R57" s="121">
        <f t="shared" ref="R57:R64" si="32">O57*P57*Q57</f>
        <v>0</v>
      </c>
      <c r="S57" s="181">
        <v>0</v>
      </c>
      <c r="T57" s="97">
        <v>0</v>
      </c>
      <c r="U57" s="97">
        <v>0</v>
      </c>
      <c r="V57" s="182">
        <v>0</v>
      </c>
      <c r="W57" s="181">
        <v>0</v>
      </c>
      <c r="X57" s="97">
        <v>0</v>
      </c>
      <c r="Y57" s="97">
        <v>0</v>
      </c>
      <c r="Z57" s="182">
        <v>0</v>
      </c>
      <c r="AA57" s="255">
        <f t="shared" si="30"/>
        <v>9000</v>
      </c>
      <c r="AB57" s="282"/>
      <c r="AC57" s="33"/>
      <c r="AD57" s="33"/>
      <c r="AE57" s="33"/>
    </row>
    <row r="58" spans="1:31" ht="36.6">
      <c r="A58" s="311"/>
      <c r="B58" s="311"/>
      <c r="C58" s="311"/>
      <c r="D58" s="310" t="s">
        <v>110</v>
      </c>
      <c r="E58" s="27"/>
      <c r="F58" s="76"/>
      <c r="G58" s="122"/>
      <c r="I58" s="31"/>
      <c r="J58" s="121"/>
      <c r="K58" s="209"/>
      <c r="L58" s="29"/>
      <c r="N58" s="121"/>
      <c r="O58" s="27"/>
      <c r="P58" s="29"/>
      <c r="R58" s="121"/>
      <c r="S58" s="181"/>
      <c r="T58" s="97"/>
      <c r="U58" s="97"/>
      <c r="V58" s="182"/>
      <c r="W58" s="181"/>
      <c r="X58" s="97"/>
      <c r="Y58" s="97"/>
      <c r="Z58" s="226"/>
      <c r="AA58" s="255"/>
      <c r="AB58" s="282"/>
      <c r="AC58" s="33"/>
      <c r="AD58" s="33"/>
      <c r="AE58" s="33"/>
    </row>
    <row r="59" spans="1:31" ht="36" customHeight="1">
      <c r="A59" s="312" t="s">
        <v>219</v>
      </c>
      <c r="B59" s="312">
        <v>81000</v>
      </c>
      <c r="C59" s="26" t="s">
        <v>181</v>
      </c>
      <c r="D59" s="266" t="s">
        <v>156</v>
      </c>
      <c r="E59" s="27">
        <v>1</v>
      </c>
      <c r="F59" s="29" t="s">
        <v>32</v>
      </c>
      <c r="G59" s="122">
        <v>12</v>
      </c>
      <c r="H59" s="61">
        <v>1</v>
      </c>
      <c r="I59" s="31">
        <v>360</v>
      </c>
      <c r="J59" s="92">
        <f>E59*G59*H59*I59</f>
        <v>4320</v>
      </c>
      <c r="K59" s="226">
        <v>0</v>
      </c>
      <c r="L59" s="97">
        <v>0</v>
      </c>
      <c r="M59" s="97">
        <v>0</v>
      </c>
      <c r="N59" s="182">
        <v>0</v>
      </c>
      <c r="O59" s="181">
        <v>0</v>
      </c>
      <c r="P59" s="97">
        <v>0</v>
      </c>
      <c r="Q59" s="97">
        <v>0</v>
      </c>
      <c r="R59" s="121">
        <f t="shared" si="32"/>
        <v>0</v>
      </c>
      <c r="S59" s="181">
        <v>0</v>
      </c>
      <c r="T59" s="97">
        <v>0</v>
      </c>
      <c r="U59" s="97">
        <v>0</v>
      </c>
      <c r="V59" s="182">
        <v>0</v>
      </c>
      <c r="W59" s="181">
        <v>0</v>
      </c>
      <c r="X59" s="97">
        <v>0</v>
      </c>
      <c r="Y59" s="97">
        <v>0</v>
      </c>
      <c r="Z59" s="182">
        <v>0</v>
      </c>
      <c r="AA59" s="255">
        <f t="shared" si="30"/>
        <v>4320</v>
      </c>
      <c r="AB59" s="282"/>
      <c r="AC59" s="33"/>
      <c r="AD59" s="33"/>
      <c r="AE59" s="33"/>
    </row>
    <row r="60" spans="1:31" ht="36" customHeight="1">
      <c r="A60" s="311"/>
      <c r="B60" s="311"/>
      <c r="C60" s="311"/>
      <c r="D60" s="310" t="s">
        <v>114</v>
      </c>
      <c r="E60" s="27"/>
      <c r="G60" s="122"/>
      <c r="I60" s="31"/>
      <c r="J60" s="92"/>
      <c r="K60" s="226"/>
      <c r="L60" s="97"/>
      <c r="M60" s="97"/>
      <c r="N60" s="182"/>
      <c r="O60" s="181"/>
      <c r="P60" s="97"/>
      <c r="Q60" s="97"/>
      <c r="R60" s="121"/>
      <c r="S60" s="181"/>
      <c r="T60" s="97"/>
      <c r="U60" s="97"/>
      <c r="V60" s="182"/>
      <c r="W60" s="181"/>
      <c r="X60" s="97"/>
      <c r="Y60" s="97"/>
      <c r="Z60" s="226"/>
      <c r="AA60" s="255"/>
      <c r="AB60" s="282"/>
      <c r="AC60" s="33"/>
      <c r="AD60" s="33"/>
      <c r="AE60" s="33"/>
    </row>
    <row r="61" spans="1:31" ht="22" customHeight="1">
      <c r="A61" s="312" t="s">
        <v>220</v>
      </c>
      <c r="B61" s="312">
        <v>81000</v>
      </c>
      <c r="C61" s="26" t="s">
        <v>181</v>
      </c>
      <c r="D61" s="266" t="s">
        <v>157</v>
      </c>
      <c r="E61" s="27">
        <v>1</v>
      </c>
      <c r="F61" s="29" t="s">
        <v>32</v>
      </c>
      <c r="G61" s="122">
        <v>10</v>
      </c>
      <c r="H61" s="61">
        <v>1</v>
      </c>
      <c r="I61" s="31">
        <v>360</v>
      </c>
      <c r="J61" s="92">
        <f>E61*G61*H61*I61</f>
        <v>3600</v>
      </c>
      <c r="K61" s="209">
        <v>1</v>
      </c>
      <c r="L61" s="209">
        <v>20</v>
      </c>
      <c r="M61" s="97">
        <f>I61*$E$5</f>
        <v>374.40000000000003</v>
      </c>
      <c r="N61" s="182">
        <f>H61*K61*L61*M61</f>
        <v>7488.0000000000009</v>
      </c>
      <c r="O61" s="209">
        <v>1</v>
      </c>
      <c r="P61" s="209">
        <v>20</v>
      </c>
      <c r="Q61" s="97">
        <f>M61*$E$5</f>
        <v>389.37600000000003</v>
      </c>
      <c r="R61" s="182">
        <f>E61*O61*P61*Q61</f>
        <v>7787.52</v>
      </c>
      <c r="S61" s="209">
        <v>1</v>
      </c>
      <c r="T61" s="209">
        <v>20</v>
      </c>
      <c r="U61" s="97">
        <f>Q61*$E$5</f>
        <v>404.95104000000003</v>
      </c>
      <c r="V61" s="182">
        <f>E61*S61*T61*U61</f>
        <v>8099.0208000000002</v>
      </c>
      <c r="W61" s="209">
        <v>2</v>
      </c>
      <c r="X61" s="209">
        <v>10</v>
      </c>
      <c r="Y61" s="97">
        <f>U61*$E$5</f>
        <v>421.14908160000005</v>
      </c>
      <c r="Z61" s="182">
        <f>H61*W61*X61*Y61</f>
        <v>8422.9816320000009</v>
      </c>
      <c r="AA61" s="255">
        <f t="shared" si="30"/>
        <v>35397.522432000005</v>
      </c>
      <c r="AB61" s="282"/>
      <c r="AC61" s="33"/>
      <c r="AD61" s="33"/>
      <c r="AE61" s="33"/>
    </row>
    <row r="62" spans="1:31" ht="22" customHeight="1">
      <c r="A62" s="313"/>
      <c r="B62" s="313"/>
      <c r="C62" s="313"/>
      <c r="D62" s="275" t="s">
        <v>90</v>
      </c>
      <c r="E62" s="27"/>
      <c r="G62" s="122"/>
      <c r="I62" s="31"/>
      <c r="J62" s="92"/>
      <c r="K62" s="274"/>
      <c r="L62" s="209"/>
      <c r="M62" s="97"/>
      <c r="N62" s="182"/>
      <c r="O62" s="209"/>
      <c r="P62" s="209"/>
      <c r="Q62" s="97"/>
      <c r="R62" s="182"/>
      <c r="S62" s="274"/>
      <c r="T62" s="209"/>
      <c r="U62" s="97"/>
      <c r="V62" s="182"/>
      <c r="W62" s="209"/>
      <c r="X62" s="209"/>
      <c r="Y62" s="97"/>
      <c r="Z62" s="226"/>
      <c r="AA62" s="255"/>
      <c r="AB62" s="282"/>
      <c r="AC62" s="33"/>
      <c r="AD62" s="33"/>
      <c r="AE62" s="33"/>
    </row>
    <row r="63" spans="1:31" ht="21" customHeight="1">
      <c r="A63" s="312" t="s">
        <v>209</v>
      </c>
      <c r="B63" s="312">
        <v>81010</v>
      </c>
      <c r="C63" s="3" t="s">
        <v>181</v>
      </c>
      <c r="D63" s="266" t="s">
        <v>158</v>
      </c>
      <c r="E63" s="27">
        <v>1</v>
      </c>
      <c r="F63" s="29" t="s">
        <v>72</v>
      </c>
      <c r="G63" s="122">
        <v>0</v>
      </c>
      <c r="H63" s="61">
        <v>1</v>
      </c>
      <c r="I63" s="31">
        <v>25000</v>
      </c>
      <c r="J63" s="92">
        <f>E63*G63*H63*I63</f>
        <v>0</v>
      </c>
      <c r="K63" s="226">
        <v>0</v>
      </c>
      <c r="L63" s="97">
        <v>0</v>
      </c>
      <c r="M63" s="97">
        <f>I63*$E$5</f>
        <v>26000</v>
      </c>
      <c r="N63" s="182">
        <v>0</v>
      </c>
      <c r="O63" s="209">
        <v>1</v>
      </c>
      <c r="P63" s="209">
        <v>1</v>
      </c>
      <c r="Q63" s="97">
        <f>M63*$E$5</f>
        <v>27040</v>
      </c>
      <c r="R63" s="121">
        <f t="shared" si="32"/>
        <v>27040</v>
      </c>
      <c r="S63" s="181">
        <v>0</v>
      </c>
      <c r="T63" s="97">
        <v>0</v>
      </c>
      <c r="U63" s="97">
        <f>Q63*$E$5</f>
        <v>28121.600000000002</v>
      </c>
      <c r="V63" s="182">
        <v>0</v>
      </c>
      <c r="W63" s="209">
        <v>1</v>
      </c>
      <c r="X63" s="209">
        <v>0</v>
      </c>
      <c r="Y63" s="97">
        <v>0</v>
      </c>
      <c r="Z63" s="226">
        <f>H63*W63*X63*Y63</f>
        <v>0</v>
      </c>
      <c r="AA63" s="255">
        <f t="shared" si="30"/>
        <v>27040</v>
      </c>
      <c r="AB63" s="282"/>
      <c r="AC63" s="33"/>
      <c r="AD63" s="33"/>
      <c r="AE63" s="33"/>
    </row>
    <row r="64" spans="1:31" ht="22" customHeight="1">
      <c r="A64" s="312" t="s">
        <v>210</v>
      </c>
      <c r="B64" s="312">
        <v>81010</v>
      </c>
      <c r="C64" s="3" t="s">
        <v>181</v>
      </c>
      <c r="D64" s="266" t="s">
        <v>159</v>
      </c>
      <c r="E64" s="27">
        <v>1</v>
      </c>
      <c r="F64" s="29" t="s">
        <v>72</v>
      </c>
      <c r="G64" s="122">
        <v>0</v>
      </c>
      <c r="H64" s="61">
        <v>1</v>
      </c>
      <c r="I64" s="31">
        <v>25000</v>
      </c>
      <c r="J64" s="92">
        <f>E64*G64*H64*I64</f>
        <v>0</v>
      </c>
      <c r="K64" s="226">
        <v>0</v>
      </c>
      <c r="L64" s="97">
        <v>0</v>
      </c>
      <c r="M64" s="97">
        <f>I64*$E$5</f>
        <v>26000</v>
      </c>
      <c r="N64" s="182">
        <v>0</v>
      </c>
      <c r="O64" s="209">
        <v>0</v>
      </c>
      <c r="P64" s="209">
        <v>0</v>
      </c>
      <c r="Q64" s="97">
        <f>M64*$E$5</f>
        <v>27040</v>
      </c>
      <c r="R64" s="121">
        <f t="shared" si="32"/>
        <v>0</v>
      </c>
      <c r="S64" s="181">
        <v>0</v>
      </c>
      <c r="T64" s="97">
        <v>0</v>
      </c>
      <c r="U64" s="97">
        <f>Q64*$E$5</f>
        <v>28121.600000000002</v>
      </c>
      <c r="V64" s="182">
        <v>0</v>
      </c>
      <c r="W64" s="209">
        <v>1</v>
      </c>
      <c r="X64" s="209">
        <v>1</v>
      </c>
      <c r="Y64" s="97">
        <f>U64*$E$5</f>
        <v>29246.464000000004</v>
      </c>
      <c r="Z64" s="226">
        <f>H64*W64*X64*Y64</f>
        <v>29246.464000000004</v>
      </c>
      <c r="AA64" s="255">
        <f t="shared" si="30"/>
        <v>29246.464000000004</v>
      </c>
      <c r="AB64" s="282"/>
      <c r="AC64" s="33"/>
      <c r="AD64" s="33"/>
      <c r="AE64" s="33"/>
    </row>
    <row r="65" spans="1:31">
      <c r="A65" s="34"/>
      <c r="B65" s="34"/>
      <c r="C65" s="34"/>
      <c r="D65" s="34" t="s">
        <v>52</v>
      </c>
      <c r="E65" s="77"/>
      <c r="F65" s="36"/>
      <c r="G65" s="78"/>
      <c r="H65" s="38"/>
      <c r="I65" s="39"/>
      <c r="J65" s="119">
        <f>SUM(J50:J64)</f>
        <v>36930</v>
      </c>
      <c r="K65" s="229"/>
      <c r="L65" s="67"/>
      <c r="M65" s="39"/>
      <c r="N65" s="119">
        <f>SUM(N50:N64)</f>
        <v>90729.600000000006</v>
      </c>
      <c r="O65" s="66"/>
      <c r="P65" s="67"/>
      <c r="Q65" s="39"/>
      <c r="R65" s="119">
        <f>SUM(R50:R64)</f>
        <v>121398.784</v>
      </c>
      <c r="S65" s="163"/>
      <c r="T65" s="39"/>
      <c r="U65" s="39"/>
      <c r="V65" s="164">
        <f>SUM(V50:V64)</f>
        <v>98133.135359999986</v>
      </c>
      <c r="W65" s="163"/>
      <c r="X65" s="39"/>
      <c r="Y65" s="39"/>
      <c r="Z65" s="210">
        <f>SUM(Z50:Z64)</f>
        <v>37669.445632000003</v>
      </c>
      <c r="AA65" s="251">
        <f>SUM(AA50:AA64)</f>
        <v>384860.96499200002</v>
      </c>
      <c r="AB65" s="282"/>
      <c r="AC65" s="33"/>
      <c r="AD65" s="33"/>
      <c r="AE65" s="33"/>
    </row>
    <row r="66" spans="1:31">
      <c r="A66" s="43"/>
      <c r="B66" s="43"/>
      <c r="C66" s="43"/>
      <c r="D66" s="43" t="s">
        <v>53</v>
      </c>
      <c r="E66" s="79"/>
      <c r="F66" s="80"/>
      <c r="G66" s="80"/>
      <c r="H66" s="81"/>
      <c r="I66" s="82"/>
      <c r="J66" s="120"/>
      <c r="K66" s="271"/>
      <c r="L66" s="80"/>
      <c r="M66" s="82"/>
      <c r="N66" s="120"/>
      <c r="O66" s="171"/>
      <c r="P66" s="82"/>
      <c r="Q66" s="200"/>
      <c r="R66" s="172"/>
      <c r="S66" s="171"/>
      <c r="T66" s="82"/>
      <c r="U66" s="82"/>
      <c r="V66" s="172"/>
      <c r="W66" s="171"/>
      <c r="X66" s="82"/>
      <c r="Y66" s="82"/>
      <c r="Z66" s="214"/>
      <c r="AA66" s="253"/>
      <c r="AB66" s="282"/>
      <c r="AC66" s="33"/>
      <c r="AD66" s="33"/>
      <c r="AE66" s="33"/>
    </row>
    <row r="67" spans="1:31" ht="36.6">
      <c r="A67" s="26" t="s">
        <v>221</v>
      </c>
      <c r="B67" s="26" t="s">
        <v>222</v>
      </c>
      <c r="C67" s="3" t="s">
        <v>181</v>
      </c>
      <c r="D67" s="26" t="s">
        <v>54</v>
      </c>
      <c r="E67" s="27">
        <v>1</v>
      </c>
      <c r="F67" s="29" t="s">
        <v>37</v>
      </c>
      <c r="G67" s="69">
        <v>9</v>
      </c>
      <c r="H67" s="61">
        <v>1</v>
      </c>
      <c r="I67" s="31">
        <v>75</v>
      </c>
      <c r="J67" s="121">
        <f t="shared" ref="J67" si="33">E67*I67*G67*H67</f>
        <v>675</v>
      </c>
      <c r="K67" s="209">
        <v>1</v>
      </c>
      <c r="L67" s="29">
        <v>12</v>
      </c>
      <c r="M67" s="70">
        <f>I67*$E$5</f>
        <v>78</v>
      </c>
      <c r="N67" s="121">
        <f t="shared" ref="N67:N72" si="34">K67*M67*L67*H67</f>
        <v>936</v>
      </c>
      <c r="O67" s="27">
        <v>1</v>
      </c>
      <c r="P67" s="29">
        <v>12</v>
      </c>
      <c r="Q67" s="70">
        <f t="shared" ref="Q67:Q72" si="35">M67*$E$5</f>
        <v>81.12</v>
      </c>
      <c r="R67" s="121">
        <f>O67*Q67*P67</f>
        <v>973.44</v>
      </c>
      <c r="S67" s="27">
        <v>1</v>
      </c>
      <c r="T67" s="29">
        <v>12</v>
      </c>
      <c r="U67" s="70">
        <f t="shared" ref="U67:U72" si="36">Q67*$E$5</f>
        <v>84.364800000000002</v>
      </c>
      <c r="V67" s="121">
        <f>S67*U67*T67</f>
        <v>1012.3776</v>
      </c>
      <c r="W67" s="27">
        <v>1</v>
      </c>
      <c r="X67" s="29">
        <v>12</v>
      </c>
      <c r="Y67" s="70">
        <f t="shared" ref="Y67:Y72" si="37">U67*$E$5</f>
        <v>87.739392000000009</v>
      </c>
      <c r="Z67" s="71">
        <f>W67*Y67*X67</f>
        <v>1052.8727040000001</v>
      </c>
      <c r="AA67" s="32">
        <f>J67+N67+R67+V67+Z67</f>
        <v>4649.6903040000007</v>
      </c>
      <c r="AB67" s="285"/>
    </row>
    <row r="68" spans="1:31">
      <c r="A68" s="26" t="s">
        <v>228</v>
      </c>
      <c r="B68" s="26">
        <v>82350</v>
      </c>
      <c r="C68" s="3" t="s">
        <v>181</v>
      </c>
      <c r="D68" s="26" t="s">
        <v>55</v>
      </c>
      <c r="E68" s="27">
        <v>1</v>
      </c>
      <c r="F68" s="29" t="s">
        <v>37</v>
      </c>
      <c r="G68" s="69">
        <v>9</v>
      </c>
      <c r="H68" s="61">
        <v>1</v>
      </c>
      <c r="I68" s="31">
        <v>35</v>
      </c>
      <c r="J68" s="121">
        <f>E68*I68*G68*H68</f>
        <v>315</v>
      </c>
      <c r="K68" s="209">
        <v>1</v>
      </c>
      <c r="L68" s="29">
        <v>12</v>
      </c>
      <c r="M68" s="70">
        <f t="shared" ref="M68:M72" si="38">I68*$E$5</f>
        <v>36.4</v>
      </c>
      <c r="N68" s="121">
        <f t="shared" si="34"/>
        <v>436.79999999999995</v>
      </c>
      <c r="O68" s="27">
        <v>1</v>
      </c>
      <c r="P68" s="29">
        <v>12</v>
      </c>
      <c r="Q68" s="70">
        <f t="shared" si="35"/>
        <v>37.856000000000002</v>
      </c>
      <c r="R68" s="188">
        <f>O68*Q68*P68</f>
        <v>454.27200000000005</v>
      </c>
      <c r="S68" s="27">
        <v>1</v>
      </c>
      <c r="T68" s="29">
        <v>12</v>
      </c>
      <c r="U68" s="70">
        <f t="shared" si="36"/>
        <v>39.370240000000003</v>
      </c>
      <c r="V68" s="188">
        <f>S68*U68*T68</f>
        <v>472.44288000000006</v>
      </c>
      <c r="W68" s="27">
        <v>1</v>
      </c>
      <c r="X68" s="29">
        <v>12</v>
      </c>
      <c r="Y68" s="70">
        <f t="shared" si="37"/>
        <v>40.945049600000004</v>
      </c>
      <c r="Z68" s="228">
        <f>W68*Y68*X68</f>
        <v>491.34059520000005</v>
      </c>
      <c r="AA68" s="32">
        <f t="shared" ref="AA68:AA72" si="39">J68+N68+R68+V68+Z68</f>
        <v>2169.8554752</v>
      </c>
      <c r="AB68" s="285"/>
    </row>
    <row r="69" spans="1:31">
      <c r="A69" s="26" t="s">
        <v>227</v>
      </c>
      <c r="B69" s="26">
        <v>82030</v>
      </c>
      <c r="C69" s="3" t="s">
        <v>223</v>
      </c>
      <c r="D69" s="26" t="s">
        <v>56</v>
      </c>
      <c r="E69" s="27">
        <v>1</v>
      </c>
      <c r="F69" s="29" t="s">
        <v>37</v>
      </c>
      <c r="G69" s="69">
        <v>9</v>
      </c>
      <c r="H69" s="61">
        <v>1</v>
      </c>
      <c r="I69" s="31">
        <v>120</v>
      </c>
      <c r="J69" s="121">
        <f t="shared" ref="J69:J72" si="40">E69*I69*G69*H69</f>
        <v>1080</v>
      </c>
      <c r="K69" s="209">
        <v>1</v>
      </c>
      <c r="L69" s="29">
        <v>12</v>
      </c>
      <c r="M69" s="70">
        <f t="shared" si="38"/>
        <v>124.80000000000001</v>
      </c>
      <c r="N69" s="121">
        <f t="shared" si="34"/>
        <v>1497.6000000000001</v>
      </c>
      <c r="O69" s="27">
        <v>1</v>
      </c>
      <c r="P69" s="29">
        <v>12</v>
      </c>
      <c r="Q69" s="70">
        <f t="shared" si="35"/>
        <v>129.79200000000003</v>
      </c>
      <c r="R69" s="121">
        <f>O69*Q69*P69</f>
        <v>1557.5040000000004</v>
      </c>
      <c r="S69" s="27">
        <v>1</v>
      </c>
      <c r="T69" s="29">
        <v>12</v>
      </c>
      <c r="U69" s="70">
        <f t="shared" si="36"/>
        <v>134.98368000000005</v>
      </c>
      <c r="V69" s="121">
        <f>S69*U69*T69</f>
        <v>1619.8041600000006</v>
      </c>
      <c r="W69" s="27">
        <v>1</v>
      </c>
      <c r="X69" s="29">
        <v>12</v>
      </c>
      <c r="Y69" s="70">
        <f t="shared" si="37"/>
        <v>140.38302720000004</v>
      </c>
      <c r="Z69" s="71">
        <f>W69*Y69*X69</f>
        <v>1684.5963264000006</v>
      </c>
      <c r="AA69" s="32">
        <f t="shared" si="39"/>
        <v>7439.5044864000029</v>
      </c>
      <c r="AB69" s="285"/>
    </row>
    <row r="70" spans="1:31">
      <c r="A70" s="26" t="s">
        <v>224</v>
      </c>
      <c r="B70" s="26">
        <v>90100</v>
      </c>
      <c r="C70" s="3" t="s">
        <v>181</v>
      </c>
      <c r="D70" s="26" t="s">
        <v>57</v>
      </c>
      <c r="E70" s="27">
        <v>1</v>
      </c>
      <c r="F70" s="29" t="s">
        <v>58</v>
      </c>
      <c r="G70" s="69">
        <v>1</v>
      </c>
      <c r="H70" s="61">
        <v>1</v>
      </c>
      <c r="I70" s="31">
        <v>550</v>
      </c>
      <c r="J70" s="121">
        <f t="shared" si="40"/>
        <v>550</v>
      </c>
      <c r="K70" s="209">
        <v>1</v>
      </c>
      <c r="L70" s="29">
        <v>1</v>
      </c>
      <c r="M70" s="70">
        <f t="shared" si="38"/>
        <v>572</v>
      </c>
      <c r="N70" s="121">
        <f t="shared" si="34"/>
        <v>572</v>
      </c>
      <c r="O70" s="27">
        <v>1</v>
      </c>
      <c r="P70" s="29">
        <v>1</v>
      </c>
      <c r="Q70" s="70">
        <f t="shared" si="35"/>
        <v>594.88</v>
      </c>
      <c r="R70" s="121">
        <f t="shared" ref="R70" si="41">O70*Q70*P70*L70</f>
        <v>594.88</v>
      </c>
      <c r="S70" s="27">
        <v>1</v>
      </c>
      <c r="T70" s="29">
        <v>1</v>
      </c>
      <c r="U70" s="70">
        <f t="shared" si="36"/>
        <v>618.67520000000002</v>
      </c>
      <c r="V70" s="121">
        <f t="shared" ref="V70" si="42">S70*U70*T70*P70</f>
        <v>618.67520000000002</v>
      </c>
      <c r="W70" s="27">
        <v>1</v>
      </c>
      <c r="X70" s="29">
        <v>1</v>
      </c>
      <c r="Y70" s="70">
        <f t="shared" si="37"/>
        <v>643.42220800000007</v>
      </c>
      <c r="Z70" s="71">
        <f t="shared" ref="Z70" si="43">W70*Y70*X70*T70</f>
        <v>643.42220800000007</v>
      </c>
      <c r="AA70" s="32">
        <f t="shared" si="39"/>
        <v>2978.9774080000002</v>
      </c>
      <c r="AB70" s="285"/>
    </row>
    <row r="71" spans="1:31">
      <c r="A71" s="26" t="s">
        <v>225</v>
      </c>
      <c r="B71" s="26">
        <v>85180</v>
      </c>
      <c r="C71" s="3" t="s">
        <v>181</v>
      </c>
      <c r="D71" s="26" t="s">
        <v>59</v>
      </c>
      <c r="E71" s="27">
        <v>1</v>
      </c>
      <c r="F71" s="29" t="s">
        <v>37</v>
      </c>
      <c r="G71" s="69">
        <v>9</v>
      </c>
      <c r="H71" s="61">
        <v>1</v>
      </c>
      <c r="I71" s="31">
        <v>1250</v>
      </c>
      <c r="J71" s="121">
        <f t="shared" si="40"/>
        <v>11250</v>
      </c>
      <c r="K71" s="209">
        <v>1</v>
      </c>
      <c r="L71" s="29">
        <v>12</v>
      </c>
      <c r="M71" s="70">
        <f t="shared" si="38"/>
        <v>1300</v>
      </c>
      <c r="N71" s="121">
        <f t="shared" si="34"/>
        <v>15600</v>
      </c>
      <c r="O71" s="27">
        <v>1</v>
      </c>
      <c r="P71" s="29">
        <v>12</v>
      </c>
      <c r="Q71" s="70">
        <f t="shared" si="35"/>
        <v>1352</v>
      </c>
      <c r="R71" s="121">
        <f>O71*Q71*P71</f>
        <v>16224</v>
      </c>
      <c r="S71" s="27">
        <v>1</v>
      </c>
      <c r="T71" s="29">
        <v>12</v>
      </c>
      <c r="U71" s="70">
        <f t="shared" si="36"/>
        <v>1406.0800000000002</v>
      </c>
      <c r="V71" s="121">
        <f>S71*U71*T71</f>
        <v>16872.960000000003</v>
      </c>
      <c r="W71" s="27">
        <v>1</v>
      </c>
      <c r="X71" s="29">
        <v>12</v>
      </c>
      <c r="Y71" s="70">
        <f t="shared" si="37"/>
        <v>1462.3232000000003</v>
      </c>
      <c r="Z71" s="71">
        <f>W71*Y71*X71</f>
        <v>17547.878400000001</v>
      </c>
      <c r="AA71" s="32">
        <f t="shared" si="39"/>
        <v>77494.838400000008</v>
      </c>
      <c r="AB71" s="285"/>
    </row>
    <row r="72" spans="1:31">
      <c r="A72" s="26" t="s">
        <v>226</v>
      </c>
      <c r="B72" s="26">
        <v>89400</v>
      </c>
      <c r="C72" s="3" t="s">
        <v>223</v>
      </c>
      <c r="D72" s="26" t="s">
        <v>60</v>
      </c>
      <c r="E72" s="27">
        <v>1</v>
      </c>
      <c r="F72" s="29" t="s">
        <v>37</v>
      </c>
      <c r="G72" s="69">
        <v>9</v>
      </c>
      <c r="H72" s="61">
        <v>1</v>
      </c>
      <c r="I72" s="31">
        <f>(20*3)+(520/12)</f>
        <v>103.33333333333334</v>
      </c>
      <c r="J72" s="121">
        <f t="shared" si="40"/>
        <v>930.00000000000011</v>
      </c>
      <c r="K72" s="209">
        <v>1</v>
      </c>
      <c r="L72" s="29">
        <v>12</v>
      </c>
      <c r="M72" s="70">
        <f t="shared" si="38"/>
        <v>107.46666666666668</v>
      </c>
      <c r="N72" s="121">
        <f t="shared" si="34"/>
        <v>1289.6000000000001</v>
      </c>
      <c r="O72" s="27">
        <v>1</v>
      </c>
      <c r="P72" s="29">
        <v>12</v>
      </c>
      <c r="Q72" s="70">
        <f t="shared" si="35"/>
        <v>111.76533333333336</v>
      </c>
      <c r="R72" s="121">
        <f>O72*Q72*P72</f>
        <v>1341.1840000000002</v>
      </c>
      <c r="S72" s="27">
        <v>1</v>
      </c>
      <c r="T72" s="29">
        <v>12</v>
      </c>
      <c r="U72" s="70">
        <f t="shared" si="36"/>
        <v>116.23594666666669</v>
      </c>
      <c r="V72" s="121">
        <f>S72*U72*T72</f>
        <v>1394.8313600000004</v>
      </c>
      <c r="W72" s="27">
        <v>1</v>
      </c>
      <c r="X72" s="29">
        <v>12</v>
      </c>
      <c r="Y72" s="70">
        <f t="shared" si="37"/>
        <v>120.88538453333337</v>
      </c>
      <c r="Z72" s="71">
        <f>W72*Y72*X72</f>
        <v>1450.6246144000004</v>
      </c>
      <c r="AA72" s="32">
        <f t="shared" si="39"/>
        <v>6406.2399744000013</v>
      </c>
      <c r="AB72" s="282"/>
    </row>
    <row r="73" spans="1:31">
      <c r="A73" s="83"/>
      <c r="B73" s="83"/>
      <c r="C73" s="83"/>
      <c r="D73" s="83" t="s">
        <v>61</v>
      </c>
      <c r="E73" s="84"/>
      <c r="F73" s="85"/>
      <c r="G73" s="85"/>
      <c r="H73" s="86"/>
      <c r="I73" s="87"/>
      <c r="J73" s="87"/>
      <c r="K73" s="272"/>
      <c r="L73" s="85"/>
      <c r="M73" s="87"/>
      <c r="N73" s="87"/>
      <c r="O73" s="173"/>
      <c r="P73" s="87"/>
      <c r="Q73" s="201"/>
      <c r="R73" s="174"/>
      <c r="S73" s="173"/>
      <c r="T73" s="87"/>
      <c r="U73" s="87"/>
      <c r="V73" s="174"/>
      <c r="W73" s="173"/>
      <c r="X73" s="87"/>
      <c r="Y73" s="87"/>
      <c r="Z73" s="215"/>
      <c r="AA73" s="256"/>
      <c r="AB73" s="33"/>
      <c r="AC73" s="33"/>
      <c r="AD73" s="33"/>
      <c r="AE73" s="33"/>
    </row>
    <row r="74" spans="1:31" s="1" customFormat="1" ht="54.9">
      <c r="A74" s="34"/>
      <c r="B74" s="34"/>
      <c r="C74" s="34"/>
      <c r="D74" s="34" t="s">
        <v>62</v>
      </c>
      <c r="E74" s="191"/>
      <c r="F74" s="118"/>
      <c r="G74" s="88"/>
      <c r="H74" s="89"/>
      <c r="I74" s="90"/>
      <c r="J74" s="192"/>
      <c r="K74" s="202"/>
      <c r="L74" s="91"/>
      <c r="M74" s="91"/>
      <c r="N74" s="187"/>
      <c r="O74" s="175"/>
      <c r="P74" s="91"/>
      <c r="Q74" s="202"/>
      <c r="R74" s="176"/>
      <c r="S74" s="175"/>
      <c r="T74" s="91"/>
      <c r="U74" s="91"/>
      <c r="V74" s="176"/>
      <c r="W74" s="175"/>
      <c r="X74" s="91"/>
      <c r="Y74" s="91"/>
      <c r="Z74" s="216"/>
      <c r="AA74" s="257"/>
    </row>
    <row r="75" spans="1:31" ht="36.6">
      <c r="A75" s="311"/>
      <c r="B75" s="311"/>
      <c r="C75" s="311"/>
      <c r="D75" s="244" t="s">
        <v>63</v>
      </c>
      <c r="E75" s="27"/>
      <c r="G75" s="29"/>
      <c r="I75" s="31"/>
      <c r="J75" s="92"/>
      <c r="K75" s="209"/>
      <c r="L75" s="29"/>
      <c r="M75" s="31"/>
      <c r="N75" s="92"/>
      <c r="O75" s="161"/>
      <c r="P75" s="31"/>
      <c r="Q75" s="195"/>
      <c r="R75" s="162"/>
      <c r="S75" s="161"/>
      <c r="T75" s="31"/>
      <c r="U75" s="31"/>
      <c r="V75" s="162"/>
      <c r="W75" s="161"/>
      <c r="X75" s="31"/>
      <c r="Y75" s="31"/>
      <c r="Z75" s="217"/>
      <c r="AA75" s="258"/>
      <c r="AB75" s="33"/>
      <c r="AC75" s="33"/>
      <c r="AD75" s="33"/>
      <c r="AE75" s="33"/>
    </row>
    <row r="76" spans="1:31">
      <c r="A76" s="3" t="s">
        <v>229</v>
      </c>
      <c r="B76" s="3">
        <v>87010</v>
      </c>
      <c r="C76" s="3" t="s">
        <v>181</v>
      </c>
      <c r="D76" s="308" t="s">
        <v>64</v>
      </c>
      <c r="E76" s="27">
        <v>1</v>
      </c>
      <c r="F76" s="29" t="s">
        <v>65</v>
      </c>
      <c r="G76" s="69">
        <v>4</v>
      </c>
      <c r="H76" s="61">
        <v>1</v>
      </c>
      <c r="I76" s="31">
        <v>135</v>
      </c>
      <c r="J76" s="121">
        <f t="shared" ref="J76" si="44">E76*I76*G76*H76</f>
        <v>540</v>
      </c>
      <c r="K76" s="209">
        <v>1</v>
      </c>
      <c r="L76" s="29">
        <v>2</v>
      </c>
      <c r="M76" s="70">
        <f>I76*$E$5</f>
        <v>140.4</v>
      </c>
      <c r="N76" s="121">
        <f>K76*M76*L76*H76</f>
        <v>280.8</v>
      </c>
      <c r="O76" s="27">
        <v>1</v>
      </c>
      <c r="P76" s="29">
        <v>2</v>
      </c>
      <c r="Q76" s="70">
        <f>M76*$E$5</f>
        <v>146.01600000000002</v>
      </c>
      <c r="R76" s="121">
        <f>O76*Q76*P76</f>
        <v>292.03200000000004</v>
      </c>
      <c r="S76" s="27">
        <v>1</v>
      </c>
      <c r="T76" s="29">
        <v>2</v>
      </c>
      <c r="U76" s="70">
        <f>Q76*$E$5</f>
        <v>151.85664000000003</v>
      </c>
      <c r="V76" s="121">
        <f>S76*U76*T76</f>
        <v>303.71328000000005</v>
      </c>
      <c r="W76" s="27">
        <v>1</v>
      </c>
      <c r="X76" s="29">
        <v>2</v>
      </c>
      <c r="Y76" s="70">
        <f>U76*$E$5</f>
        <v>157.93090560000005</v>
      </c>
      <c r="Z76" s="121">
        <f>W76*Y76*X76</f>
        <v>315.86181120000009</v>
      </c>
      <c r="AA76" s="32">
        <f>J76+N76+R76+V76+Z76</f>
        <v>1732.4070912</v>
      </c>
      <c r="AB76" s="285"/>
    </row>
    <row r="77" spans="1:31" ht="36.6">
      <c r="A77" s="311"/>
      <c r="B77" s="311"/>
      <c r="C77" s="311"/>
      <c r="D77" s="244" t="s">
        <v>66</v>
      </c>
      <c r="E77" s="27"/>
      <c r="G77" s="29"/>
      <c r="I77" s="31"/>
      <c r="J77" s="92"/>
      <c r="K77" s="209"/>
      <c r="L77" s="29"/>
      <c r="N77" s="92"/>
      <c r="O77" s="27"/>
      <c r="P77" s="29"/>
      <c r="R77" s="92"/>
      <c r="S77" s="161"/>
      <c r="T77" s="31"/>
      <c r="U77" s="31"/>
      <c r="V77" s="162"/>
      <c r="W77" s="161"/>
      <c r="X77" s="31"/>
      <c r="Y77" s="31"/>
      <c r="Z77" s="217"/>
      <c r="AA77" s="32"/>
      <c r="AB77" s="282"/>
      <c r="AC77" s="33"/>
      <c r="AD77" s="33"/>
      <c r="AE77" s="33"/>
    </row>
    <row r="78" spans="1:31">
      <c r="A78" s="3" t="s">
        <v>230</v>
      </c>
      <c r="B78" s="3">
        <v>87000</v>
      </c>
      <c r="C78" s="3" t="s">
        <v>181</v>
      </c>
      <c r="D78" s="308" t="s">
        <v>67</v>
      </c>
      <c r="E78" s="27">
        <v>1</v>
      </c>
      <c r="F78" s="29" t="s">
        <v>68</v>
      </c>
      <c r="G78" s="69">
        <v>1</v>
      </c>
      <c r="H78" s="61">
        <v>1</v>
      </c>
      <c r="I78" s="31">
        <v>900</v>
      </c>
      <c r="J78" s="121">
        <f t="shared" ref="J78" si="45">E78*I78*G78*H78</f>
        <v>900</v>
      </c>
      <c r="K78" s="209">
        <v>0</v>
      </c>
      <c r="L78" s="29">
        <v>0</v>
      </c>
      <c r="M78" s="70">
        <f>I78*$E$5</f>
        <v>936</v>
      </c>
      <c r="N78" s="121">
        <f>K78*M78*L78*H78</f>
        <v>0</v>
      </c>
      <c r="O78" s="70">
        <v>0</v>
      </c>
      <c r="P78" s="70">
        <v>0</v>
      </c>
      <c r="Q78" s="70">
        <f>M78*$E$5</f>
        <v>973.44</v>
      </c>
      <c r="R78" s="121">
        <f>O78*Q78*P78*L78</f>
        <v>0</v>
      </c>
      <c r="S78" s="27">
        <v>1</v>
      </c>
      <c r="T78" s="29">
        <v>1</v>
      </c>
      <c r="U78" s="70">
        <f>Q78*$E$5</f>
        <v>1012.3776000000001</v>
      </c>
      <c r="V78" s="121">
        <f>S78*T78*U78</f>
        <v>1012.3776000000001</v>
      </c>
      <c r="W78" s="167">
        <v>0</v>
      </c>
      <c r="X78" s="70">
        <v>0</v>
      </c>
      <c r="Y78" s="70">
        <v>0</v>
      </c>
      <c r="Z78" s="213">
        <v>0</v>
      </c>
      <c r="AA78" s="32">
        <f>J78+N78+R78+V78+Z78</f>
        <v>1912.3776000000003</v>
      </c>
      <c r="AB78" s="285"/>
    </row>
    <row r="79" spans="1:31">
      <c r="A79" s="3" t="s">
        <v>231</v>
      </c>
      <c r="B79" s="3">
        <v>87000</v>
      </c>
      <c r="C79" s="3" t="s">
        <v>181</v>
      </c>
      <c r="D79" s="308" t="s">
        <v>69</v>
      </c>
      <c r="E79" s="27">
        <v>1</v>
      </c>
      <c r="F79" s="29" t="s">
        <v>70</v>
      </c>
      <c r="G79" s="69">
        <v>30</v>
      </c>
      <c r="H79" s="61">
        <v>1</v>
      </c>
      <c r="I79" s="31">
        <v>17</v>
      </c>
      <c r="J79" s="121">
        <f t="shared" ref="J79" si="46">E79*I79*G79*H79</f>
        <v>510</v>
      </c>
      <c r="K79" s="209">
        <v>0</v>
      </c>
      <c r="L79" s="29">
        <v>0</v>
      </c>
      <c r="M79" s="70">
        <f>I79*$E$5</f>
        <v>17.68</v>
      </c>
      <c r="N79" s="121">
        <f>K79*M79*L79*H79</f>
        <v>0</v>
      </c>
      <c r="O79" s="70">
        <v>0</v>
      </c>
      <c r="P79" s="70">
        <v>0</v>
      </c>
      <c r="Q79" s="70">
        <f>M79*$E$5</f>
        <v>18.3872</v>
      </c>
      <c r="R79" s="121">
        <f>O79*Q79*P79*L79</f>
        <v>0</v>
      </c>
      <c r="S79" s="27">
        <v>1</v>
      </c>
      <c r="T79" s="29">
        <v>30</v>
      </c>
      <c r="U79" s="70">
        <f>Q79*$E$5</f>
        <v>19.122688</v>
      </c>
      <c r="V79" s="121">
        <f t="shared" ref="V79:V80" si="47">S79*T79*U79</f>
        <v>573.68064000000004</v>
      </c>
      <c r="W79" s="167">
        <v>0</v>
      </c>
      <c r="X79" s="70">
        <v>0</v>
      </c>
      <c r="Y79" s="70">
        <v>0</v>
      </c>
      <c r="Z79" s="213">
        <v>0</v>
      </c>
      <c r="AA79" s="32">
        <f t="shared" ref="AA79:AA80" si="48">J79+N79+R79+V79+Z79</f>
        <v>1083.68064</v>
      </c>
      <c r="AB79" s="285"/>
    </row>
    <row r="80" spans="1:31" ht="36.6">
      <c r="A80" s="3" t="s">
        <v>232</v>
      </c>
      <c r="B80" s="3" t="s">
        <v>262</v>
      </c>
      <c r="C80" s="3" t="s">
        <v>181</v>
      </c>
      <c r="D80" s="308" t="s">
        <v>71</v>
      </c>
      <c r="E80" s="27">
        <v>1</v>
      </c>
      <c r="F80" s="29" t="s">
        <v>72</v>
      </c>
      <c r="G80" s="69">
        <v>1</v>
      </c>
      <c r="H80" s="61">
        <v>1</v>
      </c>
      <c r="I80" s="31">
        <v>200</v>
      </c>
      <c r="J80" s="121">
        <f t="shared" ref="J80" si="49">E80*I80*G80*H80</f>
        <v>200</v>
      </c>
      <c r="K80" s="209">
        <v>0</v>
      </c>
      <c r="L80" s="29">
        <v>0</v>
      </c>
      <c r="M80" s="70">
        <f>I80*$E$5</f>
        <v>208</v>
      </c>
      <c r="N80" s="121">
        <f>K80*M80*L80*H80</f>
        <v>0</v>
      </c>
      <c r="O80" s="70">
        <v>0</v>
      </c>
      <c r="P80" s="70">
        <v>0</v>
      </c>
      <c r="Q80" s="70">
        <f>M80*$E$5</f>
        <v>216.32</v>
      </c>
      <c r="R80" s="121">
        <f>O80*Q80*P80*L80</f>
        <v>0</v>
      </c>
      <c r="S80" s="27">
        <v>1</v>
      </c>
      <c r="T80" s="29">
        <v>1</v>
      </c>
      <c r="U80" s="70">
        <f>Q80*$E$5</f>
        <v>224.97280000000001</v>
      </c>
      <c r="V80" s="121">
        <f t="shared" si="47"/>
        <v>224.97280000000001</v>
      </c>
      <c r="W80" s="167">
        <v>0</v>
      </c>
      <c r="X80" s="70">
        <v>0</v>
      </c>
      <c r="Y80" s="70">
        <v>0</v>
      </c>
      <c r="Z80" s="213">
        <v>0</v>
      </c>
      <c r="AA80" s="32">
        <f t="shared" si="48"/>
        <v>424.97280000000001</v>
      </c>
      <c r="AB80" s="285"/>
    </row>
    <row r="81" spans="1:31">
      <c r="A81" s="311"/>
      <c r="B81" s="311"/>
      <c r="C81" s="311"/>
      <c r="D81" s="244" t="s">
        <v>73</v>
      </c>
      <c r="E81" s="27"/>
      <c r="G81" s="29"/>
      <c r="I81" s="31"/>
      <c r="J81" s="92"/>
      <c r="K81" s="209"/>
      <c r="L81" s="29"/>
      <c r="N81" s="92"/>
      <c r="O81" s="27"/>
      <c r="P81" s="29"/>
      <c r="R81" s="92"/>
      <c r="S81" s="161"/>
      <c r="T81" s="31"/>
      <c r="U81" s="31"/>
      <c r="V81" s="162"/>
      <c r="W81" s="161"/>
      <c r="X81" s="31"/>
      <c r="Y81" s="31"/>
      <c r="Z81" s="217"/>
      <c r="AA81" s="32"/>
      <c r="AB81" s="282"/>
      <c r="AC81" s="33"/>
      <c r="AD81" s="33"/>
      <c r="AE81" s="33"/>
    </row>
    <row r="82" spans="1:31">
      <c r="A82" s="3" t="s">
        <v>233</v>
      </c>
      <c r="B82" s="3">
        <v>85180</v>
      </c>
      <c r="C82" s="3" t="s">
        <v>181</v>
      </c>
      <c r="D82" s="308" t="s">
        <v>74</v>
      </c>
      <c r="E82" s="27">
        <v>1</v>
      </c>
      <c r="F82" s="29" t="s">
        <v>37</v>
      </c>
      <c r="G82" s="69">
        <v>3</v>
      </c>
      <c r="H82" s="61">
        <v>1</v>
      </c>
      <c r="I82" s="31">
        <v>2150</v>
      </c>
      <c r="J82" s="121">
        <f t="shared" ref="J82" si="50">E82*I82*G82*H82</f>
        <v>6450</v>
      </c>
      <c r="K82" s="209">
        <v>1</v>
      </c>
      <c r="L82" s="29">
        <v>12</v>
      </c>
      <c r="M82" s="70">
        <f t="shared" ref="M82:M88" si="51">I82*$E$5</f>
        <v>2236</v>
      </c>
      <c r="N82" s="121">
        <f t="shared" ref="N82:N88" si="52">K82*M82*L82*H82</f>
        <v>26832</v>
      </c>
      <c r="O82" s="27">
        <v>1</v>
      </c>
      <c r="P82" s="29">
        <v>12</v>
      </c>
      <c r="Q82" s="70">
        <f t="shared" ref="Q82:Q88" si="53">M82*$E$5</f>
        <v>2325.44</v>
      </c>
      <c r="R82" s="121">
        <f>O82*Q82*P82</f>
        <v>27905.279999999999</v>
      </c>
      <c r="S82" s="27">
        <v>1</v>
      </c>
      <c r="T82" s="29">
        <v>12</v>
      </c>
      <c r="U82" s="70">
        <f t="shared" ref="U82:U92" si="54">Q82*$E$5</f>
        <v>2418.4576000000002</v>
      </c>
      <c r="V82" s="121">
        <f>S82*U82*T82</f>
        <v>29021.491200000004</v>
      </c>
      <c r="W82" s="167">
        <v>0</v>
      </c>
      <c r="X82" s="70">
        <v>0</v>
      </c>
      <c r="Y82" s="70">
        <v>0</v>
      </c>
      <c r="Z82" s="213">
        <v>0</v>
      </c>
      <c r="AA82" s="32">
        <f>J82+N82+R82+V82+Z82</f>
        <v>90208.771200000003</v>
      </c>
      <c r="AB82" s="285"/>
    </row>
    <row r="83" spans="1:31">
      <c r="A83" s="3" t="s">
        <v>234</v>
      </c>
      <c r="B83" s="3">
        <v>82420</v>
      </c>
      <c r="C83" s="3" t="s">
        <v>181</v>
      </c>
      <c r="D83" s="308" t="s">
        <v>75</v>
      </c>
      <c r="E83" s="27">
        <v>1</v>
      </c>
      <c r="F83" s="29" t="s">
        <v>76</v>
      </c>
      <c r="G83" s="69">
        <v>10</v>
      </c>
      <c r="H83" s="61">
        <v>1</v>
      </c>
      <c r="I83" s="31">
        <v>875</v>
      </c>
      <c r="J83" s="121">
        <f t="shared" ref="J83:J87" si="55">E83*I83*G83*H83</f>
        <v>8750</v>
      </c>
      <c r="K83" s="209">
        <v>0</v>
      </c>
      <c r="L83" s="29">
        <v>0</v>
      </c>
      <c r="M83" s="70">
        <f t="shared" si="51"/>
        <v>910</v>
      </c>
      <c r="N83" s="121">
        <f t="shared" si="52"/>
        <v>0</v>
      </c>
      <c r="O83" s="27">
        <v>0</v>
      </c>
      <c r="P83" s="29">
        <v>0</v>
      </c>
      <c r="Q83" s="70">
        <f t="shared" si="53"/>
        <v>946.4</v>
      </c>
      <c r="R83" s="121">
        <f t="shared" ref="R83" si="56">O83*Q83*P83*L83</f>
        <v>0</v>
      </c>
      <c r="S83" s="27">
        <v>0</v>
      </c>
      <c r="T83" s="29">
        <v>0</v>
      </c>
      <c r="U83" s="70">
        <f t="shared" si="54"/>
        <v>984.25599999999997</v>
      </c>
      <c r="V83" s="121">
        <f t="shared" ref="V83" si="57">S83*U83*T83*P83</f>
        <v>0</v>
      </c>
      <c r="W83" s="167">
        <v>0</v>
      </c>
      <c r="X83" s="70">
        <v>0</v>
      </c>
      <c r="Y83" s="70">
        <v>0</v>
      </c>
      <c r="Z83" s="213">
        <v>0</v>
      </c>
      <c r="AA83" s="32">
        <f t="shared" ref="AA83:AA100" si="58">J83+N83+R83+V83+Z83</f>
        <v>8750</v>
      </c>
      <c r="AB83" s="285"/>
    </row>
    <row r="84" spans="1:31">
      <c r="A84" s="3" t="s">
        <v>235</v>
      </c>
      <c r="B84" s="3">
        <v>82420</v>
      </c>
      <c r="C84" s="3" t="s">
        <v>181</v>
      </c>
      <c r="D84" s="308" t="s">
        <v>77</v>
      </c>
      <c r="E84" s="27">
        <v>1</v>
      </c>
      <c r="F84" s="29" t="s">
        <v>70</v>
      </c>
      <c r="G84" s="69">
        <v>30</v>
      </c>
      <c r="H84" s="61">
        <v>1</v>
      </c>
      <c r="I84" s="31">
        <v>125</v>
      </c>
      <c r="J84" s="121">
        <f>E84*I84*G84*H84</f>
        <v>3750</v>
      </c>
      <c r="K84" s="209">
        <v>1</v>
      </c>
      <c r="L84" s="29">
        <v>30</v>
      </c>
      <c r="M84" s="70">
        <f t="shared" si="51"/>
        <v>130</v>
      </c>
      <c r="N84" s="121">
        <f t="shared" si="52"/>
        <v>3900</v>
      </c>
      <c r="O84" s="27">
        <v>1</v>
      </c>
      <c r="P84" s="29">
        <v>30</v>
      </c>
      <c r="Q84" s="70">
        <f t="shared" si="53"/>
        <v>135.20000000000002</v>
      </c>
      <c r="R84" s="121">
        <f t="shared" ref="R84:R92" si="59">O84*Q84*P84</f>
        <v>4056.0000000000005</v>
      </c>
      <c r="S84" s="27">
        <v>1</v>
      </c>
      <c r="T84" s="29">
        <v>30</v>
      </c>
      <c r="U84" s="70">
        <f t="shared" si="54"/>
        <v>140.60800000000003</v>
      </c>
      <c r="V84" s="121">
        <f t="shared" ref="V84:V92" si="60">S84*U84*T84</f>
        <v>4218.2400000000007</v>
      </c>
      <c r="W84" s="167">
        <v>0</v>
      </c>
      <c r="X84" s="70">
        <v>0</v>
      </c>
      <c r="Y84" s="70">
        <v>0</v>
      </c>
      <c r="Z84" s="213">
        <v>0</v>
      </c>
      <c r="AA84" s="32">
        <f t="shared" si="58"/>
        <v>15924.240000000002</v>
      </c>
      <c r="AB84" s="285"/>
    </row>
    <row r="85" spans="1:31">
      <c r="A85" s="3" t="s">
        <v>236</v>
      </c>
      <c r="B85" s="3">
        <v>82420</v>
      </c>
      <c r="C85" s="3" t="s">
        <v>181</v>
      </c>
      <c r="D85" s="308" t="s">
        <v>78</v>
      </c>
      <c r="E85" s="27">
        <v>10</v>
      </c>
      <c r="F85" s="29" t="s">
        <v>37</v>
      </c>
      <c r="G85" s="69">
        <v>3</v>
      </c>
      <c r="H85" s="61">
        <v>1</v>
      </c>
      <c r="I85" s="31">
        <v>165</v>
      </c>
      <c r="J85" s="121">
        <f t="shared" ref="J85" si="61">E85*I85*G85*H85</f>
        <v>4950</v>
      </c>
      <c r="K85" s="209">
        <v>10</v>
      </c>
      <c r="L85" s="29">
        <v>12</v>
      </c>
      <c r="M85" s="70">
        <f t="shared" si="51"/>
        <v>171.6</v>
      </c>
      <c r="N85" s="121">
        <f t="shared" si="52"/>
        <v>20592</v>
      </c>
      <c r="O85" s="27">
        <v>10</v>
      </c>
      <c r="P85" s="29">
        <v>12</v>
      </c>
      <c r="Q85" s="70">
        <f t="shared" si="53"/>
        <v>178.464</v>
      </c>
      <c r="R85" s="121">
        <f t="shared" si="59"/>
        <v>21415.68</v>
      </c>
      <c r="S85" s="27">
        <v>10</v>
      </c>
      <c r="T85" s="29">
        <v>12</v>
      </c>
      <c r="U85" s="70">
        <f t="shared" si="54"/>
        <v>185.60256000000001</v>
      </c>
      <c r="V85" s="121">
        <f t="shared" si="60"/>
        <v>22272.307200000003</v>
      </c>
      <c r="W85" s="167">
        <v>0</v>
      </c>
      <c r="X85" s="70">
        <v>0</v>
      </c>
      <c r="Y85" s="70">
        <v>0</v>
      </c>
      <c r="Z85" s="213">
        <v>0</v>
      </c>
      <c r="AA85" s="32">
        <f t="shared" si="58"/>
        <v>69229.987200000003</v>
      </c>
      <c r="AB85" s="285"/>
    </row>
    <row r="86" spans="1:31">
      <c r="A86" s="3" t="s">
        <v>237</v>
      </c>
      <c r="B86" s="3">
        <v>82420</v>
      </c>
      <c r="C86" s="3" t="s">
        <v>181</v>
      </c>
      <c r="D86" s="308" t="s">
        <v>79</v>
      </c>
      <c r="E86" s="27">
        <v>1</v>
      </c>
      <c r="F86" s="29" t="s">
        <v>70</v>
      </c>
      <c r="G86" s="69">
        <v>30</v>
      </c>
      <c r="H86" s="61">
        <v>1</v>
      </c>
      <c r="I86" s="31">
        <v>85</v>
      </c>
      <c r="J86" s="121">
        <f t="shared" si="55"/>
        <v>2550</v>
      </c>
      <c r="K86" s="209">
        <v>1</v>
      </c>
      <c r="L86" s="29">
        <v>30</v>
      </c>
      <c r="M86" s="70">
        <f t="shared" si="51"/>
        <v>88.4</v>
      </c>
      <c r="N86" s="121">
        <f t="shared" si="52"/>
        <v>2652</v>
      </c>
      <c r="O86" s="27">
        <v>1</v>
      </c>
      <c r="P86" s="29">
        <v>30</v>
      </c>
      <c r="Q86" s="70">
        <f t="shared" si="53"/>
        <v>91.936000000000007</v>
      </c>
      <c r="R86" s="121">
        <f t="shared" si="59"/>
        <v>2758.0800000000004</v>
      </c>
      <c r="S86" s="27">
        <v>1</v>
      </c>
      <c r="T86" s="29">
        <v>30</v>
      </c>
      <c r="U86" s="70">
        <f t="shared" si="54"/>
        <v>95.613440000000011</v>
      </c>
      <c r="V86" s="121">
        <f t="shared" si="60"/>
        <v>2868.4032000000002</v>
      </c>
      <c r="W86" s="167">
        <v>0</v>
      </c>
      <c r="X86" s="70">
        <v>0</v>
      </c>
      <c r="Y86" s="70">
        <v>0</v>
      </c>
      <c r="Z86" s="213">
        <v>0</v>
      </c>
      <c r="AA86" s="32">
        <f t="shared" si="58"/>
        <v>10828.483200000001</v>
      </c>
      <c r="AB86" s="285"/>
    </row>
    <row r="87" spans="1:31">
      <c r="A87" s="3" t="s">
        <v>238</v>
      </c>
      <c r="B87" s="3">
        <v>82401</v>
      </c>
      <c r="C87" s="3" t="s">
        <v>181</v>
      </c>
      <c r="D87" s="308" t="s">
        <v>80</v>
      </c>
      <c r="E87" s="27">
        <v>1</v>
      </c>
      <c r="F87" s="29" t="s">
        <v>37</v>
      </c>
      <c r="G87" s="69">
        <v>3</v>
      </c>
      <c r="H87" s="61">
        <v>1</v>
      </c>
      <c r="I87" s="31">
        <v>175</v>
      </c>
      <c r="J87" s="121">
        <f t="shared" si="55"/>
        <v>525</v>
      </c>
      <c r="K87" s="209">
        <v>1</v>
      </c>
      <c r="L87" s="29">
        <v>12</v>
      </c>
      <c r="M87" s="70">
        <f t="shared" si="51"/>
        <v>182</v>
      </c>
      <c r="N87" s="121">
        <f t="shared" si="52"/>
        <v>2184</v>
      </c>
      <c r="O87" s="27">
        <v>1</v>
      </c>
      <c r="P87" s="29">
        <v>12</v>
      </c>
      <c r="Q87" s="70">
        <f t="shared" si="53"/>
        <v>189.28</v>
      </c>
      <c r="R87" s="121">
        <f t="shared" si="59"/>
        <v>2271.36</v>
      </c>
      <c r="S87" s="27">
        <v>1</v>
      </c>
      <c r="T87" s="29">
        <v>12</v>
      </c>
      <c r="U87" s="70">
        <f t="shared" si="54"/>
        <v>196.85120000000001</v>
      </c>
      <c r="V87" s="121">
        <f t="shared" si="60"/>
        <v>2362.2143999999998</v>
      </c>
      <c r="W87" s="167">
        <v>0</v>
      </c>
      <c r="X87" s="70">
        <v>0</v>
      </c>
      <c r="Y87" s="70">
        <v>0</v>
      </c>
      <c r="Z87" s="213">
        <v>0</v>
      </c>
      <c r="AA87" s="32">
        <f t="shared" si="58"/>
        <v>7342.5744000000004</v>
      </c>
      <c r="AB87" s="285"/>
    </row>
    <row r="88" spans="1:31">
      <c r="A88" s="3" t="s">
        <v>239</v>
      </c>
      <c r="B88" s="3">
        <v>86110</v>
      </c>
      <c r="C88" s="3" t="s">
        <v>181</v>
      </c>
      <c r="D88" s="308" t="s">
        <v>81</v>
      </c>
      <c r="E88" s="27">
        <v>1</v>
      </c>
      <c r="F88" s="29" t="s">
        <v>37</v>
      </c>
      <c r="G88" s="69">
        <v>3</v>
      </c>
      <c r="H88" s="61">
        <v>1</v>
      </c>
      <c r="I88" s="31">
        <v>1500</v>
      </c>
      <c r="J88" s="121">
        <f t="shared" ref="J88:J89" si="62">E88*I88*G88*H88</f>
        <v>4500</v>
      </c>
      <c r="K88" s="209">
        <v>1</v>
      </c>
      <c r="L88" s="29">
        <v>12</v>
      </c>
      <c r="M88" s="70">
        <f t="shared" si="51"/>
        <v>1560</v>
      </c>
      <c r="N88" s="121">
        <f t="shared" si="52"/>
        <v>18720</v>
      </c>
      <c r="O88" s="27">
        <v>1</v>
      </c>
      <c r="P88" s="29">
        <v>12</v>
      </c>
      <c r="Q88" s="70">
        <f t="shared" si="53"/>
        <v>1622.4</v>
      </c>
      <c r="R88" s="121">
        <f t="shared" si="59"/>
        <v>19468.800000000003</v>
      </c>
      <c r="S88" s="27">
        <v>1</v>
      </c>
      <c r="T88" s="29">
        <v>12</v>
      </c>
      <c r="U88" s="70">
        <f t="shared" si="54"/>
        <v>1687.296</v>
      </c>
      <c r="V88" s="121">
        <f t="shared" si="60"/>
        <v>20247.552</v>
      </c>
      <c r="W88" s="167">
        <v>0</v>
      </c>
      <c r="X88" s="70">
        <v>0</v>
      </c>
      <c r="Y88" s="70">
        <v>0</v>
      </c>
      <c r="Z88" s="213">
        <v>0</v>
      </c>
      <c r="AA88" s="32">
        <f t="shared" si="58"/>
        <v>62936.351999999999</v>
      </c>
      <c r="AB88" s="285"/>
    </row>
    <row r="89" spans="1:31">
      <c r="A89" s="3" t="s">
        <v>240</v>
      </c>
      <c r="B89" s="3">
        <v>85180</v>
      </c>
      <c r="C89" s="3" t="s">
        <v>181</v>
      </c>
      <c r="D89" s="308" t="s">
        <v>103</v>
      </c>
      <c r="E89" s="27">
        <v>1</v>
      </c>
      <c r="F89" s="29" t="s">
        <v>37</v>
      </c>
      <c r="G89" s="122">
        <v>3</v>
      </c>
      <c r="H89" s="61">
        <v>1</v>
      </c>
      <c r="I89" s="31">
        <v>750</v>
      </c>
      <c r="J89" s="121">
        <f t="shared" si="62"/>
        <v>2250</v>
      </c>
      <c r="K89" s="209">
        <v>1</v>
      </c>
      <c r="L89" s="29">
        <v>12</v>
      </c>
      <c r="M89" s="70">
        <f t="shared" ref="M89:M100" si="63">I89*$E$5</f>
        <v>780</v>
      </c>
      <c r="N89" s="121">
        <f>K89*M89*L89*H89</f>
        <v>9360</v>
      </c>
      <c r="O89" s="27">
        <v>1</v>
      </c>
      <c r="P89" s="29">
        <v>12</v>
      </c>
      <c r="Q89" s="70">
        <f t="shared" ref="Q89:Q100" si="64">M89*$E$5</f>
        <v>811.2</v>
      </c>
      <c r="R89" s="121">
        <f t="shared" si="59"/>
        <v>9734.4000000000015</v>
      </c>
      <c r="S89" s="27">
        <v>1</v>
      </c>
      <c r="T89" s="29">
        <v>12</v>
      </c>
      <c r="U89" s="70">
        <f t="shared" si="54"/>
        <v>843.64800000000002</v>
      </c>
      <c r="V89" s="121">
        <f t="shared" si="60"/>
        <v>10123.776</v>
      </c>
      <c r="W89" s="167">
        <v>0</v>
      </c>
      <c r="X89" s="70">
        <v>0</v>
      </c>
      <c r="Y89" s="70">
        <v>0</v>
      </c>
      <c r="Z89" s="213">
        <v>0</v>
      </c>
      <c r="AA89" s="32">
        <f t="shared" si="58"/>
        <v>31468.175999999999</v>
      </c>
      <c r="AB89" s="285"/>
    </row>
    <row r="90" spans="1:31" ht="36.6">
      <c r="A90" s="3" t="s">
        <v>241</v>
      </c>
      <c r="B90" s="3">
        <v>82420</v>
      </c>
      <c r="C90" s="3" t="s">
        <v>181</v>
      </c>
      <c r="D90" s="308" t="s">
        <v>104</v>
      </c>
      <c r="E90" s="27">
        <v>1</v>
      </c>
      <c r="F90" s="29" t="s">
        <v>37</v>
      </c>
      <c r="G90" s="122">
        <v>3</v>
      </c>
      <c r="H90" s="61">
        <v>1</v>
      </c>
      <c r="I90" s="31">
        <v>750</v>
      </c>
      <c r="J90" s="121">
        <f>E90*I90*G90*H90</f>
        <v>2250</v>
      </c>
      <c r="K90" s="209">
        <v>1</v>
      </c>
      <c r="L90" s="29">
        <v>12</v>
      </c>
      <c r="M90" s="70">
        <f t="shared" si="63"/>
        <v>780</v>
      </c>
      <c r="N90" s="121">
        <f>K90*M90*L90*H90</f>
        <v>9360</v>
      </c>
      <c r="O90" s="27">
        <v>1</v>
      </c>
      <c r="P90" s="29">
        <v>12</v>
      </c>
      <c r="Q90" s="70">
        <f t="shared" si="64"/>
        <v>811.2</v>
      </c>
      <c r="R90" s="121">
        <f t="shared" si="59"/>
        <v>9734.4000000000015</v>
      </c>
      <c r="S90" s="27">
        <v>1</v>
      </c>
      <c r="T90" s="29">
        <v>12</v>
      </c>
      <c r="U90" s="70">
        <f t="shared" si="54"/>
        <v>843.64800000000002</v>
      </c>
      <c r="V90" s="121">
        <f t="shared" si="60"/>
        <v>10123.776</v>
      </c>
      <c r="W90" s="167">
        <v>0</v>
      </c>
      <c r="X90" s="70">
        <v>0</v>
      </c>
      <c r="Y90" s="70">
        <v>0</v>
      </c>
      <c r="Z90" s="213">
        <v>0</v>
      </c>
      <c r="AA90" s="32">
        <f t="shared" si="58"/>
        <v>31468.175999999999</v>
      </c>
      <c r="AB90" s="285"/>
    </row>
    <row r="91" spans="1:31" ht="36.6">
      <c r="A91" s="3" t="s">
        <v>242</v>
      </c>
      <c r="B91" s="312" t="s">
        <v>211</v>
      </c>
      <c r="C91" s="3" t="s">
        <v>181</v>
      </c>
      <c r="D91" s="308" t="s">
        <v>105</v>
      </c>
      <c r="E91" s="27">
        <v>1</v>
      </c>
      <c r="F91" s="29" t="s">
        <v>37</v>
      </c>
      <c r="G91" s="122">
        <v>3</v>
      </c>
      <c r="H91" s="61">
        <v>1</v>
      </c>
      <c r="I91" s="31">
        <v>700</v>
      </c>
      <c r="J91" s="121">
        <f>E91*I91*G91*H91</f>
        <v>2100</v>
      </c>
      <c r="K91" s="209">
        <v>1</v>
      </c>
      <c r="L91" s="29">
        <v>12</v>
      </c>
      <c r="M91" s="70">
        <f t="shared" si="63"/>
        <v>728</v>
      </c>
      <c r="N91" s="121">
        <f>K91*M91*L91*H91</f>
        <v>8736</v>
      </c>
      <c r="O91" s="27">
        <v>1</v>
      </c>
      <c r="P91" s="29">
        <v>12</v>
      </c>
      <c r="Q91" s="70">
        <f t="shared" si="64"/>
        <v>757.12</v>
      </c>
      <c r="R91" s="121">
        <f t="shared" si="59"/>
        <v>9085.44</v>
      </c>
      <c r="S91" s="27">
        <v>1</v>
      </c>
      <c r="T91" s="29">
        <v>12</v>
      </c>
      <c r="U91" s="70">
        <f t="shared" si="54"/>
        <v>787.40480000000002</v>
      </c>
      <c r="V91" s="121">
        <f t="shared" si="60"/>
        <v>9448.8575999999994</v>
      </c>
      <c r="W91" s="167">
        <v>0</v>
      </c>
      <c r="X91" s="70">
        <v>0</v>
      </c>
      <c r="Y91" s="70">
        <v>0</v>
      </c>
      <c r="Z91" s="213">
        <v>0</v>
      </c>
      <c r="AA91" s="32">
        <f t="shared" si="58"/>
        <v>29370.297600000002</v>
      </c>
      <c r="AB91" s="285"/>
    </row>
    <row r="92" spans="1:31">
      <c r="A92" s="3" t="s">
        <v>243</v>
      </c>
      <c r="B92" s="3">
        <v>86000</v>
      </c>
      <c r="C92" s="3" t="s">
        <v>181</v>
      </c>
      <c r="D92" s="308" t="s">
        <v>106</v>
      </c>
      <c r="E92" s="27">
        <v>1</v>
      </c>
      <c r="F92" s="29" t="s">
        <v>37</v>
      </c>
      <c r="G92" s="122">
        <v>3</v>
      </c>
      <c r="H92" s="61">
        <v>1</v>
      </c>
      <c r="I92" s="31">
        <v>350</v>
      </c>
      <c r="J92" s="121">
        <f>E92*I92*G92*H92</f>
        <v>1050</v>
      </c>
      <c r="K92" s="209">
        <v>1</v>
      </c>
      <c r="L92" s="29">
        <v>12</v>
      </c>
      <c r="M92" s="70">
        <f t="shared" si="63"/>
        <v>364</v>
      </c>
      <c r="N92" s="121">
        <f>K92*M92*L92*H92</f>
        <v>4368</v>
      </c>
      <c r="O92" s="27">
        <v>1</v>
      </c>
      <c r="P92" s="29">
        <v>12</v>
      </c>
      <c r="Q92" s="70">
        <f t="shared" si="64"/>
        <v>378.56</v>
      </c>
      <c r="R92" s="121">
        <f t="shared" si="59"/>
        <v>4542.72</v>
      </c>
      <c r="S92" s="27">
        <v>1</v>
      </c>
      <c r="T92" s="29">
        <v>12</v>
      </c>
      <c r="U92" s="70">
        <f t="shared" si="54"/>
        <v>393.70240000000001</v>
      </c>
      <c r="V92" s="121">
        <f t="shared" si="60"/>
        <v>4724.4287999999997</v>
      </c>
      <c r="W92" s="167">
        <v>0</v>
      </c>
      <c r="X92" s="70">
        <v>0</v>
      </c>
      <c r="Y92" s="70">
        <v>0</v>
      </c>
      <c r="Z92" s="213">
        <v>0</v>
      </c>
      <c r="AA92" s="32">
        <f t="shared" si="58"/>
        <v>14685.148800000001</v>
      </c>
      <c r="AB92" s="285"/>
    </row>
    <row r="93" spans="1:31">
      <c r="A93" s="311"/>
      <c r="B93" s="311"/>
      <c r="C93" s="311"/>
      <c r="D93" s="244" t="s">
        <v>107</v>
      </c>
      <c r="E93" s="27"/>
      <c r="G93" s="122"/>
      <c r="I93" s="31"/>
      <c r="J93" s="121"/>
      <c r="K93" s="209"/>
      <c r="L93" s="29"/>
      <c r="M93" s="70">
        <f t="shared" si="63"/>
        <v>0</v>
      </c>
      <c r="N93" s="121"/>
      <c r="O93" s="27"/>
      <c r="P93" s="29"/>
      <c r="Q93" s="70">
        <f t="shared" si="64"/>
        <v>0</v>
      </c>
      <c r="R93" s="121"/>
      <c r="S93" s="167">
        <v>0</v>
      </c>
      <c r="T93" s="70">
        <v>0</v>
      </c>
      <c r="U93" s="70">
        <v>0</v>
      </c>
      <c r="V93" s="168">
        <v>0</v>
      </c>
      <c r="W93" s="167">
        <v>0</v>
      </c>
      <c r="X93" s="70">
        <v>0</v>
      </c>
      <c r="Y93" s="70">
        <v>0</v>
      </c>
      <c r="Z93" s="213">
        <v>0</v>
      </c>
      <c r="AA93" s="32"/>
      <c r="AB93" s="285"/>
    </row>
    <row r="94" spans="1:31" ht="36.6">
      <c r="A94" s="3" t="s">
        <v>244</v>
      </c>
      <c r="B94" s="3" t="s">
        <v>262</v>
      </c>
      <c r="C94" s="3" t="s">
        <v>181</v>
      </c>
      <c r="D94" s="308" t="s">
        <v>108</v>
      </c>
      <c r="E94" s="27">
        <v>1</v>
      </c>
      <c r="F94" s="29" t="s">
        <v>49</v>
      </c>
      <c r="G94" s="122">
        <v>1</v>
      </c>
      <c r="H94" s="61">
        <v>1</v>
      </c>
      <c r="I94" s="31">
        <v>5000</v>
      </c>
      <c r="J94" s="121">
        <f t="shared" ref="J94" si="65">E94*I94*G94*H94</f>
        <v>5000</v>
      </c>
      <c r="K94" s="198">
        <v>0</v>
      </c>
      <c r="L94" s="70">
        <v>0</v>
      </c>
      <c r="M94" s="70">
        <v>0</v>
      </c>
      <c r="N94" s="121">
        <f>K94*M94*L94*H94</f>
        <v>0</v>
      </c>
      <c r="O94" s="70">
        <v>0</v>
      </c>
      <c r="P94" s="70">
        <v>0</v>
      </c>
      <c r="Q94" s="70">
        <f t="shared" si="64"/>
        <v>0</v>
      </c>
      <c r="R94" s="121">
        <f>O94*Q94*P94*L94</f>
        <v>0</v>
      </c>
      <c r="S94" s="167">
        <v>0</v>
      </c>
      <c r="T94" s="70">
        <v>0</v>
      </c>
      <c r="U94" s="70">
        <v>0</v>
      </c>
      <c r="V94" s="168">
        <v>0</v>
      </c>
      <c r="W94" s="167">
        <v>0</v>
      </c>
      <c r="X94" s="70">
        <v>0</v>
      </c>
      <c r="Y94" s="70">
        <v>0</v>
      </c>
      <c r="Z94" s="213">
        <v>0</v>
      </c>
      <c r="AA94" s="32">
        <f t="shared" si="58"/>
        <v>5000</v>
      </c>
      <c r="AB94" s="285"/>
    </row>
    <row r="95" spans="1:31">
      <c r="A95" s="3" t="s">
        <v>245</v>
      </c>
      <c r="B95" s="3">
        <v>81015</v>
      </c>
      <c r="C95" s="3" t="s">
        <v>181</v>
      </c>
      <c r="D95" s="308" t="s">
        <v>109</v>
      </c>
      <c r="E95" s="27">
        <v>1</v>
      </c>
      <c r="F95" s="29" t="s">
        <v>70</v>
      </c>
      <c r="G95" s="122">
        <v>5</v>
      </c>
      <c r="H95" s="61">
        <v>1</v>
      </c>
      <c r="I95" s="31">
        <v>1000</v>
      </c>
      <c r="J95" s="121">
        <f>E95*I95*G95*H95</f>
        <v>5000</v>
      </c>
      <c r="K95" s="198">
        <v>0</v>
      </c>
      <c r="L95" s="70">
        <v>0</v>
      </c>
      <c r="M95" s="70">
        <v>0</v>
      </c>
      <c r="N95" s="121">
        <f>K95*M95*L95*H95</f>
        <v>0</v>
      </c>
      <c r="O95" s="70">
        <v>0</v>
      </c>
      <c r="P95" s="70">
        <v>0</v>
      </c>
      <c r="Q95" s="70">
        <f t="shared" si="64"/>
        <v>0</v>
      </c>
      <c r="R95" s="121">
        <f>O95*Q95*P95*L95</f>
        <v>0</v>
      </c>
      <c r="S95" s="167">
        <v>0</v>
      </c>
      <c r="T95" s="70">
        <v>0</v>
      </c>
      <c r="U95" s="70">
        <v>0</v>
      </c>
      <c r="V95" s="168">
        <v>0</v>
      </c>
      <c r="W95" s="167">
        <v>0</v>
      </c>
      <c r="X95" s="70">
        <v>0</v>
      </c>
      <c r="Y95" s="70">
        <v>0</v>
      </c>
      <c r="Z95" s="213">
        <v>0</v>
      </c>
      <c r="AA95" s="32">
        <f t="shared" si="58"/>
        <v>5000</v>
      </c>
      <c r="AB95" s="285"/>
    </row>
    <row r="96" spans="1:31">
      <c r="A96" s="3" t="s">
        <v>246</v>
      </c>
      <c r="B96" s="3">
        <v>85300</v>
      </c>
      <c r="C96" s="3" t="s">
        <v>181</v>
      </c>
      <c r="D96" s="1" t="s">
        <v>162</v>
      </c>
      <c r="E96" s="27">
        <v>1</v>
      </c>
      <c r="F96" s="29" t="s">
        <v>163</v>
      </c>
      <c r="G96" s="122">
        <v>250</v>
      </c>
      <c r="H96" s="61">
        <v>1</v>
      </c>
      <c r="I96" s="31">
        <v>25</v>
      </c>
      <c r="J96" s="121">
        <f>E96*I96*G96*H96</f>
        <v>6250</v>
      </c>
      <c r="K96" s="198">
        <v>1</v>
      </c>
      <c r="L96" s="70">
        <v>200</v>
      </c>
      <c r="M96" s="70">
        <f>I96*$E$5</f>
        <v>26</v>
      </c>
      <c r="N96" s="121">
        <f>K96*H96*L96*M96</f>
        <v>5200</v>
      </c>
      <c r="O96" s="198">
        <v>0</v>
      </c>
      <c r="P96" s="70">
        <v>0</v>
      </c>
      <c r="Q96" s="70">
        <v>0</v>
      </c>
      <c r="R96" s="121">
        <v>0</v>
      </c>
      <c r="S96" s="167">
        <v>0</v>
      </c>
      <c r="T96" s="70">
        <v>0</v>
      </c>
      <c r="U96" s="70">
        <v>0</v>
      </c>
      <c r="V96" s="168">
        <v>0</v>
      </c>
      <c r="W96" s="167">
        <v>0</v>
      </c>
      <c r="X96" s="70">
        <v>0</v>
      </c>
      <c r="Y96" s="70">
        <v>0</v>
      </c>
      <c r="Z96" s="213">
        <v>0</v>
      </c>
      <c r="AA96" s="32">
        <f>J96+N96+R96+V96+Z96</f>
        <v>11450</v>
      </c>
      <c r="AB96" s="285"/>
    </row>
    <row r="97" spans="1:31" ht="36.6">
      <c r="A97" s="311"/>
      <c r="B97" s="311"/>
      <c r="C97" s="311"/>
      <c r="D97" s="244" t="s">
        <v>110</v>
      </c>
      <c r="E97" s="27"/>
      <c r="G97" s="122"/>
      <c r="I97" s="31"/>
      <c r="J97" s="121"/>
      <c r="K97" s="209"/>
      <c r="L97" s="29"/>
      <c r="M97" s="70">
        <f>I97*$E$5</f>
        <v>0</v>
      </c>
      <c r="N97" s="121"/>
      <c r="O97" s="27"/>
      <c r="P97" s="29"/>
      <c r="Q97" s="70">
        <f t="shared" si="64"/>
        <v>0</v>
      </c>
      <c r="R97" s="121"/>
      <c r="S97" s="167">
        <v>0</v>
      </c>
      <c r="T97" s="70">
        <v>0</v>
      </c>
      <c r="U97" s="70">
        <v>0</v>
      </c>
      <c r="V97" s="168">
        <v>0</v>
      </c>
      <c r="W97" s="167">
        <v>0</v>
      </c>
      <c r="X97" s="70">
        <v>0</v>
      </c>
      <c r="Y97" s="70">
        <v>0</v>
      </c>
      <c r="Z97" s="213">
        <v>0</v>
      </c>
      <c r="AA97" s="32"/>
      <c r="AB97" s="285"/>
    </row>
    <row r="98" spans="1:31">
      <c r="A98" s="3" t="s">
        <v>247</v>
      </c>
      <c r="B98" s="3">
        <v>87000</v>
      </c>
      <c r="C98" s="3" t="s">
        <v>181</v>
      </c>
      <c r="D98" s="308" t="s">
        <v>111</v>
      </c>
      <c r="E98" s="27">
        <v>1</v>
      </c>
      <c r="F98" s="29" t="s">
        <v>68</v>
      </c>
      <c r="G98" s="122">
        <v>1</v>
      </c>
      <c r="H98" s="61">
        <v>1</v>
      </c>
      <c r="I98" s="31">
        <v>900</v>
      </c>
      <c r="J98" s="121">
        <f t="shared" ref="J98:J100" si="66">E98*I98*G98*H98</f>
        <v>900</v>
      </c>
      <c r="K98" s="209">
        <v>1</v>
      </c>
      <c r="L98" s="29">
        <v>1</v>
      </c>
      <c r="M98" s="70">
        <f t="shared" si="63"/>
        <v>936</v>
      </c>
      <c r="N98" s="121">
        <f>K98*M98*L98*H98</f>
        <v>936</v>
      </c>
      <c r="O98" s="27">
        <v>1</v>
      </c>
      <c r="P98" s="29">
        <v>1</v>
      </c>
      <c r="Q98" s="70">
        <f t="shared" si="64"/>
        <v>973.44</v>
      </c>
      <c r="R98" s="121">
        <f>O98*Q98*P98</f>
        <v>973.44</v>
      </c>
      <c r="S98" s="27">
        <v>1</v>
      </c>
      <c r="T98" s="29">
        <v>1</v>
      </c>
      <c r="U98" s="70">
        <f t="shared" ref="U98:U100" si="67">Q98*$E$5</f>
        <v>1012.3776000000001</v>
      </c>
      <c r="V98" s="121">
        <f>S98*U98*T98</f>
        <v>1012.3776000000001</v>
      </c>
      <c r="W98" s="27">
        <v>1</v>
      </c>
      <c r="X98" s="29">
        <v>1</v>
      </c>
      <c r="Y98" s="70">
        <f t="shared" ref="Y98:Y100" si="68">U98*$E$5</f>
        <v>1052.8727040000001</v>
      </c>
      <c r="Z98" s="121">
        <f>W98*Y98*X98</f>
        <v>1052.8727040000001</v>
      </c>
      <c r="AA98" s="32">
        <f t="shared" si="58"/>
        <v>4874.6903040000007</v>
      </c>
      <c r="AB98" s="285"/>
    </row>
    <row r="99" spans="1:31">
      <c r="A99" s="3" t="s">
        <v>248</v>
      </c>
      <c r="B99" s="3">
        <v>87000</v>
      </c>
      <c r="C99" s="3" t="s">
        <v>181</v>
      </c>
      <c r="D99" s="308" t="s">
        <v>112</v>
      </c>
      <c r="E99" s="27">
        <v>1</v>
      </c>
      <c r="F99" s="29" t="s">
        <v>70</v>
      </c>
      <c r="G99" s="122">
        <v>50</v>
      </c>
      <c r="H99" s="61">
        <v>1</v>
      </c>
      <c r="I99" s="31">
        <v>17</v>
      </c>
      <c r="J99" s="121">
        <f t="shared" si="66"/>
        <v>850</v>
      </c>
      <c r="K99" s="209">
        <v>1</v>
      </c>
      <c r="L99" s="29">
        <v>50</v>
      </c>
      <c r="M99" s="70">
        <f t="shared" si="63"/>
        <v>17.68</v>
      </c>
      <c r="N99" s="121">
        <f>K99*M99*L99*H99</f>
        <v>884</v>
      </c>
      <c r="O99" s="27">
        <v>1</v>
      </c>
      <c r="P99" s="29">
        <v>50</v>
      </c>
      <c r="Q99" s="70">
        <f t="shared" si="64"/>
        <v>18.3872</v>
      </c>
      <c r="R99" s="121">
        <f>O99*Q99*P99</f>
        <v>919.36</v>
      </c>
      <c r="S99" s="27">
        <v>1</v>
      </c>
      <c r="T99" s="29">
        <v>50</v>
      </c>
      <c r="U99" s="70">
        <f t="shared" si="67"/>
        <v>19.122688</v>
      </c>
      <c r="V99" s="121">
        <f>S99*U99*T99</f>
        <v>956.13440000000003</v>
      </c>
      <c r="W99" s="27">
        <v>1</v>
      </c>
      <c r="X99" s="29">
        <v>50</v>
      </c>
      <c r="Y99" s="70">
        <f t="shared" si="68"/>
        <v>19.887595520000001</v>
      </c>
      <c r="Z99" s="121">
        <f>W99*Y99*X99</f>
        <v>994.37977600000011</v>
      </c>
      <c r="AA99" s="32">
        <f t="shared" si="58"/>
        <v>4603.8741760000003</v>
      </c>
      <c r="AB99" s="285"/>
    </row>
    <row r="100" spans="1:31" ht="36.6">
      <c r="A100" s="3" t="s">
        <v>249</v>
      </c>
      <c r="B100" s="3" t="s">
        <v>262</v>
      </c>
      <c r="C100" s="3" t="s">
        <v>181</v>
      </c>
      <c r="D100" s="308" t="s">
        <v>113</v>
      </c>
      <c r="E100" s="27">
        <v>1</v>
      </c>
      <c r="F100" s="29" t="s">
        <v>72</v>
      </c>
      <c r="G100" s="122">
        <v>1</v>
      </c>
      <c r="H100" s="61">
        <v>1</v>
      </c>
      <c r="I100" s="31">
        <v>600</v>
      </c>
      <c r="J100" s="121">
        <f t="shared" si="66"/>
        <v>600</v>
      </c>
      <c r="K100" s="209">
        <v>1</v>
      </c>
      <c r="L100" s="29">
        <v>1</v>
      </c>
      <c r="M100" s="70">
        <f t="shared" si="63"/>
        <v>624</v>
      </c>
      <c r="N100" s="121">
        <f>K100*M100*L100*H100</f>
        <v>624</v>
      </c>
      <c r="O100" s="27">
        <v>1</v>
      </c>
      <c r="P100" s="29">
        <v>1</v>
      </c>
      <c r="Q100" s="70">
        <f t="shared" si="64"/>
        <v>648.96</v>
      </c>
      <c r="R100" s="121">
        <f>O100*Q100*P100</f>
        <v>648.96</v>
      </c>
      <c r="S100" s="27">
        <v>1</v>
      </c>
      <c r="T100" s="29">
        <v>1</v>
      </c>
      <c r="U100" s="70">
        <f t="shared" si="67"/>
        <v>674.91840000000002</v>
      </c>
      <c r="V100" s="121">
        <f>S100*U100*T100</f>
        <v>674.91840000000002</v>
      </c>
      <c r="W100" s="27">
        <v>1</v>
      </c>
      <c r="X100" s="29">
        <v>1</v>
      </c>
      <c r="Y100" s="70">
        <f t="shared" si="68"/>
        <v>701.91513600000008</v>
      </c>
      <c r="Z100" s="121">
        <f>W100*Y100*X100</f>
        <v>701.91513600000008</v>
      </c>
      <c r="AA100" s="32">
        <f t="shared" si="58"/>
        <v>3249.7935360000001</v>
      </c>
      <c r="AB100" s="285"/>
    </row>
    <row r="101" spans="1:31">
      <c r="A101" s="231"/>
      <c r="B101" s="231"/>
      <c r="C101" s="231"/>
      <c r="D101" s="231"/>
      <c r="E101" s="232"/>
      <c r="F101" s="233"/>
      <c r="G101" s="234"/>
      <c r="H101" s="235"/>
      <c r="I101" s="236"/>
      <c r="J101" s="237"/>
      <c r="K101" s="273"/>
      <c r="L101" s="233"/>
      <c r="M101" s="236"/>
      <c r="N101" s="237"/>
      <c r="O101" s="245"/>
      <c r="P101" s="233"/>
      <c r="Q101" s="238"/>
      <c r="R101" s="241"/>
      <c r="S101" s="240"/>
      <c r="T101" s="236"/>
      <c r="U101" s="236"/>
      <c r="V101" s="241"/>
      <c r="W101" s="240"/>
      <c r="X101" s="236"/>
      <c r="Y101" s="236"/>
      <c r="Z101" s="239"/>
      <c r="AA101" s="259"/>
    </row>
    <row r="102" spans="1:31" ht="36.6">
      <c r="A102" s="34"/>
      <c r="B102" s="34"/>
      <c r="C102" s="34"/>
      <c r="D102" s="34" t="s">
        <v>82</v>
      </c>
      <c r="E102" s="55"/>
      <c r="F102" s="53"/>
      <c r="G102" s="53"/>
      <c r="H102" s="72"/>
      <c r="I102" s="73"/>
      <c r="J102" s="123"/>
      <c r="K102" s="268"/>
      <c r="L102" s="53"/>
      <c r="M102" s="73"/>
      <c r="N102" s="123"/>
      <c r="O102" s="177"/>
      <c r="P102" s="73"/>
      <c r="Q102" s="203"/>
      <c r="R102" s="178"/>
      <c r="S102" s="177"/>
      <c r="T102" s="73"/>
      <c r="U102" s="73"/>
      <c r="V102" s="178"/>
      <c r="W102" s="177"/>
      <c r="X102" s="73"/>
      <c r="Y102" s="73"/>
      <c r="Z102" s="218"/>
      <c r="AA102" s="257"/>
      <c r="AB102" s="33"/>
      <c r="AC102" s="33"/>
      <c r="AD102" s="33"/>
      <c r="AE102" s="33"/>
    </row>
    <row r="103" spans="1:31" ht="42.55" customHeight="1">
      <c r="A103" s="311"/>
      <c r="B103" s="311"/>
      <c r="C103" s="311"/>
      <c r="D103" s="244" t="s">
        <v>83</v>
      </c>
      <c r="E103" s="27"/>
      <c r="G103" s="29"/>
      <c r="I103" s="31"/>
      <c r="J103" s="92"/>
      <c r="K103" s="209"/>
      <c r="L103" s="29"/>
      <c r="M103" s="31"/>
      <c r="N103" s="92"/>
      <c r="O103" s="161"/>
      <c r="P103" s="31"/>
      <c r="Q103" s="195"/>
      <c r="R103" s="162"/>
      <c r="S103" s="161"/>
      <c r="T103" s="31"/>
      <c r="U103" s="31"/>
      <c r="V103" s="162"/>
      <c r="W103" s="161"/>
      <c r="X103" s="31"/>
      <c r="Y103" s="31"/>
      <c r="Z103" s="217"/>
      <c r="AA103" s="258"/>
      <c r="AB103" s="33"/>
      <c r="AC103" s="33"/>
      <c r="AD103" s="33"/>
      <c r="AE103" s="33"/>
    </row>
    <row r="104" spans="1:31">
      <c r="A104" s="3" t="s">
        <v>250</v>
      </c>
      <c r="B104" s="3">
        <v>87010</v>
      </c>
      <c r="C104" s="3" t="s">
        <v>181</v>
      </c>
      <c r="D104" s="308" t="s">
        <v>84</v>
      </c>
      <c r="E104" s="27">
        <v>1</v>
      </c>
      <c r="F104" s="29" t="s">
        <v>65</v>
      </c>
      <c r="G104" s="69">
        <v>3</v>
      </c>
      <c r="H104" s="61">
        <v>1</v>
      </c>
      <c r="I104" s="31">
        <v>95</v>
      </c>
      <c r="J104" s="121">
        <f t="shared" ref="J104:J110" si="69">E104*I104*G104*H104</f>
        <v>285</v>
      </c>
      <c r="K104" s="209">
        <v>1</v>
      </c>
      <c r="L104" s="29">
        <v>3</v>
      </c>
      <c r="M104" s="70">
        <f>I104*$E$5</f>
        <v>98.8</v>
      </c>
      <c r="N104" s="121">
        <f>K104*M104*L104*H104</f>
        <v>296.39999999999998</v>
      </c>
      <c r="O104" s="27">
        <v>1</v>
      </c>
      <c r="P104" s="29">
        <v>3</v>
      </c>
      <c r="Q104" s="70">
        <f>M104*$E$5</f>
        <v>102.752</v>
      </c>
      <c r="R104" s="121">
        <f>O104*Q104*P104*L104</f>
        <v>924.76799999999992</v>
      </c>
      <c r="S104" s="27">
        <v>1</v>
      </c>
      <c r="T104" s="29">
        <v>3</v>
      </c>
      <c r="U104" s="70">
        <f>Q104*$E$5</f>
        <v>106.86207999999999</v>
      </c>
      <c r="V104" s="121">
        <f>S104*U104*T104*P104</f>
        <v>961.75871999999993</v>
      </c>
      <c r="W104" s="27">
        <v>1</v>
      </c>
      <c r="X104" s="29">
        <v>3</v>
      </c>
      <c r="Y104" s="70">
        <f>U104*$E$5</f>
        <v>111.1365632</v>
      </c>
      <c r="Z104" s="71">
        <f>W104*Y104*X104*T104</f>
        <v>1000.2290687999999</v>
      </c>
      <c r="AA104" s="32">
        <f>J104+N104+R104+V104+Z104</f>
        <v>3468.1557887999998</v>
      </c>
      <c r="AB104" s="285"/>
    </row>
    <row r="105" spans="1:31" ht="46" customHeight="1">
      <c r="A105" s="311"/>
      <c r="B105" s="311"/>
      <c r="C105" s="311"/>
      <c r="D105" s="244" t="s">
        <v>114</v>
      </c>
      <c r="E105" s="27"/>
      <c r="G105" s="69"/>
      <c r="I105" s="31"/>
      <c r="J105" s="121">
        <f t="shared" si="69"/>
        <v>0</v>
      </c>
      <c r="K105" s="209"/>
      <c r="L105" s="29"/>
      <c r="N105" s="121"/>
      <c r="O105" s="206"/>
      <c r="P105" s="29"/>
      <c r="Q105" s="198"/>
      <c r="R105" s="168"/>
      <c r="S105" s="206"/>
      <c r="T105" s="29"/>
      <c r="V105" s="168"/>
      <c r="W105" s="206"/>
      <c r="X105" s="29"/>
      <c r="Z105" s="213"/>
      <c r="AA105" s="32"/>
      <c r="AB105" s="285"/>
    </row>
    <row r="106" spans="1:31" ht="36.6">
      <c r="A106" s="3" t="s">
        <v>250</v>
      </c>
      <c r="B106" s="3">
        <v>82420</v>
      </c>
      <c r="C106" s="3" t="s">
        <v>181</v>
      </c>
      <c r="D106" s="308" t="s">
        <v>115</v>
      </c>
      <c r="E106" s="27">
        <v>1</v>
      </c>
      <c r="F106" s="29" t="s">
        <v>49</v>
      </c>
      <c r="G106" s="122">
        <v>1</v>
      </c>
      <c r="H106" s="61">
        <v>1</v>
      </c>
      <c r="I106" s="31">
        <v>3000</v>
      </c>
      <c r="J106" s="121">
        <f t="shared" si="69"/>
        <v>3000</v>
      </c>
      <c r="K106" s="198">
        <v>0</v>
      </c>
      <c r="L106" s="70">
        <v>0</v>
      </c>
      <c r="M106" s="70">
        <v>0</v>
      </c>
      <c r="N106" s="121">
        <f t="shared" ref="N106" si="70">K106*M106*L106*H106</f>
        <v>0</v>
      </c>
      <c r="O106" s="230">
        <v>0</v>
      </c>
      <c r="P106" s="70">
        <v>0</v>
      </c>
      <c r="Q106" s="198">
        <v>0</v>
      </c>
      <c r="R106" s="168">
        <v>0</v>
      </c>
      <c r="S106" s="230">
        <v>0</v>
      </c>
      <c r="T106" s="70">
        <v>0</v>
      </c>
      <c r="U106" s="70">
        <v>0</v>
      </c>
      <c r="V106" s="168">
        <v>0</v>
      </c>
      <c r="W106" s="230">
        <v>0</v>
      </c>
      <c r="X106" s="70">
        <v>0</v>
      </c>
      <c r="Y106" s="70">
        <v>0</v>
      </c>
      <c r="Z106" s="213">
        <v>0</v>
      </c>
      <c r="AA106" s="32">
        <f t="shared" ref="AA105:AA118" si="71">J106+N106+R106+V106+Z106</f>
        <v>3000</v>
      </c>
      <c r="AB106" s="285"/>
    </row>
    <row r="107" spans="1:31">
      <c r="A107" s="3" t="s">
        <v>251</v>
      </c>
      <c r="B107" s="3">
        <v>85300</v>
      </c>
      <c r="C107" s="3" t="s">
        <v>181</v>
      </c>
      <c r="D107" s="308" t="s">
        <v>164</v>
      </c>
      <c r="E107" s="27">
        <v>1</v>
      </c>
      <c r="F107" s="29" t="s">
        <v>165</v>
      </c>
      <c r="G107" s="122">
        <v>250</v>
      </c>
      <c r="H107" s="61">
        <v>1</v>
      </c>
      <c r="I107" s="31">
        <v>15</v>
      </c>
      <c r="J107" s="121">
        <f>E107*G107*H107*I107</f>
        <v>3750</v>
      </c>
      <c r="K107" s="209">
        <v>1</v>
      </c>
      <c r="L107" s="29">
        <v>100</v>
      </c>
      <c r="M107" s="70">
        <f>I107*$E$5</f>
        <v>15.600000000000001</v>
      </c>
      <c r="N107" s="121">
        <f>H107*K107*L107*M107</f>
        <v>1560.0000000000002</v>
      </c>
      <c r="O107" s="198">
        <v>0</v>
      </c>
      <c r="P107" s="70">
        <v>0</v>
      </c>
      <c r="Q107" s="198">
        <v>0</v>
      </c>
      <c r="R107" s="168">
        <v>0</v>
      </c>
      <c r="S107" s="198">
        <v>0</v>
      </c>
      <c r="T107" s="70">
        <v>0</v>
      </c>
      <c r="U107" s="70">
        <v>0</v>
      </c>
      <c r="V107" s="168">
        <v>0</v>
      </c>
      <c r="W107" s="198">
        <v>0</v>
      </c>
      <c r="X107" s="70">
        <v>0</v>
      </c>
      <c r="Y107" s="70">
        <v>0</v>
      </c>
      <c r="Z107" s="213">
        <v>0</v>
      </c>
      <c r="AA107" s="32">
        <f t="shared" si="71"/>
        <v>5310</v>
      </c>
      <c r="AB107" s="285"/>
    </row>
    <row r="108" spans="1:31">
      <c r="A108" s="3" t="s">
        <v>252</v>
      </c>
      <c r="B108" s="3">
        <v>87000</v>
      </c>
      <c r="C108" s="3" t="s">
        <v>181</v>
      </c>
      <c r="D108" s="308" t="s">
        <v>116</v>
      </c>
      <c r="E108" s="27">
        <v>1</v>
      </c>
      <c r="F108" s="29" t="s">
        <v>117</v>
      </c>
      <c r="G108" s="122">
        <v>2</v>
      </c>
      <c r="H108" s="61">
        <v>1</v>
      </c>
      <c r="I108" s="31">
        <v>750</v>
      </c>
      <c r="J108" s="121">
        <f t="shared" si="69"/>
        <v>1500</v>
      </c>
      <c r="K108" s="209">
        <v>1</v>
      </c>
      <c r="L108" s="29">
        <v>2</v>
      </c>
      <c r="M108" s="70">
        <f>I108*$E$5</f>
        <v>780</v>
      </c>
      <c r="N108" s="121">
        <f>K108*M108*L108*H108</f>
        <v>1560</v>
      </c>
      <c r="O108" s="209">
        <v>1</v>
      </c>
      <c r="P108" s="29">
        <v>2</v>
      </c>
      <c r="Q108" s="70">
        <f>M108*$E$5</f>
        <v>811.2</v>
      </c>
      <c r="R108" s="121">
        <f>O108*Q108*P108</f>
        <v>1622.4</v>
      </c>
      <c r="S108" s="209">
        <v>1</v>
      </c>
      <c r="T108" s="29">
        <v>2</v>
      </c>
      <c r="U108" s="70">
        <f>Q108*$E$5</f>
        <v>843.64800000000002</v>
      </c>
      <c r="V108" s="121">
        <f>S108*U108*T108</f>
        <v>1687.296</v>
      </c>
      <c r="W108" s="209">
        <v>1</v>
      </c>
      <c r="X108" s="29">
        <v>2</v>
      </c>
      <c r="Y108" s="70">
        <f>U108*$E$5</f>
        <v>877.39392000000009</v>
      </c>
      <c r="Z108" s="121">
        <f>W108*Y108*X108</f>
        <v>1754.7878400000002</v>
      </c>
      <c r="AA108" s="32">
        <f t="shared" si="71"/>
        <v>8124.4838399999999</v>
      </c>
      <c r="AB108" s="285"/>
    </row>
    <row r="109" spans="1:31">
      <c r="A109" s="3" t="s">
        <v>253</v>
      </c>
      <c r="B109" s="3">
        <v>87000</v>
      </c>
      <c r="C109" s="3" t="s">
        <v>181</v>
      </c>
      <c r="D109" s="308" t="s">
        <v>118</v>
      </c>
      <c r="E109" s="27">
        <v>1</v>
      </c>
      <c r="F109" s="29" t="s">
        <v>70</v>
      </c>
      <c r="G109" s="122">
        <v>15</v>
      </c>
      <c r="H109" s="61">
        <v>1</v>
      </c>
      <c r="I109" s="31">
        <v>17</v>
      </c>
      <c r="J109" s="121">
        <f t="shared" si="69"/>
        <v>255</v>
      </c>
      <c r="K109" s="209">
        <v>1</v>
      </c>
      <c r="L109" s="29">
        <v>15</v>
      </c>
      <c r="M109" s="70">
        <f t="shared" ref="M109" si="72">I109*$E$5</f>
        <v>17.68</v>
      </c>
      <c r="N109" s="121">
        <f>K109*M109*L109*H109</f>
        <v>265.2</v>
      </c>
      <c r="O109" s="209">
        <v>1</v>
      </c>
      <c r="P109" s="29">
        <v>15</v>
      </c>
      <c r="Q109" s="70">
        <f t="shared" ref="Q109" si="73">M109*$E$5</f>
        <v>18.3872</v>
      </c>
      <c r="R109" s="121">
        <f>O109*Q109*P109</f>
        <v>275.80799999999999</v>
      </c>
      <c r="S109" s="209">
        <v>1</v>
      </c>
      <c r="T109" s="29">
        <v>15</v>
      </c>
      <c r="U109" s="70">
        <f t="shared" ref="U109" si="74">Q109*$E$5</f>
        <v>19.122688</v>
      </c>
      <c r="V109" s="121">
        <f>S109*U109*T109</f>
        <v>286.84032000000002</v>
      </c>
      <c r="W109" s="209">
        <v>1</v>
      </c>
      <c r="X109" s="29">
        <v>15</v>
      </c>
      <c r="Y109" s="70">
        <f t="shared" ref="Y109" si="75">U109*$E$5</f>
        <v>19.887595520000001</v>
      </c>
      <c r="Z109" s="121">
        <f>W109*Y109*X109</f>
        <v>298.31393280000003</v>
      </c>
      <c r="AA109" s="32">
        <f t="shared" si="71"/>
        <v>1381.1622528</v>
      </c>
      <c r="AB109" s="285"/>
    </row>
    <row r="110" spans="1:31" ht="36.6">
      <c r="A110" s="3" t="s">
        <v>254</v>
      </c>
      <c r="B110" s="3" t="s">
        <v>262</v>
      </c>
      <c r="C110" s="3" t="s">
        <v>181</v>
      </c>
      <c r="D110" s="308" t="s">
        <v>119</v>
      </c>
      <c r="E110" s="27">
        <v>1</v>
      </c>
      <c r="F110" s="29" t="s">
        <v>72</v>
      </c>
      <c r="G110" s="122">
        <v>2</v>
      </c>
      <c r="H110" s="61">
        <v>1</v>
      </c>
      <c r="I110" s="31">
        <v>500</v>
      </c>
      <c r="J110" s="121">
        <f t="shared" si="69"/>
        <v>1000</v>
      </c>
      <c r="K110" s="209">
        <v>1</v>
      </c>
      <c r="L110" s="29">
        <v>2</v>
      </c>
      <c r="M110" s="70">
        <f>I110*$E$5</f>
        <v>520</v>
      </c>
      <c r="N110" s="121">
        <f>K110*M110*L110*H110</f>
        <v>1040</v>
      </c>
      <c r="O110" s="209">
        <v>1</v>
      </c>
      <c r="P110" s="29">
        <v>2</v>
      </c>
      <c r="Q110" s="70">
        <f>M110*$E$5</f>
        <v>540.80000000000007</v>
      </c>
      <c r="R110" s="121">
        <f>O110*Q110*P110</f>
        <v>1081.6000000000001</v>
      </c>
      <c r="S110" s="209">
        <v>1</v>
      </c>
      <c r="T110" s="29">
        <v>2</v>
      </c>
      <c r="U110" s="70">
        <f>Q110*$E$5</f>
        <v>562.43200000000013</v>
      </c>
      <c r="V110" s="121">
        <f>S110*U110*T110</f>
        <v>1124.8640000000003</v>
      </c>
      <c r="W110" s="209">
        <v>1</v>
      </c>
      <c r="X110" s="29">
        <v>2</v>
      </c>
      <c r="Y110" s="70">
        <f>U110*$E$5</f>
        <v>584.92928000000018</v>
      </c>
      <c r="Z110" s="121">
        <f>W110*Y110*X110</f>
        <v>1169.8585600000004</v>
      </c>
      <c r="AA110" s="32">
        <f t="shared" si="71"/>
        <v>5416.3225600000014</v>
      </c>
      <c r="AB110" s="285"/>
    </row>
    <row r="111" spans="1:31" ht="36.6">
      <c r="A111" s="34"/>
      <c r="B111" s="34"/>
      <c r="C111" s="34"/>
      <c r="D111" s="34" t="s">
        <v>85</v>
      </c>
      <c r="E111" s="55"/>
      <c r="F111" s="53"/>
      <c r="G111" s="53"/>
      <c r="H111" s="72"/>
      <c r="I111" s="73"/>
      <c r="J111" s="123"/>
      <c r="K111" s="268"/>
      <c r="L111" s="53"/>
      <c r="M111" s="73"/>
      <c r="N111" s="123"/>
      <c r="O111" s="177"/>
      <c r="P111" s="73"/>
      <c r="Q111" s="203"/>
      <c r="R111" s="178"/>
      <c r="S111" s="177"/>
      <c r="T111" s="73"/>
      <c r="U111" s="73"/>
      <c r="V111" s="178"/>
      <c r="W111" s="177"/>
      <c r="X111" s="73"/>
      <c r="Y111" s="73"/>
      <c r="Z111" s="218"/>
      <c r="AA111" s="260"/>
      <c r="AB111" s="282"/>
      <c r="AC111" s="33"/>
      <c r="AD111" s="33"/>
      <c r="AE111" s="33"/>
    </row>
    <row r="112" spans="1:31">
      <c r="A112" s="311"/>
      <c r="B112" s="311"/>
      <c r="C112" s="311"/>
      <c r="D112" s="244" t="s">
        <v>120</v>
      </c>
      <c r="E112" s="93"/>
      <c r="F112" s="94"/>
      <c r="G112" s="94"/>
      <c r="H112" s="95"/>
      <c r="I112" s="96"/>
      <c r="J112" s="124"/>
      <c r="K112" s="242"/>
      <c r="L112" s="225"/>
      <c r="M112" s="97"/>
      <c r="N112" s="188"/>
      <c r="O112" s="181"/>
      <c r="P112" s="97"/>
      <c r="Q112" s="205"/>
      <c r="R112" s="182"/>
      <c r="S112" s="181"/>
      <c r="T112" s="97"/>
      <c r="U112" s="97"/>
      <c r="V112" s="182"/>
      <c r="W112" s="181"/>
      <c r="X112" s="97"/>
      <c r="Y112" s="97"/>
      <c r="Z112" s="226"/>
      <c r="AA112" s="32"/>
      <c r="AB112" s="282"/>
      <c r="AC112" s="33"/>
      <c r="AD112" s="33"/>
      <c r="AE112" s="33"/>
    </row>
    <row r="113" spans="1:31">
      <c r="A113" s="3" t="s">
        <v>255</v>
      </c>
      <c r="B113" s="3">
        <v>87010</v>
      </c>
      <c r="C113" s="3" t="s">
        <v>181</v>
      </c>
      <c r="D113" s="308" t="s">
        <v>121</v>
      </c>
      <c r="E113" s="27">
        <v>1</v>
      </c>
      <c r="F113" s="29" t="s">
        <v>65</v>
      </c>
      <c r="G113" s="122">
        <v>5</v>
      </c>
      <c r="H113" s="61">
        <v>1</v>
      </c>
      <c r="I113" s="31">
        <v>200</v>
      </c>
      <c r="J113" s="121">
        <f t="shared" ref="J113" si="76">E113*I113*G113*H113</f>
        <v>1000</v>
      </c>
      <c r="K113" s="226">
        <v>0</v>
      </c>
      <c r="L113" s="122">
        <v>0</v>
      </c>
      <c r="M113" s="97">
        <v>0</v>
      </c>
      <c r="N113" s="182">
        <v>0</v>
      </c>
      <c r="O113" s="181">
        <v>0</v>
      </c>
      <c r="P113" s="97">
        <v>0</v>
      </c>
      <c r="Q113" s="205">
        <v>0</v>
      </c>
      <c r="R113" s="182">
        <v>0</v>
      </c>
      <c r="S113" s="181">
        <v>0</v>
      </c>
      <c r="T113" s="97">
        <v>0</v>
      </c>
      <c r="U113" s="97">
        <v>0</v>
      </c>
      <c r="V113" s="182">
        <v>0</v>
      </c>
      <c r="W113" s="181">
        <v>0</v>
      </c>
      <c r="X113" s="97">
        <v>0</v>
      </c>
      <c r="Y113" s="97">
        <v>0</v>
      </c>
      <c r="Z113" s="226">
        <v>0</v>
      </c>
      <c r="AA113" s="32">
        <f t="shared" si="71"/>
        <v>1000</v>
      </c>
      <c r="AB113" s="282"/>
      <c r="AC113" s="33"/>
      <c r="AD113" s="33"/>
      <c r="AE113" s="33"/>
    </row>
    <row r="114" spans="1:31" ht="36.6">
      <c r="A114" s="311"/>
      <c r="B114" s="311"/>
      <c r="C114" s="311"/>
      <c r="D114" s="244" t="s">
        <v>122</v>
      </c>
      <c r="E114" s="93"/>
      <c r="F114" s="94"/>
      <c r="G114" s="94"/>
      <c r="H114" s="95"/>
      <c r="I114" s="96"/>
      <c r="J114" s="124"/>
      <c r="K114" s="243"/>
      <c r="L114" s="122"/>
      <c r="M114" s="96"/>
      <c r="N114" s="124"/>
      <c r="O114" s="181"/>
      <c r="P114" s="97"/>
      <c r="Q114" s="205"/>
      <c r="R114" s="182"/>
      <c r="S114" s="181"/>
      <c r="T114" s="97"/>
      <c r="U114" s="97"/>
      <c r="V114" s="182"/>
      <c r="W114" s="181"/>
      <c r="X114" s="97"/>
      <c r="Y114" s="97"/>
      <c r="Z114" s="226"/>
      <c r="AA114" s="32"/>
      <c r="AB114" s="282"/>
      <c r="AC114" s="33"/>
      <c r="AD114" s="33"/>
      <c r="AE114" s="33"/>
    </row>
    <row r="115" spans="1:31">
      <c r="A115" s="3" t="s">
        <v>256</v>
      </c>
      <c r="B115" s="3">
        <v>81010</v>
      </c>
      <c r="C115" s="3" t="s">
        <v>181</v>
      </c>
      <c r="D115" s="308" t="s">
        <v>123</v>
      </c>
      <c r="E115" s="27">
        <v>1</v>
      </c>
      <c r="F115" s="29" t="s">
        <v>124</v>
      </c>
      <c r="G115" s="122">
        <v>40</v>
      </c>
      <c r="H115" s="61">
        <v>1</v>
      </c>
      <c r="I115" s="31">
        <v>320</v>
      </c>
      <c r="J115" s="121">
        <f t="shared" ref="J115:J116" si="77">E115*I115*G115*H115</f>
        <v>12800</v>
      </c>
      <c r="K115" s="226">
        <v>0</v>
      </c>
      <c r="L115" s="122">
        <v>0</v>
      </c>
      <c r="M115" s="205">
        <v>0</v>
      </c>
      <c r="N115" s="182">
        <v>0</v>
      </c>
      <c r="O115" s="181">
        <v>0</v>
      </c>
      <c r="P115" s="97">
        <v>0</v>
      </c>
      <c r="Q115" s="205">
        <v>0</v>
      </c>
      <c r="R115" s="182">
        <v>0</v>
      </c>
      <c r="S115" s="181">
        <v>0</v>
      </c>
      <c r="T115" s="97">
        <v>0</v>
      </c>
      <c r="U115" s="97">
        <v>0</v>
      </c>
      <c r="V115" s="182">
        <v>0</v>
      </c>
      <c r="W115" s="181">
        <v>0</v>
      </c>
      <c r="X115" s="97">
        <v>0</v>
      </c>
      <c r="Y115" s="97">
        <v>0</v>
      </c>
      <c r="Z115" s="226">
        <v>0</v>
      </c>
      <c r="AA115" s="32">
        <f t="shared" si="71"/>
        <v>12800</v>
      </c>
      <c r="AB115" s="282"/>
      <c r="AC115" s="33"/>
      <c r="AD115" s="33"/>
      <c r="AE115" s="33"/>
    </row>
    <row r="116" spans="1:31" ht="36.6">
      <c r="A116" s="3" t="s">
        <v>257</v>
      </c>
      <c r="B116" s="3">
        <v>87010</v>
      </c>
      <c r="C116" s="3" t="s">
        <v>181</v>
      </c>
      <c r="D116" s="308" t="s">
        <v>125</v>
      </c>
      <c r="E116" s="27">
        <v>1</v>
      </c>
      <c r="F116" s="29" t="s">
        <v>65</v>
      </c>
      <c r="G116" s="122">
        <v>15</v>
      </c>
      <c r="H116" s="61">
        <v>1</v>
      </c>
      <c r="I116" s="31">
        <v>250</v>
      </c>
      <c r="J116" s="121">
        <f t="shared" si="77"/>
        <v>3750</v>
      </c>
      <c r="K116" s="209">
        <v>1</v>
      </c>
      <c r="L116" s="209">
        <v>15</v>
      </c>
      <c r="M116" s="97">
        <f>I116*$E$5</f>
        <v>260</v>
      </c>
      <c r="N116" s="121">
        <f t="shared" ref="N116" si="78">K116*M116*L116*H116</f>
        <v>3900</v>
      </c>
      <c r="O116" s="181">
        <v>0</v>
      </c>
      <c r="P116" s="97">
        <v>0</v>
      </c>
      <c r="Q116" s="205">
        <v>0</v>
      </c>
      <c r="R116" s="182">
        <v>0</v>
      </c>
      <c r="S116" s="181">
        <v>0</v>
      </c>
      <c r="T116" s="97">
        <v>0</v>
      </c>
      <c r="U116" s="97">
        <v>0</v>
      </c>
      <c r="V116" s="182">
        <v>0</v>
      </c>
      <c r="W116" s="181">
        <v>0</v>
      </c>
      <c r="X116" s="97">
        <v>0</v>
      </c>
      <c r="Y116" s="97">
        <v>0</v>
      </c>
      <c r="Z116" s="226">
        <v>0</v>
      </c>
      <c r="AA116" s="32">
        <f t="shared" si="71"/>
        <v>7650</v>
      </c>
      <c r="AB116" s="282"/>
      <c r="AC116" s="33"/>
      <c r="AD116" s="33"/>
      <c r="AE116" s="33"/>
    </row>
    <row r="117" spans="1:31">
      <c r="A117" s="311"/>
      <c r="B117" s="311"/>
      <c r="C117" s="311"/>
      <c r="D117" s="244" t="s">
        <v>126</v>
      </c>
      <c r="E117" s="93"/>
      <c r="F117" s="94"/>
      <c r="G117" s="94"/>
      <c r="H117" s="95"/>
      <c r="I117" s="96"/>
      <c r="J117" s="124"/>
      <c r="K117" s="243"/>
      <c r="L117" s="94"/>
      <c r="M117" s="96"/>
      <c r="N117" s="121"/>
      <c r="O117" s="181"/>
      <c r="P117" s="97"/>
      <c r="Q117" s="205"/>
      <c r="R117" s="182"/>
      <c r="S117" s="181"/>
      <c r="T117" s="97"/>
      <c r="U117" s="97"/>
      <c r="V117" s="182"/>
      <c r="W117" s="181"/>
      <c r="X117" s="97"/>
      <c r="Y117" s="97"/>
      <c r="Z117" s="226"/>
      <c r="AA117" s="32"/>
      <c r="AB117" s="282"/>
      <c r="AC117" s="33"/>
      <c r="AD117" s="33"/>
      <c r="AE117" s="33"/>
    </row>
    <row r="118" spans="1:31">
      <c r="A118" s="3" t="s">
        <v>258</v>
      </c>
      <c r="B118" s="3">
        <v>87000</v>
      </c>
      <c r="C118" s="3" t="s">
        <v>181</v>
      </c>
      <c r="D118" s="308" t="s">
        <v>127</v>
      </c>
      <c r="E118" s="27">
        <v>0</v>
      </c>
      <c r="F118" s="29" t="s">
        <v>117</v>
      </c>
      <c r="G118" s="122">
        <v>0</v>
      </c>
      <c r="H118" s="61">
        <v>1</v>
      </c>
      <c r="I118" s="31">
        <v>500</v>
      </c>
      <c r="J118" s="121">
        <f t="shared" ref="J118" si="79">E118*I118*G118*H118</f>
        <v>0</v>
      </c>
      <c r="K118" s="209">
        <v>1</v>
      </c>
      <c r="L118" s="29">
        <v>5</v>
      </c>
      <c r="M118" s="70">
        <f>I118*$E$5</f>
        <v>520</v>
      </c>
      <c r="N118" s="121">
        <f>K118*M118*L118*H118</f>
        <v>2600</v>
      </c>
      <c r="O118" s="27">
        <v>1</v>
      </c>
      <c r="P118" s="29">
        <v>5</v>
      </c>
      <c r="Q118" s="70">
        <f>M118*$E$5</f>
        <v>540.80000000000007</v>
      </c>
      <c r="R118" s="121">
        <f>O118*Q118*P118</f>
        <v>2704.0000000000005</v>
      </c>
      <c r="S118" s="27">
        <v>1</v>
      </c>
      <c r="T118" s="29">
        <v>5</v>
      </c>
      <c r="U118" s="70">
        <f>Q118*$E$5</f>
        <v>562.43200000000013</v>
      </c>
      <c r="V118" s="121">
        <f t="shared" ref="V118" si="80">S118*U118*T118</f>
        <v>2812.1600000000008</v>
      </c>
      <c r="W118" s="27">
        <v>1</v>
      </c>
      <c r="X118" s="29">
        <v>5</v>
      </c>
      <c r="Y118" s="70">
        <f>U118*$E$5</f>
        <v>584.92928000000018</v>
      </c>
      <c r="Z118" s="121">
        <f t="shared" ref="Z118" si="81">W118*Y118*X118</f>
        <v>2924.646400000001</v>
      </c>
      <c r="AA118" s="32">
        <f t="shared" si="71"/>
        <v>11040.806400000001</v>
      </c>
      <c r="AB118" s="282"/>
      <c r="AC118" s="33"/>
      <c r="AD118" s="33"/>
      <c r="AE118" s="33"/>
    </row>
    <row r="119" spans="1:31">
      <c r="A119" s="311"/>
      <c r="B119" s="311"/>
      <c r="C119" s="311"/>
      <c r="D119" s="310" t="s">
        <v>86</v>
      </c>
      <c r="E119" s="93"/>
      <c r="F119" s="94"/>
      <c r="G119" s="94"/>
      <c r="H119" s="95"/>
      <c r="I119" s="96"/>
      <c r="J119" s="124"/>
      <c r="K119" s="243"/>
      <c r="L119" s="94"/>
      <c r="M119" s="96"/>
      <c r="N119" s="124"/>
      <c r="O119" s="179"/>
      <c r="P119" s="96"/>
      <c r="Q119" s="204"/>
      <c r="R119" s="180"/>
      <c r="S119" s="179"/>
      <c r="T119" s="96"/>
      <c r="U119" s="96"/>
      <c r="V119" s="121"/>
      <c r="W119" s="179"/>
      <c r="X119" s="96"/>
      <c r="Y119" s="96"/>
      <c r="Z119" s="121"/>
      <c r="AA119" s="261"/>
      <c r="AB119" s="282"/>
      <c r="AC119" s="33"/>
      <c r="AD119" s="33"/>
      <c r="AE119" s="33"/>
    </row>
    <row r="120" spans="1:31" ht="36.6">
      <c r="A120" s="3" t="s">
        <v>259</v>
      </c>
      <c r="B120" s="3">
        <v>87000</v>
      </c>
      <c r="C120" s="3" t="s">
        <v>181</v>
      </c>
      <c r="D120" s="308" t="s">
        <v>87</v>
      </c>
      <c r="E120" s="27">
        <v>0</v>
      </c>
      <c r="F120" s="29" t="s">
        <v>65</v>
      </c>
      <c r="G120" s="69">
        <v>0</v>
      </c>
      <c r="H120" s="61">
        <v>1</v>
      </c>
      <c r="I120" s="31">
        <v>500</v>
      </c>
      <c r="J120" s="121">
        <f t="shared" ref="J120:J122" si="82">E120*I120*G120*H120</f>
        <v>0</v>
      </c>
      <c r="K120" s="209">
        <v>1</v>
      </c>
      <c r="L120" s="29">
        <v>3</v>
      </c>
      <c r="M120" s="70">
        <f>I120*$E$5</f>
        <v>520</v>
      </c>
      <c r="N120" s="121">
        <f>K120*M120*L120*H120</f>
        <v>1560</v>
      </c>
      <c r="O120" s="27">
        <v>1</v>
      </c>
      <c r="P120" s="29">
        <v>3</v>
      </c>
      <c r="Q120" s="70">
        <f>M120*$E$5</f>
        <v>540.80000000000007</v>
      </c>
      <c r="R120" s="121">
        <f>O120*Q120*P120</f>
        <v>1622.4</v>
      </c>
      <c r="S120" s="27">
        <v>1</v>
      </c>
      <c r="T120" s="29">
        <v>3</v>
      </c>
      <c r="U120" s="70">
        <f>Q120*$E$5</f>
        <v>562.43200000000013</v>
      </c>
      <c r="V120" s="121">
        <f>S120*U120*T120</f>
        <v>1687.2960000000003</v>
      </c>
      <c r="W120" s="27">
        <v>1</v>
      </c>
      <c r="X120" s="29">
        <v>3</v>
      </c>
      <c r="Y120" s="70">
        <f>U120*$E$5</f>
        <v>584.92928000000018</v>
      </c>
      <c r="Z120" s="121">
        <f>W120*Y120*X120</f>
        <v>1754.7878400000004</v>
      </c>
      <c r="AA120" s="32">
        <f>J120+N120+R120+V120+Z120</f>
        <v>6624.4838400000008</v>
      </c>
      <c r="AB120" s="285"/>
    </row>
    <row r="121" spans="1:31" ht="36.6">
      <c r="A121" s="3" t="s">
        <v>260</v>
      </c>
      <c r="B121" s="3">
        <v>87000</v>
      </c>
      <c r="C121" s="3" t="s">
        <v>181</v>
      </c>
      <c r="D121" s="308" t="s">
        <v>88</v>
      </c>
      <c r="E121" s="27">
        <v>0</v>
      </c>
      <c r="F121" s="29" t="s">
        <v>70</v>
      </c>
      <c r="G121" s="69">
        <v>0</v>
      </c>
      <c r="H121" s="61">
        <v>1</v>
      </c>
      <c r="I121" s="31">
        <v>17</v>
      </c>
      <c r="J121" s="121">
        <f t="shared" si="82"/>
        <v>0</v>
      </c>
      <c r="K121" s="209">
        <v>1</v>
      </c>
      <c r="L121" s="29">
        <v>15</v>
      </c>
      <c r="M121" s="70">
        <f>I121*$E$5</f>
        <v>17.68</v>
      </c>
      <c r="N121" s="121">
        <f>K121*M121*L121*H121</f>
        <v>265.2</v>
      </c>
      <c r="O121" s="27">
        <v>1</v>
      </c>
      <c r="P121" s="29">
        <v>15</v>
      </c>
      <c r="Q121" s="70">
        <f t="shared" ref="Q121:Q122" si="83">M121*$E$5</f>
        <v>18.3872</v>
      </c>
      <c r="R121" s="121">
        <f>O121*Q121*P121</f>
        <v>275.80799999999999</v>
      </c>
      <c r="S121" s="27">
        <v>1</v>
      </c>
      <c r="T121" s="29">
        <v>15</v>
      </c>
      <c r="U121" s="70">
        <f t="shared" ref="U121:U122" si="84">Q121*$E$5</f>
        <v>19.122688</v>
      </c>
      <c r="V121" s="121">
        <f>S121*U121*T121</f>
        <v>286.84032000000002</v>
      </c>
      <c r="W121" s="27">
        <v>1</v>
      </c>
      <c r="X121" s="29">
        <v>15</v>
      </c>
      <c r="Y121" s="70">
        <f t="shared" ref="Y121:Y122" si="85">U121*$E$5</f>
        <v>19.887595520000001</v>
      </c>
      <c r="Z121" s="121">
        <f>W121*Y121*X121</f>
        <v>298.31393280000003</v>
      </c>
      <c r="AA121" s="32">
        <f t="shared" ref="AA121:AA122" si="86">J121+N121+R121+V121+Z121</f>
        <v>1126.1622528</v>
      </c>
      <c r="AB121" s="285"/>
    </row>
    <row r="122" spans="1:31" ht="36.6">
      <c r="A122" s="3" t="s">
        <v>261</v>
      </c>
      <c r="B122" s="3" t="s">
        <v>262</v>
      </c>
      <c r="C122" s="3" t="s">
        <v>181</v>
      </c>
      <c r="D122" s="308" t="s">
        <v>89</v>
      </c>
      <c r="E122" s="27">
        <v>0</v>
      </c>
      <c r="F122" s="29" t="s">
        <v>72</v>
      </c>
      <c r="G122" s="69">
        <v>0</v>
      </c>
      <c r="H122" s="61">
        <v>1</v>
      </c>
      <c r="I122" s="31">
        <v>300</v>
      </c>
      <c r="J122" s="121">
        <f t="shared" si="82"/>
        <v>0</v>
      </c>
      <c r="K122" s="209">
        <v>1</v>
      </c>
      <c r="L122" s="29">
        <v>3</v>
      </c>
      <c r="M122" s="70">
        <f t="shared" ref="M122" si="87">I122*$E$5</f>
        <v>312</v>
      </c>
      <c r="N122" s="121">
        <f>K122*M122*L122*H122</f>
        <v>936</v>
      </c>
      <c r="O122" s="27">
        <v>1</v>
      </c>
      <c r="P122" s="29">
        <v>3</v>
      </c>
      <c r="Q122" s="70">
        <f t="shared" si="83"/>
        <v>324.48</v>
      </c>
      <c r="R122" s="121">
        <f>O122*Q122*P122</f>
        <v>973.44</v>
      </c>
      <c r="S122" s="27">
        <v>1</v>
      </c>
      <c r="T122" s="29">
        <v>3</v>
      </c>
      <c r="U122" s="70">
        <f t="shared" si="84"/>
        <v>337.45920000000001</v>
      </c>
      <c r="V122" s="121">
        <f>S122*U122*T122</f>
        <v>1012.3776</v>
      </c>
      <c r="W122" s="27">
        <v>1</v>
      </c>
      <c r="X122" s="29">
        <v>3</v>
      </c>
      <c r="Y122" s="70">
        <f t="shared" si="85"/>
        <v>350.95756800000004</v>
      </c>
      <c r="Z122" s="121">
        <f>W122*Y122*X122</f>
        <v>1052.8727040000001</v>
      </c>
      <c r="AA122" s="32">
        <f t="shared" si="86"/>
        <v>3974.6903040000007</v>
      </c>
      <c r="AB122" s="285"/>
    </row>
    <row r="123" spans="1:31">
      <c r="A123" s="34"/>
      <c r="B123" s="34"/>
      <c r="C123" s="34"/>
      <c r="D123" s="34" t="s">
        <v>90</v>
      </c>
      <c r="E123" s="55"/>
      <c r="F123" s="53"/>
      <c r="G123" s="53"/>
      <c r="H123" s="72"/>
      <c r="I123" s="73"/>
      <c r="J123" s="123"/>
      <c r="K123" s="268"/>
      <c r="L123" s="53"/>
      <c r="M123" s="73"/>
      <c r="N123" s="123"/>
      <c r="O123" s="177"/>
      <c r="P123" s="73"/>
      <c r="Q123" s="203"/>
      <c r="R123" s="178"/>
      <c r="S123" s="177"/>
      <c r="T123" s="73"/>
      <c r="U123" s="73"/>
      <c r="V123" s="178"/>
      <c r="W123" s="177"/>
      <c r="X123" s="73"/>
      <c r="Y123" s="73"/>
      <c r="Z123" s="218"/>
      <c r="AA123" s="262"/>
      <c r="AB123" s="282"/>
      <c r="AC123" s="33"/>
      <c r="AD123" s="33"/>
      <c r="AE123" s="33"/>
    </row>
    <row r="124" spans="1:31">
      <c r="A124" s="26" t="s">
        <v>190</v>
      </c>
      <c r="B124" s="26">
        <v>82420</v>
      </c>
      <c r="C124" s="26" t="s">
        <v>181</v>
      </c>
      <c r="D124" s="26" t="s">
        <v>91</v>
      </c>
      <c r="E124" s="27">
        <v>1</v>
      </c>
      <c r="F124" s="29" t="s">
        <v>49</v>
      </c>
      <c r="G124" s="29">
        <v>1</v>
      </c>
      <c r="H124" s="61">
        <v>1</v>
      </c>
      <c r="I124" s="31">
        <v>4468.32</v>
      </c>
      <c r="J124" s="188">
        <f t="shared" ref="J124" si="88">E124*G124*I124</f>
        <v>4468.32</v>
      </c>
      <c r="K124" s="181">
        <v>0</v>
      </c>
      <c r="L124" s="97">
        <v>0</v>
      </c>
      <c r="M124" s="205">
        <v>0</v>
      </c>
      <c r="N124" s="182">
        <v>0</v>
      </c>
      <c r="O124" s="181">
        <v>0</v>
      </c>
      <c r="P124" s="97">
        <v>0</v>
      </c>
      <c r="Q124" s="205">
        <v>0</v>
      </c>
      <c r="R124" s="182">
        <v>0</v>
      </c>
      <c r="S124" s="181">
        <v>0</v>
      </c>
      <c r="T124" s="97">
        <v>0</v>
      </c>
      <c r="U124" s="205">
        <v>0</v>
      </c>
      <c r="V124" s="182">
        <v>0</v>
      </c>
      <c r="W124" s="181">
        <v>0</v>
      </c>
      <c r="X124" s="97">
        <v>0</v>
      </c>
      <c r="Y124" s="205">
        <v>0</v>
      </c>
      <c r="Z124" s="182">
        <v>0</v>
      </c>
      <c r="AA124" s="32">
        <f>J124+N124+R124+V124+Z124</f>
        <v>4468.32</v>
      </c>
      <c r="AB124" s="282"/>
      <c r="AC124" s="33"/>
      <c r="AD124" s="33"/>
      <c r="AE124" s="33"/>
    </row>
    <row r="125" spans="1:31">
      <c r="A125" s="98" t="s">
        <v>191</v>
      </c>
      <c r="B125" s="98">
        <v>87010</v>
      </c>
      <c r="C125" s="26" t="s">
        <v>181</v>
      </c>
      <c r="D125" s="98" t="s">
        <v>92</v>
      </c>
      <c r="E125" s="27">
        <v>1</v>
      </c>
      <c r="F125" s="29" t="s">
        <v>58</v>
      </c>
      <c r="G125" s="29">
        <v>1</v>
      </c>
      <c r="H125" s="61">
        <v>1</v>
      </c>
      <c r="I125" s="31">
        <v>850</v>
      </c>
      <c r="J125" s="188">
        <f t="shared" ref="J125" si="89">E125*G125*I125</f>
        <v>850</v>
      </c>
      <c r="K125" s="209">
        <v>1</v>
      </c>
      <c r="L125" s="29">
        <v>1</v>
      </c>
      <c r="M125" s="31">
        <f>I125*$E$5</f>
        <v>884</v>
      </c>
      <c r="N125" s="188">
        <f t="shared" ref="N125:N126" si="90">K125*L125*M125</f>
        <v>884</v>
      </c>
      <c r="O125" s="27">
        <v>1</v>
      </c>
      <c r="P125" s="29">
        <v>1</v>
      </c>
      <c r="Q125" s="31">
        <f>M125*$E$5</f>
        <v>919.36</v>
      </c>
      <c r="R125" s="188">
        <f t="shared" ref="R125:R126" si="91">O125*P125*Q125</f>
        <v>919.36</v>
      </c>
      <c r="S125" s="27">
        <v>1</v>
      </c>
      <c r="T125" s="29">
        <v>1</v>
      </c>
      <c r="U125" s="31">
        <f>Q125*$E$5</f>
        <v>956.13440000000003</v>
      </c>
      <c r="V125" s="188">
        <f t="shared" ref="V125:V126" si="92">S125*T125*U125</f>
        <v>956.13440000000003</v>
      </c>
      <c r="W125" s="27">
        <v>1</v>
      </c>
      <c r="X125" s="29">
        <v>1</v>
      </c>
      <c r="Y125" s="31">
        <f>U125*$E$5</f>
        <v>994.37977600000011</v>
      </c>
      <c r="Z125" s="228">
        <f t="shared" ref="Z125:Z126" si="93">W125*X125*Y125</f>
        <v>994.37977600000011</v>
      </c>
      <c r="AA125" s="32">
        <f>J125+N125+R125+V125+Z125</f>
        <v>4603.8741760000003</v>
      </c>
      <c r="AB125" s="282"/>
      <c r="AC125" s="33"/>
      <c r="AD125" s="33"/>
      <c r="AE125" s="33"/>
    </row>
    <row r="126" spans="1:31">
      <c r="A126" s="98" t="s">
        <v>192</v>
      </c>
      <c r="B126" s="98">
        <v>81010</v>
      </c>
      <c r="C126" s="26" t="s">
        <v>181</v>
      </c>
      <c r="D126" s="98" t="s">
        <v>93</v>
      </c>
      <c r="E126" s="27">
        <v>1</v>
      </c>
      <c r="F126" s="29" t="s">
        <v>65</v>
      </c>
      <c r="G126" s="29">
        <v>1</v>
      </c>
      <c r="H126" s="61">
        <v>1</v>
      </c>
      <c r="I126" s="31">
        <v>500</v>
      </c>
      <c r="J126" s="188">
        <f>E126*G126*I126</f>
        <v>500</v>
      </c>
      <c r="K126" s="209">
        <v>1</v>
      </c>
      <c r="L126" s="29">
        <v>1</v>
      </c>
      <c r="M126" s="31">
        <f>I126*$E$5</f>
        <v>520</v>
      </c>
      <c r="N126" s="188">
        <f t="shared" si="90"/>
        <v>520</v>
      </c>
      <c r="O126" s="27">
        <v>1</v>
      </c>
      <c r="P126" s="29">
        <v>1</v>
      </c>
      <c r="Q126" s="31">
        <f>M126*$E$5</f>
        <v>540.80000000000007</v>
      </c>
      <c r="R126" s="188">
        <f t="shared" si="91"/>
        <v>540.80000000000007</v>
      </c>
      <c r="S126" s="27">
        <v>1</v>
      </c>
      <c r="T126" s="29">
        <v>1</v>
      </c>
      <c r="U126" s="31">
        <f>Q126*$E$5</f>
        <v>562.43200000000013</v>
      </c>
      <c r="V126" s="188">
        <f t="shared" si="92"/>
        <v>562.43200000000013</v>
      </c>
      <c r="W126" s="27">
        <v>1</v>
      </c>
      <c r="X126" s="29">
        <v>1</v>
      </c>
      <c r="Y126" s="31">
        <f>U126*$E$5</f>
        <v>584.92928000000018</v>
      </c>
      <c r="Z126" s="228">
        <f t="shared" si="93"/>
        <v>584.92928000000018</v>
      </c>
      <c r="AA126" s="32">
        <f t="shared" ref="AA126" si="94">J126+N126+R126+V126+Z126</f>
        <v>2708.1612800000007</v>
      </c>
      <c r="AB126" s="33"/>
      <c r="AC126" s="40"/>
      <c r="AD126" s="40"/>
      <c r="AE126" s="33"/>
    </row>
    <row r="127" spans="1:31" s="1" customFormat="1">
      <c r="A127" s="34"/>
      <c r="B127" s="34"/>
      <c r="C127" s="34"/>
      <c r="D127" s="34" t="s">
        <v>94</v>
      </c>
      <c r="E127" s="77"/>
      <c r="F127" s="36"/>
      <c r="G127" s="78"/>
      <c r="H127" s="38"/>
      <c r="I127" s="39"/>
      <c r="J127" s="119">
        <f>SUM(J66:J126)</f>
        <v>107833.32</v>
      </c>
      <c r="K127" s="229"/>
      <c r="L127" s="67"/>
      <c r="M127" s="39"/>
      <c r="N127" s="119">
        <f>SUM(N66:N126)</f>
        <v>150347.6</v>
      </c>
      <c r="O127" s="163"/>
      <c r="P127" s="39"/>
      <c r="Q127" s="157"/>
      <c r="R127" s="164">
        <f>SUM(R67:R126)</f>
        <v>145891.61599999995</v>
      </c>
      <c r="S127" s="163"/>
      <c r="T127" s="39"/>
      <c r="U127" s="39"/>
      <c r="V127" s="164">
        <f>SUM(V67:V126)</f>
        <v>153538.31168000001</v>
      </c>
      <c r="W127" s="163"/>
      <c r="X127" s="39"/>
      <c r="Y127" s="39"/>
      <c r="Z127" s="210">
        <f>SUM(Z67:Z126)</f>
        <v>37768.883609600009</v>
      </c>
      <c r="AA127" s="251">
        <f>SUM(AA66:AA126)</f>
        <v>595379.73128959991</v>
      </c>
      <c r="AB127" s="99"/>
      <c r="AC127" s="100"/>
      <c r="AD127" s="100"/>
    </row>
    <row r="128" spans="1:31" s="1" customFormat="1">
      <c r="A128" s="43"/>
      <c r="B128" s="43"/>
      <c r="C128" s="43"/>
      <c r="D128" s="43" t="s">
        <v>95</v>
      </c>
      <c r="E128" s="24"/>
      <c r="F128" s="44"/>
      <c r="G128" s="44"/>
      <c r="H128" s="46"/>
      <c r="I128" s="47"/>
      <c r="J128" s="125">
        <f>J16+J23+J43+J47+J65+J127</f>
        <v>333274.65564000001</v>
      </c>
      <c r="K128" s="267"/>
      <c r="L128" s="48"/>
      <c r="M128" s="47"/>
      <c r="N128" s="125">
        <f>N16+N23+N43+N47+N65+N127</f>
        <v>468154.639922</v>
      </c>
      <c r="O128" s="159"/>
      <c r="P128" s="47"/>
      <c r="Q128" s="196"/>
      <c r="R128" s="160">
        <f>R16+R23+R43+R47+R65+R127</f>
        <v>505473.11031809996</v>
      </c>
      <c r="S128" s="159"/>
      <c r="T128" s="47"/>
      <c r="U128" s="47"/>
      <c r="V128" s="160">
        <f>V16+V23+V43+V47+V65+V127</f>
        <v>497320.25313000509</v>
      </c>
      <c r="W128" s="159"/>
      <c r="X128" s="47"/>
      <c r="Y128" s="47"/>
      <c r="Z128" s="156">
        <f>Z16+Z23+Z43+Z47+Z65+Z127</f>
        <v>279110.36799789529</v>
      </c>
      <c r="AA128" s="263">
        <f>AA16+AA23+AA43+AA47+AA65+AA127</f>
        <v>2083333.0270080003</v>
      </c>
      <c r="AB128" s="100"/>
      <c r="AC128" s="33"/>
      <c r="AD128" s="33"/>
    </row>
    <row r="129" spans="1:27" s="1" customFormat="1" ht="18.600000000000001" thickBot="1">
      <c r="A129" s="58" t="s">
        <v>188</v>
      </c>
      <c r="B129" s="58">
        <v>94050</v>
      </c>
      <c r="C129" s="58" t="s">
        <v>189</v>
      </c>
      <c r="D129" s="58" t="s">
        <v>154</v>
      </c>
      <c r="E129" s="101"/>
      <c r="F129" s="102">
        <v>0.2</v>
      </c>
      <c r="G129" s="17"/>
      <c r="H129" s="18"/>
      <c r="I129" s="62"/>
      <c r="J129" s="126">
        <f>J128*F129</f>
        <v>66654.931128000011</v>
      </c>
      <c r="K129" s="41"/>
      <c r="L129" s="42"/>
      <c r="M129" s="62"/>
      <c r="N129" s="126">
        <f>N128*F129</f>
        <v>93630.927984400012</v>
      </c>
      <c r="O129" s="165"/>
      <c r="P129" s="62"/>
      <c r="Q129" s="197"/>
      <c r="R129" s="166">
        <f>R128*F129</f>
        <v>101094.62206362</v>
      </c>
      <c r="S129" s="165"/>
      <c r="T129" s="62"/>
      <c r="U129" s="62"/>
      <c r="V129" s="166">
        <f>V128*F129</f>
        <v>99464.05062600103</v>
      </c>
      <c r="W129" s="165"/>
      <c r="X129" s="62"/>
      <c r="Y129" s="62"/>
      <c r="Z129" s="211">
        <f>Z128*F129</f>
        <v>55822.07359957906</v>
      </c>
      <c r="AA129" s="264">
        <f>J129+N129+R129+V129+Z129</f>
        <v>416666.60540160013</v>
      </c>
    </row>
    <row r="130" spans="1:27" s="1" customFormat="1" ht="18.600000000000001" thickBot="1">
      <c r="A130" s="103"/>
      <c r="B130" s="103"/>
      <c r="C130" s="103"/>
      <c r="D130" s="103" t="s">
        <v>96</v>
      </c>
      <c r="E130" s="104"/>
      <c r="F130" s="105"/>
      <c r="G130" s="105"/>
      <c r="H130" s="106"/>
      <c r="I130" s="107"/>
      <c r="J130" s="127">
        <f>J128+J129</f>
        <v>399929.58676800004</v>
      </c>
      <c r="K130" s="246"/>
      <c r="L130" s="207"/>
      <c r="M130" s="208"/>
      <c r="N130" s="184">
        <f>N128+N129</f>
        <v>561785.56790639996</v>
      </c>
      <c r="O130" s="183"/>
      <c r="P130" s="107"/>
      <c r="Q130" s="246"/>
      <c r="R130" s="184">
        <f>R128+R129</f>
        <v>606567.73238171998</v>
      </c>
      <c r="S130" s="183"/>
      <c r="T130" s="107"/>
      <c r="U130" s="107"/>
      <c r="V130" s="184">
        <f>V128+V129</f>
        <v>596784.30375600606</v>
      </c>
      <c r="W130" s="183"/>
      <c r="X130" s="107"/>
      <c r="Y130" s="107"/>
      <c r="Z130" s="219">
        <f>Z128+Z129</f>
        <v>334932.44159747433</v>
      </c>
      <c r="AA130" s="265">
        <f>AA128+AA129</f>
        <v>2499999.6324096005</v>
      </c>
    </row>
    <row r="131" spans="1:27" s="1" customFormat="1">
      <c r="F131" s="7"/>
      <c r="G131" s="8"/>
      <c r="H131" s="108"/>
      <c r="I131" s="10"/>
      <c r="J131" s="10"/>
      <c r="K131" s="109"/>
      <c r="L131" s="109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spans="1:27" s="1" customFormat="1">
      <c r="F132" s="7"/>
      <c r="G132" s="8"/>
      <c r="H132" s="9"/>
      <c r="I132" s="10"/>
      <c r="J132" s="10"/>
      <c r="K132" s="111"/>
      <c r="L132" s="111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spans="1:27" s="1" customFormat="1">
      <c r="F133" s="7"/>
      <c r="G133" s="8"/>
      <c r="H133" s="9"/>
      <c r="I133" s="10"/>
      <c r="J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s="1" customFormat="1">
      <c r="F134" s="7"/>
      <c r="G134" s="8"/>
      <c r="H134" s="9"/>
      <c r="I134" s="10"/>
      <c r="J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s="1" customFormat="1">
      <c r="F135" s="7"/>
      <c r="G135" s="8"/>
      <c r="H135" s="9"/>
      <c r="I135" s="10"/>
      <c r="J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s="1" customFormat="1">
      <c r="F136" s="7"/>
      <c r="G136" s="8"/>
      <c r="H136" s="9"/>
      <c r="I136" s="10"/>
      <c r="J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s="1" customFormat="1">
      <c r="F137" s="7"/>
      <c r="G137" s="8"/>
      <c r="H137" s="9"/>
      <c r="I137" s="10"/>
      <c r="J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s="1" customFormat="1">
      <c r="F138" s="7"/>
      <c r="G138" s="8"/>
      <c r="H138" s="9"/>
      <c r="I138" s="10"/>
      <c r="J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s="1" customFormat="1">
      <c r="F139" s="7"/>
      <c r="G139" s="8"/>
      <c r="H139" s="9"/>
      <c r="I139" s="10"/>
      <c r="J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s="1" customFormat="1">
      <c r="F140" s="7"/>
      <c r="G140" s="8"/>
      <c r="H140" s="9"/>
      <c r="I140" s="10"/>
      <c r="J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s="1" customFormat="1">
      <c r="F141" s="7"/>
      <c r="G141" s="8"/>
      <c r="H141" s="9"/>
      <c r="I141" s="10"/>
      <c r="J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s="1" customFormat="1">
      <c r="F142" s="7"/>
      <c r="G142" s="8"/>
      <c r="H142" s="9"/>
      <c r="I142" s="10"/>
      <c r="J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s="1" customFormat="1">
      <c r="F143" s="7"/>
      <c r="G143" s="8"/>
      <c r="H143" s="9"/>
      <c r="I143" s="10"/>
      <c r="J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s="1" customFormat="1">
      <c r="F144" s="7"/>
      <c r="G144" s="8"/>
      <c r="H144" s="9"/>
      <c r="I144" s="10"/>
      <c r="J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s="1" customFormat="1">
      <c r="F145" s="7"/>
      <c r="G145" s="8"/>
      <c r="H145" s="9"/>
      <c r="I145" s="10"/>
      <c r="J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s="1" customFormat="1">
      <c r="F146" s="7"/>
      <c r="G146" s="8"/>
      <c r="H146" s="9"/>
      <c r="I146" s="10"/>
      <c r="J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s="1" customFormat="1">
      <c r="F147" s="7"/>
      <c r="G147" s="8"/>
      <c r="H147" s="9"/>
      <c r="I147" s="10"/>
      <c r="J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s="1" customFormat="1">
      <c r="F148" s="7"/>
      <c r="G148" s="8"/>
      <c r="H148" s="9"/>
      <c r="I148" s="10"/>
      <c r="J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s="1" customFormat="1">
      <c r="F149" s="7"/>
      <c r="G149" s="8"/>
      <c r="H149" s="9"/>
      <c r="I149" s="10"/>
      <c r="J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s="1" customFormat="1">
      <c r="F150" s="7"/>
      <c r="G150" s="8"/>
      <c r="H150" s="9"/>
      <c r="I150" s="10"/>
      <c r="J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s="1" customFormat="1">
      <c r="F151" s="7"/>
      <c r="G151" s="8"/>
      <c r="H151" s="9"/>
      <c r="I151" s="10"/>
      <c r="J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s="1" customFormat="1">
      <c r="F152" s="7"/>
      <c r="G152" s="8"/>
      <c r="H152" s="9"/>
      <c r="I152" s="10"/>
      <c r="J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s="1" customFormat="1">
      <c r="A153" s="4"/>
      <c r="B153" s="4"/>
      <c r="C153" s="4"/>
      <c r="D153" s="4"/>
      <c r="E153" s="4"/>
      <c r="F153" s="22"/>
      <c r="G153" s="112"/>
      <c r="H153" s="113"/>
      <c r="I153" s="114"/>
      <c r="J153" s="114"/>
      <c r="K153" s="4"/>
      <c r="L153" s="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</row>
    <row r="154" spans="1:27" s="1" customFormat="1">
      <c r="F154" s="7"/>
      <c r="G154" s="8"/>
      <c r="H154" s="9"/>
      <c r="I154" s="10"/>
      <c r="J154" s="10"/>
      <c r="M154" s="10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0"/>
    </row>
    <row r="155" spans="1:27" s="1" customFormat="1">
      <c r="F155" s="7"/>
      <c r="G155" s="8"/>
      <c r="H155" s="9"/>
      <c r="I155" s="10"/>
      <c r="J155" s="115"/>
      <c r="M155" s="10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0"/>
    </row>
    <row r="156" spans="1:27" s="4" customFormat="1">
      <c r="A156" s="1"/>
      <c r="B156" s="1"/>
      <c r="C156" s="1"/>
      <c r="D156" s="1"/>
      <c r="E156" s="1"/>
      <c r="F156" s="7"/>
      <c r="G156" s="8"/>
      <c r="H156" s="9"/>
      <c r="I156" s="10"/>
      <c r="J156" s="115"/>
      <c r="K156" s="1"/>
      <c r="L156" s="1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s="1" customFormat="1">
      <c r="F157" s="7"/>
      <c r="G157" s="8"/>
      <c r="H157" s="9"/>
      <c r="I157" s="10"/>
      <c r="J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s="1" customFormat="1">
      <c r="F158" s="7"/>
      <c r="G158" s="8"/>
      <c r="H158" s="9"/>
      <c r="I158" s="10"/>
      <c r="J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s="1" customFormat="1">
      <c r="F159" s="7"/>
      <c r="G159" s="8"/>
      <c r="H159" s="9"/>
      <c r="I159" s="10"/>
      <c r="J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s="1" customFormat="1">
      <c r="F160" s="7"/>
      <c r="G160" s="8"/>
      <c r="H160" s="9"/>
      <c r="I160" s="10"/>
      <c r="J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6:27" s="1" customFormat="1">
      <c r="F161" s="7"/>
      <c r="G161" s="8"/>
      <c r="H161" s="9"/>
      <c r="I161" s="10"/>
      <c r="J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6:27" s="1" customFormat="1">
      <c r="F162" s="7"/>
      <c r="G162" s="8"/>
      <c r="H162" s="9"/>
      <c r="I162" s="10"/>
      <c r="J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6:27" s="1" customFormat="1">
      <c r="F163" s="7"/>
      <c r="G163" s="8"/>
      <c r="H163" s="9"/>
      <c r="I163" s="10"/>
      <c r="J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6:27" s="1" customFormat="1">
      <c r="F164" s="7"/>
      <c r="G164" s="8"/>
      <c r="H164" s="9"/>
      <c r="I164" s="10"/>
      <c r="J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6:27" s="1" customFormat="1">
      <c r="F165" s="7"/>
      <c r="G165" s="8"/>
      <c r="H165" s="9"/>
      <c r="I165" s="10"/>
      <c r="J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6:27" s="1" customFormat="1">
      <c r="F166" s="7"/>
      <c r="G166" s="8"/>
      <c r="H166" s="9"/>
      <c r="I166" s="10"/>
      <c r="J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6:27" s="1" customFormat="1">
      <c r="F167" s="7"/>
      <c r="G167" s="8"/>
      <c r="H167" s="9"/>
      <c r="I167" s="10"/>
      <c r="J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6:27" s="1" customFormat="1">
      <c r="F168" s="7"/>
      <c r="G168" s="8"/>
      <c r="H168" s="9"/>
      <c r="I168" s="10"/>
      <c r="J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6:27" s="1" customFormat="1">
      <c r="F169" s="7"/>
      <c r="G169" s="8"/>
      <c r="H169" s="9"/>
      <c r="I169" s="10"/>
      <c r="J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6:27" s="1" customFormat="1">
      <c r="F170" s="7"/>
      <c r="G170" s="8"/>
      <c r="H170" s="9"/>
      <c r="I170" s="10"/>
      <c r="J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6:27" s="1" customFormat="1">
      <c r="F171" s="7"/>
      <c r="G171" s="8"/>
      <c r="H171" s="9"/>
      <c r="I171" s="10"/>
      <c r="J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6:27" s="1" customFormat="1">
      <c r="F172" s="7"/>
      <c r="G172" s="8"/>
      <c r="H172" s="9"/>
      <c r="I172" s="10"/>
      <c r="J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6:27" s="1" customFormat="1">
      <c r="F173" s="7"/>
      <c r="G173" s="8"/>
      <c r="H173" s="9"/>
      <c r="I173" s="10"/>
      <c r="J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6:27" s="1" customFormat="1">
      <c r="F174" s="7"/>
      <c r="G174" s="8"/>
      <c r="H174" s="9"/>
      <c r="I174" s="10"/>
      <c r="J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6:27" s="1" customFormat="1">
      <c r="F175" s="7"/>
      <c r="G175" s="8"/>
      <c r="H175" s="9"/>
      <c r="I175" s="10"/>
      <c r="J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6:27" s="1" customFormat="1">
      <c r="F176" s="7"/>
      <c r="G176" s="8"/>
      <c r="H176" s="9"/>
      <c r="I176" s="10"/>
      <c r="J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6:27" s="1" customFormat="1">
      <c r="F177" s="7"/>
      <c r="G177" s="8"/>
      <c r="H177" s="9"/>
      <c r="I177" s="10"/>
      <c r="J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6:27" s="1" customFormat="1">
      <c r="F178" s="7"/>
      <c r="G178" s="8"/>
      <c r="H178" s="9"/>
      <c r="I178" s="10"/>
      <c r="J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6:27" s="1" customFormat="1">
      <c r="F179" s="7"/>
      <c r="G179" s="8"/>
      <c r="H179" s="9"/>
      <c r="I179" s="10"/>
      <c r="J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6:27" s="1" customFormat="1">
      <c r="F180" s="7"/>
      <c r="G180" s="8"/>
      <c r="H180" s="9"/>
      <c r="I180" s="10"/>
      <c r="J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6:27" s="1" customFormat="1">
      <c r="F181" s="7"/>
      <c r="G181" s="8"/>
      <c r="H181" s="9"/>
      <c r="I181" s="10"/>
      <c r="J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6:27" s="1" customFormat="1">
      <c r="F182" s="7"/>
      <c r="G182" s="8"/>
      <c r="H182" s="9"/>
      <c r="I182" s="10"/>
      <c r="J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6:27" s="1" customFormat="1">
      <c r="F183" s="7"/>
      <c r="G183" s="8"/>
      <c r="H183" s="9"/>
      <c r="I183" s="10"/>
      <c r="J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6:27" s="1" customFormat="1">
      <c r="F184" s="7"/>
      <c r="G184" s="8"/>
      <c r="H184" s="9"/>
      <c r="I184" s="10"/>
      <c r="J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6:27" s="1" customFormat="1">
      <c r="F185" s="7"/>
      <c r="G185" s="8"/>
      <c r="H185" s="9"/>
      <c r="I185" s="10"/>
      <c r="J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6:27" s="1" customFormat="1">
      <c r="F186" s="7"/>
      <c r="G186" s="8"/>
      <c r="H186" s="9"/>
      <c r="I186" s="10"/>
      <c r="J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6:27" s="1" customFormat="1">
      <c r="F187" s="7"/>
      <c r="G187" s="8"/>
      <c r="H187" s="9"/>
      <c r="I187" s="10"/>
      <c r="J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6:27" s="1" customFormat="1">
      <c r="F188" s="7"/>
      <c r="G188" s="8"/>
      <c r="H188" s="9"/>
      <c r="I188" s="10"/>
      <c r="J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6:27" s="1" customFormat="1">
      <c r="F189" s="7"/>
      <c r="G189" s="8"/>
      <c r="H189" s="9"/>
      <c r="I189" s="10"/>
      <c r="J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6:27" s="1" customFormat="1">
      <c r="F190" s="7"/>
      <c r="G190" s="8"/>
      <c r="H190" s="9"/>
      <c r="I190" s="10"/>
      <c r="J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6:27" s="1" customFormat="1">
      <c r="F191" s="7"/>
      <c r="G191" s="8"/>
      <c r="H191" s="9"/>
      <c r="I191" s="10"/>
      <c r="J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6:27" s="1" customFormat="1">
      <c r="F192" s="7"/>
      <c r="G192" s="8"/>
      <c r="H192" s="9"/>
      <c r="I192" s="10"/>
      <c r="J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6:27" s="1" customFormat="1">
      <c r="F193" s="7"/>
      <c r="G193" s="8"/>
      <c r="H193" s="9"/>
      <c r="I193" s="10"/>
      <c r="J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6:27" s="1" customFormat="1">
      <c r="F194" s="7"/>
      <c r="G194" s="8"/>
      <c r="H194" s="9"/>
      <c r="I194" s="10"/>
      <c r="J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6:27" s="1" customFormat="1">
      <c r="F195" s="7"/>
      <c r="G195" s="8"/>
      <c r="H195" s="9"/>
      <c r="I195" s="10"/>
      <c r="J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6:27" s="1" customFormat="1">
      <c r="F196" s="7"/>
      <c r="G196" s="8"/>
      <c r="H196" s="9"/>
      <c r="I196" s="10"/>
      <c r="J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6:27" s="1" customFormat="1">
      <c r="F197" s="7"/>
      <c r="G197" s="8"/>
      <c r="H197" s="9"/>
      <c r="I197" s="10"/>
      <c r="J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6:27" s="1" customFormat="1">
      <c r="F198" s="7"/>
      <c r="G198" s="8"/>
      <c r="H198" s="9"/>
      <c r="I198" s="10"/>
      <c r="J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6:27" s="1" customFormat="1">
      <c r="F199" s="7"/>
      <c r="G199" s="8"/>
      <c r="H199" s="9"/>
      <c r="I199" s="10"/>
      <c r="J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6:27" s="1" customFormat="1">
      <c r="F200" s="7"/>
      <c r="G200" s="8"/>
      <c r="H200" s="9"/>
      <c r="I200" s="10"/>
      <c r="J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6:27" s="1" customFormat="1">
      <c r="F201" s="7"/>
      <c r="G201" s="8"/>
      <c r="H201" s="9"/>
      <c r="I201" s="10"/>
      <c r="J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6:27" s="1" customFormat="1">
      <c r="F202" s="7"/>
      <c r="G202" s="8"/>
      <c r="H202" s="9"/>
      <c r="I202" s="10"/>
      <c r="J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6:27" s="1" customFormat="1">
      <c r="F203" s="7"/>
      <c r="G203" s="8"/>
      <c r="H203" s="9"/>
      <c r="I203" s="10"/>
      <c r="J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6:27" s="1" customFormat="1">
      <c r="F204" s="7"/>
      <c r="G204" s="8"/>
      <c r="H204" s="9"/>
      <c r="I204" s="10"/>
      <c r="J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6:27" s="1" customFormat="1">
      <c r="F205" s="7"/>
      <c r="G205" s="8"/>
      <c r="H205" s="9"/>
      <c r="I205" s="10"/>
      <c r="J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6:27" s="1" customFormat="1">
      <c r="F206" s="7"/>
      <c r="G206" s="8"/>
      <c r="H206" s="9"/>
      <c r="I206" s="10"/>
      <c r="J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6:27" s="1" customFormat="1">
      <c r="F207" s="7"/>
      <c r="G207" s="8"/>
      <c r="H207" s="9"/>
      <c r="I207" s="10"/>
      <c r="J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6:27" s="1" customFormat="1">
      <c r="F208" s="7"/>
      <c r="G208" s="8"/>
      <c r="H208" s="9"/>
      <c r="I208" s="10"/>
      <c r="J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6:27" s="1" customFormat="1">
      <c r="F209" s="7"/>
      <c r="G209" s="8"/>
      <c r="H209" s="9"/>
      <c r="I209" s="10"/>
      <c r="J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6:27" s="1" customFormat="1">
      <c r="F210" s="7"/>
      <c r="G210" s="8"/>
      <c r="H210" s="9"/>
      <c r="I210" s="10"/>
      <c r="J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6:27" s="1" customFormat="1">
      <c r="F211" s="7"/>
      <c r="G211" s="8"/>
      <c r="H211" s="9"/>
      <c r="I211" s="10"/>
      <c r="J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6:27" s="1" customFormat="1">
      <c r="F212" s="7"/>
      <c r="G212" s="8"/>
      <c r="H212" s="9"/>
      <c r="I212" s="10"/>
      <c r="J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6:27" s="1" customFormat="1">
      <c r="F213" s="7"/>
      <c r="G213" s="8"/>
      <c r="H213" s="9"/>
      <c r="I213" s="10"/>
      <c r="J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6:27" s="1" customFormat="1">
      <c r="F214" s="7"/>
      <c r="G214" s="8"/>
      <c r="H214" s="9"/>
      <c r="I214" s="10"/>
      <c r="J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6:27" s="1" customFormat="1">
      <c r="F215" s="7"/>
      <c r="G215" s="8"/>
      <c r="H215" s="9"/>
      <c r="I215" s="10"/>
      <c r="J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6:27" s="1" customFormat="1">
      <c r="F216" s="7"/>
      <c r="G216" s="8"/>
      <c r="H216" s="9"/>
      <c r="I216" s="10"/>
      <c r="J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6:27" s="1" customFormat="1">
      <c r="F217" s="7"/>
      <c r="G217" s="8"/>
      <c r="H217" s="9"/>
      <c r="I217" s="10"/>
      <c r="J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6:27" s="1" customFormat="1">
      <c r="F218" s="7"/>
      <c r="G218" s="8"/>
      <c r="H218" s="9"/>
      <c r="I218" s="10"/>
      <c r="J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6:27" s="1" customFormat="1">
      <c r="F219" s="7"/>
      <c r="G219" s="8"/>
      <c r="H219" s="9"/>
      <c r="I219" s="10"/>
      <c r="J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6:27" s="1" customFormat="1">
      <c r="F220" s="7"/>
      <c r="G220" s="8"/>
      <c r="H220" s="9"/>
      <c r="I220" s="10"/>
      <c r="J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6:27" s="1" customFormat="1">
      <c r="F221" s="7"/>
      <c r="G221" s="8"/>
      <c r="H221" s="9"/>
      <c r="I221" s="10"/>
      <c r="J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6:27" s="1" customFormat="1">
      <c r="F222" s="7"/>
      <c r="G222" s="8"/>
      <c r="H222" s="9"/>
      <c r="I222" s="10"/>
      <c r="J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6:27" s="1" customFormat="1">
      <c r="F223" s="7"/>
      <c r="G223" s="8"/>
      <c r="H223" s="9"/>
      <c r="I223" s="10"/>
      <c r="J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6:27" s="1" customFormat="1">
      <c r="F224" s="7"/>
      <c r="G224" s="8"/>
      <c r="H224" s="9"/>
      <c r="I224" s="10"/>
      <c r="J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6:27" s="1" customFormat="1">
      <c r="F225" s="7"/>
      <c r="G225" s="8"/>
      <c r="H225" s="9"/>
      <c r="I225" s="10"/>
      <c r="J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6:27" s="1" customFormat="1">
      <c r="F226" s="7"/>
      <c r="G226" s="8"/>
      <c r="H226" s="9"/>
      <c r="I226" s="10"/>
      <c r="J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6:27" s="1" customFormat="1">
      <c r="F227" s="7"/>
      <c r="G227" s="8"/>
      <c r="H227" s="9"/>
      <c r="I227" s="10"/>
      <c r="J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6:27" s="1" customFormat="1">
      <c r="F228" s="7"/>
      <c r="G228" s="8"/>
      <c r="H228" s="9"/>
      <c r="I228" s="10"/>
      <c r="J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6:27" s="1" customFormat="1">
      <c r="F229" s="7"/>
      <c r="G229" s="8"/>
      <c r="H229" s="9"/>
      <c r="I229" s="10"/>
      <c r="J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6:27" s="1" customFormat="1">
      <c r="F230" s="7"/>
      <c r="G230" s="8"/>
      <c r="H230" s="9"/>
      <c r="I230" s="10"/>
      <c r="J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6:27" s="1" customFormat="1">
      <c r="F231" s="7"/>
      <c r="G231" s="8"/>
      <c r="H231" s="9"/>
      <c r="I231" s="10"/>
      <c r="J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6:27" s="1" customFormat="1">
      <c r="F232" s="7"/>
      <c r="G232" s="8"/>
      <c r="H232" s="9"/>
      <c r="I232" s="10"/>
      <c r="J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6:27" s="1" customFormat="1">
      <c r="F233" s="7"/>
      <c r="G233" s="8"/>
      <c r="H233" s="9"/>
      <c r="I233" s="10"/>
      <c r="J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6:27" s="1" customFormat="1">
      <c r="F234" s="7"/>
      <c r="G234" s="8"/>
      <c r="H234" s="9"/>
      <c r="I234" s="10"/>
      <c r="J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6:27" s="1" customFormat="1">
      <c r="F235" s="7"/>
      <c r="G235" s="8"/>
      <c r="H235" s="9"/>
      <c r="I235" s="10"/>
      <c r="J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6:27" s="1" customFormat="1">
      <c r="F236" s="7"/>
      <c r="G236" s="8"/>
      <c r="H236" s="9"/>
      <c r="I236" s="10"/>
      <c r="J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6:27" s="1" customFormat="1">
      <c r="F237" s="7"/>
      <c r="G237" s="8"/>
      <c r="H237" s="9"/>
      <c r="I237" s="10"/>
      <c r="J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6:27" s="1" customFormat="1">
      <c r="F238" s="7"/>
      <c r="G238" s="8"/>
      <c r="H238" s="9"/>
      <c r="I238" s="10"/>
      <c r="J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6:27" s="1" customFormat="1">
      <c r="F239" s="7"/>
      <c r="G239" s="8"/>
      <c r="H239" s="9"/>
      <c r="I239" s="10"/>
      <c r="J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6:27" s="1" customFormat="1">
      <c r="F240" s="7"/>
      <c r="G240" s="8"/>
      <c r="H240" s="9"/>
      <c r="I240" s="10"/>
      <c r="J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6:27" s="1" customFormat="1">
      <c r="F241" s="7"/>
      <c r="G241" s="8"/>
      <c r="H241" s="9"/>
      <c r="I241" s="10"/>
      <c r="J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6:27" s="1" customFormat="1">
      <c r="F242" s="7"/>
      <c r="G242" s="8"/>
      <c r="H242" s="9"/>
      <c r="I242" s="10"/>
      <c r="J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6:27" s="1" customFormat="1">
      <c r="F243" s="7"/>
      <c r="G243" s="8"/>
      <c r="H243" s="9"/>
      <c r="I243" s="10"/>
      <c r="J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6:27" s="1" customFormat="1">
      <c r="F244" s="7"/>
      <c r="G244" s="8"/>
      <c r="H244" s="9"/>
      <c r="I244" s="10"/>
      <c r="J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6:27" s="1" customFormat="1">
      <c r="F245" s="7"/>
      <c r="G245" s="8"/>
      <c r="H245" s="9"/>
      <c r="I245" s="10"/>
      <c r="J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6:27" s="1" customFormat="1">
      <c r="F246" s="7"/>
      <c r="G246" s="8"/>
      <c r="H246" s="9"/>
      <c r="I246" s="10"/>
      <c r="J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6:27" s="1" customFormat="1">
      <c r="F247" s="7"/>
      <c r="G247" s="8"/>
      <c r="H247" s="9"/>
      <c r="I247" s="10"/>
      <c r="J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6:27" s="1" customFormat="1">
      <c r="F248" s="7"/>
      <c r="G248" s="8"/>
      <c r="H248" s="9"/>
      <c r="I248" s="10"/>
      <c r="J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6:27" s="1" customFormat="1">
      <c r="F249" s="7"/>
      <c r="G249" s="8"/>
      <c r="H249" s="9"/>
      <c r="I249" s="10"/>
      <c r="J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6:27" s="1" customFormat="1">
      <c r="F250" s="7"/>
      <c r="G250" s="8"/>
      <c r="H250" s="9"/>
      <c r="I250" s="10"/>
      <c r="J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6:27" s="1" customFormat="1">
      <c r="F251" s="7"/>
      <c r="G251" s="8"/>
      <c r="H251" s="9"/>
      <c r="I251" s="10"/>
      <c r="J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6:27" s="1" customFormat="1">
      <c r="F252" s="7"/>
      <c r="G252" s="8"/>
      <c r="H252" s="9"/>
      <c r="I252" s="10"/>
      <c r="J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6:27" s="1" customFormat="1">
      <c r="F253" s="7"/>
      <c r="G253" s="8"/>
      <c r="H253" s="9"/>
      <c r="I253" s="10"/>
      <c r="J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6:27" s="1" customFormat="1">
      <c r="F254" s="7"/>
      <c r="G254" s="8"/>
      <c r="H254" s="9"/>
      <c r="I254" s="10"/>
      <c r="J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6:27" s="1" customFormat="1">
      <c r="F255" s="7"/>
      <c r="G255" s="8"/>
      <c r="H255" s="9"/>
      <c r="I255" s="10"/>
      <c r="J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6:27" s="1" customFormat="1">
      <c r="F256" s="7"/>
      <c r="G256" s="8"/>
      <c r="H256" s="9"/>
      <c r="I256" s="10"/>
      <c r="J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6:27" s="1" customFormat="1">
      <c r="F257" s="7"/>
      <c r="G257" s="8"/>
      <c r="H257" s="9"/>
      <c r="I257" s="10"/>
      <c r="J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6:27" s="1" customFormat="1">
      <c r="F258" s="7"/>
      <c r="G258" s="8"/>
      <c r="H258" s="9"/>
      <c r="I258" s="10"/>
      <c r="J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6:27" s="1" customFormat="1">
      <c r="F259" s="7"/>
      <c r="G259" s="8"/>
      <c r="H259" s="9"/>
      <c r="I259" s="10"/>
      <c r="J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6:27" s="1" customFormat="1">
      <c r="F260" s="7"/>
      <c r="G260" s="8"/>
      <c r="H260" s="9"/>
      <c r="I260" s="10"/>
      <c r="J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6:27" s="1" customFormat="1">
      <c r="F261" s="7"/>
      <c r="G261" s="8"/>
      <c r="H261" s="9"/>
      <c r="I261" s="10"/>
      <c r="J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6:27" s="1" customFormat="1">
      <c r="F262" s="7"/>
      <c r="G262" s="8"/>
      <c r="H262" s="9"/>
      <c r="I262" s="10"/>
      <c r="J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6:27" s="1" customFormat="1">
      <c r="F263" s="7"/>
      <c r="G263" s="8"/>
      <c r="H263" s="9"/>
      <c r="I263" s="10"/>
      <c r="J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6:27" s="1" customFormat="1">
      <c r="F264" s="7"/>
      <c r="G264" s="8"/>
      <c r="H264" s="9"/>
      <c r="I264" s="10"/>
      <c r="J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6:27" s="1" customFormat="1">
      <c r="F265" s="7"/>
      <c r="G265" s="8"/>
      <c r="H265" s="9"/>
      <c r="I265" s="10"/>
      <c r="J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6:27" s="1" customFormat="1">
      <c r="F266" s="7"/>
      <c r="G266" s="8"/>
      <c r="H266" s="9"/>
      <c r="I266" s="10"/>
      <c r="J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6:27" s="1" customFormat="1">
      <c r="F267" s="7"/>
      <c r="G267" s="8"/>
      <c r="H267" s="9"/>
      <c r="I267" s="10"/>
      <c r="J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6:27" s="1" customFormat="1">
      <c r="F268" s="7"/>
      <c r="G268" s="8"/>
      <c r="H268" s="9"/>
      <c r="I268" s="10"/>
      <c r="J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6:27" s="1" customFormat="1">
      <c r="F269" s="7"/>
      <c r="G269" s="8"/>
      <c r="H269" s="9"/>
      <c r="I269" s="10"/>
      <c r="J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6:27" s="1" customFormat="1">
      <c r="F270" s="7"/>
      <c r="G270" s="8"/>
      <c r="H270" s="9"/>
      <c r="I270" s="10"/>
      <c r="J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6:27" s="1" customFormat="1">
      <c r="F271" s="7"/>
      <c r="G271" s="8"/>
      <c r="H271" s="9"/>
      <c r="I271" s="10"/>
      <c r="J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6:27" s="1" customFormat="1">
      <c r="F272" s="7"/>
      <c r="G272" s="8"/>
      <c r="H272" s="9"/>
      <c r="I272" s="10"/>
      <c r="J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6:27" s="1" customFormat="1">
      <c r="F273" s="7"/>
      <c r="G273" s="8"/>
      <c r="H273" s="9"/>
      <c r="I273" s="10"/>
      <c r="J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6:27" s="1" customFormat="1">
      <c r="F274" s="7"/>
      <c r="G274" s="8"/>
      <c r="H274" s="9"/>
      <c r="I274" s="10"/>
      <c r="J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6:27" s="1" customFormat="1">
      <c r="F275" s="7"/>
      <c r="G275" s="8"/>
      <c r="H275" s="9"/>
      <c r="I275" s="10"/>
      <c r="J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6:27" s="1" customFormat="1">
      <c r="F276" s="7"/>
      <c r="G276" s="8"/>
      <c r="H276" s="9"/>
      <c r="I276" s="10"/>
      <c r="J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6:27" s="1" customFormat="1">
      <c r="F277" s="7"/>
      <c r="G277" s="8"/>
      <c r="H277" s="9"/>
      <c r="I277" s="10"/>
      <c r="J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6:27" s="1" customFormat="1">
      <c r="F278" s="7"/>
      <c r="G278" s="8"/>
      <c r="H278" s="9"/>
      <c r="I278" s="10"/>
      <c r="J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6:27" s="1" customFormat="1">
      <c r="F279" s="7"/>
      <c r="G279" s="8"/>
      <c r="H279" s="9"/>
      <c r="I279" s="10"/>
      <c r="J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6:27" s="1" customFormat="1">
      <c r="F280" s="7"/>
      <c r="G280" s="8"/>
      <c r="H280" s="9"/>
      <c r="I280" s="10"/>
      <c r="J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6:27" s="1" customFormat="1">
      <c r="F281" s="7"/>
      <c r="G281" s="8"/>
      <c r="H281" s="9"/>
      <c r="I281" s="10"/>
      <c r="J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6:27" s="1" customFormat="1">
      <c r="F282" s="7"/>
      <c r="G282" s="8"/>
      <c r="H282" s="9"/>
      <c r="I282" s="10"/>
      <c r="J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6:27" s="1" customFormat="1">
      <c r="F283" s="7"/>
      <c r="G283" s="8"/>
      <c r="H283" s="9"/>
      <c r="I283" s="10"/>
      <c r="J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6:27" s="1" customFormat="1">
      <c r="F284" s="7"/>
      <c r="G284" s="8"/>
      <c r="H284" s="9"/>
      <c r="I284" s="10"/>
      <c r="J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6:27" s="1" customFormat="1">
      <c r="F285" s="7"/>
      <c r="G285" s="8"/>
      <c r="H285" s="9"/>
      <c r="I285" s="10"/>
      <c r="J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6:27" s="1" customFormat="1">
      <c r="F286" s="7"/>
      <c r="G286" s="8"/>
      <c r="H286" s="9"/>
      <c r="I286" s="10"/>
      <c r="J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6:27" s="1" customFormat="1">
      <c r="F287" s="7"/>
      <c r="G287" s="8"/>
      <c r="H287" s="9"/>
      <c r="I287" s="10"/>
      <c r="J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6:27" s="1" customFormat="1">
      <c r="F288" s="7"/>
      <c r="G288" s="8"/>
      <c r="H288" s="9"/>
      <c r="I288" s="10"/>
      <c r="J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6:27" s="1" customFormat="1">
      <c r="F289" s="7"/>
      <c r="G289" s="8"/>
      <c r="H289" s="9"/>
      <c r="I289" s="10"/>
      <c r="J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6:27" s="1" customFormat="1">
      <c r="F290" s="7"/>
      <c r="G290" s="8"/>
      <c r="H290" s="9"/>
      <c r="I290" s="10"/>
      <c r="J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6:27" s="1" customFormat="1">
      <c r="F291" s="7"/>
      <c r="G291" s="8"/>
      <c r="H291" s="9"/>
      <c r="I291" s="10"/>
      <c r="J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6:27" s="1" customFormat="1">
      <c r="F292" s="7"/>
      <c r="G292" s="8"/>
      <c r="H292" s="9"/>
      <c r="I292" s="10"/>
      <c r="J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6:27" s="1" customFormat="1">
      <c r="F293" s="7"/>
      <c r="G293" s="8"/>
      <c r="H293" s="9"/>
      <c r="I293" s="10"/>
      <c r="J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6:27" s="1" customFormat="1">
      <c r="F294" s="7"/>
      <c r="G294" s="8"/>
      <c r="H294" s="9"/>
      <c r="I294" s="10"/>
      <c r="J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6:27" s="1" customFormat="1">
      <c r="F295" s="7"/>
      <c r="G295" s="8"/>
      <c r="H295" s="9"/>
      <c r="I295" s="10"/>
      <c r="J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6:27" s="1" customFormat="1">
      <c r="F296" s="7"/>
      <c r="G296" s="8"/>
      <c r="H296" s="9"/>
      <c r="I296" s="10"/>
      <c r="J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6:27" s="1" customFormat="1">
      <c r="F297" s="7"/>
      <c r="G297" s="8"/>
      <c r="H297" s="9"/>
      <c r="I297" s="10"/>
      <c r="J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6:27" s="1" customFormat="1">
      <c r="F298" s="7"/>
      <c r="G298" s="8"/>
      <c r="H298" s="9"/>
      <c r="I298" s="10"/>
      <c r="J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6:27" s="1" customFormat="1">
      <c r="F299" s="7"/>
      <c r="G299" s="8"/>
      <c r="H299" s="9"/>
      <c r="I299" s="10"/>
      <c r="J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6:27" s="1" customFormat="1">
      <c r="F300" s="7"/>
      <c r="G300" s="8"/>
      <c r="H300" s="9"/>
      <c r="I300" s="10"/>
      <c r="J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6:27" s="1" customFormat="1">
      <c r="F301" s="7"/>
      <c r="G301" s="8"/>
      <c r="H301" s="9"/>
      <c r="I301" s="10"/>
      <c r="J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6:27" s="1" customFormat="1">
      <c r="F302" s="7"/>
      <c r="G302" s="8"/>
      <c r="H302" s="9"/>
      <c r="I302" s="10"/>
      <c r="J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6:27" s="1" customFormat="1">
      <c r="F303" s="7"/>
      <c r="G303" s="8"/>
      <c r="H303" s="9"/>
      <c r="I303" s="10"/>
      <c r="J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6:27" s="1" customFormat="1">
      <c r="F304" s="7"/>
      <c r="G304" s="8"/>
      <c r="H304" s="9"/>
      <c r="I304" s="10"/>
      <c r="J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6:27" s="1" customFormat="1">
      <c r="F305" s="7"/>
      <c r="G305" s="8"/>
      <c r="H305" s="9"/>
      <c r="I305" s="10"/>
      <c r="J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6:27" s="1" customFormat="1">
      <c r="F306" s="7"/>
      <c r="G306" s="8"/>
      <c r="H306" s="9"/>
      <c r="I306" s="10"/>
      <c r="J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6:27" s="1" customFormat="1">
      <c r="F307" s="7"/>
      <c r="G307" s="8"/>
      <c r="H307" s="9"/>
      <c r="I307" s="10"/>
      <c r="J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6:27" s="1" customFormat="1">
      <c r="F308" s="7"/>
      <c r="G308" s="8"/>
      <c r="H308" s="9"/>
      <c r="I308" s="10"/>
      <c r="J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6:27" s="1" customFormat="1">
      <c r="F309" s="7"/>
      <c r="G309" s="8"/>
      <c r="H309" s="9"/>
      <c r="I309" s="10"/>
      <c r="J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6:27" s="1" customFormat="1">
      <c r="F310" s="7"/>
      <c r="G310" s="8"/>
      <c r="H310" s="9"/>
      <c r="I310" s="10"/>
      <c r="J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6:27" s="1" customFormat="1">
      <c r="F311" s="7"/>
      <c r="G311" s="8"/>
      <c r="H311" s="9"/>
      <c r="I311" s="10"/>
      <c r="J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6:27" s="1" customFormat="1">
      <c r="F312" s="7"/>
      <c r="G312" s="8"/>
      <c r="H312" s="9"/>
      <c r="I312" s="10"/>
      <c r="J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6:27" s="1" customFormat="1">
      <c r="F313" s="7"/>
      <c r="G313" s="8"/>
      <c r="H313" s="9"/>
      <c r="I313" s="10"/>
      <c r="J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6:27" s="1" customFormat="1">
      <c r="F314" s="7"/>
      <c r="G314" s="8"/>
      <c r="H314" s="9"/>
      <c r="I314" s="10"/>
      <c r="J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6:27" s="1" customFormat="1">
      <c r="F315" s="7"/>
      <c r="G315" s="8"/>
      <c r="H315" s="9"/>
      <c r="I315" s="10"/>
      <c r="J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6:27" s="1" customFormat="1">
      <c r="F316" s="7"/>
      <c r="G316" s="8"/>
      <c r="H316" s="9"/>
      <c r="I316" s="10"/>
      <c r="J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6:27" s="1" customFormat="1">
      <c r="F317" s="7"/>
      <c r="G317" s="8"/>
      <c r="H317" s="9"/>
      <c r="I317" s="10"/>
      <c r="J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6:27" s="1" customFormat="1">
      <c r="F318" s="7"/>
      <c r="G318" s="8"/>
      <c r="H318" s="9"/>
      <c r="I318" s="10"/>
      <c r="J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6:27" s="1" customFormat="1">
      <c r="F319" s="7"/>
      <c r="G319" s="8"/>
      <c r="H319" s="9"/>
      <c r="I319" s="10"/>
      <c r="J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6:27" s="1" customFormat="1">
      <c r="F320" s="7"/>
      <c r="G320" s="8"/>
      <c r="H320" s="9"/>
      <c r="I320" s="10"/>
      <c r="J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6:27" s="1" customFormat="1">
      <c r="F321" s="7"/>
      <c r="G321" s="8"/>
      <c r="H321" s="9"/>
      <c r="I321" s="10"/>
      <c r="J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6:27" s="1" customFormat="1">
      <c r="F322" s="7"/>
      <c r="G322" s="8"/>
      <c r="H322" s="9"/>
      <c r="I322" s="10"/>
      <c r="J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6:27" s="1" customFormat="1">
      <c r="F323" s="7"/>
      <c r="G323" s="8"/>
      <c r="H323" s="9"/>
      <c r="I323" s="10"/>
      <c r="J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6:27" s="1" customFormat="1">
      <c r="F324" s="7"/>
      <c r="G324" s="8"/>
      <c r="H324" s="9"/>
      <c r="I324" s="10"/>
      <c r="J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6:27" s="1" customFormat="1">
      <c r="F325" s="7"/>
      <c r="G325" s="8"/>
      <c r="H325" s="9"/>
      <c r="I325" s="10"/>
      <c r="J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6:27" s="1" customFormat="1">
      <c r="F326" s="7"/>
      <c r="G326" s="8"/>
      <c r="H326" s="9"/>
      <c r="I326" s="10"/>
      <c r="J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6:27" s="1" customFormat="1">
      <c r="F327" s="7"/>
      <c r="G327" s="8"/>
      <c r="H327" s="9"/>
      <c r="I327" s="10"/>
      <c r="J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6:27" s="1" customFormat="1">
      <c r="F328" s="7"/>
      <c r="G328" s="8"/>
      <c r="H328" s="9"/>
      <c r="I328" s="10"/>
      <c r="J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6:27" s="1" customFormat="1">
      <c r="F329" s="7"/>
      <c r="G329" s="8"/>
      <c r="H329" s="9"/>
      <c r="I329" s="10"/>
      <c r="J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6:27" s="1" customFormat="1">
      <c r="F330" s="7"/>
      <c r="G330" s="8"/>
      <c r="H330" s="9"/>
      <c r="I330" s="10"/>
      <c r="J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6:27" s="1" customFormat="1">
      <c r="F331" s="7"/>
      <c r="G331" s="8"/>
      <c r="H331" s="9"/>
      <c r="I331" s="10"/>
      <c r="J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6:27" s="1" customFormat="1">
      <c r="F332" s="7"/>
      <c r="G332" s="8"/>
      <c r="H332" s="9"/>
      <c r="I332" s="10"/>
      <c r="J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6:27" s="1" customFormat="1">
      <c r="F333" s="7"/>
      <c r="G333" s="8"/>
      <c r="H333" s="9"/>
      <c r="I333" s="10"/>
      <c r="J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6:27" s="1" customFormat="1">
      <c r="F334" s="7"/>
      <c r="G334" s="8"/>
      <c r="H334" s="9"/>
      <c r="I334" s="10"/>
      <c r="J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6:27" s="1" customFormat="1">
      <c r="F335" s="7"/>
      <c r="G335" s="8"/>
      <c r="H335" s="9"/>
      <c r="I335" s="10"/>
      <c r="J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6:27" s="1" customFormat="1">
      <c r="F336" s="7"/>
      <c r="G336" s="8"/>
      <c r="H336" s="9"/>
      <c r="I336" s="10"/>
      <c r="J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6:27" s="1" customFormat="1">
      <c r="F337" s="7"/>
      <c r="G337" s="8"/>
      <c r="H337" s="9"/>
      <c r="I337" s="10"/>
      <c r="J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6:27" s="1" customFormat="1">
      <c r="F338" s="7"/>
      <c r="G338" s="8"/>
      <c r="H338" s="9"/>
      <c r="I338" s="10"/>
      <c r="J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6:27" s="1" customFormat="1">
      <c r="F339" s="7"/>
      <c r="G339" s="8"/>
      <c r="H339" s="9"/>
      <c r="I339" s="10"/>
      <c r="J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6:27" s="1" customFormat="1">
      <c r="F340" s="7"/>
      <c r="G340" s="8"/>
      <c r="H340" s="9"/>
      <c r="I340" s="10"/>
      <c r="J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6:27" s="1" customFormat="1">
      <c r="F341" s="7"/>
      <c r="G341" s="8"/>
      <c r="H341" s="9"/>
      <c r="I341" s="10"/>
      <c r="J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6:27" s="1" customFormat="1">
      <c r="F342" s="7"/>
      <c r="G342" s="8"/>
      <c r="H342" s="9"/>
      <c r="I342" s="10"/>
      <c r="J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6:27" s="1" customFormat="1">
      <c r="F343" s="7"/>
      <c r="G343" s="8"/>
      <c r="H343" s="9"/>
      <c r="I343" s="10"/>
      <c r="J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6:27" s="1" customFormat="1">
      <c r="F344" s="7"/>
      <c r="G344" s="8"/>
      <c r="H344" s="9"/>
      <c r="I344" s="10"/>
      <c r="J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6:27" s="1" customFormat="1">
      <c r="F345" s="7"/>
      <c r="G345" s="8"/>
      <c r="H345" s="9"/>
      <c r="I345" s="10"/>
      <c r="J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6:27" s="1" customFormat="1">
      <c r="F346" s="7"/>
      <c r="G346" s="8"/>
      <c r="H346" s="9"/>
      <c r="I346" s="10"/>
      <c r="J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6:27" s="1" customFormat="1">
      <c r="F347" s="7"/>
      <c r="G347" s="8"/>
      <c r="H347" s="9"/>
      <c r="I347" s="10"/>
      <c r="J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6:27" s="1" customFormat="1">
      <c r="F348" s="7"/>
      <c r="G348" s="8"/>
      <c r="H348" s="9"/>
      <c r="I348" s="10"/>
      <c r="J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6:27" s="1" customFormat="1">
      <c r="F349" s="7"/>
      <c r="G349" s="8"/>
      <c r="H349" s="9"/>
      <c r="I349" s="10"/>
      <c r="J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6:27" s="1" customFormat="1">
      <c r="F350" s="7"/>
      <c r="G350" s="8"/>
      <c r="H350" s="9"/>
      <c r="I350" s="10"/>
      <c r="J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6:27" s="1" customFormat="1">
      <c r="F351" s="7"/>
      <c r="G351" s="8"/>
      <c r="H351" s="9"/>
      <c r="I351" s="10"/>
      <c r="J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6:27" s="1" customFormat="1">
      <c r="F352" s="7"/>
      <c r="G352" s="8"/>
      <c r="H352" s="9"/>
      <c r="I352" s="10"/>
      <c r="J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6:27" s="1" customFormat="1">
      <c r="F353" s="7"/>
      <c r="G353" s="8"/>
      <c r="H353" s="9"/>
      <c r="I353" s="10"/>
      <c r="J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6:27" s="1" customFormat="1">
      <c r="F354" s="7"/>
      <c r="G354" s="8"/>
      <c r="H354" s="9"/>
      <c r="I354" s="10"/>
      <c r="J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6:27" s="1" customFormat="1">
      <c r="F355" s="7"/>
      <c r="G355" s="8"/>
      <c r="H355" s="9"/>
      <c r="I355" s="10"/>
      <c r="J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6:27" s="1" customFormat="1">
      <c r="F356" s="7"/>
      <c r="G356" s="8"/>
      <c r="H356" s="9"/>
      <c r="I356" s="10"/>
      <c r="J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6:27" s="1" customFormat="1">
      <c r="F357" s="7"/>
      <c r="G357" s="8"/>
      <c r="H357" s="9"/>
      <c r="I357" s="10"/>
      <c r="J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6:27" s="1" customFormat="1">
      <c r="F358" s="7"/>
      <c r="G358" s="8"/>
      <c r="H358" s="9"/>
      <c r="I358" s="10"/>
      <c r="J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6:27" s="1" customFormat="1">
      <c r="F359" s="7"/>
      <c r="G359" s="8"/>
      <c r="H359" s="9"/>
      <c r="I359" s="10"/>
      <c r="J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6:27" s="1" customFormat="1">
      <c r="F360" s="7"/>
      <c r="G360" s="8"/>
      <c r="H360" s="9"/>
      <c r="I360" s="10"/>
      <c r="J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6:27" s="1" customFormat="1">
      <c r="F361" s="7"/>
      <c r="G361" s="8"/>
      <c r="H361" s="9"/>
      <c r="I361" s="10"/>
      <c r="J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6:27" s="1" customFormat="1">
      <c r="F362" s="7"/>
      <c r="G362" s="8"/>
      <c r="H362" s="9"/>
      <c r="I362" s="10"/>
      <c r="J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6:27" s="1" customFormat="1">
      <c r="F363" s="7"/>
      <c r="G363" s="8"/>
      <c r="H363" s="9"/>
      <c r="I363" s="10"/>
      <c r="J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6:27" s="1" customFormat="1">
      <c r="F364" s="7"/>
      <c r="G364" s="8"/>
      <c r="H364" s="9"/>
      <c r="I364" s="10"/>
      <c r="J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6:27" s="1" customFormat="1">
      <c r="F365" s="7"/>
      <c r="G365" s="8"/>
      <c r="H365" s="9"/>
      <c r="I365" s="10"/>
      <c r="J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6:27" s="1" customFormat="1">
      <c r="F366" s="7"/>
      <c r="G366" s="8"/>
      <c r="H366" s="9"/>
      <c r="I366" s="10"/>
      <c r="J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6:27" s="1" customFormat="1">
      <c r="F367" s="7"/>
      <c r="G367" s="8"/>
      <c r="H367" s="9"/>
      <c r="I367" s="10"/>
      <c r="J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6:27" s="1" customFormat="1">
      <c r="F368" s="7"/>
      <c r="G368" s="8"/>
      <c r="H368" s="9"/>
      <c r="I368" s="10"/>
      <c r="J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6:27" s="1" customFormat="1">
      <c r="F369" s="7"/>
      <c r="G369" s="8"/>
      <c r="H369" s="9"/>
      <c r="I369" s="10"/>
      <c r="J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6:27" s="1" customFormat="1">
      <c r="F370" s="7"/>
      <c r="G370" s="8"/>
      <c r="H370" s="9"/>
      <c r="I370" s="10"/>
      <c r="J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6:27" s="1" customFormat="1">
      <c r="F371" s="7"/>
      <c r="G371" s="8"/>
      <c r="H371" s="9"/>
      <c r="I371" s="10"/>
      <c r="J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6:27" s="1" customFormat="1">
      <c r="F372" s="7"/>
      <c r="G372" s="8"/>
      <c r="H372" s="9"/>
      <c r="I372" s="10"/>
      <c r="J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6:27" s="1" customFormat="1">
      <c r="F373" s="7"/>
      <c r="G373" s="8"/>
      <c r="H373" s="9"/>
      <c r="I373" s="10"/>
      <c r="J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6:27" s="1" customFormat="1">
      <c r="F374" s="7"/>
      <c r="G374" s="8"/>
      <c r="H374" s="9"/>
      <c r="I374" s="10"/>
      <c r="J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6:27" s="1" customFormat="1">
      <c r="F375" s="7"/>
      <c r="G375" s="8"/>
      <c r="H375" s="9"/>
      <c r="I375" s="10"/>
      <c r="J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6:27" s="1" customFormat="1">
      <c r="F376" s="7"/>
      <c r="G376" s="8"/>
      <c r="H376" s="9"/>
      <c r="I376" s="10"/>
      <c r="J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6:27" s="1" customFormat="1">
      <c r="F377" s="7"/>
      <c r="G377" s="8"/>
      <c r="H377" s="9"/>
      <c r="I377" s="10"/>
      <c r="J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6:27" s="1" customFormat="1">
      <c r="F378" s="7"/>
      <c r="G378" s="8"/>
      <c r="H378" s="9"/>
      <c r="I378" s="10"/>
      <c r="J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6:27" s="1" customFormat="1">
      <c r="F379" s="7"/>
      <c r="G379" s="8"/>
      <c r="H379" s="9"/>
      <c r="I379" s="10"/>
      <c r="J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6:27" s="1" customFormat="1">
      <c r="F380" s="7"/>
      <c r="G380" s="8"/>
      <c r="H380" s="9"/>
      <c r="I380" s="10"/>
      <c r="J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6:27" s="1" customFormat="1">
      <c r="F381" s="7"/>
      <c r="G381" s="8"/>
      <c r="H381" s="9"/>
      <c r="I381" s="10"/>
      <c r="J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6:27" s="1" customFormat="1">
      <c r="F382" s="7"/>
      <c r="G382" s="8"/>
      <c r="H382" s="9"/>
      <c r="I382" s="10"/>
      <c r="J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6:27" s="1" customFormat="1">
      <c r="F383" s="7"/>
      <c r="G383" s="8"/>
      <c r="H383" s="9"/>
      <c r="I383" s="10"/>
      <c r="J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6:27" s="1" customFormat="1">
      <c r="F384" s="7"/>
      <c r="G384" s="8"/>
      <c r="H384" s="9"/>
      <c r="I384" s="10"/>
      <c r="J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6:27" s="1" customFormat="1">
      <c r="F385" s="7"/>
      <c r="G385" s="8"/>
      <c r="H385" s="9"/>
      <c r="I385" s="10"/>
      <c r="J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6:27" s="1" customFormat="1">
      <c r="F386" s="7"/>
      <c r="G386" s="8"/>
      <c r="H386" s="9"/>
      <c r="I386" s="10"/>
      <c r="J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6:27" s="1" customFormat="1">
      <c r="F387" s="7"/>
      <c r="G387" s="8"/>
      <c r="H387" s="9"/>
      <c r="I387" s="10"/>
      <c r="J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6:27" s="1" customFormat="1">
      <c r="F388" s="7"/>
      <c r="G388" s="8"/>
      <c r="H388" s="9"/>
      <c r="I388" s="10"/>
      <c r="J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6:27" s="1" customFormat="1">
      <c r="F389" s="7"/>
      <c r="G389" s="8"/>
      <c r="H389" s="9"/>
      <c r="I389" s="10"/>
      <c r="J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6:27" s="1" customFormat="1">
      <c r="F390" s="7"/>
      <c r="G390" s="8"/>
      <c r="H390" s="9"/>
      <c r="I390" s="10"/>
      <c r="J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6:27" s="1" customFormat="1">
      <c r="F391" s="7"/>
      <c r="G391" s="8"/>
      <c r="H391" s="9"/>
      <c r="I391" s="10"/>
      <c r="J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6:27" s="1" customFormat="1">
      <c r="F392" s="7"/>
      <c r="G392" s="8"/>
      <c r="H392" s="9"/>
      <c r="I392" s="10"/>
      <c r="J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6:27" s="1" customFormat="1">
      <c r="F393" s="7"/>
      <c r="G393" s="8"/>
      <c r="H393" s="9"/>
      <c r="I393" s="10"/>
      <c r="J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6:27" s="1" customFormat="1">
      <c r="F394" s="7"/>
      <c r="G394" s="8"/>
      <c r="H394" s="9"/>
      <c r="I394" s="10"/>
      <c r="J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6:27" s="1" customFormat="1">
      <c r="F395" s="7"/>
      <c r="G395" s="8"/>
      <c r="H395" s="9"/>
      <c r="I395" s="10"/>
      <c r="J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6:27" s="1" customFormat="1">
      <c r="F396" s="7"/>
      <c r="G396" s="8"/>
      <c r="H396" s="9"/>
      <c r="I396" s="10"/>
      <c r="J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6:27" s="1" customFormat="1">
      <c r="F397" s="7"/>
      <c r="G397" s="8"/>
      <c r="H397" s="9"/>
      <c r="I397" s="10"/>
      <c r="J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6:27" s="1" customFormat="1">
      <c r="F398" s="7"/>
      <c r="G398" s="8"/>
      <c r="H398" s="9"/>
      <c r="I398" s="10"/>
      <c r="J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6:27" s="1" customFormat="1">
      <c r="F399" s="7"/>
      <c r="G399" s="8"/>
      <c r="H399" s="9"/>
      <c r="I399" s="10"/>
      <c r="J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6:27" s="1" customFormat="1">
      <c r="F400" s="7"/>
      <c r="G400" s="8"/>
      <c r="H400" s="9"/>
      <c r="I400" s="10"/>
      <c r="J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6:27" s="1" customFormat="1">
      <c r="F401" s="7"/>
      <c r="G401" s="8"/>
      <c r="H401" s="9"/>
      <c r="I401" s="10"/>
      <c r="J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6:27" s="1" customFormat="1">
      <c r="F402" s="7"/>
      <c r="G402" s="8"/>
      <c r="H402" s="9"/>
      <c r="I402" s="10"/>
      <c r="J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6:27" s="1" customFormat="1">
      <c r="F403" s="7"/>
      <c r="G403" s="8"/>
      <c r="H403" s="9"/>
      <c r="I403" s="10"/>
      <c r="J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6:27" s="1" customFormat="1">
      <c r="F404" s="7"/>
      <c r="G404" s="8"/>
      <c r="H404" s="9"/>
      <c r="I404" s="10"/>
      <c r="J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6:27" s="1" customFormat="1">
      <c r="F405" s="7"/>
      <c r="G405" s="8"/>
      <c r="H405" s="9"/>
      <c r="I405" s="10"/>
      <c r="J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6:27" s="1" customFormat="1">
      <c r="F406" s="7"/>
      <c r="G406" s="8"/>
      <c r="H406" s="9"/>
      <c r="I406" s="10"/>
      <c r="J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6:27" s="1" customFormat="1">
      <c r="F407" s="7"/>
      <c r="G407" s="8"/>
      <c r="H407" s="9"/>
      <c r="I407" s="10"/>
      <c r="J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6:27" s="1" customFormat="1">
      <c r="F408" s="7"/>
      <c r="G408" s="8"/>
      <c r="H408" s="9"/>
      <c r="I408" s="10"/>
      <c r="J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6:27" s="1" customFormat="1">
      <c r="F409" s="7"/>
      <c r="G409" s="8"/>
      <c r="H409" s="9"/>
      <c r="I409" s="10"/>
      <c r="J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6:27" s="1" customFormat="1">
      <c r="F410" s="7"/>
      <c r="G410" s="8"/>
      <c r="H410" s="9"/>
      <c r="I410" s="10"/>
      <c r="J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6:27" s="1" customFormat="1">
      <c r="F411" s="7"/>
      <c r="G411" s="8"/>
      <c r="H411" s="9"/>
      <c r="I411" s="10"/>
      <c r="J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6:27" s="1" customFormat="1">
      <c r="F412" s="7"/>
      <c r="G412" s="8"/>
      <c r="H412" s="9"/>
      <c r="I412" s="10"/>
      <c r="J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6:27" s="1" customFormat="1">
      <c r="F413" s="7"/>
      <c r="G413" s="8"/>
      <c r="H413" s="9"/>
      <c r="I413" s="10"/>
      <c r="J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6:27" s="1" customFormat="1">
      <c r="F414" s="7"/>
      <c r="G414" s="8"/>
      <c r="H414" s="9"/>
      <c r="I414" s="10"/>
      <c r="J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6:27" s="1" customFormat="1">
      <c r="F415" s="7"/>
      <c r="G415" s="8"/>
      <c r="H415" s="9"/>
      <c r="I415" s="10"/>
      <c r="J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6:27" s="1" customFormat="1">
      <c r="F416" s="7"/>
      <c r="G416" s="8"/>
      <c r="H416" s="9"/>
      <c r="I416" s="10"/>
      <c r="J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6:27" s="1" customFormat="1">
      <c r="F417" s="7"/>
      <c r="G417" s="8"/>
      <c r="H417" s="9"/>
      <c r="I417" s="10"/>
      <c r="J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6:27" s="1" customFormat="1">
      <c r="F418" s="7"/>
      <c r="G418" s="8"/>
      <c r="H418" s="9"/>
      <c r="I418" s="10"/>
      <c r="J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6:27" s="1" customFormat="1">
      <c r="F419" s="7"/>
      <c r="G419" s="8"/>
      <c r="H419" s="9"/>
      <c r="I419" s="10"/>
      <c r="J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6:27" s="1" customFormat="1">
      <c r="F420" s="7"/>
      <c r="G420" s="8"/>
      <c r="H420" s="9"/>
      <c r="I420" s="10"/>
      <c r="J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6:27" s="1" customFormat="1">
      <c r="F421" s="7"/>
      <c r="G421" s="8"/>
      <c r="H421" s="9"/>
      <c r="I421" s="10"/>
      <c r="J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6:27" s="1" customFormat="1">
      <c r="F422" s="7"/>
      <c r="G422" s="8"/>
      <c r="H422" s="9"/>
      <c r="I422" s="10"/>
      <c r="J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6:27" s="1" customFormat="1">
      <c r="F423" s="7"/>
      <c r="G423" s="8"/>
      <c r="H423" s="9"/>
      <c r="I423" s="10"/>
      <c r="J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6:27" s="1" customFormat="1">
      <c r="F424" s="7"/>
      <c r="G424" s="8"/>
      <c r="H424" s="9"/>
      <c r="I424" s="10"/>
      <c r="J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6:27" s="1" customFormat="1">
      <c r="F425" s="7"/>
      <c r="G425" s="8"/>
      <c r="H425" s="9"/>
      <c r="I425" s="10"/>
      <c r="J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6:27" s="1" customFormat="1">
      <c r="F426" s="7"/>
      <c r="G426" s="8"/>
      <c r="H426" s="9"/>
      <c r="I426" s="10"/>
      <c r="J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6:27" s="1" customFormat="1">
      <c r="F427" s="7"/>
      <c r="G427" s="8"/>
      <c r="H427" s="9"/>
      <c r="I427" s="10"/>
      <c r="J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6:27" s="1" customFormat="1">
      <c r="F428" s="7"/>
      <c r="G428" s="8"/>
      <c r="H428" s="9"/>
      <c r="I428" s="10"/>
      <c r="J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6:27" s="1" customFormat="1">
      <c r="F429" s="7"/>
      <c r="G429" s="8"/>
      <c r="H429" s="9"/>
      <c r="I429" s="10"/>
      <c r="J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6:27" s="1" customFormat="1">
      <c r="F430" s="7"/>
      <c r="G430" s="8"/>
      <c r="H430" s="9"/>
      <c r="I430" s="10"/>
      <c r="J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6:27" s="1" customFormat="1">
      <c r="F431" s="7"/>
      <c r="G431" s="8"/>
      <c r="H431" s="9"/>
      <c r="I431" s="10"/>
      <c r="J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6:27" s="1" customFormat="1">
      <c r="F432" s="7"/>
      <c r="G432" s="8"/>
      <c r="H432" s="9"/>
      <c r="I432" s="10"/>
      <c r="J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6:27" s="1" customFormat="1">
      <c r="F433" s="7"/>
      <c r="G433" s="8"/>
      <c r="H433" s="9"/>
      <c r="I433" s="10"/>
      <c r="J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6:27" s="1" customFormat="1">
      <c r="F434" s="7"/>
      <c r="G434" s="8"/>
      <c r="H434" s="9"/>
      <c r="I434" s="10"/>
      <c r="J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6:27" s="1" customFormat="1">
      <c r="F435" s="7"/>
      <c r="G435" s="8"/>
      <c r="H435" s="9"/>
      <c r="I435" s="10"/>
      <c r="J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6:27" s="1" customFormat="1">
      <c r="F436" s="7"/>
      <c r="G436" s="8"/>
      <c r="H436" s="9"/>
      <c r="I436" s="10"/>
      <c r="J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6:27" s="1" customFormat="1">
      <c r="F437" s="7"/>
      <c r="G437" s="8"/>
      <c r="H437" s="9"/>
      <c r="I437" s="10"/>
      <c r="J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6:27" s="1" customFormat="1">
      <c r="F438" s="7"/>
      <c r="G438" s="8"/>
      <c r="H438" s="9"/>
      <c r="I438" s="10"/>
      <c r="J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6:27" s="1" customFormat="1">
      <c r="F439" s="7"/>
      <c r="G439" s="8"/>
      <c r="H439" s="9"/>
      <c r="I439" s="10"/>
      <c r="J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6:27" s="1" customFormat="1">
      <c r="F440" s="7"/>
      <c r="G440" s="8"/>
      <c r="H440" s="9"/>
      <c r="I440" s="10"/>
      <c r="J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6:27" s="1" customFormat="1">
      <c r="F441" s="7"/>
      <c r="G441" s="8"/>
      <c r="H441" s="9"/>
      <c r="I441" s="10"/>
      <c r="J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6:27" s="1" customFormat="1">
      <c r="F442" s="7"/>
      <c r="G442" s="8"/>
      <c r="H442" s="9"/>
      <c r="I442" s="10"/>
      <c r="J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6:27" s="1" customFormat="1">
      <c r="F443" s="7"/>
      <c r="G443" s="8"/>
      <c r="H443" s="9"/>
      <c r="I443" s="10"/>
      <c r="J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6:27" s="1" customFormat="1">
      <c r="F444" s="7"/>
      <c r="G444" s="8"/>
      <c r="H444" s="9"/>
      <c r="I444" s="10"/>
      <c r="J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6:27" s="1" customFormat="1">
      <c r="F445" s="7"/>
      <c r="G445" s="8"/>
      <c r="H445" s="9"/>
      <c r="I445" s="10"/>
      <c r="J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6:27" s="1" customFormat="1">
      <c r="F446" s="7"/>
      <c r="G446" s="8"/>
      <c r="H446" s="9"/>
      <c r="I446" s="10"/>
      <c r="J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6:27" s="1" customFormat="1">
      <c r="F447" s="7"/>
      <c r="G447" s="8"/>
      <c r="H447" s="9"/>
      <c r="I447" s="10"/>
      <c r="J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6:27" s="1" customFormat="1">
      <c r="F448" s="7"/>
      <c r="G448" s="8"/>
      <c r="H448" s="9"/>
      <c r="I448" s="10"/>
      <c r="J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6:27" s="1" customFormat="1">
      <c r="F449" s="7"/>
      <c r="G449" s="8"/>
      <c r="H449" s="9"/>
      <c r="I449" s="10"/>
      <c r="J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6:27" s="1" customFormat="1">
      <c r="F450" s="7"/>
      <c r="G450" s="8"/>
      <c r="H450" s="9"/>
      <c r="I450" s="10"/>
      <c r="J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6:27" s="1" customFormat="1">
      <c r="F451" s="7"/>
      <c r="G451" s="8"/>
      <c r="H451" s="9"/>
      <c r="I451" s="10"/>
      <c r="J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6:27" s="1" customFormat="1">
      <c r="F452" s="7"/>
      <c r="G452" s="8"/>
      <c r="H452" s="9"/>
      <c r="I452" s="10"/>
      <c r="J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6:27" s="1" customFormat="1">
      <c r="F453" s="7"/>
      <c r="G453" s="8"/>
      <c r="H453" s="9"/>
      <c r="I453" s="10"/>
      <c r="J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6:27" s="1" customFormat="1">
      <c r="F454" s="7"/>
      <c r="G454" s="8"/>
      <c r="H454" s="9"/>
      <c r="I454" s="10"/>
      <c r="J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6:27" s="1" customFormat="1">
      <c r="F455" s="7"/>
      <c r="G455" s="8"/>
      <c r="H455" s="9"/>
      <c r="I455" s="10"/>
      <c r="J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6:27" s="1" customFormat="1">
      <c r="F456" s="7"/>
      <c r="G456" s="8"/>
      <c r="H456" s="9"/>
      <c r="I456" s="10"/>
      <c r="J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6:27" s="1" customFormat="1">
      <c r="F457" s="7"/>
      <c r="G457" s="8"/>
      <c r="H457" s="9"/>
      <c r="I457" s="10"/>
      <c r="J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6:27" s="1" customFormat="1">
      <c r="F458" s="7"/>
      <c r="G458" s="8"/>
      <c r="H458" s="9"/>
      <c r="I458" s="10"/>
      <c r="J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6:27" s="1" customFormat="1">
      <c r="F459" s="7"/>
      <c r="G459" s="8"/>
      <c r="H459" s="9"/>
      <c r="I459" s="10"/>
      <c r="J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6:27" s="1" customFormat="1">
      <c r="F460" s="7"/>
      <c r="G460" s="8"/>
      <c r="H460" s="9"/>
      <c r="I460" s="10"/>
      <c r="J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6:27" s="1" customFormat="1">
      <c r="F461" s="7"/>
      <c r="G461" s="8"/>
      <c r="H461" s="9"/>
      <c r="I461" s="10"/>
      <c r="J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6:27" s="1" customFormat="1">
      <c r="F462" s="7"/>
      <c r="G462" s="8"/>
      <c r="H462" s="9"/>
      <c r="I462" s="10"/>
      <c r="J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6:27" s="1" customFormat="1">
      <c r="F463" s="7"/>
      <c r="G463" s="8"/>
      <c r="H463" s="9"/>
      <c r="I463" s="10"/>
      <c r="J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6:27" s="1" customFormat="1">
      <c r="F464" s="7"/>
      <c r="G464" s="8"/>
      <c r="H464" s="9"/>
      <c r="I464" s="10"/>
      <c r="J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6:27" s="1" customFormat="1">
      <c r="F465" s="7"/>
      <c r="G465" s="8"/>
      <c r="H465" s="9"/>
      <c r="I465" s="10"/>
      <c r="J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6:27" s="1" customFormat="1">
      <c r="F466" s="7"/>
      <c r="G466" s="8"/>
      <c r="H466" s="9"/>
      <c r="I466" s="10"/>
      <c r="J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6:27" s="1" customFormat="1">
      <c r="F467" s="7"/>
      <c r="G467" s="8"/>
      <c r="H467" s="9"/>
      <c r="I467" s="10"/>
      <c r="J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6:27" s="1" customFormat="1">
      <c r="F468" s="7"/>
      <c r="G468" s="8"/>
      <c r="H468" s="9"/>
      <c r="I468" s="10"/>
      <c r="J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6:27" s="1" customFormat="1">
      <c r="F469" s="7"/>
      <c r="G469" s="8"/>
      <c r="H469" s="9"/>
      <c r="I469" s="10"/>
      <c r="J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6:27" s="1" customFormat="1">
      <c r="F470" s="7"/>
      <c r="G470" s="8"/>
      <c r="H470" s="9"/>
      <c r="I470" s="10"/>
      <c r="J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6:27" s="1" customFormat="1">
      <c r="F471" s="7"/>
      <c r="G471" s="8"/>
      <c r="H471" s="9"/>
      <c r="I471" s="10"/>
      <c r="J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6:27" s="1" customFormat="1">
      <c r="F472" s="7"/>
      <c r="G472" s="8"/>
      <c r="H472" s="9"/>
      <c r="I472" s="10"/>
      <c r="J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6:27" s="1" customFormat="1">
      <c r="F473" s="7"/>
      <c r="G473" s="8"/>
      <c r="H473" s="9"/>
      <c r="I473" s="10"/>
      <c r="J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6:27" s="1" customFormat="1">
      <c r="F474" s="7"/>
      <c r="G474" s="8"/>
      <c r="H474" s="9"/>
      <c r="I474" s="10"/>
      <c r="J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6:27" s="1" customFormat="1">
      <c r="F475" s="7"/>
      <c r="G475" s="8"/>
      <c r="H475" s="9"/>
      <c r="I475" s="10"/>
      <c r="J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6:27" s="1" customFormat="1">
      <c r="F476" s="7"/>
      <c r="G476" s="8"/>
      <c r="H476" s="9"/>
      <c r="I476" s="10"/>
      <c r="J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6:27" s="1" customFormat="1">
      <c r="F477" s="7"/>
      <c r="G477" s="8"/>
      <c r="H477" s="9"/>
      <c r="I477" s="10"/>
      <c r="J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6:27" s="1" customFormat="1">
      <c r="F478" s="7"/>
      <c r="G478" s="8"/>
      <c r="H478" s="9"/>
      <c r="I478" s="10"/>
      <c r="J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6:27" s="1" customFormat="1">
      <c r="F479" s="7"/>
      <c r="G479" s="8"/>
      <c r="H479" s="9"/>
      <c r="I479" s="10"/>
      <c r="J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6:27" s="1" customFormat="1">
      <c r="F480" s="7"/>
      <c r="G480" s="8"/>
      <c r="H480" s="9"/>
      <c r="I480" s="10"/>
      <c r="J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6:27" s="1" customFormat="1">
      <c r="F481" s="7"/>
      <c r="G481" s="8"/>
      <c r="H481" s="9"/>
      <c r="I481" s="10"/>
      <c r="J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6:27" s="1" customFormat="1">
      <c r="F482" s="7"/>
      <c r="G482" s="8"/>
      <c r="H482" s="9"/>
      <c r="I482" s="10"/>
      <c r="J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6:27" s="1" customFormat="1">
      <c r="F483" s="7"/>
      <c r="G483" s="8"/>
      <c r="H483" s="9"/>
      <c r="I483" s="10"/>
      <c r="J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6:27" s="1" customFormat="1">
      <c r="F484" s="7"/>
      <c r="G484" s="8"/>
      <c r="H484" s="9"/>
      <c r="I484" s="10"/>
      <c r="J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6:27" s="1" customFormat="1">
      <c r="F485" s="7"/>
      <c r="G485" s="8"/>
      <c r="H485" s="9"/>
      <c r="I485" s="10"/>
      <c r="J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6:27" s="1" customFormat="1">
      <c r="F486" s="7"/>
      <c r="G486" s="8"/>
      <c r="H486" s="9"/>
      <c r="I486" s="10"/>
      <c r="J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6:27" s="1" customFormat="1">
      <c r="F487" s="7"/>
      <c r="G487" s="8"/>
      <c r="H487" s="9"/>
      <c r="I487" s="10"/>
      <c r="J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6:27" s="1" customFormat="1">
      <c r="F488" s="7"/>
      <c r="G488" s="8"/>
      <c r="H488" s="9"/>
      <c r="I488" s="10"/>
      <c r="J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6:27" s="1" customFormat="1">
      <c r="F489" s="7"/>
      <c r="G489" s="8"/>
      <c r="H489" s="9"/>
      <c r="I489" s="10"/>
      <c r="J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6:27" s="1" customFormat="1">
      <c r="F490" s="7"/>
      <c r="G490" s="8"/>
      <c r="H490" s="9"/>
      <c r="I490" s="10"/>
      <c r="J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6:27" s="1" customFormat="1">
      <c r="F491" s="7"/>
      <c r="G491" s="8"/>
      <c r="H491" s="9"/>
      <c r="I491" s="10"/>
      <c r="J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6:27" s="1" customFormat="1">
      <c r="F492" s="7"/>
      <c r="G492" s="8"/>
      <c r="H492" s="9"/>
      <c r="I492" s="10"/>
      <c r="J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6:27" s="1" customFormat="1">
      <c r="F493" s="7"/>
      <c r="G493" s="8"/>
      <c r="H493" s="9"/>
      <c r="I493" s="10"/>
      <c r="J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6:27" s="1" customFormat="1">
      <c r="F494" s="7"/>
      <c r="G494" s="8"/>
      <c r="H494" s="9"/>
      <c r="I494" s="10"/>
      <c r="J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6:27" s="1" customFormat="1">
      <c r="F495" s="7"/>
      <c r="G495" s="8"/>
      <c r="H495" s="9"/>
      <c r="I495" s="10"/>
      <c r="J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6:27" s="1" customFormat="1">
      <c r="F496" s="7"/>
      <c r="G496" s="8"/>
      <c r="H496" s="9"/>
      <c r="I496" s="10"/>
      <c r="J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6:27" s="1" customFormat="1">
      <c r="F497" s="7"/>
      <c r="G497" s="8"/>
      <c r="H497" s="9"/>
      <c r="I497" s="10"/>
      <c r="J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6:27" s="1" customFormat="1">
      <c r="F498" s="7"/>
      <c r="G498" s="8"/>
      <c r="H498" s="9"/>
      <c r="I498" s="10"/>
      <c r="J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6:27" s="1" customFormat="1">
      <c r="F499" s="7"/>
      <c r="G499" s="8"/>
      <c r="H499" s="9"/>
      <c r="I499" s="10"/>
      <c r="J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6:27" s="1" customFormat="1">
      <c r="F500" s="7"/>
      <c r="G500" s="8"/>
      <c r="H500" s="9"/>
      <c r="I500" s="10"/>
      <c r="J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6:27" s="1" customFormat="1">
      <c r="F501" s="7"/>
      <c r="G501" s="8"/>
      <c r="H501" s="9"/>
      <c r="I501" s="10"/>
      <c r="J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6:27" s="1" customFormat="1">
      <c r="F502" s="7"/>
      <c r="G502" s="8"/>
      <c r="H502" s="9"/>
      <c r="I502" s="10"/>
      <c r="J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6:27" s="1" customFormat="1">
      <c r="F503" s="7"/>
      <c r="G503" s="8"/>
      <c r="H503" s="9"/>
      <c r="I503" s="10"/>
      <c r="J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6:27" s="1" customFormat="1">
      <c r="F504" s="7"/>
      <c r="G504" s="8"/>
      <c r="H504" s="9"/>
      <c r="I504" s="10"/>
      <c r="J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6:27" s="1" customFormat="1">
      <c r="F505" s="7"/>
      <c r="G505" s="8"/>
      <c r="H505" s="9"/>
      <c r="I505" s="10"/>
      <c r="J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6:27" s="1" customFormat="1">
      <c r="F506" s="7"/>
      <c r="G506" s="8"/>
      <c r="H506" s="9"/>
      <c r="I506" s="10"/>
      <c r="J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6:27" s="1" customFormat="1">
      <c r="F507" s="7"/>
      <c r="G507" s="8"/>
      <c r="H507" s="9"/>
      <c r="I507" s="10"/>
      <c r="J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6:27" s="1" customFormat="1">
      <c r="F508" s="7"/>
      <c r="G508" s="8"/>
      <c r="H508" s="9"/>
      <c r="I508" s="10"/>
      <c r="J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6:27" s="1" customFormat="1">
      <c r="F509" s="7"/>
      <c r="G509" s="8"/>
      <c r="H509" s="9"/>
      <c r="I509" s="10"/>
      <c r="J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6:27" s="1" customFormat="1">
      <c r="F510" s="7"/>
      <c r="G510" s="8"/>
      <c r="H510" s="9"/>
      <c r="I510" s="10"/>
      <c r="J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6:27" s="1" customFormat="1">
      <c r="F511" s="7"/>
      <c r="G511" s="8"/>
      <c r="H511" s="9"/>
      <c r="I511" s="10"/>
      <c r="J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6:27" s="1" customFormat="1">
      <c r="F512" s="7"/>
      <c r="G512" s="8"/>
      <c r="H512" s="9"/>
      <c r="I512" s="10"/>
      <c r="J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6:27" s="1" customFormat="1">
      <c r="F513" s="7"/>
      <c r="G513" s="8"/>
      <c r="H513" s="9"/>
      <c r="I513" s="10"/>
      <c r="J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6:27" s="1" customFormat="1">
      <c r="F514" s="7"/>
      <c r="G514" s="8"/>
      <c r="H514" s="9"/>
      <c r="I514" s="10"/>
      <c r="J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6:27" s="1" customFormat="1">
      <c r="F515" s="7"/>
      <c r="G515" s="8"/>
      <c r="H515" s="9"/>
      <c r="I515" s="10"/>
      <c r="J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6:27" s="1" customFormat="1">
      <c r="F516" s="7"/>
      <c r="G516" s="8"/>
      <c r="H516" s="9"/>
      <c r="I516" s="10"/>
      <c r="J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6:27" s="1" customFormat="1">
      <c r="F517" s="7"/>
      <c r="G517" s="8"/>
      <c r="H517" s="9"/>
      <c r="I517" s="10"/>
      <c r="J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6:27" s="1" customFormat="1">
      <c r="F518" s="7"/>
      <c r="G518" s="8"/>
      <c r="H518" s="9"/>
      <c r="I518" s="10"/>
      <c r="J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6:27" s="1" customFormat="1">
      <c r="F519" s="7"/>
      <c r="G519" s="8"/>
      <c r="H519" s="9"/>
      <c r="I519" s="10"/>
      <c r="J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6:27" s="1" customFormat="1">
      <c r="F520" s="7"/>
      <c r="G520" s="8"/>
      <c r="H520" s="9"/>
      <c r="I520" s="10"/>
      <c r="J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6:27" s="1" customFormat="1">
      <c r="F521" s="7"/>
      <c r="G521" s="8"/>
      <c r="H521" s="9"/>
      <c r="I521" s="10"/>
      <c r="J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6:27" s="1" customFormat="1">
      <c r="F522" s="7"/>
      <c r="G522" s="8"/>
      <c r="H522" s="9"/>
      <c r="I522" s="10"/>
      <c r="J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6:27" s="1" customFormat="1">
      <c r="F523" s="7"/>
      <c r="G523" s="8"/>
      <c r="H523" s="9"/>
      <c r="I523" s="10"/>
      <c r="J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6:27" s="1" customFormat="1">
      <c r="F524" s="7"/>
      <c r="G524" s="8"/>
      <c r="H524" s="9"/>
      <c r="I524" s="10"/>
      <c r="J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6:27" s="1" customFormat="1">
      <c r="F525" s="7"/>
      <c r="G525" s="8"/>
      <c r="H525" s="9"/>
      <c r="I525" s="10"/>
      <c r="J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6:27" s="1" customFormat="1">
      <c r="F526" s="7"/>
      <c r="G526" s="8"/>
      <c r="H526" s="9"/>
      <c r="I526" s="10"/>
      <c r="J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6:27" s="1" customFormat="1">
      <c r="F527" s="7"/>
      <c r="G527" s="8"/>
      <c r="H527" s="9"/>
      <c r="I527" s="10"/>
      <c r="J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6:27" s="1" customFormat="1">
      <c r="F528" s="7"/>
      <c r="G528" s="8"/>
      <c r="H528" s="9"/>
      <c r="I528" s="10"/>
      <c r="J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6:27" s="1" customFormat="1">
      <c r="F529" s="7"/>
      <c r="G529" s="8"/>
      <c r="H529" s="9"/>
      <c r="I529" s="10"/>
      <c r="J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6:27" s="1" customFormat="1">
      <c r="F530" s="7"/>
      <c r="G530" s="8"/>
      <c r="H530" s="9"/>
      <c r="I530" s="10"/>
      <c r="J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6:27" s="1" customFormat="1">
      <c r="F531" s="7"/>
      <c r="G531" s="8"/>
      <c r="H531" s="9"/>
      <c r="I531" s="10"/>
      <c r="J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6:27" s="1" customFormat="1">
      <c r="F532" s="7"/>
      <c r="G532" s="8"/>
      <c r="H532" s="9"/>
      <c r="I532" s="10"/>
      <c r="J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6:27" s="1" customFormat="1">
      <c r="F533" s="7"/>
      <c r="G533" s="8"/>
      <c r="H533" s="9"/>
      <c r="I533" s="10"/>
      <c r="J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6:27" s="1" customFormat="1">
      <c r="F534" s="7"/>
      <c r="G534" s="8"/>
      <c r="H534" s="9"/>
      <c r="I534" s="10"/>
      <c r="J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6:27" s="1" customFormat="1">
      <c r="F535" s="7"/>
      <c r="G535" s="8"/>
      <c r="H535" s="9"/>
      <c r="I535" s="10"/>
      <c r="J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6:27" s="1" customFormat="1">
      <c r="F536" s="7"/>
      <c r="G536" s="8"/>
      <c r="H536" s="9"/>
      <c r="I536" s="10"/>
      <c r="J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6:27" s="1" customFormat="1">
      <c r="F537" s="7"/>
      <c r="G537" s="8"/>
      <c r="H537" s="9"/>
      <c r="I537" s="10"/>
      <c r="J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6:27" s="1" customFormat="1">
      <c r="F538" s="7"/>
      <c r="G538" s="8"/>
      <c r="H538" s="9"/>
      <c r="I538" s="10"/>
      <c r="J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6:27" s="1" customFormat="1">
      <c r="F539" s="7"/>
      <c r="G539" s="8"/>
      <c r="H539" s="9"/>
      <c r="I539" s="10"/>
      <c r="J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6:27" s="1" customFormat="1">
      <c r="F540" s="7"/>
      <c r="G540" s="8"/>
      <c r="H540" s="9"/>
      <c r="I540" s="10"/>
      <c r="J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6:27" s="1" customFormat="1">
      <c r="F541" s="7"/>
      <c r="G541" s="8"/>
      <c r="H541" s="9"/>
      <c r="I541" s="10"/>
      <c r="J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6:27" s="1" customFormat="1">
      <c r="F542" s="7"/>
      <c r="G542" s="8"/>
      <c r="H542" s="9"/>
      <c r="I542" s="10"/>
      <c r="J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6:27" s="1" customFormat="1">
      <c r="F543" s="7"/>
      <c r="G543" s="8"/>
      <c r="H543" s="9"/>
      <c r="I543" s="10"/>
      <c r="J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6:27" s="1" customFormat="1">
      <c r="F544" s="7"/>
      <c r="G544" s="8"/>
      <c r="H544" s="9"/>
      <c r="I544" s="10"/>
      <c r="J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6:27" s="1" customFormat="1">
      <c r="F545" s="7"/>
      <c r="G545" s="8"/>
      <c r="H545" s="9"/>
      <c r="I545" s="10"/>
      <c r="J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6:27" s="1" customFormat="1">
      <c r="F546" s="7"/>
      <c r="G546" s="8"/>
      <c r="H546" s="9"/>
      <c r="I546" s="10"/>
      <c r="J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6:27" s="1" customFormat="1">
      <c r="F547" s="7"/>
      <c r="G547" s="8"/>
      <c r="H547" s="9"/>
      <c r="I547" s="10"/>
      <c r="J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6:27" s="1" customFormat="1">
      <c r="F548" s="7"/>
      <c r="G548" s="8"/>
      <c r="H548" s="9"/>
      <c r="I548" s="10"/>
      <c r="J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6:27" s="1" customFormat="1">
      <c r="F549" s="7"/>
      <c r="G549" s="8"/>
      <c r="H549" s="9"/>
      <c r="I549" s="10"/>
      <c r="J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6:27" s="1" customFormat="1">
      <c r="F550" s="7"/>
      <c r="G550" s="8"/>
      <c r="H550" s="9"/>
      <c r="I550" s="10"/>
      <c r="J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6:27" s="1" customFormat="1">
      <c r="F551" s="7"/>
      <c r="G551" s="8"/>
      <c r="H551" s="9"/>
      <c r="I551" s="10"/>
      <c r="J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6:27" s="1" customFormat="1">
      <c r="F552" s="7"/>
      <c r="G552" s="8"/>
      <c r="H552" s="9"/>
      <c r="I552" s="10"/>
      <c r="J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6:27" s="1" customFormat="1">
      <c r="F553" s="7"/>
      <c r="G553" s="8"/>
      <c r="H553" s="9"/>
      <c r="I553" s="10"/>
      <c r="J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6:27" s="1" customFormat="1">
      <c r="F554" s="7"/>
      <c r="G554" s="8"/>
      <c r="H554" s="9"/>
      <c r="I554" s="10"/>
      <c r="J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6:27" s="1" customFormat="1">
      <c r="F555" s="7"/>
      <c r="G555" s="8"/>
      <c r="H555" s="9"/>
      <c r="I555" s="10"/>
      <c r="J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6:27" s="1" customFormat="1">
      <c r="F556" s="7"/>
      <c r="G556" s="8"/>
      <c r="H556" s="9"/>
      <c r="I556" s="10"/>
      <c r="J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6:27" s="1" customFormat="1">
      <c r="F557" s="7"/>
      <c r="G557" s="8"/>
      <c r="H557" s="9"/>
      <c r="I557" s="10"/>
      <c r="J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6:27" s="1" customFormat="1">
      <c r="F558" s="7"/>
      <c r="G558" s="8"/>
      <c r="H558" s="9"/>
      <c r="I558" s="10"/>
      <c r="J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6:27" s="1" customFormat="1">
      <c r="F559" s="7"/>
      <c r="G559" s="8"/>
      <c r="H559" s="9"/>
      <c r="I559" s="10"/>
      <c r="J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6:27" s="1" customFormat="1">
      <c r="F560" s="7"/>
      <c r="G560" s="8"/>
      <c r="H560" s="9"/>
      <c r="I560" s="10"/>
      <c r="J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6:27" s="1" customFormat="1">
      <c r="F561" s="7"/>
      <c r="G561" s="8"/>
      <c r="H561" s="9"/>
      <c r="I561" s="10"/>
      <c r="J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6:27" s="1" customFormat="1">
      <c r="F562" s="7"/>
      <c r="G562" s="8"/>
      <c r="H562" s="9"/>
      <c r="I562" s="10"/>
      <c r="J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6:27" s="1" customFormat="1">
      <c r="F563" s="7"/>
      <c r="G563" s="8"/>
      <c r="H563" s="9"/>
      <c r="I563" s="10"/>
      <c r="J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6:27" s="1" customFormat="1">
      <c r="F564" s="7"/>
      <c r="G564" s="8"/>
      <c r="H564" s="9"/>
      <c r="I564" s="10"/>
      <c r="J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6:27" s="1" customFormat="1">
      <c r="F565" s="7"/>
      <c r="G565" s="8"/>
      <c r="H565" s="9"/>
      <c r="I565" s="10"/>
      <c r="J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6:27" s="1" customFormat="1">
      <c r="F566" s="7"/>
      <c r="G566" s="8"/>
      <c r="H566" s="9"/>
      <c r="I566" s="10"/>
      <c r="J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6:27" s="1" customFormat="1">
      <c r="F567" s="7"/>
      <c r="G567" s="8"/>
      <c r="H567" s="9"/>
      <c r="I567" s="10"/>
      <c r="J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6:27" s="1" customFormat="1">
      <c r="F568" s="7"/>
      <c r="G568" s="8"/>
      <c r="H568" s="9"/>
      <c r="I568" s="10"/>
      <c r="J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6:27" s="1" customFormat="1">
      <c r="F569" s="7"/>
      <c r="G569" s="8"/>
      <c r="H569" s="9"/>
      <c r="I569" s="10"/>
      <c r="J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6:27" s="1" customFormat="1">
      <c r="F570" s="7"/>
      <c r="G570" s="8"/>
      <c r="H570" s="9"/>
      <c r="I570" s="10"/>
      <c r="J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6:27" s="1" customFormat="1">
      <c r="F571" s="7"/>
      <c r="G571" s="8"/>
      <c r="H571" s="9"/>
      <c r="I571" s="10"/>
      <c r="J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6:27" s="1" customFormat="1">
      <c r="F572" s="7"/>
      <c r="G572" s="8"/>
      <c r="H572" s="9"/>
      <c r="I572" s="10"/>
      <c r="J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6:27" s="1" customFormat="1">
      <c r="F573" s="7"/>
      <c r="G573" s="8"/>
      <c r="H573" s="9"/>
      <c r="I573" s="10"/>
      <c r="J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6:27" s="1" customFormat="1">
      <c r="F574" s="7"/>
      <c r="G574" s="8"/>
      <c r="H574" s="9"/>
      <c r="I574" s="10"/>
      <c r="J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6:27" s="1" customFormat="1">
      <c r="F575" s="7"/>
      <c r="G575" s="8"/>
      <c r="H575" s="9"/>
      <c r="I575" s="10"/>
      <c r="J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6:27" s="1" customFormat="1">
      <c r="F576" s="7"/>
      <c r="G576" s="8"/>
      <c r="H576" s="9"/>
      <c r="I576" s="10"/>
      <c r="J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6:27" s="1" customFormat="1">
      <c r="F577" s="7"/>
      <c r="G577" s="8"/>
      <c r="H577" s="9"/>
      <c r="I577" s="10"/>
      <c r="J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6:27" s="1" customFormat="1">
      <c r="F578" s="7"/>
      <c r="G578" s="8"/>
      <c r="H578" s="9"/>
      <c r="I578" s="10"/>
      <c r="J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6:27" s="1" customFormat="1">
      <c r="F579" s="7"/>
      <c r="G579" s="8"/>
      <c r="H579" s="9"/>
      <c r="I579" s="10"/>
      <c r="J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6:27" s="1" customFormat="1">
      <c r="F580" s="7"/>
      <c r="G580" s="8"/>
      <c r="H580" s="9"/>
      <c r="I580" s="10"/>
      <c r="J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6:27" s="1" customFormat="1">
      <c r="F581" s="7"/>
      <c r="G581" s="8"/>
      <c r="H581" s="9"/>
      <c r="I581" s="10"/>
      <c r="J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6:27" s="1" customFormat="1">
      <c r="F582" s="7"/>
      <c r="G582" s="8"/>
      <c r="H582" s="9"/>
      <c r="I582" s="10"/>
      <c r="J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6:27" s="1" customFormat="1">
      <c r="F583" s="7"/>
      <c r="G583" s="8"/>
      <c r="H583" s="9"/>
      <c r="I583" s="10"/>
      <c r="J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6:27" s="1" customFormat="1">
      <c r="F584" s="7"/>
      <c r="G584" s="8"/>
      <c r="H584" s="9"/>
      <c r="I584" s="10"/>
      <c r="J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6:27" s="1" customFormat="1">
      <c r="F585" s="7"/>
      <c r="G585" s="8"/>
      <c r="H585" s="9"/>
      <c r="I585" s="10"/>
      <c r="J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6:27" s="1" customFormat="1">
      <c r="F586" s="7"/>
      <c r="G586" s="8"/>
      <c r="H586" s="9"/>
      <c r="I586" s="10"/>
      <c r="J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6:27" s="1" customFormat="1">
      <c r="F587" s="7"/>
      <c r="G587" s="8"/>
      <c r="H587" s="9"/>
      <c r="I587" s="10"/>
      <c r="J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6:27" s="1" customFormat="1">
      <c r="F588" s="7"/>
      <c r="G588" s="8"/>
      <c r="H588" s="9"/>
      <c r="I588" s="10"/>
      <c r="J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6:27" s="1" customFormat="1">
      <c r="F589" s="7"/>
      <c r="G589" s="8"/>
      <c r="H589" s="9"/>
      <c r="I589" s="10"/>
      <c r="J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6:27" s="1" customFormat="1">
      <c r="F590" s="7"/>
      <c r="G590" s="8"/>
      <c r="H590" s="9"/>
      <c r="I590" s="10"/>
      <c r="J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6:27" s="1" customFormat="1">
      <c r="F591" s="7"/>
      <c r="G591" s="8"/>
      <c r="H591" s="9"/>
      <c r="I591" s="10"/>
      <c r="J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6:27" s="1" customFormat="1">
      <c r="F592" s="7"/>
      <c r="G592" s="8"/>
      <c r="H592" s="9"/>
      <c r="I592" s="10"/>
      <c r="J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6:27" s="1" customFormat="1">
      <c r="F593" s="7"/>
      <c r="G593" s="8"/>
      <c r="H593" s="9"/>
      <c r="I593" s="10"/>
      <c r="J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6:27" s="1" customFormat="1">
      <c r="F594" s="7"/>
      <c r="G594" s="8"/>
      <c r="H594" s="9"/>
      <c r="I594" s="10"/>
      <c r="J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6:27" s="1" customFormat="1">
      <c r="F595" s="7"/>
      <c r="G595" s="8"/>
      <c r="H595" s="9"/>
      <c r="I595" s="10"/>
      <c r="J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6:27" s="1" customFormat="1">
      <c r="F596" s="7"/>
      <c r="G596" s="8"/>
      <c r="H596" s="9"/>
      <c r="I596" s="10"/>
      <c r="J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6:27" s="1" customFormat="1">
      <c r="F597" s="7"/>
      <c r="G597" s="8"/>
      <c r="H597" s="9"/>
      <c r="I597" s="10"/>
      <c r="J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6:27" s="1" customFormat="1">
      <c r="F598" s="7"/>
      <c r="G598" s="8"/>
      <c r="H598" s="9"/>
      <c r="I598" s="10"/>
      <c r="J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6:27" s="1" customFormat="1">
      <c r="F599" s="7"/>
      <c r="G599" s="8"/>
      <c r="H599" s="9"/>
      <c r="I599" s="10"/>
      <c r="J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6:27" s="1" customFormat="1">
      <c r="F600" s="7"/>
      <c r="G600" s="8"/>
      <c r="H600" s="9"/>
      <c r="I600" s="10"/>
      <c r="J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6:27" s="1" customFormat="1">
      <c r="F601" s="7"/>
      <c r="G601" s="8"/>
      <c r="H601" s="9"/>
      <c r="I601" s="10"/>
      <c r="J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6:27" s="1" customFormat="1">
      <c r="F602" s="7"/>
      <c r="G602" s="8"/>
      <c r="H602" s="9"/>
      <c r="I602" s="10"/>
      <c r="J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6:27" s="1" customFormat="1">
      <c r="F603" s="7"/>
      <c r="G603" s="8"/>
      <c r="H603" s="9"/>
      <c r="I603" s="10"/>
      <c r="J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6:27" s="1" customFormat="1">
      <c r="F604" s="7"/>
      <c r="G604" s="8"/>
      <c r="H604" s="9"/>
      <c r="I604" s="10"/>
      <c r="J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6:27" s="1" customFormat="1">
      <c r="F605" s="7"/>
      <c r="G605" s="8"/>
      <c r="H605" s="9"/>
      <c r="I605" s="10"/>
      <c r="J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6:27" s="1" customFormat="1">
      <c r="F606" s="7"/>
      <c r="G606" s="8"/>
      <c r="H606" s="9"/>
      <c r="I606" s="10"/>
      <c r="J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6:27" s="1" customFormat="1">
      <c r="F607" s="7"/>
      <c r="G607" s="8"/>
      <c r="H607" s="9"/>
      <c r="I607" s="10"/>
      <c r="J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6:27" s="1" customFormat="1">
      <c r="F608" s="7"/>
      <c r="G608" s="8"/>
      <c r="H608" s="9"/>
      <c r="I608" s="10"/>
      <c r="J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6:27" s="1" customFormat="1">
      <c r="F609" s="7"/>
      <c r="G609" s="8"/>
      <c r="H609" s="9"/>
      <c r="I609" s="10"/>
      <c r="J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6:27" s="1" customFormat="1">
      <c r="F610" s="7"/>
      <c r="G610" s="8"/>
      <c r="H610" s="9"/>
      <c r="I610" s="10"/>
      <c r="J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6:27" s="1" customFormat="1">
      <c r="F611" s="7"/>
      <c r="G611" s="8"/>
      <c r="H611" s="9"/>
      <c r="I611" s="10"/>
      <c r="J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6:27" s="1" customFormat="1">
      <c r="F612" s="7"/>
      <c r="G612" s="8"/>
      <c r="H612" s="9"/>
      <c r="I612" s="10"/>
      <c r="J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6:27" s="1" customFormat="1">
      <c r="F613" s="7"/>
      <c r="G613" s="8"/>
      <c r="H613" s="9"/>
      <c r="I613" s="10"/>
      <c r="J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6:27" s="1" customFormat="1">
      <c r="F614" s="7"/>
      <c r="G614" s="8"/>
      <c r="H614" s="9"/>
      <c r="I614" s="10"/>
      <c r="J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6:27" s="1" customFormat="1">
      <c r="F615" s="7"/>
      <c r="G615" s="8"/>
      <c r="H615" s="9"/>
      <c r="I615" s="10"/>
      <c r="J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6:27" s="1" customFormat="1">
      <c r="F616" s="7"/>
      <c r="G616" s="8"/>
      <c r="H616" s="9"/>
      <c r="I616" s="10"/>
      <c r="J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6:27" s="1" customFormat="1">
      <c r="F617" s="7"/>
      <c r="G617" s="8"/>
      <c r="H617" s="9"/>
      <c r="I617" s="10"/>
      <c r="J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6:27" s="1" customFormat="1">
      <c r="F618" s="7"/>
      <c r="G618" s="8"/>
      <c r="H618" s="9"/>
      <c r="I618" s="10"/>
      <c r="J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6:27" s="1" customFormat="1">
      <c r="F619" s="7"/>
      <c r="G619" s="8"/>
      <c r="H619" s="9"/>
      <c r="I619" s="10"/>
      <c r="J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6:27" s="1" customFormat="1">
      <c r="F620" s="7"/>
      <c r="G620" s="8"/>
      <c r="H620" s="9"/>
      <c r="I620" s="10"/>
      <c r="J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6:27" s="1" customFormat="1">
      <c r="F621" s="7"/>
      <c r="G621" s="8"/>
      <c r="H621" s="9"/>
      <c r="I621" s="10"/>
      <c r="J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6:27" s="1" customFormat="1">
      <c r="F622" s="7"/>
      <c r="G622" s="8"/>
      <c r="H622" s="9"/>
      <c r="I622" s="10"/>
      <c r="J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6:27" s="1" customFormat="1">
      <c r="F623" s="7"/>
      <c r="G623" s="8"/>
      <c r="H623" s="9"/>
      <c r="I623" s="10"/>
      <c r="J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6:27" s="1" customFormat="1">
      <c r="F624" s="7"/>
      <c r="G624" s="8"/>
      <c r="H624" s="9"/>
      <c r="I624" s="10"/>
      <c r="J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6:27" s="1" customFormat="1">
      <c r="F625" s="7"/>
      <c r="G625" s="8"/>
      <c r="H625" s="9"/>
      <c r="I625" s="10"/>
      <c r="J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6:27" s="1" customFormat="1">
      <c r="F626" s="7"/>
      <c r="G626" s="8"/>
      <c r="H626" s="9"/>
      <c r="I626" s="10"/>
      <c r="J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6:27" s="1" customFormat="1">
      <c r="F627" s="7"/>
      <c r="G627" s="8"/>
      <c r="H627" s="9"/>
      <c r="I627" s="10"/>
      <c r="J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6:27" s="1" customFormat="1">
      <c r="F628" s="7"/>
      <c r="G628" s="8"/>
      <c r="H628" s="9"/>
      <c r="I628" s="10"/>
      <c r="J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6:27" s="1" customFormat="1">
      <c r="F629" s="7"/>
      <c r="G629" s="8"/>
      <c r="H629" s="9"/>
      <c r="I629" s="10"/>
      <c r="J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6:27" s="1" customFormat="1">
      <c r="F630" s="7"/>
      <c r="G630" s="8"/>
      <c r="H630" s="9"/>
      <c r="I630" s="10"/>
      <c r="J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6:27" s="1" customFormat="1">
      <c r="F631" s="7"/>
      <c r="G631" s="8"/>
      <c r="H631" s="9"/>
      <c r="I631" s="10"/>
      <c r="J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6:27" s="1" customFormat="1">
      <c r="F632" s="7"/>
      <c r="G632" s="8"/>
      <c r="H632" s="9"/>
      <c r="I632" s="10"/>
      <c r="J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6:27" s="1" customFormat="1">
      <c r="F633" s="7"/>
      <c r="G633" s="8"/>
      <c r="H633" s="9"/>
      <c r="I633" s="10"/>
      <c r="J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6:27" s="1" customFormat="1">
      <c r="F634" s="7"/>
      <c r="G634" s="8"/>
      <c r="H634" s="9"/>
      <c r="I634" s="10"/>
      <c r="J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6:27" s="1" customFormat="1">
      <c r="F635" s="7"/>
      <c r="G635" s="8"/>
      <c r="H635" s="9"/>
      <c r="I635" s="10"/>
      <c r="J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6:27" s="1" customFormat="1">
      <c r="F636" s="7"/>
      <c r="G636" s="8"/>
      <c r="H636" s="9"/>
      <c r="I636" s="10"/>
      <c r="J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6:27" s="1" customFormat="1">
      <c r="F637" s="7"/>
      <c r="G637" s="8"/>
      <c r="H637" s="9"/>
      <c r="I637" s="10"/>
      <c r="J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6:27" s="1" customFormat="1">
      <c r="F638" s="7"/>
      <c r="G638" s="8"/>
      <c r="H638" s="9"/>
      <c r="I638" s="10"/>
      <c r="J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6:27" s="1" customFormat="1">
      <c r="F639" s="7"/>
      <c r="G639" s="8"/>
      <c r="H639" s="9"/>
      <c r="I639" s="10"/>
      <c r="J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6:27" s="1" customFormat="1">
      <c r="F640" s="7"/>
      <c r="G640" s="8"/>
      <c r="H640" s="9"/>
      <c r="I640" s="10"/>
      <c r="J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6:27" s="1" customFormat="1">
      <c r="F641" s="7"/>
      <c r="G641" s="8"/>
      <c r="H641" s="9"/>
      <c r="I641" s="10"/>
      <c r="J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6:27" s="1" customFormat="1">
      <c r="F642" s="7"/>
      <c r="G642" s="8"/>
      <c r="H642" s="9"/>
      <c r="I642" s="10"/>
      <c r="J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6:27" s="1" customFormat="1">
      <c r="F643" s="7"/>
      <c r="G643" s="8"/>
      <c r="H643" s="9"/>
      <c r="I643" s="10"/>
      <c r="J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6:27" s="1" customFormat="1">
      <c r="F644" s="7"/>
      <c r="G644" s="8"/>
      <c r="H644" s="9"/>
      <c r="I644" s="10"/>
      <c r="J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6:27" s="1" customFormat="1">
      <c r="F645" s="7"/>
      <c r="G645" s="8"/>
      <c r="H645" s="9"/>
      <c r="I645" s="10"/>
      <c r="J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6:27" s="1" customFormat="1">
      <c r="F646" s="7"/>
      <c r="G646" s="8"/>
      <c r="H646" s="9"/>
      <c r="I646" s="10"/>
      <c r="J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6:27" s="1" customFormat="1">
      <c r="F647" s="7"/>
      <c r="G647" s="8"/>
      <c r="H647" s="9"/>
      <c r="I647" s="10"/>
      <c r="J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6:27" s="1" customFormat="1">
      <c r="F648" s="7"/>
      <c r="G648" s="8"/>
      <c r="H648" s="9"/>
      <c r="I648" s="10"/>
      <c r="J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6:27" s="1" customFormat="1">
      <c r="F649" s="7"/>
      <c r="G649" s="8"/>
      <c r="H649" s="9"/>
      <c r="I649" s="10"/>
      <c r="J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6:27" s="1" customFormat="1">
      <c r="F650" s="7"/>
      <c r="G650" s="8"/>
      <c r="H650" s="9"/>
      <c r="I650" s="10"/>
      <c r="J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6:27" s="1" customFormat="1">
      <c r="F651" s="7"/>
      <c r="G651" s="8"/>
      <c r="H651" s="9"/>
      <c r="I651" s="10"/>
      <c r="J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6:27" s="1" customFormat="1">
      <c r="F652" s="7"/>
      <c r="G652" s="8"/>
      <c r="H652" s="9"/>
      <c r="I652" s="10"/>
      <c r="J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6:27" s="1" customFormat="1">
      <c r="F653" s="7"/>
      <c r="G653" s="8"/>
      <c r="H653" s="9"/>
      <c r="I653" s="10"/>
      <c r="J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6:27" s="1" customFormat="1">
      <c r="F654" s="7"/>
      <c r="G654" s="8"/>
      <c r="H654" s="9"/>
      <c r="I654" s="10"/>
      <c r="J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6:27" s="1" customFormat="1">
      <c r="F655" s="7"/>
      <c r="G655" s="8"/>
      <c r="H655" s="9"/>
      <c r="I655" s="10"/>
      <c r="J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6:27" s="1" customFormat="1">
      <c r="F656" s="7"/>
      <c r="G656" s="8"/>
      <c r="H656" s="9"/>
      <c r="I656" s="10"/>
      <c r="J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6:27" s="1" customFormat="1">
      <c r="F657" s="7"/>
      <c r="G657" s="8"/>
      <c r="H657" s="9"/>
      <c r="I657" s="10"/>
      <c r="J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6:27" s="1" customFormat="1">
      <c r="F658" s="7"/>
      <c r="G658" s="8"/>
      <c r="H658" s="9"/>
      <c r="I658" s="10"/>
      <c r="J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6:27" s="1" customFormat="1">
      <c r="F659" s="7"/>
      <c r="G659" s="8"/>
      <c r="H659" s="9"/>
      <c r="I659" s="10"/>
      <c r="J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6:27" s="1" customFormat="1">
      <c r="F660" s="7"/>
      <c r="G660" s="8"/>
      <c r="H660" s="9"/>
      <c r="I660" s="10"/>
      <c r="J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6:27" s="1" customFormat="1">
      <c r="F661" s="7"/>
      <c r="G661" s="8"/>
      <c r="H661" s="9"/>
      <c r="I661" s="10"/>
      <c r="J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6:27" s="1" customFormat="1">
      <c r="F662" s="7"/>
      <c r="G662" s="8"/>
      <c r="H662" s="9"/>
      <c r="I662" s="10"/>
      <c r="J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6:27" s="1" customFormat="1">
      <c r="F663" s="7"/>
      <c r="G663" s="8"/>
      <c r="H663" s="9"/>
      <c r="I663" s="10"/>
      <c r="J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6:27" s="1" customFormat="1">
      <c r="F664" s="7"/>
      <c r="G664" s="8"/>
      <c r="H664" s="9"/>
      <c r="I664" s="10"/>
      <c r="J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6:27" s="1" customFormat="1">
      <c r="F665" s="7"/>
      <c r="G665" s="8"/>
      <c r="H665" s="9"/>
      <c r="I665" s="10"/>
      <c r="J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6:27" s="1" customFormat="1">
      <c r="F666" s="7"/>
      <c r="G666" s="8"/>
      <c r="H666" s="9"/>
      <c r="I666" s="10"/>
      <c r="J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6:27" s="1" customFormat="1">
      <c r="F667" s="7"/>
      <c r="G667" s="8"/>
      <c r="H667" s="9"/>
      <c r="I667" s="10"/>
      <c r="J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6:27" s="1" customFormat="1">
      <c r="F668" s="7"/>
      <c r="G668" s="8"/>
      <c r="H668" s="9"/>
      <c r="I668" s="10"/>
      <c r="J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6:27" s="1" customFormat="1">
      <c r="F669" s="7"/>
      <c r="G669" s="8"/>
      <c r="H669" s="9"/>
      <c r="I669" s="10"/>
      <c r="J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6:27" s="1" customFormat="1">
      <c r="F670" s="7"/>
      <c r="G670" s="8"/>
      <c r="H670" s="9"/>
      <c r="I670" s="10"/>
      <c r="J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6:27" s="1" customFormat="1">
      <c r="F671" s="7"/>
      <c r="G671" s="8"/>
      <c r="H671" s="9"/>
      <c r="I671" s="10"/>
      <c r="J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6:27" s="1" customFormat="1">
      <c r="F672" s="7"/>
      <c r="G672" s="8"/>
      <c r="H672" s="9"/>
      <c r="I672" s="10"/>
      <c r="J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6:27" s="1" customFormat="1">
      <c r="F673" s="7"/>
      <c r="G673" s="8"/>
      <c r="H673" s="9"/>
      <c r="I673" s="10"/>
      <c r="J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6:27" s="1" customFormat="1">
      <c r="F674" s="7"/>
      <c r="G674" s="8"/>
      <c r="H674" s="9"/>
      <c r="I674" s="10"/>
      <c r="J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6:27" s="1" customFormat="1">
      <c r="F675" s="7"/>
      <c r="G675" s="8"/>
      <c r="H675" s="9"/>
      <c r="I675" s="10"/>
      <c r="J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6:27" s="1" customFormat="1">
      <c r="F676" s="7"/>
      <c r="G676" s="8"/>
      <c r="H676" s="9"/>
      <c r="I676" s="10"/>
      <c r="J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6:27" s="1" customFormat="1">
      <c r="F677" s="7"/>
      <c r="G677" s="8"/>
      <c r="H677" s="9"/>
      <c r="I677" s="10"/>
      <c r="J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6:27" s="1" customFormat="1">
      <c r="F678" s="7"/>
      <c r="G678" s="8"/>
      <c r="H678" s="9"/>
      <c r="I678" s="10"/>
      <c r="J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6:27" s="1" customFormat="1">
      <c r="F679" s="7"/>
      <c r="G679" s="8"/>
      <c r="H679" s="9"/>
      <c r="I679" s="10"/>
      <c r="J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6:27" s="1" customFormat="1">
      <c r="F680" s="7"/>
      <c r="G680" s="8"/>
      <c r="H680" s="9"/>
      <c r="I680" s="10"/>
      <c r="J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6:27" s="1" customFormat="1">
      <c r="F681" s="7"/>
      <c r="G681" s="8"/>
      <c r="H681" s="9"/>
      <c r="I681" s="10"/>
      <c r="J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6:27" s="1" customFormat="1">
      <c r="F682" s="7"/>
      <c r="G682" s="8"/>
      <c r="H682" s="9"/>
      <c r="I682" s="10"/>
      <c r="J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6:27" s="1" customFormat="1">
      <c r="F683" s="7"/>
      <c r="G683" s="8"/>
      <c r="H683" s="9"/>
      <c r="I683" s="10"/>
      <c r="J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6:27" s="1" customFormat="1">
      <c r="F684" s="7"/>
      <c r="G684" s="8"/>
      <c r="H684" s="9"/>
      <c r="I684" s="10"/>
      <c r="J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6:27" s="1" customFormat="1">
      <c r="F685" s="7"/>
      <c r="G685" s="8"/>
      <c r="H685" s="9"/>
      <c r="I685" s="10"/>
      <c r="J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6:27" s="1" customFormat="1">
      <c r="F686" s="7"/>
      <c r="G686" s="8"/>
      <c r="H686" s="9"/>
      <c r="I686" s="10"/>
      <c r="J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6:27" s="1" customFormat="1">
      <c r="F687" s="7"/>
      <c r="G687" s="8"/>
      <c r="H687" s="9"/>
      <c r="I687" s="10"/>
      <c r="J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6:27" s="1" customFormat="1">
      <c r="F688" s="7"/>
      <c r="G688" s="8"/>
      <c r="H688" s="9"/>
      <c r="I688" s="10"/>
      <c r="J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6:27" s="1" customFormat="1">
      <c r="F689" s="7"/>
      <c r="G689" s="8"/>
      <c r="H689" s="9"/>
      <c r="I689" s="10"/>
      <c r="J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6:27" s="1" customFormat="1">
      <c r="F690" s="7"/>
      <c r="G690" s="8"/>
      <c r="H690" s="9"/>
      <c r="I690" s="10"/>
      <c r="J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6:27" s="1" customFormat="1">
      <c r="F691" s="7"/>
      <c r="G691" s="8"/>
      <c r="H691" s="9"/>
      <c r="I691" s="10"/>
      <c r="J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6:27" s="1" customFormat="1">
      <c r="F692" s="7"/>
      <c r="G692" s="8"/>
      <c r="H692" s="9"/>
      <c r="I692" s="10"/>
      <c r="J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6:27" s="1" customFormat="1">
      <c r="F693" s="7"/>
      <c r="G693" s="8"/>
      <c r="H693" s="9"/>
      <c r="I693" s="10"/>
      <c r="J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6:27" s="1" customFormat="1">
      <c r="F694" s="7"/>
      <c r="G694" s="8"/>
      <c r="H694" s="9"/>
      <c r="I694" s="10"/>
      <c r="J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6:27" s="1" customFormat="1">
      <c r="F695" s="7"/>
      <c r="G695" s="8"/>
      <c r="H695" s="9"/>
      <c r="I695" s="10"/>
      <c r="J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6:27" s="1" customFormat="1">
      <c r="F696" s="7"/>
      <c r="G696" s="8"/>
      <c r="H696" s="9"/>
      <c r="I696" s="10"/>
      <c r="J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6:27" s="1" customFormat="1">
      <c r="F697" s="7"/>
      <c r="G697" s="8"/>
      <c r="H697" s="9"/>
      <c r="I697" s="10"/>
      <c r="J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6:27" s="1" customFormat="1">
      <c r="F698" s="7"/>
      <c r="G698" s="8"/>
      <c r="H698" s="9"/>
      <c r="I698" s="10"/>
      <c r="J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6:27" s="1" customFormat="1">
      <c r="F699" s="7"/>
      <c r="G699" s="8"/>
      <c r="H699" s="9"/>
      <c r="I699" s="10"/>
      <c r="J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6:27" s="1" customFormat="1">
      <c r="F700" s="7"/>
      <c r="G700" s="8"/>
      <c r="H700" s="9"/>
      <c r="I700" s="10"/>
      <c r="J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6:27" s="1" customFormat="1">
      <c r="F701" s="7"/>
      <c r="G701" s="8"/>
      <c r="H701" s="9"/>
      <c r="I701" s="10"/>
      <c r="J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6:27" s="1" customFormat="1">
      <c r="F702" s="7"/>
      <c r="G702" s="8"/>
      <c r="H702" s="9"/>
      <c r="I702" s="10"/>
      <c r="J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6:27" s="1" customFormat="1">
      <c r="F703" s="7"/>
      <c r="G703" s="8"/>
      <c r="H703" s="9"/>
      <c r="I703" s="10"/>
      <c r="J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6:27" s="1" customFormat="1">
      <c r="F704" s="7"/>
      <c r="G704" s="8"/>
      <c r="H704" s="9"/>
      <c r="I704" s="10"/>
      <c r="J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6:27" s="1" customFormat="1">
      <c r="F705" s="7"/>
      <c r="G705" s="8"/>
      <c r="H705" s="9"/>
      <c r="I705" s="10"/>
      <c r="J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6:27" s="1" customFormat="1">
      <c r="F706" s="7"/>
      <c r="G706" s="8"/>
      <c r="H706" s="9"/>
      <c r="I706" s="10"/>
      <c r="J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6:27" s="1" customFormat="1">
      <c r="F707" s="7"/>
      <c r="G707" s="8"/>
      <c r="H707" s="9"/>
      <c r="I707" s="10"/>
      <c r="J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6:27" s="1" customFormat="1">
      <c r="F708" s="7"/>
      <c r="G708" s="8"/>
      <c r="H708" s="9"/>
      <c r="I708" s="10"/>
      <c r="J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6:27" s="1" customFormat="1">
      <c r="F709" s="7"/>
      <c r="G709" s="8"/>
      <c r="H709" s="9"/>
      <c r="I709" s="10"/>
      <c r="J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6:27" s="1" customFormat="1">
      <c r="F710" s="7"/>
      <c r="G710" s="8"/>
      <c r="H710" s="9"/>
      <c r="I710" s="10"/>
      <c r="J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6:27" s="1" customFormat="1">
      <c r="F711" s="7"/>
      <c r="G711" s="8"/>
      <c r="H711" s="9"/>
      <c r="I711" s="10"/>
      <c r="J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6:27" s="1" customFormat="1">
      <c r="F712" s="7"/>
      <c r="G712" s="8"/>
      <c r="H712" s="9"/>
      <c r="I712" s="10"/>
      <c r="J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6:27" s="1" customFormat="1">
      <c r="F713" s="7"/>
      <c r="G713" s="8"/>
      <c r="H713" s="9"/>
      <c r="I713" s="10"/>
      <c r="J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6:27" s="1" customFormat="1">
      <c r="F714" s="7"/>
      <c r="G714" s="8"/>
      <c r="H714" s="9"/>
      <c r="I714" s="10"/>
      <c r="J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6:27" s="1" customFormat="1">
      <c r="F715" s="7"/>
      <c r="G715" s="8"/>
      <c r="H715" s="9"/>
      <c r="I715" s="10"/>
      <c r="J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6:27" s="1" customFormat="1">
      <c r="F716" s="7"/>
      <c r="G716" s="8"/>
      <c r="H716" s="9"/>
      <c r="I716" s="10"/>
      <c r="J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6:27" s="1" customFormat="1">
      <c r="F717" s="7"/>
      <c r="G717" s="8"/>
      <c r="H717" s="9"/>
      <c r="I717" s="10"/>
      <c r="J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6:27" s="1" customFormat="1">
      <c r="F718" s="7"/>
      <c r="G718" s="8"/>
      <c r="H718" s="9"/>
      <c r="I718" s="10"/>
      <c r="J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6:27" s="1" customFormat="1">
      <c r="F719" s="7"/>
      <c r="G719" s="8"/>
      <c r="H719" s="9"/>
      <c r="I719" s="10"/>
      <c r="J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6:27" s="1" customFormat="1">
      <c r="F720" s="7"/>
      <c r="G720" s="8"/>
      <c r="H720" s="9"/>
      <c r="I720" s="10"/>
      <c r="J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6:27" s="1" customFormat="1">
      <c r="F721" s="7"/>
      <c r="G721" s="8"/>
      <c r="H721" s="9"/>
      <c r="I721" s="10"/>
      <c r="J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6:27" s="1" customFormat="1">
      <c r="F722" s="7"/>
      <c r="G722" s="8"/>
      <c r="H722" s="9"/>
      <c r="I722" s="10"/>
      <c r="J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6:27" s="1" customFormat="1">
      <c r="F723" s="7"/>
      <c r="G723" s="8"/>
      <c r="H723" s="9"/>
      <c r="I723" s="10"/>
      <c r="J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6:27" s="1" customFormat="1">
      <c r="F724" s="7"/>
      <c r="G724" s="8"/>
      <c r="H724" s="9"/>
      <c r="I724" s="10"/>
      <c r="J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6:27" s="1" customFormat="1">
      <c r="F725" s="7"/>
      <c r="G725" s="8"/>
      <c r="H725" s="9"/>
      <c r="I725" s="10"/>
      <c r="J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6:27" s="1" customFormat="1">
      <c r="F726" s="7"/>
      <c r="G726" s="8"/>
      <c r="H726" s="9"/>
      <c r="I726" s="10"/>
      <c r="J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6:27" s="1" customFormat="1">
      <c r="F727" s="7"/>
      <c r="G727" s="8"/>
      <c r="H727" s="9"/>
      <c r="I727" s="10"/>
      <c r="J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6:27" s="1" customFormat="1">
      <c r="F728" s="7"/>
      <c r="G728" s="8"/>
      <c r="H728" s="9"/>
      <c r="I728" s="10"/>
      <c r="J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6:27" s="1" customFormat="1">
      <c r="F729" s="7"/>
      <c r="G729" s="8"/>
      <c r="H729" s="9"/>
      <c r="I729" s="10"/>
      <c r="J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6:27" s="1" customFormat="1">
      <c r="F730" s="7"/>
      <c r="G730" s="8"/>
      <c r="H730" s="9"/>
      <c r="I730" s="10"/>
      <c r="J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6:27" s="1" customFormat="1">
      <c r="F731" s="7"/>
      <c r="G731" s="8"/>
      <c r="H731" s="9"/>
      <c r="I731" s="10"/>
      <c r="J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6:27" s="1" customFormat="1">
      <c r="F732" s="7"/>
      <c r="G732" s="8"/>
      <c r="H732" s="9"/>
      <c r="I732" s="10"/>
      <c r="J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6:27" s="1" customFormat="1">
      <c r="F733" s="7"/>
      <c r="G733" s="8"/>
      <c r="H733" s="9"/>
      <c r="I733" s="10"/>
      <c r="J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6:27" s="1" customFormat="1">
      <c r="F734" s="7"/>
      <c r="G734" s="8"/>
      <c r="H734" s="9"/>
      <c r="I734" s="10"/>
      <c r="J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6:27" s="1" customFormat="1">
      <c r="F735" s="7"/>
      <c r="G735" s="8"/>
      <c r="H735" s="9"/>
      <c r="I735" s="10"/>
      <c r="J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6:27" s="1" customFormat="1">
      <c r="F736" s="7"/>
      <c r="G736" s="8"/>
      <c r="H736" s="9"/>
      <c r="I736" s="10"/>
      <c r="J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6:27" s="1" customFormat="1">
      <c r="F737" s="7"/>
      <c r="G737" s="8"/>
      <c r="H737" s="9"/>
      <c r="I737" s="10"/>
      <c r="J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6:27" s="1" customFormat="1">
      <c r="F738" s="7"/>
      <c r="G738" s="8"/>
      <c r="H738" s="9"/>
      <c r="I738" s="10"/>
      <c r="J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6:27" s="1" customFormat="1">
      <c r="F739" s="7"/>
      <c r="G739" s="8"/>
      <c r="H739" s="9"/>
      <c r="I739" s="10"/>
      <c r="J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6:27" s="1" customFormat="1">
      <c r="F740" s="7"/>
      <c r="G740" s="8"/>
      <c r="H740" s="9"/>
      <c r="I740" s="10"/>
      <c r="J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6:27" s="1" customFormat="1">
      <c r="F741" s="7"/>
      <c r="G741" s="8"/>
      <c r="H741" s="9"/>
      <c r="I741" s="10"/>
      <c r="J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6:27" s="1" customFormat="1">
      <c r="F742" s="7"/>
      <c r="G742" s="8"/>
      <c r="H742" s="9"/>
      <c r="I742" s="10"/>
      <c r="J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6:27" s="1" customFormat="1">
      <c r="F743" s="7"/>
      <c r="G743" s="8"/>
      <c r="H743" s="9"/>
      <c r="I743" s="10"/>
      <c r="J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6:27" s="1" customFormat="1">
      <c r="F744" s="7"/>
      <c r="G744" s="8"/>
      <c r="H744" s="9"/>
      <c r="I744" s="10"/>
      <c r="J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6:27" s="1" customFormat="1">
      <c r="F745" s="7"/>
      <c r="G745" s="8"/>
      <c r="H745" s="9"/>
      <c r="I745" s="10"/>
      <c r="J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6:27" s="1" customFormat="1">
      <c r="F746" s="7"/>
      <c r="G746" s="8"/>
      <c r="H746" s="9"/>
      <c r="I746" s="10"/>
      <c r="J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6:27" s="1" customFormat="1">
      <c r="F747" s="7"/>
      <c r="G747" s="8"/>
      <c r="H747" s="9"/>
      <c r="I747" s="10"/>
      <c r="J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6:27" s="1" customFormat="1">
      <c r="F748" s="7"/>
      <c r="G748" s="8"/>
      <c r="H748" s="9"/>
      <c r="I748" s="10"/>
      <c r="J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6:27" s="1" customFormat="1">
      <c r="F749" s="7"/>
      <c r="G749" s="8"/>
      <c r="H749" s="9"/>
      <c r="I749" s="10"/>
      <c r="J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6:27" s="1" customFormat="1">
      <c r="F750" s="7"/>
      <c r="G750" s="8"/>
      <c r="H750" s="9"/>
      <c r="I750" s="10"/>
      <c r="J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6:27" s="1" customFormat="1">
      <c r="F751" s="7"/>
      <c r="G751" s="8"/>
      <c r="H751" s="9"/>
      <c r="I751" s="10"/>
      <c r="J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6:27" s="1" customFormat="1">
      <c r="F752" s="7"/>
      <c r="G752" s="8"/>
      <c r="H752" s="9"/>
      <c r="I752" s="10"/>
      <c r="J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6:27" s="1" customFormat="1">
      <c r="F753" s="7"/>
      <c r="G753" s="8"/>
      <c r="H753" s="9"/>
      <c r="I753" s="10"/>
      <c r="J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6:27" s="1" customFormat="1">
      <c r="F754" s="7"/>
      <c r="G754" s="8"/>
      <c r="H754" s="9"/>
      <c r="I754" s="10"/>
      <c r="J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6:27" s="1" customFormat="1">
      <c r="F755" s="7"/>
      <c r="G755" s="8"/>
      <c r="H755" s="9"/>
      <c r="I755" s="10"/>
      <c r="J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6:27" s="1" customFormat="1">
      <c r="F756" s="7"/>
      <c r="G756" s="8"/>
      <c r="H756" s="9"/>
      <c r="I756" s="10"/>
      <c r="J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6:27" s="1" customFormat="1">
      <c r="F757" s="7"/>
      <c r="G757" s="8"/>
      <c r="H757" s="9"/>
      <c r="I757" s="10"/>
      <c r="J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6:27" s="1" customFormat="1">
      <c r="F758" s="7"/>
      <c r="G758" s="8"/>
      <c r="H758" s="9"/>
      <c r="I758" s="10"/>
      <c r="J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6:27" s="1" customFormat="1">
      <c r="F759" s="7"/>
      <c r="G759" s="8"/>
      <c r="H759" s="9"/>
      <c r="I759" s="10"/>
      <c r="J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6:27" s="1" customFormat="1">
      <c r="F760" s="7"/>
      <c r="G760" s="8"/>
      <c r="H760" s="9"/>
      <c r="I760" s="10"/>
      <c r="J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6:27" s="1" customFormat="1">
      <c r="F761" s="7"/>
      <c r="G761" s="8"/>
      <c r="H761" s="9"/>
      <c r="I761" s="10"/>
      <c r="J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6:27" s="1" customFormat="1">
      <c r="F762" s="7"/>
      <c r="G762" s="8"/>
      <c r="H762" s="9"/>
      <c r="I762" s="10"/>
      <c r="J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6:27" s="1" customFormat="1">
      <c r="F763" s="7"/>
      <c r="G763" s="8"/>
      <c r="H763" s="9"/>
      <c r="I763" s="10"/>
      <c r="J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6:27" s="1" customFormat="1">
      <c r="F764" s="7"/>
      <c r="G764" s="8"/>
      <c r="H764" s="9"/>
      <c r="I764" s="10"/>
      <c r="J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6:27" s="1" customFormat="1">
      <c r="F765" s="7"/>
      <c r="G765" s="8"/>
      <c r="H765" s="9"/>
      <c r="I765" s="10"/>
      <c r="J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6:27" s="1" customFormat="1">
      <c r="F766" s="7"/>
      <c r="G766" s="8"/>
      <c r="H766" s="9"/>
      <c r="I766" s="10"/>
      <c r="J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6:27" s="1" customFormat="1">
      <c r="F767" s="7"/>
      <c r="G767" s="8"/>
      <c r="H767" s="9"/>
      <c r="I767" s="10"/>
      <c r="J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6:27" s="1" customFormat="1">
      <c r="F768" s="7"/>
      <c r="G768" s="8"/>
      <c r="H768" s="9"/>
      <c r="I768" s="10"/>
      <c r="J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6:27" s="1" customFormat="1">
      <c r="F769" s="7"/>
      <c r="G769" s="8"/>
      <c r="H769" s="9"/>
      <c r="I769" s="10"/>
      <c r="J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6:27" s="1" customFormat="1">
      <c r="F770" s="7"/>
      <c r="G770" s="8"/>
      <c r="H770" s="9"/>
      <c r="I770" s="10"/>
      <c r="J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6:27" s="1" customFormat="1">
      <c r="F771" s="7"/>
      <c r="G771" s="8"/>
      <c r="H771" s="9"/>
      <c r="I771" s="10"/>
      <c r="J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6:27" s="1" customFormat="1">
      <c r="F772" s="7"/>
      <c r="G772" s="8"/>
      <c r="H772" s="9"/>
      <c r="I772" s="10"/>
      <c r="J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6:27" s="1" customFormat="1">
      <c r="F773" s="7"/>
      <c r="G773" s="8"/>
      <c r="H773" s="9"/>
      <c r="I773" s="10"/>
      <c r="J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6:27" s="1" customFormat="1">
      <c r="F774" s="7"/>
      <c r="G774" s="8"/>
      <c r="H774" s="9"/>
      <c r="I774" s="10"/>
      <c r="J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6:27" s="1" customFormat="1">
      <c r="F775" s="7"/>
      <c r="G775" s="8"/>
      <c r="H775" s="9"/>
      <c r="I775" s="10"/>
      <c r="J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6:27" s="1" customFormat="1">
      <c r="F776" s="7"/>
      <c r="G776" s="8"/>
      <c r="H776" s="9"/>
      <c r="I776" s="10"/>
      <c r="J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6:27" s="1" customFormat="1">
      <c r="F777" s="7"/>
      <c r="G777" s="8"/>
      <c r="H777" s="9"/>
      <c r="I777" s="10"/>
      <c r="J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6:27" s="1" customFormat="1">
      <c r="F778" s="7"/>
      <c r="G778" s="8"/>
      <c r="H778" s="9"/>
      <c r="I778" s="10"/>
      <c r="J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6:27" s="1" customFormat="1">
      <c r="F779" s="7"/>
      <c r="G779" s="8"/>
      <c r="H779" s="9"/>
      <c r="I779" s="10"/>
      <c r="J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6:27" s="1" customFormat="1">
      <c r="F780" s="7"/>
      <c r="G780" s="8"/>
      <c r="H780" s="9"/>
      <c r="I780" s="10"/>
      <c r="J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6:27" s="1" customFormat="1">
      <c r="F781" s="7"/>
      <c r="G781" s="8"/>
      <c r="H781" s="9"/>
      <c r="I781" s="10"/>
      <c r="J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6:27" s="1" customFormat="1">
      <c r="F782" s="7"/>
      <c r="G782" s="8"/>
      <c r="H782" s="9"/>
      <c r="I782" s="10"/>
      <c r="J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6:27" s="1" customFormat="1">
      <c r="F783" s="7"/>
      <c r="G783" s="8"/>
      <c r="H783" s="9"/>
      <c r="I783" s="10"/>
      <c r="J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6:27" s="1" customFormat="1">
      <c r="F784" s="7"/>
      <c r="G784" s="8"/>
      <c r="H784" s="9"/>
      <c r="I784" s="10"/>
      <c r="J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6:27" s="1" customFormat="1">
      <c r="F785" s="7"/>
      <c r="G785" s="8"/>
      <c r="H785" s="9"/>
      <c r="I785" s="10"/>
      <c r="J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6:27" s="1" customFormat="1">
      <c r="F786" s="7"/>
      <c r="G786" s="8"/>
      <c r="H786" s="9"/>
      <c r="I786" s="10"/>
      <c r="J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6:27" s="1" customFormat="1">
      <c r="F787" s="7"/>
      <c r="G787" s="8"/>
      <c r="H787" s="9"/>
      <c r="I787" s="10"/>
      <c r="J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6:27" s="1" customFormat="1">
      <c r="F788" s="7"/>
      <c r="G788" s="8"/>
      <c r="H788" s="9"/>
      <c r="I788" s="10"/>
      <c r="J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6:27" s="1" customFormat="1">
      <c r="F789" s="7"/>
      <c r="G789" s="8"/>
      <c r="H789" s="9"/>
      <c r="I789" s="10"/>
      <c r="J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6:27" s="1" customFormat="1">
      <c r="F790" s="7"/>
      <c r="G790" s="8"/>
      <c r="H790" s="9"/>
      <c r="I790" s="10"/>
      <c r="J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6:27" s="1" customFormat="1">
      <c r="F791" s="7"/>
      <c r="G791" s="8"/>
      <c r="H791" s="9"/>
      <c r="I791" s="10"/>
      <c r="J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6:27" s="1" customFormat="1">
      <c r="F792" s="7"/>
      <c r="G792" s="8"/>
      <c r="H792" s="9"/>
      <c r="I792" s="10"/>
      <c r="J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6:27" s="1" customFormat="1">
      <c r="F793" s="7"/>
      <c r="G793" s="8"/>
      <c r="H793" s="9"/>
      <c r="I793" s="10"/>
      <c r="J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6:27" s="1" customFormat="1">
      <c r="F794" s="7"/>
      <c r="G794" s="8"/>
      <c r="H794" s="9"/>
      <c r="I794" s="10"/>
      <c r="J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6:27" s="1" customFormat="1">
      <c r="F795" s="7"/>
      <c r="G795" s="8"/>
      <c r="H795" s="9"/>
      <c r="I795" s="10"/>
      <c r="J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6:27" s="1" customFormat="1">
      <c r="F796" s="7"/>
      <c r="G796" s="8"/>
      <c r="H796" s="9"/>
      <c r="I796" s="10"/>
      <c r="J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6:27" s="1" customFormat="1">
      <c r="F797" s="7"/>
      <c r="G797" s="8"/>
      <c r="H797" s="9"/>
      <c r="I797" s="10"/>
      <c r="J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6:27" s="1" customFormat="1">
      <c r="F798" s="7"/>
      <c r="G798" s="8"/>
      <c r="H798" s="9"/>
      <c r="I798" s="10"/>
      <c r="J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6:27" s="1" customFormat="1">
      <c r="F799" s="7"/>
      <c r="G799" s="8"/>
      <c r="H799" s="9"/>
      <c r="I799" s="10"/>
      <c r="J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6:27" s="1" customFormat="1">
      <c r="F800" s="7"/>
      <c r="G800" s="8"/>
      <c r="H800" s="9"/>
      <c r="I800" s="10"/>
      <c r="J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6:27" s="1" customFormat="1">
      <c r="F801" s="7"/>
      <c r="G801" s="8"/>
      <c r="H801" s="9"/>
      <c r="I801" s="10"/>
      <c r="J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6:27" s="1" customFormat="1">
      <c r="F802" s="7"/>
      <c r="G802" s="8"/>
      <c r="H802" s="9"/>
      <c r="I802" s="10"/>
      <c r="J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6:27" s="1" customFormat="1">
      <c r="F803" s="7"/>
      <c r="G803" s="8"/>
      <c r="H803" s="9"/>
      <c r="I803" s="10"/>
      <c r="J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6:27" s="1" customFormat="1">
      <c r="F804" s="7"/>
      <c r="G804" s="8"/>
      <c r="H804" s="9"/>
      <c r="I804" s="10"/>
      <c r="J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6:27" s="1" customFormat="1">
      <c r="F805" s="7"/>
      <c r="G805" s="8"/>
      <c r="H805" s="9"/>
      <c r="I805" s="10"/>
      <c r="J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6:27" s="1" customFormat="1">
      <c r="F806" s="7"/>
      <c r="G806" s="8"/>
      <c r="H806" s="9"/>
      <c r="I806" s="10"/>
      <c r="J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6:27" s="1" customFormat="1">
      <c r="F807" s="7"/>
      <c r="G807" s="8"/>
      <c r="H807" s="9"/>
      <c r="I807" s="10"/>
      <c r="J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6:27" s="1" customFormat="1">
      <c r="F808" s="7"/>
      <c r="G808" s="8"/>
      <c r="H808" s="9"/>
      <c r="I808" s="10"/>
      <c r="J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6:27" s="1" customFormat="1">
      <c r="F809" s="7"/>
      <c r="G809" s="8"/>
      <c r="H809" s="9"/>
      <c r="I809" s="10"/>
      <c r="J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6:27" s="1" customFormat="1">
      <c r="F810" s="7"/>
      <c r="G810" s="8"/>
      <c r="H810" s="9"/>
      <c r="I810" s="10"/>
      <c r="J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6:27" s="1" customFormat="1">
      <c r="F811" s="7"/>
      <c r="G811" s="8"/>
      <c r="H811" s="9"/>
      <c r="I811" s="10"/>
      <c r="J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6:27" s="1" customFormat="1">
      <c r="F812" s="7"/>
      <c r="G812" s="8"/>
      <c r="H812" s="9"/>
      <c r="I812" s="10"/>
      <c r="J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6:27" s="1" customFormat="1">
      <c r="F813" s="7"/>
      <c r="G813" s="8"/>
      <c r="H813" s="9"/>
      <c r="I813" s="10"/>
      <c r="J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6:27" s="1" customFormat="1">
      <c r="F814" s="7"/>
      <c r="G814" s="8"/>
      <c r="H814" s="9"/>
      <c r="I814" s="10"/>
      <c r="J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6:27" s="1" customFormat="1">
      <c r="F815" s="7"/>
      <c r="G815" s="8"/>
      <c r="H815" s="9"/>
      <c r="I815" s="10"/>
      <c r="J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6:27" s="1" customFormat="1">
      <c r="F816" s="7"/>
      <c r="G816" s="8"/>
      <c r="H816" s="9"/>
      <c r="I816" s="10"/>
      <c r="J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6:27" s="1" customFormat="1">
      <c r="F817" s="7"/>
      <c r="G817" s="8"/>
      <c r="H817" s="9"/>
      <c r="I817" s="10"/>
      <c r="J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6:27" s="1" customFormat="1">
      <c r="F818" s="7"/>
      <c r="G818" s="8"/>
      <c r="H818" s="9"/>
      <c r="I818" s="10"/>
      <c r="J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6:27" s="1" customFormat="1">
      <c r="F819" s="7"/>
      <c r="G819" s="8"/>
      <c r="H819" s="9"/>
      <c r="I819" s="10"/>
      <c r="J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6:27" s="1" customFormat="1">
      <c r="F820" s="7"/>
      <c r="G820" s="8"/>
      <c r="H820" s="9"/>
      <c r="I820" s="10"/>
      <c r="J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6:27" s="1" customFormat="1">
      <c r="F821" s="7"/>
      <c r="G821" s="8"/>
      <c r="H821" s="9"/>
      <c r="I821" s="10"/>
      <c r="J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6:27" s="1" customFormat="1">
      <c r="F822" s="7"/>
      <c r="G822" s="8"/>
      <c r="H822" s="9"/>
      <c r="I822" s="10"/>
      <c r="J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6:27" s="1" customFormat="1">
      <c r="F823" s="7"/>
      <c r="G823" s="8"/>
      <c r="H823" s="9"/>
      <c r="I823" s="10"/>
      <c r="J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6:27" s="1" customFormat="1">
      <c r="F824" s="7"/>
      <c r="G824" s="8"/>
      <c r="H824" s="9"/>
      <c r="I824" s="10"/>
      <c r="J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6:27" s="1" customFormat="1">
      <c r="F825" s="7"/>
      <c r="G825" s="8"/>
      <c r="H825" s="9"/>
      <c r="I825" s="10"/>
      <c r="J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6:27" s="1" customFormat="1">
      <c r="F826" s="7"/>
      <c r="G826" s="8"/>
      <c r="H826" s="9"/>
      <c r="I826" s="10"/>
      <c r="J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6:27" s="1" customFormat="1">
      <c r="F827" s="7"/>
      <c r="G827" s="8"/>
      <c r="H827" s="9"/>
      <c r="I827" s="10"/>
      <c r="J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6:27" s="1" customFormat="1">
      <c r="F828" s="7"/>
      <c r="G828" s="8"/>
      <c r="H828" s="9"/>
      <c r="I828" s="10"/>
      <c r="J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6:27" s="1" customFormat="1">
      <c r="F829" s="7"/>
      <c r="G829" s="8"/>
      <c r="H829" s="9"/>
      <c r="I829" s="10"/>
      <c r="J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6:27" s="1" customFormat="1">
      <c r="F830" s="7"/>
      <c r="G830" s="8"/>
      <c r="H830" s="9"/>
      <c r="I830" s="10"/>
      <c r="J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6:27" s="1" customFormat="1">
      <c r="F831" s="7"/>
      <c r="G831" s="8"/>
      <c r="H831" s="9"/>
      <c r="I831" s="10"/>
      <c r="J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6:27" s="1" customFormat="1">
      <c r="F832" s="7"/>
      <c r="G832" s="8"/>
      <c r="H832" s="9"/>
      <c r="I832" s="10"/>
      <c r="J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6:27" s="1" customFormat="1">
      <c r="F833" s="7"/>
      <c r="G833" s="8"/>
      <c r="H833" s="9"/>
      <c r="I833" s="10"/>
      <c r="J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6:27" s="1" customFormat="1">
      <c r="F834" s="7"/>
      <c r="G834" s="8"/>
      <c r="H834" s="9"/>
      <c r="I834" s="10"/>
      <c r="J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6:27" s="1" customFormat="1">
      <c r="F835" s="7"/>
      <c r="G835" s="8"/>
      <c r="H835" s="9"/>
      <c r="I835" s="10"/>
      <c r="J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6:27" s="1" customFormat="1">
      <c r="F836" s="7"/>
      <c r="G836" s="8"/>
      <c r="H836" s="9"/>
      <c r="I836" s="10"/>
      <c r="J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6:27" s="1" customFormat="1">
      <c r="F837" s="7"/>
      <c r="G837" s="8"/>
      <c r="H837" s="9"/>
      <c r="I837" s="10"/>
      <c r="J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6:27" s="1" customFormat="1">
      <c r="F838" s="7"/>
      <c r="G838" s="8"/>
      <c r="H838" s="9"/>
      <c r="I838" s="10"/>
      <c r="J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6:27" s="1" customFormat="1">
      <c r="F839" s="7"/>
      <c r="G839" s="8"/>
      <c r="H839" s="9"/>
      <c r="I839" s="10"/>
      <c r="J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6:27" s="1" customFormat="1">
      <c r="F840" s="7"/>
      <c r="G840" s="8"/>
      <c r="H840" s="9"/>
      <c r="I840" s="10"/>
      <c r="J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6:27" s="1" customFormat="1">
      <c r="F841" s="7"/>
      <c r="G841" s="8"/>
      <c r="H841" s="9"/>
      <c r="I841" s="10"/>
      <c r="J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6:27" s="1" customFormat="1">
      <c r="F842" s="7"/>
      <c r="G842" s="8"/>
      <c r="H842" s="9"/>
      <c r="I842" s="10"/>
      <c r="J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6:27" s="1" customFormat="1">
      <c r="F843" s="7"/>
      <c r="G843" s="8"/>
      <c r="H843" s="9"/>
      <c r="I843" s="10"/>
      <c r="J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6:27" s="1" customFormat="1">
      <c r="F844" s="7"/>
      <c r="G844" s="8"/>
      <c r="H844" s="9"/>
      <c r="I844" s="10"/>
      <c r="J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6:27" s="1" customFormat="1">
      <c r="F845" s="7"/>
      <c r="G845" s="8"/>
      <c r="H845" s="9"/>
      <c r="I845" s="10"/>
      <c r="J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6:27" s="1" customFormat="1">
      <c r="F846" s="7"/>
      <c r="G846" s="8"/>
      <c r="H846" s="9"/>
      <c r="I846" s="10"/>
      <c r="J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6:27" s="1" customFormat="1">
      <c r="F847" s="7"/>
      <c r="G847" s="8"/>
      <c r="H847" s="9"/>
      <c r="I847" s="10"/>
      <c r="J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6:27" s="1" customFormat="1">
      <c r="F848" s="7"/>
      <c r="G848" s="8"/>
      <c r="H848" s="9"/>
      <c r="I848" s="10"/>
      <c r="J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6:27" s="1" customFormat="1">
      <c r="F849" s="7"/>
      <c r="G849" s="8"/>
      <c r="H849" s="9"/>
      <c r="I849" s="10"/>
      <c r="J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6:27" s="1" customFormat="1">
      <c r="F850" s="7"/>
      <c r="G850" s="8"/>
      <c r="H850" s="9"/>
      <c r="I850" s="10"/>
      <c r="J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6:27" s="1" customFormat="1">
      <c r="F851" s="7"/>
      <c r="G851" s="8"/>
      <c r="H851" s="9"/>
      <c r="I851" s="10"/>
      <c r="J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6:27" s="1" customFormat="1">
      <c r="F852" s="7"/>
      <c r="G852" s="8"/>
      <c r="H852" s="9"/>
      <c r="I852" s="10"/>
      <c r="J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6:27" s="1" customFormat="1">
      <c r="F853" s="7"/>
      <c r="G853" s="8"/>
      <c r="H853" s="9"/>
      <c r="I853" s="10"/>
      <c r="J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6:27" s="1" customFormat="1">
      <c r="F854" s="7"/>
      <c r="G854" s="8"/>
      <c r="H854" s="9"/>
      <c r="I854" s="10"/>
      <c r="J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6:27" s="1" customFormat="1">
      <c r="F855" s="7"/>
      <c r="G855" s="8"/>
      <c r="H855" s="9"/>
      <c r="I855" s="10"/>
      <c r="J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6:27" s="1" customFormat="1">
      <c r="F856" s="7"/>
      <c r="G856" s="8"/>
      <c r="H856" s="9"/>
      <c r="I856" s="10"/>
      <c r="J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6:27" s="1" customFormat="1">
      <c r="F857" s="7"/>
      <c r="G857" s="8"/>
      <c r="H857" s="9"/>
      <c r="I857" s="10"/>
      <c r="J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6:27" s="1" customFormat="1">
      <c r="F858" s="7"/>
      <c r="G858" s="8"/>
      <c r="H858" s="9"/>
      <c r="I858" s="10"/>
      <c r="J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6:27" s="1" customFormat="1">
      <c r="F859" s="7"/>
      <c r="G859" s="8"/>
      <c r="H859" s="9"/>
      <c r="I859" s="10"/>
      <c r="J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6:27" s="1" customFormat="1">
      <c r="F860" s="7"/>
      <c r="G860" s="8"/>
      <c r="H860" s="9"/>
      <c r="I860" s="10"/>
      <c r="J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6:27" s="1" customFormat="1">
      <c r="F861" s="7"/>
      <c r="G861" s="8"/>
      <c r="H861" s="9"/>
      <c r="I861" s="10"/>
      <c r="J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6:27" s="1" customFormat="1">
      <c r="F862" s="7"/>
      <c r="G862" s="8"/>
      <c r="H862" s="9"/>
      <c r="I862" s="10"/>
      <c r="J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6:27" s="1" customFormat="1">
      <c r="F863" s="7"/>
      <c r="G863" s="8"/>
      <c r="H863" s="9"/>
      <c r="I863" s="10"/>
      <c r="J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6:27" s="1" customFormat="1">
      <c r="F864" s="7"/>
      <c r="G864" s="8"/>
      <c r="H864" s="9"/>
      <c r="I864" s="10"/>
      <c r="J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6:27" s="1" customFormat="1">
      <c r="F865" s="7"/>
      <c r="G865" s="8"/>
      <c r="H865" s="9"/>
      <c r="I865" s="10"/>
      <c r="J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6:27" s="1" customFormat="1">
      <c r="F866" s="7"/>
      <c r="G866" s="8"/>
      <c r="H866" s="9"/>
      <c r="I866" s="10"/>
      <c r="J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6:27" s="1" customFormat="1">
      <c r="F867" s="7"/>
      <c r="G867" s="8"/>
      <c r="H867" s="9"/>
      <c r="I867" s="10"/>
      <c r="J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6:27" s="1" customFormat="1">
      <c r="F868" s="7"/>
      <c r="G868" s="8"/>
      <c r="H868" s="9"/>
      <c r="I868" s="10"/>
      <c r="J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6:27" s="1" customFormat="1">
      <c r="F869" s="7"/>
      <c r="G869" s="8"/>
      <c r="H869" s="9"/>
      <c r="I869" s="10"/>
      <c r="J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6:27" s="1" customFormat="1">
      <c r="F870" s="7"/>
      <c r="G870" s="8"/>
      <c r="H870" s="9"/>
      <c r="I870" s="10"/>
      <c r="J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6:27" s="1" customFormat="1">
      <c r="F871" s="7"/>
      <c r="G871" s="8"/>
      <c r="H871" s="9"/>
      <c r="I871" s="10"/>
      <c r="J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6:27" s="1" customFormat="1">
      <c r="F872" s="7"/>
      <c r="G872" s="8"/>
      <c r="H872" s="9"/>
      <c r="I872" s="10"/>
      <c r="J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6:27" s="1" customFormat="1">
      <c r="F873" s="7"/>
      <c r="G873" s="8"/>
      <c r="H873" s="9"/>
      <c r="I873" s="10"/>
      <c r="J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6:27" s="1" customFormat="1">
      <c r="F874" s="7"/>
      <c r="G874" s="8"/>
      <c r="H874" s="9"/>
      <c r="I874" s="10"/>
      <c r="J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6:27" s="1" customFormat="1">
      <c r="F875" s="7"/>
      <c r="G875" s="8"/>
      <c r="H875" s="9"/>
      <c r="I875" s="10"/>
      <c r="J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6:27" s="1" customFormat="1">
      <c r="F876" s="7"/>
      <c r="G876" s="8"/>
      <c r="H876" s="9"/>
      <c r="I876" s="10"/>
      <c r="J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6:27" s="1" customFormat="1">
      <c r="F877" s="7"/>
      <c r="G877" s="8"/>
      <c r="H877" s="9"/>
      <c r="I877" s="10"/>
      <c r="J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6:27" s="1" customFormat="1">
      <c r="F878" s="7"/>
      <c r="G878" s="8"/>
      <c r="H878" s="9"/>
      <c r="I878" s="10"/>
      <c r="J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6:27" s="1" customFormat="1">
      <c r="F879" s="7"/>
      <c r="G879" s="8"/>
      <c r="H879" s="9"/>
      <c r="I879" s="10"/>
      <c r="J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6:27" s="1" customFormat="1">
      <c r="F880" s="7"/>
      <c r="G880" s="8"/>
      <c r="H880" s="9"/>
      <c r="I880" s="10"/>
      <c r="J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6:27" s="1" customFormat="1">
      <c r="F881" s="7"/>
      <c r="G881" s="8"/>
      <c r="H881" s="9"/>
      <c r="I881" s="10"/>
      <c r="J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6:27" s="1" customFormat="1">
      <c r="F882" s="7"/>
      <c r="G882" s="8"/>
      <c r="H882" s="9"/>
      <c r="I882" s="10"/>
      <c r="J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6:27" s="1" customFormat="1">
      <c r="F883" s="7"/>
      <c r="G883" s="8"/>
      <c r="H883" s="9"/>
      <c r="I883" s="10"/>
      <c r="J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6:27" s="1" customFormat="1">
      <c r="F884" s="7"/>
      <c r="G884" s="8"/>
      <c r="H884" s="9"/>
      <c r="I884" s="10"/>
      <c r="J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6:27" s="1" customFormat="1">
      <c r="F885" s="7"/>
      <c r="G885" s="8"/>
      <c r="H885" s="9"/>
      <c r="I885" s="10"/>
      <c r="J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6:27" s="1" customFormat="1">
      <c r="F886" s="7"/>
      <c r="G886" s="8"/>
      <c r="H886" s="9"/>
      <c r="I886" s="10"/>
      <c r="J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6:27" s="1" customFormat="1">
      <c r="F887" s="7"/>
      <c r="G887" s="8"/>
      <c r="H887" s="9"/>
      <c r="I887" s="10"/>
      <c r="J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6:27" s="1" customFormat="1">
      <c r="F888" s="7"/>
      <c r="G888" s="8"/>
      <c r="H888" s="9"/>
      <c r="I888" s="10"/>
      <c r="J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6:27" s="1" customFormat="1">
      <c r="F889" s="7"/>
      <c r="G889" s="8"/>
      <c r="H889" s="9"/>
      <c r="I889" s="10"/>
      <c r="J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6:27" s="1" customFormat="1">
      <c r="F890" s="7"/>
      <c r="G890" s="8"/>
      <c r="H890" s="9"/>
      <c r="I890" s="10"/>
      <c r="J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6:27" s="1" customFormat="1">
      <c r="F891" s="7"/>
      <c r="G891" s="8"/>
      <c r="H891" s="9"/>
      <c r="I891" s="10"/>
      <c r="J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6:27" s="1" customFormat="1">
      <c r="F892" s="7"/>
      <c r="G892" s="8"/>
      <c r="H892" s="9"/>
      <c r="I892" s="10"/>
      <c r="J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6:27" s="1" customFormat="1">
      <c r="F893" s="7"/>
      <c r="G893" s="8"/>
      <c r="H893" s="9"/>
      <c r="I893" s="10"/>
      <c r="J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6:27" s="1" customFormat="1">
      <c r="F894" s="7"/>
      <c r="G894" s="8"/>
      <c r="H894" s="9"/>
      <c r="I894" s="10"/>
      <c r="J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6:27" s="1" customFormat="1">
      <c r="F895" s="7"/>
      <c r="G895" s="8"/>
      <c r="H895" s="9"/>
      <c r="I895" s="10"/>
      <c r="J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6:27" s="1" customFormat="1">
      <c r="F896" s="7"/>
      <c r="G896" s="8"/>
      <c r="H896" s="9"/>
      <c r="I896" s="10"/>
      <c r="J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6:27" s="1" customFormat="1">
      <c r="F897" s="7"/>
      <c r="G897" s="8"/>
      <c r="H897" s="9"/>
      <c r="I897" s="10"/>
      <c r="J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6:27" s="1" customFormat="1">
      <c r="F898" s="7"/>
      <c r="G898" s="8"/>
      <c r="H898" s="9"/>
      <c r="I898" s="10"/>
      <c r="J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6:27" s="1" customFormat="1">
      <c r="F899" s="7"/>
      <c r="G899" s="8"/>
      <c r="H899" s="9"/>
      <c r="I899" s="10"/>
      <c r="J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6:27" s="1" customFormat="1">
      <c r="F900" s="7"/>
      <c r="G900" s="8"/>
      <c r="H900" s="9"/>
      <c r="I900" s="10"/>
      <c r="J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6:27" s="1" customFormat="1">
      <c r="F901" s="7"/>
      <c r="G901" s="8"/>
      <c r="H901" s="9"/>
      <c r="I901" s="10"/>
      <c r="J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6:27" s="1" customFormat="1">
      <c r="F902" s="7"/>
      <c r="G902" s="8"/>
      <c r="H902" s="9"/>
      <c r="I902" s="10"/>
      <c r="J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6:27" s="1" customFormat="1">
      <c r="F903" s="7"/>
      <c r="G903" s="8"/>
      <c r="H903" s="9"/>
      <c r="I903" s="10"/>
      <c r="J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6:27" s="1" customFormat="1">
      <c r="F904" s="7"/>
      <c r="G904" s="8"/>
      <c r="H904" s="9"/>
      <c r="I904" s="10"/>
      <c r="J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6:27" s="1" customFormat="1">
      <c r="F905" s="7"/>
      <c r="G905" s="8"/>
      <c r="H905" s="9"/>
      <c r="I905" s="10"/>
      <c r="J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6:27" s="1" customFormat="1">
      <c r="F906" s="7"/>
      <c r="G906" s="8"/>
      <c r="H906" s="9"/>
      <c r="I906" s="10"/>
      <c r="J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6:27" s="1" customFormat="1">
      <c r="F907" s="7"/>
      <c r="G907" s="8"/>
      <c r="H907" s="9"/>
      <c r="I907" s="10"/>
      <c r="J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6:27" s="1" customFormat="1">
      <c r="F908" s="7"/>
      <c r="G908" s="8"/>
      <c r="H908" s="9"/>
      <c r="I908" s="10"/>
      <c r="J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6:27" s="1" customFormat="1">
      <c r="F909" s="7"/>
      <c r="G909" s="8"/>
      <c r="H909" s="9"/>
      <c r="I909" s="10"/>
      <c r="J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6:27" s="1" customFormat="1">
      <c r="F910" s="7"/>
      <c r="G910" s="8"/>
      <c r="H910" s="9"/>
      <c r="I910" s="10"/>
      <c r="J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6:27" s="1" customFormat="1">
      <c r="F911" s="7"/>
      <c r="G911" s="8"/>
      <c r="H911" s="9"/>
      <c r="I911" s="10"/>
      <c r="J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6:27" s="1" customFormat="1">
      <c r="F912" s="7"/>
      <c r="G912" s="8"/>
      <c r="H912" s="9"/>
      <c r="I912" s="10"/>
      <c r="J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s="1" customFormat="1">
      <c r="F913" s="7"/>
      <c r="G913" s="8"/>
      <c r="H913" s="9"/>
      <c r="I913" s="10"/>
      <c r="J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s="1" customFormat="1">
      <c r="F914" s="7"/>
      <c r="G914" s="8"/>
      <c r="H914" s="9"/>
      <c r="I914" s="10"/>
      <c r="J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s="1" customFormat="1">
      <c r="F915" s="7"/>
      <c r="G915" s="8"/>
      <c r="H915" s="9"/>
      <c r="I915" s="10"/>
      <c r="J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s="1" customFormat="1">
      <c r="F916" s="7"/>
      <c r="G916" s="8"/>
      <c r="H916" s="9"/>
      <c r="I916" s="10"/>
      <c r="J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s="1" customFormat="1">
      <c r="F917" s="7"/>
      <c r="G917" s="8"/>
      <c r="H917" s="9"/>
      <c r="I917" s="10"/>
      <c r="J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s="1" customFormat="1">
      <c r="F918" s="7"/>
      <c r="G918" s="8"/>
      <c r="H918" s="9"/>
      <c r="I918" s="10"/>
      <c r="J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>
      <c r="A919" s="1"/>
      <c r="B919" s="1"/>
      <c r="C919" s="1"/>
      <c r="D919" s="1"/>
      <c r="E919" s="1"/>
      <c r="F919" s="7"/>
      <c r="G919" s="8"/>
      <c r="H919" s="9"/>
      <c r="I919" s="10"/>
      <c r="J919" s="10"/>
      <c r="K919" s="1"/>
      <c r="L919" s="1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>
      <c r="A920" s="1"/>
      <c r="B920" s="1"/>
      <c r="C920" s="1"/>
      <c r="D920" s="1"/>
      <c r="E920" s="1"/>
      <c r="F920" s="7"/>
      <c r="G920" s="8"/>
      <c r="H920" s="9"/>
      <c r="I920" s="10"/>
      <c r="J920" s="10"/>
      <c r="K920" s="1"/>
      <c r="L920" s="1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>
      <c r="A921" s="1"/>
      <c r="B921" s="1"/>
      <c r="C921" s="1"/>
      <c r="D921" s="1"/>
      <c r="E921" s="1"/>
      <c r="F921" s="7"/>
      <c r="G921" s="8"/>
      <c r="H921" s="9"/>
      <c r="I921" s="10"/>
      <c r="J921" s="10"/>
      <c r="K921" s="1"/>
      <c r="L921" s="1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>
      <c r="A922" s="1"/>
      <c r="B922" s="1"/>
      <c r="C922" s="1"/>
      <c r="D922" s="1"/>
      <c r="E922" s="1"/>
      <c r="F922" s="7"/>
      <c r="G922" s="8"/>
      <c r="H922" s="9"/>
      <c r="I922" s="10"/>
      <c r="J922" s="10"/>
      <c r="K922" s="1"/>
      <c r="L922" s="1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>
      <c r="A923" s="1"/>
      <c r="B923" s="1"/>
      <c r="C923" s="1"/>
      <c r="D923" s="1"/>
      <c r="E923" s="1"/>
      <c r="F923" s="7"/>
      <c r="G923" s="8"/>
      <c r="H923" s="9"/>
      <c r="I923" s="10"/>
      <c r="J923" s="10"/>
      <c r="K923" s="1"/>
      <c r="L923" s="1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</sheetData>
  <mergeCells count="9">
    <mergeCell ref="D1:AA1"/>
    <mergeCell ref="D3:AA3"/>
    <mergeCell ref="D2:AA2"/>
    <mergeCell ref="D4:E4"/>
    <mergeCell ref="K8:N8"/>
    <mergeCell ref="E8:J8"/>
    <mergeCell ref="O8:R8"/>
    <mergeCell ref="S8:V8"/>
    <mergeCell ref="W8:Z8"/>
  </mergeCells>
  <phoneticPr fontId="3" type="noConversion"/>
  <printOptions horizontalCentered="1"/>
  <pageMargins left="1" right="1" top="1" bottom="1" header="0.5" footer="0.5"/>
  <pageSetup scale="47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EA55-FF80-4821-A69B-B5E148348FBC}">
  <dimension ref="A1:B10"/>
  <sheetViews>
    <sheetView workbookViewId="0">
      <selection activeCell="B13" sqref="B13"/>
    </sheetView>
  </sheetViews>
  <sheetFormatPr defaultColWidth="8.83203125" defaultRowHeight="18.3"/>
  <cols>
    <col min="1" max="1" width="71" style="128" bestFit="1" customWidth="1"/>
    <col min="2" max="2" width="12" style="128" bestFit="1" customWidth="1"/>
    <col min="3" max="16384" width="8.83203125" style="128"/>
  </cols>
  <sheetData>
    <row r="1" spans="1:2">
      <c r="A1" s="302" t="s">
        <v>128</v>
      </c>
      <c r="B1" s="303"/>
    </row>
    <row r="2" spans="1:2">
      <c r="A2" s="129" t="s">
        <v>168</v>
      </c>
      <c r="B2" s="130">
        <f>'POA Line Item Budget'!AA13</f>
        <v>116891.1</v>
      </c>
    </row>
    <row r="3" spans="1:2">
      <c r="A3" s="129" t="s">
        <v>167</v>
      </c>
      <c r="B3" s="130">
        <f>'POA Line Item Budget'!AA20</f>
        <v>41227.490969999999</v>
      </c>
    </row>
    <row r="4" spans="1:2">
      <c r="A4" s="129" t="str">
        <f>'POA Line Item Budget'!D124</f>
        <v>Customize M&amp;E Database for Project</v>
      </c>
      <c r="B4" s="130">
        <f>'POA Line Item Budget'!AA124</f>
        <v>4468.32</v>
      </c>
    </row>
    <row r="5" spans="1:2">
      <c r="A5" s="129" t="str">
        <f>'POA Line Item Budget'!D125</f>
        <v>M&amp;E Materials</v>
      </c>
      <c r="B5" s="130">
        <f>'POA Line Item Budget'!AA125</f>
        <v>4603.8741760000003</v>
      </c>
    </row>
    <row r="6" spans="1:2">
      <c r="A6" s="129" t="str">
        <f>'POA Line Item Budget'!D126</f>
        <v>M&amp;E Training and Coordination Meetings</v>
      </c>
      <c r="B6" s="130">
        <f>'POA Line Item Budget'!AA126</f>
        <v>2708.1612800000007</v>
      </c>
    </row>
    <row r="7" spans="1:2">
      <c r="A7" s="129" t="s">
        <v>160</v>
      </c>
      <c r="B7" s="130">
        <f>'POA Line Item Budget'!AA63</f>
        <v>27040</v>
      </c>
    </row>
    <row r="8" spans="1:2">
      <c r="A8" s="129" t="s">
        <v>161</v>
      </c>
      <c r="B8" s="130">
        <f>'POA Line Item Budget'!AA64</f>
        <v>29246.464000000004</v>
      </c>
    </row>
    <row r="9" spans="1:2" s="132" customFormat="1">
      <c r="A9" s="131" t="s">
        <v>129</v>
      </c>
      <c r="B9" s="130">
        <f>SUM(B2:B8)</f>
        <v>226185.41042600005</v>
      </c>
    </row>
    <row r="10" spans="1:2" s="132" customFormat="1">
      <c r="A10" s="131" t="s">
        <v>130</v>
      </c>
      <c r="B10" s="133">
        <f>B9/2500000</f>
        <v>9.0474164170400023E-2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0"/>
  <sheetViews>
    <sheetView zoomScale="80" zoomScaleNormal="70" zoomScaleSheetLayoutView="100" workbookViewId="0">
      <selection activeCell="E21" sqref="E21"/>
    </sheetView>
  </sheetViews>
  <sheetFormatPr defaultColWidth="9.1640625" defaultRowHeight="18.3"/>
  <cols>
    <col min="1" max="1" width="38.5546875" style="134" bestFit="1" customWidth="1"/>
    <col min="2" max="7" width="11.44140625" style="134" customWidth="1"/>
    <col min="8" max="8" width="19.83203125" style="134" customWidth="1"/>
    <col min="9" max="16384" width="9.1640625" style="134"/>
  </cols>
  <sheetData>
    <row r="1" spans="1:9" ht="18.600000000000001" thickBot="1">
      <c r="A1" s="304" t="s">
        <v>0</v>
      </c>
      <c r="B1" s="305"/>
      <c r="C1" s="305"/>
      <c r="D1" s="305"/>
      <c r="E1" s="305"/>
      <c r="F1" s="305"/>
      <c r="G1" s="305"/>
      <c r="H1" s="305"/>
    </row>
    <row r="2" spans="1:9" ht="18.600000000000001" thickBot="1">
      <c r="A2" s="304" t="s">
        <v>1</v>
      </c>
      <c r="B2" s="305"/>
      <c r="C2" s="305"/>
      <c r="D2" s="305"/>
      <c r="E2" s="305"/>
      <c r="F2" s="305"/>
      <c r="G2" s="305"/>
      <c r="H2" s="305"/>
    </row>
    <row r="3" spans="1:9" ht="18.600000000000001" thickBot="1">
      <c r="A3" s="304" t="s">
        <v>131</v>
      </c>
      <c r="B3" s="305"/>
      <c r="C3" s="305"/>
      <c r="D3" s="305"/>
      <c r="E3" s="305"/>
      <c r="F3" s="305"/>
      <c r="G3" s="305"/>
      <c r="H3" s="305"/>
    </row>
    <row r="4" spans="1:9" ht="18.600000000000001" thickBot="1">
      <c r="A4" s="304" t="s">
        <v>166</v>
      </c>
      <c r="B4" s="307"/>
      <c r="C4" s="307"/>
      <c r="D4" s="307"/>
      <c r="E4" s="307"/>
      <c r="F4" s="307"/>
      <c r="G4" s="307"/>
      <c r="H4" s="307"/>
    </row>
    <row r="5" spans="1:9">
      <c r="A5" s="154"/>
      <c r="B5" s="155" t="s">
        <v>7</v>
      </c>
      <c r="C5" s="155" t="s">
        <v>8</v>
      </c>
      <c r="D5" s="155" t="s">
        <v>147</v>
      </c>
      <c r="E5" s="155" t="s">
        <v>148</v>
      </c>
      <c r="F5" s="155" t="s">
        <v>149</v>
      </c>
      <c r="G5" s="306" t="s">
        <v>132</v>
      </c>
      <c r="H5" s="306"/>
    </row>
    <row r="6" spans="1:9" s="136" customFormat="1" ht="36.6">
      <c r="A6" s="135" t="s">
        <v>133</v>
      </c>
      <c r="B6" s="135" t="s">
        <v>134</v>
      </c>
      <c r="C6" s="135" t="s">
        <v>134</v>
      </c>
      <c r="D6" s="135" t="s">
        <v>134</v>
      </c>
      <c r="E6" s="135" t="s">
        <v>134</v>
      </c>
      <c r="F6" s="135" t="s">
        <v>134</v>
      </c>
      <c r="G6" s="135" t="s">
        <v>135</v>
      </c>
      <c r="H6" s="135" t="s">
        <v>17</v>
      </c>
    </row>
    <row r="7" spans="1:9">
      <c r="A7" s="137" t="s">
        <v>136</v>
      </c>
      <c r="B7" s="138">
        <f>'POA Line Item Budget'!J16</f>
        <v>127621.2</v>
      </c>
      <c r="C7" s="138">
        <f>'POA Line Item Budget'!N16</f>
        <v>151327.26</v>
      </c>
      <c r="D7" s="278">
        <f>'POA Line Item Budget'!R16</f>
        <v>158893.62300000002</v>
      </c>
      <c r="E7" s="276">
        <f>'POA Line Item Budget'!V16</f>
        <v>166838.30415000001</v>
      </c>
      <c r="F7" s="276">
        <f>'POA Line Item Budget'!Z16</f>
        <v>142604.65185750002</v>
      </c>
      <c r="G7" s="139">
        <v>0</v>
      </c>
      <c r="H7" s="140">
        <f>B7+C7+D7+E7+F7</f>
        <v>747285.03900750005</v>
      </c>
      <c r="I7" s="141"/>
    </row>
    <row r="8" spans="1:9">
      <c r="A8" s="137" t="s">
        <v>137</v>
      </c>
      <c r="B8" s="138">
        <f>'POA Line Item Budget'!J23</f>
        <v>42647.135640000008</v>
      </c>
      <c r="C8" s="138">
        <f>'POA Line Item Budget'!N23</f>
        <v>50890.019921999999</v>
      </c>
      <c r="D8" s="278">
        <f>'POA Line Item Budget'!R23</f>
        <v>53434.520918100003</v>
      </c>
      <c r="E8" s="276">
        <f>'POA Line Item Budget'!V23</f>
        <v>56106.246964005011</v>
      </c>
      <c r="F8" s="276">
        <f>'POA Line Item Budget'!Z23</f>
        <v>47422.156654955259</v>
      </c>
      <c r="G8" s="139">
        <v>0</v>
      </c>
      <c r="H8" s="140">
        <f t="shared" ref="H8:H16" si="0">B8+C8+D8+E8+F8</f>
        <v>250500.08009906029</v>
      </c>
      <c r="I8" s="141"/>
    </row>
    <row r="9" spans="1:9">
      <c r="A9" s="137" t="s">
        <v>138</v>
      </c>
      <c r="B9" s="138">
        <f>'POA Line Item Budget'!J43</f>
        <v>11343</v>
      </c>
      <c r="C9" s="138">
        <f>'POA Line Item Budget'!N43</f>
        <v>23736.959999999999</v>
      </c>
      <c r="D9" s="278">
        <f>'POA Line Item Budget'!R43</f>
        <v>24686.438400000003</v>
      </c>
      <c r="E9" s="276">
        <f>'POA Line Item Budget'!V43</f>
        <v>21489.401856000004</v>
      </c>
      <c r="F9" s="276">
        <f>'POA Line Item Budget'!Z43</f>
        <v>12381.782999040002</v>
      </c>
      <c r="G9" s="139">
        <v>0</v>
      </c>
      <c r="H9" s="140">
        <f t="shared" si="0"/>
        <v>93637.583255040023</v>
      </c>
      <c r="I9" s="141"/>
    </row>
    <row r="10" spans="1:9">
      <c r="A10" s="137" t="s">
        <v>139</v>
      </c>
      <c r="B10" s="142"/>
      <c r="C10" s="142"/>
      <c r="D10" s="279"/>
      <c r="E10" s="277"/>
      <c r="F10" s="277"/>
      <c r="G10" s="143"/>
      <c r="H10" s="280">
        <f t="shared" si="0"/>
        <v>0</v>
      </c>
      <c r="I10" s="141"/>
    </row>
    <row r="11" spans="1:9">
      <c r="A11" s="137" t="s">
        <v>140</v>
      </c>
      <c r="B11" s="138">
        <f>'POA Line Item Budget'!J47</f>
        <v>6900</v>
      </c>
      <c r="C11" s="138">
        <f>'POA Line Item Budget'!N47</f>
        <v>1123.2</v>
      </c>
      <c r="D11" s="278">
        <f>'POA Line Item Budget'!R47</f>
        <v>1168.1280000000002</v>
      </c>
      <c r="E11" s="276">
        <f>'POA Line Item Budget'!V47</f>
        <v>1214.8531200000002</v>
      </c>
      <c r="F11" s="276">
        <f>'POA Line Item Budget'!Z47</f>
        <v>1263.4472448000001</v>
      </c>
      <c r="G11" s="139">
        <v>0</v>
      </c>
      <c r="H11" s="140">
        <f t="shared" si="0"/>
        <v>11669.628364799999</v>
      </c>
      <c r="I11" s="141"/>
    </row>
    <row r="12" spans="1:9">
      <c r="A12" s="137" t="s">
        <v>141</v>
      </c>
      <c r="B12" s="138">
        <f>'POA Line Item Budget'!J65</f>
        <v>36930</v>
      </c>
      <c r="C12" s="138">
        <f>'POA Line Item Budget'!N65</f>
        <v>90729.600000000006</v>
      </c>
      <c r="D12" s="278">
        <f>'POA Line Item Budget'!R65</f>
        <v>121398.784</v>
      </c>
      <c r="E12" s="276">
        <f>'POA Line Item Budget'!V65</f>
        <v>98133.135359999986</v>
      </c>
      <c r="F12" s="276">
        <f>'POA Line Item Budget'!Z65</f>
        <v>37669.445632000003</v>
      </c>
      <c r="G12" s="139">
        <v>0</v>
      </c>
      <c r="H12" s="140">
        <f t="shared" si="0"/>
        <v>384860.96499200002</v>
      </c>
      <c r="I12" s="141"/>
    </row>
    <row r="13" spans="1:9">
      <c r="A13" s="137" t="s">
        <v>142</v>
      </c>
      <c r="B13" s="142"/>
      <c r="C13" s="142"/>
      <c r="D13" s="279"/>
      <c r="E13" s="277"/>
      <c r="F13" s="277"/>
      <c r="G13" s="143"/>
      <c r="H13" s="144">
        <f t="shared" si="0"/>
        <v>0</v>
      </c>
      <c r="I13" s="141"/>
    </row>
    <row r="14" spans="1:9">
      <c r="A14" s="137" t="s">
        <v>143</v>
      </c>
      <c r="B14" s="138">
        <f>'POA Line Item Budget'!J127</f>
        <v>107833.32</v>
      </c>
      <c r="C14" s="138">
        <f>'POA Line Item Budget'!N127</f>
        <v>150347.6</v>
      </c>
      <c r="D14" s="278">
        <f>'POA Line Item Budget'!R127</f>
        <v>145891.61599999995</v>
      </c>
      <c r="E14" s="276">
        <f>'POA Line Item Budget'!V127</f>
        <v>153538.31168000001</v>
      </c>
      <c r="F14" s="276">
        <f>'POA Line Item Budget'!Z127</f>
        <v>37768.883609600009</v>
      </c>
      <c r="G14" s="139">
        <v>0</v>
      </c>
      <c r="H14" s="140">
        <f t="shared" si="0"/>
        <v>595379.73128960002</v>
      </c>
      <c r="I14" s="141"/>
    </row>
    <row r="15" spans="1:9" s="136" customFormat="1">
      <c r="A15" s="145" t="s">
        <v>144</v>
      </c>
      <c r="B15" s="146">
        <f>SUM(B7:B14)</f>
        <v>333274.65564000001</v>
      </c>
      <c r="C15" s="146">
        <f t="shared" ref="C15:G15" si="1">SUM(C7:C14)</f>
        <v>468154.639922</v>
      </c>
      <c r="D15" s="146">
        <f>SUM(D7:D14)</f>
        <v>505473.11031809996</v>
      </c>
      <c r="E15" s="146">
        <f>SUM(E7:E14)</f>
        <v>497320.25313000509</v>
      </c>
      <c r="F15" s="146">
        <f>SUM(F7:F14)</f>
        <v>279110.36799789529</v>
      </c>
      <c r="G15" s="146">
        <f t="shared" si="1"/>
        <v>0</v>
      </c>
      <c r="H15" s="281">
        <f t="shared" si="0"/>
        <v>2083333.0270080005</v>
      </c>
      <c r="I15" s="147"/>
    </row>
    <row r="16" spans="1:9">
      <c r="A16" s="137" t="s">
        <v>145</v>
      </c>
      <c r="B16" s="138">
        <f>'POA Line Item Budget'!J129</f>
        <v>66654.931128000011</v>
      </c>
      <c r="C16" s="138">
        <f>'POA Line Item Budget'!N129</f>
        <v>93630.927984400012</v>
      </c>
      <c r="D16" s="278">
        <f>'POA Line Item Budget'!R129</f>
        <v>101094.62206362</v>
      </c>
      <c r="E16" s="276">
        <f>'POA Line Item Budget'!V129</f>
        <v>99464.05062600103</v>
      </c>
      <c r="F16" s="276">
        <f>'POA Line Item Budget'!Z129</f>
        <v>55822.07359957906</v>
      </c>
      <c r="G16" s="139">
        <v>0</v>
      </c>
      <c r="H16" s="140">
        <f t="shared" si="0"/>
        <v>416666.60540160013</v>
      </c>
      <c r="I16" s="141"/>
    </row>
    <row r="17" spans="1:9" s="136" customFormat="1" ht="18.600000000000001" thickBot="1">
      <c r="A17" s="148" t="s">
        <v>146</v>
      </c>
      <c r="B17" s="149">
        <f>B15+B16</f>
        <v>399929.58676800004</v>
      </c>
      <c r="C17" s="149">
        <f t="shared" ref="C17:H17" si="2">C15+C16</f>
        <v>561785.56790639996</v>
      </c>
      <c r="D17" s="149">
        <f>D15+D16</f>
        <v>606567.73238171998</v>
      </c>
      <c r="E17" s="149">
        <f>E15+E16</f>
        <v>596784.30375600606</v>
      </c>
      <c r="F17" s="149">
        <f>F15+F16</f>
        <v>334932.44159747433</v>
      </c>
      <c r="G17" s="149">
        <f t="shared" si="2"/>
        <v>0</v>
      </c>
      <c r="H17" s="150">
        <f t="shared" si="2"/>
        <v>2499999.6324096005</v>
      </c>
      <c r="I17" s="147"/>
    </row>
    <row r="19" spans="1:9">
      <c r="B19" s="151"/>
      <c r="G19" s="141"/>
    </row>
    <row r="20" spans="1:9">
      <c r="B20" s="152"/>
      <c r="C20" s="153"/>
      <c r="D20" s="153"/>
      <c r="E20" s="153"/>
      <c r="F20" s="153"/>
      <c r="G20" s="153"/>
      <c r="H20" s="153"/>
    </row>
  </sheetData>
  <mergeCells count="5">
    <mergeCell ref="A1:H1"/>
    <mergeCell ref="G5:H5"/>
    <mergeCell ref="A4:H4"/>
    <mergeCell ref="A2:H2"/>
    <mergeCell ref="A3:H3"/>
  </mergeCells>
  <phoneticPr fontId="3" type="noConversion"/>
  <printOptions horizontalCentered="1"/>
  <pageMargins left="1" right="1" top="1" bottom="1" header="0.5" footer="0.5"/>
  <pageSetup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86760F-01FA-4354-8F03-CB1442D3F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14C179-2761-42C0-9C98-3B8ACE6CDC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BA1A92-E3B6-4253-8537-B7A3D471021A}">
  <ds:schemaRefs>
    <ds:schemaRef ds:uri="http://schemas.microsoft.com/office/2006/metadata/properties"/>
    <ds:schemaRef ds:uri="http://schemas.microsoft.com/office/infopath/2007/PartnerControls"/>
    <ds:schemaRef ds:uri="ca6f1b8b-2efb-4515-a316-20593799dcdd"/>
    <ds:schemaRef ds:uri="dc808d36-874f-4b27-aec2-2fd649817929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POA Line Item Budget</vt:lpstr>
      <vt:lpstr>M&amp;E Budget</vt:lpstr>
      <vt:lpstr>Summary by Year</vt:lpstr>
      <vt:lpstr>'POA Line Item Budget'!Print_Area</vt:lpstr>
      <vt:lpstr>'Summary by Year'!Print_Area</vt:lpstr>
      <vt:lpstr>'POA Line Item Budget'!Print_Titles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2021-10-12T22:05:46Z</dcterms:created>
  <dcterms:modified xsi:type="dcterms:W3CDTF">2026-03-31T21:48:27Z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