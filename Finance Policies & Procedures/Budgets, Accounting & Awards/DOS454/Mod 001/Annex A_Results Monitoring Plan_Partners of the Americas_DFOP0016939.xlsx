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MacarenaJimenezGrand\Desktop\DOS TIP Paraguay 2024\Submission November 14, 2025\"/>
    </mc:Choice>
  </mc:AlternateContent>
  <xr:revisionPtr revIDLastSave="0" documentId="13_ncr:1_{8DF258AA-70F1-44C3-8869-3998B2D29652}" xr6:coauthVersionLast="47" xr6:coauthVersionMax="47" xr10:uidLastSave="{00000000-0000-0000-0000-000000000000}"/>
  <bookViews>
    <workbookView xWindow="-110" yWindow="-110" windowWidth="22780" windowHeight="14540" tabRatio="763" activeTab="2" xr2:uid="{00000000-000D-0000-FFFF-FFFF00000000}"/>
  </bookViews>
  <sheets>
    <sheet name="CPI" sheetId="1" r:id="rId1"/>
    <sheet name="JTIP Definitions" sheetId="4" r:id="rId2"/>
    <sheet name="RMP" sheetId="7" r:id="rId3"/>
    <sheet name="Config" sheetId="5" state="hidden" r:id="rId4"/>
  </sheets>
  <definedNames>
    <definedName name="_xlnm._FilterDatabase" localSheetId="0" hidden="1">CPI!$A$31:$E$237</definedName>
    <definedName name="_xlnm._FilterDatabase" localSheetId="1" hidden="1">'JTIP Definitions'!$C$7:$N$27</definedName>
    <definedName name="Checkbox">#REF!</definedName>
    <definedName name="_xlnm.Print_Area" localSheetId="1">'JTIP Definitions'!$A$1:$O$38</definedName>
    <definedName name="QuarterList">Config!$K$2:$K$5</definedName>
    <definedName name="YearList">Config!$J$2:$J$11</definedName>
    <definedName name="Z_D262EE00_DAA1_48D6_803B_F3257DFE1182_.wvu.FilterData" localSheetId="0" hidden="1">CPI!$A$31:$E$237</definedName>
    <definedName name="Z_D262EE00_DAA1_48D6_803B_F3257DFE1182_.wvu.PrintArea" localSheetId="0" hidden="1">CPI!$A$1:$Q$216</definedName>
    <definedName name="Z_D262EE00_DAA1_48D6_803B_F3257DFE1182_.wvu.PrintTitles" localSheetId="0" hidden="1">CPI!$6:$12</definedName>
  </definedNames>
  <calcPr calcId="191028"/>
  <customWorkbookViews>
    <customWorkbookView name="Campbell, Colleen - Personal View" guid="{D262EE00-DAA1-48D6-803B-F3257DFE1182}" mergeInterval="0" personalView="1" maximized="1" xWindow="-8" yWindow="-8" windowWidth="1616" windowHeight="876" tabRatio="763"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36" i="1" l="1"/>
  <c r="A236" i="1"/>
  <c r="A235" i="1"/>
  <c r="W234" i="1"/>
  <c r="A234" i="1"/>
  <c r="A233" i="1"/>
  <c r="A232" i="1"/>
  <c r="A231" i="1"/>
  <c r="W230" i="1"/>
  <c r="W228" i="1"/>
  <c r="A228" i="1"/>
  <c r="A227" i="1"/>
  <c r="A226" i="1"/>
  <c r="W224" i="1"/>
  <c r="W222" i="1"/>
  <c r="A221" i="1"/>
  <c r="A220" i="1"/>
  <c r="A219" i="1"/>
  <c r="A218" i="1"/>
  <c r="A217" i="1"/>
  <c r="A216" i="1"/>
  <c r="W213" i="1"/>
  <c r="W209" i="1"/>
  <c r="W205" i="1"/>
  <c r="W201" i="1"/>
  <c r="W193" i="1"/>
  <c r="W191" i="1"/>
  <c r="W189" i="1"/>
  <c r="W187" i="1"/>
  <c r="W185" i="1"/>
  <c r="W183" i="1"/>
  <c r="W181" i="1"/>
  <c r="W179" i="1"/>
  <c r="W177" i="1"/>
  <c r="W173" i="1"/>
  <c r="W171" i="1"/>
  <c r="W169" i="1"/>
  <c r="W165" i="1"/>
  <c r="W163" i="1"/>
  <c r="A160" i="1"/>
  <c r="A159" i="1"/>
  <c r="A158" i="1"/>
  <c r="A157" i="1"/>
  <c r="W154" i="1"/>
  <c r="W152" i="1"/>
  <c r="W150" i="1"/>
  <c r="W148" i="1"/>
  <c r="W146" i="1"/>
  <c r="W144" i="1"/>
  <c r="W142" i="1"/>
  <c r="W137" i="1"/>
  <c r="A136" i="1"/>
  <c r="W134" i="1"/>
  <c r="W132" i="1"/>
  <c r="W130" i="1"/>
  <c r="W128" i="1"/>
  <c r="W126" i="1"/>
  <c r="W124" i="1"/>
  <c r="W122" i="1"/>
  <c r="W118" i="1"/>
  <c r="W115" i="1"/>
  <c r="W113" i="1"/>
  <c r="W111" i="1"/>
  <c r="W109" i="1"/>
  <c r="W107" i="1"/>
  <c r="W105" i="1"/>
  <c r="W103" i="1"/>
  <c r="A100" i="1"/>
  <c r="W99" i="1"/>
  <c r="A99" i="1"/>
  <c r="W96" i="1"/>
  <c r="W94" i="1"/>
  <c r="W92" i="1"/>
  <c r="A91" i="1"/>
  <c r="W90" i="1"/>
  <c r="A90" i="1"/>
  <c r="A89" i="1"/>
  <c r="W88" i="1"/>
  <c r="A88" i="1"/>
  <c r="A87" i="1"/>
  <c r="W86" i="1"/>
  <c r="A86" i="1"/>
  <c r="A85" i="1"/>
  <c r="W84" i="1"/>
  <c r="A84" i="1"/>
  <c r="A83" i="1"/>
  <c r="A82" i="1"/>
  <c r="A81" i="1"/>
  <c r="W80" i="1"/>
  <c r="A80" i="1"/>
  <c r="A79" i="1"/>
  <c r="A78" i="1"/>
  <c r="A77" i="1"/>
  <c r="A76" i="1"/>
  <c r="A75" i="1"/>
  <c r="A74" i="1"/>
  <c r="W71" i="1"/>
  <c r="W69" i="1"/>
  <c r="W67" i="1"/>
  <c r="A65" i="1"/>
  <c r="A63" i="1"/>
  <c r="W62" i="1"/>
  <c r="A62" i="1"/>
  <c r="A61" i="1"/>
  <c r="W60" i="1"/>
  <c r="A60" i="1"/>
  <c r="A59" i="1"/>
  <c r="W58" i="1"/>
  <c r="A58" i="1"/>
  <c r="A57" i="1"/>
  <c r="A56" i="1"/>
  <c r="A55" i="1"/>
  <c r="W54" i="1"/>
  <c r="A54" i="1"/>
  <c r="A53" i="1"/>
  <c r="W52" i="1"/>
  <c r="A52" i="1"/>
  <c r="A51" i="1"/>
  <c r="A50" i="1"/>
  <c r="A49" i="1"/>
  <c r="W48" i="1"/>
  <c r="A48" i="1"/>
  <c r="A47" i="1"/>
  <c r="W46" i="1"/>
  <c r="A46" i="1"/>
  <c r="A45" i="1"/>
  <c r="A44" i="1"/>
  <c r="A43" i="1"/>
  <c r="W41" i="1"/>
  <c r="A41" i="1"/>
  <c r="A40" i="1"/>
  <c r="W39" i="1"/>
  <c r="A39" i="1"/>
  <c r="A38" i="1"/>
  <c r="W37" i="1"/>
  <c r="A37" i="1"/>
  <c r="A36" i="1"/>
  <c r="A35" i="1"/>
  <c r="A34" i="1"/>
  <c r="A33" i="1"/>
  <c r="A32" i="1"/>
  <c r="A31" i="1"/>
</calcChain>
</file>

<file path=xl/sharedStrings.xml><?xml version="1.0" encoding="utf-8"?>
<sst xmlns="http://schemas.openxmlformats.org/spreadsheetml/2006/main" count="412" uniqueCount="345">
  <si>
    <t>Version</t>
  </si>
  <si>
    <t>Data_Row</t>
  </si>
  <si>
    <t>Key_Data_Row</t>
  </si>
  <si>
    <t>Target_Set</t>
  </si>
  <si>
    <t>Data_Field</t>
  </si>
  <si>
    <t>United States Department of State</t>
  </si>
  <si>
    <t>Office to Monitor and Combat Trafficking in Persons (TIP)</t>
  </si>
  <si>
    <t>Common Performance Indicator Proposal Template - July 2018 Revision</t>
  </si>
  <si>
    <t xml:space="preserve">Organization: </t>
  </si>
  <si>
    <t>Partners of the Americas</t>
  </si>
  <si>
    <t xml:space="preserve"> </t>
  </si>
  <si>
    <t>Organization</t>
  </si>
  <si>
    <t>Country(ies):</t>
  </si>
  <si>
    <t>Paraguay</t>
  </si>
  <si>
    <t>Countries</t>
  </si>
  <si>
    <t xml:space="preserve">Grant ID: </t>
  </si>
  <si>
    <t xml:space="preserve">
</t>
  </si>
  <si>
    <t>ApplicationID</t>
  </si>
  <si>
    <t>Start Year:</t>
  </si>
  <si>
    <t>StartYear</t>
  </si>
  <si>
    <t xml:space="preserve">Start Quarter: </t>
  </si>
  <si>
    <t>StartQuarter</t>
  </si>
  <si>
    <t>End Year:</t>
  </si>
  <si>
    <t>EndYear</t>
  </si>
  <si>
    <t>End Quarter:</t>
  </si>
  <si>
    <t>EndQuarter</t>
  </si>
  <si>
    <t xml:space="preserve">Common Performance Indicators (CPIs) represent common measures used to combat trafficking in persons (TIP) that have broad applicability across the 3 Ps (Prevention, Protection, and Prosecution) and the TIP Office programming portfolio. Standardized CPI data is required from selected awardees in order to articulate the reach and impact of project activities funded by the TIP Office. Hyperlinks to definitions can be found by selecting the blue text below. Each indicator selected must have a target. </t>
  </si>
  <si>
    <t xml:space="preserve">† Indicates a CPI that will require disaggregated reporting by gender and age (i.e., children under 18 years old and adults) on a quarterly basis. </t>
  </si>
  <si>
    <t xml:space="preserve">‡ Indicates a CPI that will require disaggregated reporting by gender, age, and type of trafficking (i.e., sex and labor) on a quarterly basis. </t>
  </si>
  <si>
    <t xml:space="preserve">†† Indicates a CPI that will require disaggregated reporting by gender on a quarterly basis. </t>
  </si>
  <si>
    <t>††† Indicates a CPI that will require reporting on the number of ongoing activities on a quarterly basis.</t>
  </si>
  <si>
    <t>Trainings</t>
  </si>
  <si>
    <t>Please select the type(s) of trainings that will be conducted.</t>
  </si>
  <si>
    <r>
      <rPr>
        <sz val="11"/>
        <rFont val="Verdana"/>
        <family val="2"/>
      </rPr>
      <t xml:space="preserve">1. </t>
    </r>
    <r>
      <rPr>
        <sz val="11"/>
        <color theme="10"/>
        <rFont val="Verdana"/>
        <family val="2"/>
      </rPr>
      <t>Prevention</t>
    </r>
  </si>
  <si>
    <t>1.1 How many trainings will be conducted?</t>
  </si>
  <si>
    <t>End of Project Target</t>
  </si>
  <si>
    <r>
      <t xml:space="preserve">1.2 How many people will be trained? </t>
    </r>
    <r>
      <rPr>
        <sz val="10"/>
        <color rgb="FFFF0000"/>
        <rFont val="Verdana"/>
        <family val="2"/>
      </rPr>
      <t>†</t>
    </r>
  </si>
  <si>
    <t xml:space="preserve">1.3 How many people will take action as a result of the training(s) (e.g., contact a community leader, sign an anti-TIP petition, etc.)? </t>
  </si>
  <si>
    <r>
      <rPr>
        <sz val="11"/>
        <rFont val="Verdana"/>
        <family val="2"/>
      </rPr>
      <t xml:space="preserve">2. </t>
    </r>
    <r>
      <rPr>
        <sz val="11"/>
        <color theme="10"/>
        <rFont val="Verdana"/>
        <family val="2"/>
      </rPr>
      <t>Protection</t>
    </r>
  </si>
  <si>
    <t>2.1 How many trainings will be conducted?</t>
  </si>
  <si>
    <r>
      <t xml:space="preserve">2.2 How many people will be trained? </t>
    </r>
    <r>
      <rPr>
        <sz val="10"/>
        <color rgb="FFFF0000"/>
        <rFont val="Verdana"/>
        <family val="2"/>
      </rPr>
      <t>††</t>
    </r>
  </si>
  <si>
    <r>
      <rPr>
        <sz val="11"/>
        <rFont val="Verdana"/>
        <family val="2"/>
      </rPr>
      <t xml:space="preserve">3. </t>
    </r>
    <r>
      <rPr>
        <sz val="11"/>
        <color theme="10"/>
        <rFont val="Verdana"/>
        <family val="2"/>
      </rPr>
      <t>Prosecution</t>
    </r>
  </si>
  <si>
    <t>3.1 How many trainings will be conducted?</t>
  </si>
  <si>
    <r>
      <t xml:space="preserve">3.2 How many people will be trained? </t>
    </r>
    <r>
      <rPr>
        <sz val="10"/>
        <color rgb="FFFF0000"/>
        <rFont val="Verdana"/>
        <family val="2"/>
      </rPr>
      <t>††</t>
    </r>
  </si>
  <si>
    <t>Provide end of project targets by profession:</t>
  </si>
  <si>
    <r>
      <rPr>
        <sz val="10"/>
        <color theme="1"/>
        <rFont val="Verdana"/>
        <family val="2"/>
      </rPr>
      <t>#</t>
    </r>
    <r>
      <rPr>
        <i/>
        <sz val="10"/>
        <color theme="1"/>
        <rFont val="Verdana"/>
        <family val="2"/>
      </rPr>
      <t xml:space="preserve"> Law Enforcement Officers (e.g., police, immigration officials, etc.)</t>
    </r>
  </si>
  <si>
    <r>
      <rPr>
        <sz val="10"/>
        <color theme="1"/>
        <rFont val="Verdana"/>
        <family val="2"/>
      </rPr>
      <t xml:space="preserve"># </t>
    </r>
    <r>
      <rPr>
        <i/>
        <sz val="10"/>
        <color theme="1"/>
        <rFont val="Verdana"/>
        <family val="2"/>
      </rPr>
      <t>Prosecutors</t>
    </r>
  </si>
  <si>
    <r>
      <rPr>
        <sz val="10"/>
        <color theme="1"/>
        <rFont val="Verdana"/>
        <family val="2"/>
      </rPr>
      <t xml:space="preserve"># </t>
    </r>
    <r>
      <rPr>
        <i/>
        <sz val="10"/>
        <color theme="1"/>
        <rFont val="Verdana"/>
        <family val="2"/>
      </rPr>
      <t>Judges/Magistrates</t>
    </r>
  </si>
  <si>
    <r>
      <rPr>
        <sz val="11"/>
        <rFont val="Verdana"/>
        <family val="2"/>
      </rPr>
      <t>4.</t>
    </r>
    <r>
      <rPr>
        <sz val="11"/>
        <color theme="10"/>
        <rFont val="Verdana"/>
        <family val="2"/>
      </rPr>
      <t xml:space="preserve"> Multi-Subject/Other</t>
    </r>
  </si>
  <si>
    <t>4.1 How many trainings will be conducted?</t>
  </si>
  <si>
    <r>
      <t xml:space="preserve">4.2 How many people will be trained? </t>
    </r>
    <r>
      <rPr>
        <sz val="10"/>
        <color rgb="FFFF0000"/>
        <rFont val="Verdana"/>
        <family val="2"/>
      </rPr>
      <t>†</t>
    </r>
  </si>
  <si>
    <t xml:space="preserve">4.3 How many people will take action as a result of the training(s) (e.g., contact a community leader, sign an anti-TIP petition, etc.)? </t>
  </si>
  <si>
    <t>Prevention - Awareness</t>
  </si>
  <si>
    <t>Please select the form(s) of awareness that will be developed and distributed.</t>
  </si>
  <si>
    <t>5. Awareness Materials</t>
  </si>
  <si>
    <t>5.1 How many unique awareness materials will be designed or adapted for a given population?</t>
  </si>
  <si>
    <t>Provide end of project targets by type:</t>
  </si>
  <si>
    <r>
      <rPr>
        <sz val="10"/>
        <rFont val="Verdana"/>
        <family val="2"/>
      </rPr>
      <t xml:space="preserve"># </t>
    </r>
    <r>
      <rPr>
        <i/>
        <sz val="10"/>
        <rFont val="Verdana"/>
        <family val="2"/>
      </rPr>
      <t xml:space="preserve">of </t>
    </r>
    <r>
      <rPr>
        <i/>
        <sz val="10"/>
        <color theme="10"/>
        <rFont val="Verdana"/>
        <family val="2"/>
      </rPr>
      <t xml:space="preserve">television broadcasts </t>
    </r>
    <r>
      <rPr>
        <i/>
        <sz val="10"/>
        <rFont val="Verdana"/>
        <family val="2"/>
      </rPr>
      <t>designed or adapted</t>
    </r>
  </si>
  <si>
    <r>
      <rPr>
        <sz val="10"/>
        <rFont val="Verdana"/>
        <family val="2"/>
      </rPr>
      <t>#</t>
    </r>
    <r>
      <rPr>
        <i/>
        <sz val="10"/>
        <rFont val="Verdana"/>
        <family val="2"/>
      </rPr>
      <t xml:space="preserve"> of </t>
    </r>
    <r>
      <rPr>
        <i/>
        <sz val="10"/>
        <color theme="10"/>
        <rFont val="Verdana"/>
        <family val="2"/>
      </rPr>
      <t xml:space="preserve">radio broadcasts </t>
    </r>
    <r>
      <rPr>
        <i/>
        <sz val="10"/>
        <rFont val="Verdana"/>
        <family val="2"/>
      </rPr>
      <t>designed or adapted</t>
    </r>
  </si>
  <si>
    <r>
      <rPr>
        <sz val="10"/>
        <rFont val="Verdana"/>
        <family val="2"/>
      </rPr>
      <t xml:space="preserve"># </t>
    </r>
    <r>
      <rPr>
        <i/>
        <sz val="10"/>
        <rFont val="Verdana"/>
        <family val="2"/>
      </rPr>
      <t>of</t>
    </r>
    <r>
      <rPr>
        <i/>
        <sz val="10"/>
        <color theme="10"/>
        <rFont val="Verdana"/>
        <family val="2"/>
      </rPr>
      <t xml:space="preserve"> magazine or newspaper articles/advertisements </t>
    </r>
    <r>
      <rPr>
        <i/>
        <sz val="10"/>
        <rFont val="Verdana"/>
        <family val="2"/>
      </rPr>
      <t>designed or adapted</t>
    </r>
  </si>
  <si>
    <r>
      <rPr>
        <sz val="10"/>
        <rFont val="Verdana"/>
        <family val="2"/>
      </rPr>
      <t>#</t>
    </r>
    <r>
      <rPr>
        <i/>
        <sz val="10"/>
        <rFont val="Verdana"/>
        <family val="2"/>
      </rPr>
      <t xml:space="preserve"> of </t>
    </r>
    <r>
      <rPr>
        <i/>
        <sz val="10"/>
        <color theme="10"/>
        <rFont val="Verdana"/>
        <family val="2"/>
      </rPr>
      <t xml:space="preserve">billboards/posters </t>
    </r>
    <r>
      <rPr>
        <i/>
        <sz val="10"/>
        <rFont val="Verdana"/>
        <family val="2"/>
      </rPr>
      <t>designed or adapted</t>
    </r>
  </si>
  <si>
    <r>
      <rPr>
        <sz val="10"/>
        <rFont val="Verdana"/>
        <family val="2"/>
      </rPr>
      <t xml:space="preserve"># </t>
    </r>
    <r>
      <rPr>
        <i/>
        <sz val="10"/>
        <rFont val="Verdana"/>
        <family val="2"/>
      </rPr>
      <t>of</t>
    </r>
    <r>
      <rPr>
        <i/>
        <sz val="10"/>
        <color theme="10"/>
        <rFont val="Verdana"/>
        <family val="2"/>
      </rPr>
      <t xml:space="preserve"> social media posts </t>
    </r>
    <r>
      <rPr>
        <i/>
        <sz val="10"/>
        <rFont val="Verdana"/>
        <family val="2"/>
      </rPr>
      <t>designed or adapted</t>
    </r>
  </si>
  <si>
    <r>
      <rPr>
        <sz val="10"/>
        <rFont val="Verdana"/>
        <family val="2"/>
      </rPr>
      <t xml:space="preserve"># </t>
    </r>
    <r>
      <rPr>
        <i/>
        <sz val="10"/>
        <rFont val="Verdana"/>
        <family val="2"/>
      </rPr>
      <t>of</t>
    </r>
    <r>
      <rPr>
        <i/>
        <sz val="10"/>
        <color theme="10"/>
        <rFont val="Verdana"/>
        <family val="2"/>
      </rPr>
      <t xml:space="preserve"> print materials (e.g., brochures, leaflets, etc.)</t>
    </r>
    <r>
      <rPr>
        <i/>
        <sz val="10"/>
        <rFont val="Verdana"/>
        <family val="2"/>
      </rPr>
      <t xml:space="preserve"> designed or adapted</t>
    </r>
  </si>
  <si>
    <r>
      <rPr>
        <sz val="10"/>
        <rFont val="Verdana"/>
        <family val="2"/>
      </rPr>
      <t xml:space="preserve"># </t>
    </r>
    <r>
      <rPr>
        <i/>
        <sz val="10"/>
        <rFont val="Verdana"/>
        <family val="2"/>
      </rPr>
      <t xml:space="preserve">of </t>
    </r>
    <r>
      <rPr>
        <i/>
        <sz val="10"/>
        <color theme="10"/>
        <rFont val="Verdana"/>
        <family val="2"/>
      </rPr>
      <t xml:space="preserve">performances </t>
    </r>
    <r>
      <rPr>
        <i/>
        <sz val="10"/>
        <rFont val="Verdana"/>
        <family val="2"/>
      </rPr>
      <t>designed or adapted</t>
    </r>
  </si>
  <si>
    <t>5.2 How many times will the awareness materials be broadcasted or published?</t>
  </si>
  <si>
    <r>
      <rPr>
        <sz val="10"/>
        <rFont val="Verdana"/>
        <family val="2"/>
      </rPr>
      <t xml:space="preserve"># </t>
    </r>
    <r>
      <rPr>
        <i/>
        <sz val="10"/>
        <rFont val="Verdana"/>
        <family val="2"/>
      </rPr>
      <t>of</t>
    </r>
    <r>
      <rPr>
        <i/>
        <sz val="10"/>
        <color theme="10"/>
        <rFont val="Verdana"/>
        <family val="2"/>
      </rPr>
      <t xml:space="preserve"> television broadcasts</t>
    </r>
  </si>
  <si>
    <r>
      <rPr>
        <sz val="10"/>
        <rFont val="Verdana"/>
        <family val="2"/>
      </rPr>
      <t>#</t>
    </r>
    <r>
      <rPr>
        <i/>
        <sz val="10"/>
        <rFont val="Verdana"/>
        <family val="2"/>
      </rPr>
      <t xml:space="preserve"> of </t>
    </r>
    <r>
      <rPr>
        <i/>
        <sz val="10"/>
        <color theme="10"/>
        <rFont val="Verdana"/>
        <family val="2"/>
      </rPr>
      <t>radio broadcasts</t>
    </r>
  </si>
  <si>
    <r>
      <rPr>
        <sz val="10"/>
        <rFont val="Verdana"/>
        <family val="2"/>
      </rPr>
      <t>#</t>
    </r>
    <r>
      <rPr>
        <i/>
        <sz val="10"/>
        <rFont val="Verdana"/>
        <family val="2"/>
      </rPr>
      <t xml:space="preserve"> of </t>
    </r>
    <r>
      <rPr>
        <i/>
        <sz val="10"/>
        <color theme="10"/>
        <rFont val="Verdana"/>
        <family val="2"/>
      </rPr>
      <t>magazine or newspaper articles/advertisements</t>
    </r>
  </si>
  <si>
    <r>
      <rPr>
        <sz val="10"/>
        <rFont val="Verdana"/>
        <family val="2"/>
      </rPr>
      <t xml:space="preserve"># </t>
    </r>
    <r>
      <rPr>
        <i/>
        <sz val="10"/>
        <rFont val="Verdana"/>
        <family val="2"/>
      </rPr>
      <t xml:space="preserve">of </t>
    </r>
    <r>
      <rPr>
        <i/>
        <sz val="10"/>
        <color theme="10"/>
        <rFont val="Verdana"/>
        <family val="2"/>
      </rPr>
      <t>billboards/posters</t>
    </r>
  </si>
  <si>
    <r>
      <rPr>
        <sz val="10"/>
        <rFont val="Verdana"/>
        <family val="2"/>
      </rPr>
      <t xml:space="preserve"># </t>
    </r>
    <r>
      <rPr>
        <i/>
        <sz val="10"/>
        <rFont val="Verdana"/>
        <family val="2"/>
      </rPr>
      <t xml:space="preserve">of </t>
    </r>
    <r>
      <rPr>
        <i/>
        <sz val="10"/>
        <color theme="10"/>
        <rFont val="Verdana"/>
        <family val="2"/>
      </rPr>
      <t>social media posts</t>
    </r>
  </si>
  <si>
    <r>
      <rPr>
        <sz val="10"/>
        <rFont val="Verdana"/>
        <family val="2"/>
      </rPr>
      <t xml:space="preserve"># </t>
    </r>
    <r>
      <rPr>
        <i/>
        <sz val="10"/>
        <rFont val="Verdana"/>
        <family val="2"/>
      </rPr>
      <t xml:space="preserve">of </t>
    </r>
    <r>
      <rPr>
        <i/>
        <sz val="10"/>
        <color theme="10"/>
        <rFont val="Verdana"/>
        <family val="2"/>
      </rPr>
      <t>print materials (e.g., brochures, leaflets, etc.)</t>
    </r>
  </si>
  <si>
    <r>
      <rPr>
        <sz val="10"/>
        <rFont val="Verdana"/>
        <family val="2"/>
      </rPr>
      <t xml:space="preserve"># </t>
    </r>
    <r>
      <rPr>
        <i/>
        <sz val="10"/>
        <rFont val="Verdana"/>
        <family val="2"/>
      </rPr>
      <t xml:space="preserve">of </t>
    </r>
    <r>
      <rPr>
        <i/>
        <sz val="10"/>
        <color theme="10"/>
        <rFont val="Verdana"/>
        <family val="2"/>
      </rPr>
      <t>performances</t>
    </r>
  </si>
  <si>
    <t>5.3 How many total people will be reached by the awareness material?</t>
  </si>
  <si>
    <r>
      <rPr>
        <sz val="10"/>
        <rFont val="Verdana"/>
        <family val="2"/>
      </rPr>
      <t xml:space="preserve"># </t>
    </r>
    <r>
      <rPr>
        <i/>
        <sz val="10"/>
        <rFont val="Verdana"/>
        <family val="2"/>
      </rPr>
      <t xml:space="preserve">of people reached by </t>
    </r>
    <r>
      <rPr>
        <i/>
        <sz val="10"/>
        <color theme="10"/>
        <rFont val="Verdana"/>
        <family val="2"/>
      </rPr>
      <t>television broadcasts</t>
    </r>
  </si>
  <si>
    <r>
      <rPr>
        <sz val="10"/>
        <rFont val="Verdana"/>
        <family val="2"/>
      </rPr>
      <t>#</t>
    </r>
    <r>
      <rPr>
        <i/>
        <sz val="10"/>
        <rFont val="Verdana"/>
        <family val="2"/>
      </rPr>
      <t xml:space="preserve"> of people reached by </t>
    </r>
    <r>
      <rPr>
        <i/>
        <sz val="10"/>
        <color theme="10"/>
        <rFont val="Verdana"/>
        <family val="2"/>
      </rPr>
      <t>radio broadcasts</t>
    </r>
  </si>
  <si>
    <r>
      <rPr>
        <sz val="10"/>
        <rFont val="Verdana"/>
        <family val="2"/>
      </rPr>
      <t>#</t>
    </r>
    <r>
      <rPr>
        <i/>
        <sz val="10"/>
        <rFont val="Verdana"/>
        <family val="2"/>
      </rPr>
      <t xml:space="preserve"> of people reached by </t>
    </r>
    <r>
      <rPr>
        <i/>
        <sz val="10"/>
        <color theme="10"/>
        <rFont val="Verdana"/>
        <family val="2"/>
      </rPr>
      <t>magazine or newspaper articles/advertisements</t>
    </r>
  </si>
  <si>
    <r>
      <rPr>
        <sz val="10"/>
        <rFont val="Verdana"/>
        <family val="2"/>
      </rPr>
      <t xml:space="preserve"># </t>
    </r>
    <r>
      <rPr>
        <i/>
        <sz val="10"/>
        <rFont val="Verdana"/>
        <family val="2"/>
      </rPr>
      <t xml:space="preserve">of people reached by </t>
    </r>
    <r>
      <rPr>
        <i/>
        <sz val="10"/>
        <color theme="10"/>
        <rFont val="Verdana"/>
        <family val="2"/>
      </rPr>
      <t>billboards/posters</t>
    </r>
  </si>
  <si>
    <r>
      <rPr>
        <sz val="10"/>
        <rFont val="Verdana"/>
        <family val="2"/>
      </rPr>
      <t xml:space="preserve"># </t>
    </r>
    <r>
      <rPr>
        <i/>
        <sz val="10"/>
        <rFont val="Verdana"/>
        <family val="2"/>
      </rPr>
      <t xml:space="preserve">of people reached by </t>
    </r>
    <r>
      <rPr>
        <i/>
        <sz val="10"/>
        <color theme="10"/>
        <rFont val="Verdana"/>
        <family val="2"/>
      </rPr>
      <t>social media posts</t>
    </r>
  </si>
  <si>
    <r>
      <rPr>
        <sz val="10"/>
        <rFont val="Verdana"/>
        <family val="2"/>
      </rPr>
      <t xml:space="preserve"># </t>
    </r>
    <r>
      <rPr>
        <i/>
        <sz val="10"/>
        <rFont val="Verdana"/>
        <family val="2"/>
      </rPr>
      <t xml:space="preserve">of people reached by </t>
    </r>
    <r>
      <rPr>
        <i/>
        <sz val="10"/>
        <color theme="10"/>
        <rFont val="Verdana"/>
        <family val="2"/>
      </rPr>
      <t>print materials (e.g., brochures, leaflets, etc.)</t>
    </r>
  </si>
  <si>
    <r>
      <rPr>
        <sz val="10"/>
        <rFont val="Verdana"/>
        <family val="2"/>
      </rPr>
      <t xml:space="preserve"># </t>
    </r>
    <r>
      <rPr>
        <i/>
        <sz val="10"/>
        <rFont val="Verdana"/>
        <family val="2"/>
      </rPr>
      <t>of people reached by</t>
    </r>
    <r>
      <rPr>
        <i/>
        <sz val="10"/>
        <color theme="10"/>
        <rFont val="Verdana"/>
        <family val="2"/>
      </rPr>
      <t xml:space="preserve"> performances</t>
    </r>
  </si>
  <si>
    <t>5.4 How many total people will take action as a result of the awareness materials (e.g., contact a community leader, sign an anti-TIP petition, etc.)?</t>
  </si>
  <si>
    <r>
      <rPr>
        <sz val="10"/>
        <rFont val="Verdana"/>
        <family val="2"/>
      </rPr>
      <t xml:space="preserve"># </t>
    </r>
    <r>
      <rPr>
        <i/>
        <sz val="10"/>
        <rFont val="Verdana"/>
        <family val="2"/>
      </rPr>
      <t>of people who will take action as a result of</t>
    </r>
    <r>
      <rPr>
        <i/>
        <sz val="10"/>
        <color theme="10"/>
        <rFont val="Verdana"/>
        <family val="2"/>
      </rPr>
      <t xml:space="preserve"> television broadcasts</t>
    </r>
  </si>
  <si>
    <r>
      <rPr>
        <sz val="10"/>
        <rFont val="Verdana"/>
        <family val="2"/>
      </rPr>
      <t xml:space="preserve"># </t>
    </r>
    <r>
      <rPr>
        <i/>
        <sz val="10"/>
        <rFont val="Verdana"/>
        <family val="2"/>
      </rPr>
      <t>of people who will take action as a result of</t>
    </r>
    <r>
      <rPr>
        <i/>
        <sz val="10"/>
        <color theme="10"/>
        <rFont val="Verdana"/>
        <family val="2"/>
      </rPr>
      <t xml:space="preserve"> radio broadcasts</t>
    </r>
  </si>
  <si>
    <r>
      <rPr>
        <sz val="10"/>
        <rFont val="Verdana"/>
        <family val="2"/>
      </rPr>
      <t xml:space="preserve"># </t>
    </r>
    <r>
      <rPr>
        <i/>
        <sz val="10"/>
        <rFont val="Verdana"/>
        <family val="2"/>
      </rPr>
      <t>of people who will take action as a result of</t>
    </r>
    <r>
      <rPr>
        <i/>
        <sz val="10"/>
        <color theme="10"/>
        <rFont val="Verdana"/>
        <family val="2"/>
      </rPr>
      <t xml:space="preserve"> magazine or newspaper articles/advertisements</t>
    </r>
  </si>
  <si>
    <r>
      <rPr>
        <sz val="10"/>
        <rFont val="Verdana"/>
        <family val="2"/>
      </rPr>
      <t>#</t>
    </r>
    <r>
      <rPr>
        <i/>
        <sz val="10"/>
        <rFont val="Verdana"/>
        <family val="2"/>
      </rPr>
      <t xml:space="preserve"> of people who will take action as a result of </t>
    </r>
    <r>
      <rPr>
        <i/>
        <sz val="10"/>
        <color theme="10"/>
        <rFont val="Verdana"/>
        <family val="2"/>
      </rPr>
      <t>billboards/posters</t>
    </r>
  </si>
  <si>
    <r>
      <rPr>
        <sz val="10"/>
        <rFont val="Verdana"/>
        <family val="2"/>
      </rPr>
      <t xml:space="preserve"># </t>
    </r>
    <r>
      <rPr>
        <i/>
        <sz val="10"/>
        <rFont val="Verdana"/>
        <family val="2"/>
      </rPr>
      <t xml:space="preserve">of people who will take action as a result of </t>
    </r>
    <r>
      <rPr>
        <i/>
        <sz val="10"/>
        <color theme="10"/>
        <rFont val="Verdana"/>
        <family val="2"/>
      </rPr>
      <t>social media posts</t>
    </r>
  </si>
  <si>
    <r>
      <rPr>
        <sz val="10"/>
        <rFont val="Verdana"/>
        <family val="2"/>
      </rPr>
      <t>#</t>
    </r>
    <r>
      <rPr>
        <i/>
        <sz val="10"/>
        <rFont val="Verdana"/>
        <family val="2"/>
      </rPr>
      <t xml:space="preserve"> of people who will take action as a result of</t>
    </r>
    <r>
      <rPr>
        <i/>
        <sz val="10"/>
        <color theme="10"/>
        <rFont val="Verdana"/>
        <family val="2"/>
      </rPr>
      <t xml:space="preserve"> print materials (e.g., brochures, leaflets, etc.)</t>
    </r>
  </si>
  <si>
    <r>
      <rPr>
        <sz val="10"/>
        <rFont val="Verdana"/>
        <family val="2"/>
      </rPr>
      <t>#</t>
    </r>
    <r>
      <rPr>
        <i/>
        <sz val="10"/>
        <rFont val="Verdana"/>
        <family val="2"/>
      </rPr>
      <t xml:space="preserve"> of people who take action as a result of</t>
    </r>
    <r>
      <rPr>
        <i/>
        <sz val="10"/>
        <color theme="10"/>
        <rFont val="Verdana"/>
        <family val="2"/>
      </rPr>
      <t xml:space="preserve"> performances</t>
    </r>
  </si>
  <si>
    <t>Protection - Victim Support</t>
  </si>
  <si>
    <t>Please select the type(s) of victim services that will be provided.</t>
  </si>
  <si>
    <t>6. Victim Identification &amp; Referral</t>
  </si>
  <si>
    <r>
      <rPr>
        <sz val="10"/>
        <rFont val="Verdana"/>
        <family val="2"/>
      </rPr>
      <t>6.1 How many unique victims will be</t>
    </r>
    <r>
      <rPr>
        <sz val="10"/>
        <color theme="10"/>
        <rFont val="Verdana"/>
        <family val="2"/>
      </rPr>
      <t xml:space="preserve"> identified</t>
    </r>
    <r>
      <rPr>
        <sz val="10"/>
        <rFont val="Verdana"/>
        <family val="2"/>
      </rPr>
      <t xml:space="preserve"> as a result of project activities or in coordination with grantee partners?</t>
    </r>
    <r>
      <rPr>
        <sz val="10"/>
        <color rgb="FFFF0000"/>
        <rFont val="Verdana"/>
        <family val="2"/>
      </rPr>
      <t xml:space="preserve"> ‡</t>
    </r>
  </si>
  <si>
    <r>
      <rPr>
        <sz val="10"/>
        <rFont val="Verdana"/>
        <family val="2"/>
      </rPr>
      <t>6.2 How many unique victims will be</t>
    </r>
    <r>
      <rPr>
        <sz val="10"/>
        <color theme="10"/>
        <rFont val="Verdana"/>
        <family val="2"/>
      </rPr>
      <t xml:space="preserve"> referred </t>
    </r>
    <r>
      <rPr>
        <sz val="10"/>
        <rFont val="Verdana"/>
        <family val="2"/>
      </rPr>
      <t>to services as a result of project activities or in coordination with grantee partners?</t>
    </r>
    <r>
      <rPr>
        <sz val="10"/>
        <color rgb="FFFF0000"/>
        <rFont val="Verdana"/>
        <family val="2"/>
      </rPr>
      <t xml:space="preserve"> ‡</t>
    </r>
  </si>
  <si>
    <r>
      <rPr>
        <sz val="11"/>
        <rFont val="Verdana"/>
        <family val="2"/>
      </rPr>
      <t>7.</t>
    </r>
    <r>
      <rPr>
        <sz val="11"/>
        <color theme="10"/>
        <rFont val="Verdana"/>
        <family val="2"/>
      </rPr>
      <t xml:space="preserve"> Victim Hotline</t>
    </r>
  </si>
  <si>
    <t>7.1 How many total calls will the victim hotline answer?</t>
  </si>
  <si>
    <t>7.2 How many calls related to TIP will the victim hotline answer?</t>
  </si>
  <si>
    <t>7.3 How many unique TIP victims will be referred to services via the hotline?</t>
  </si>
  <si>
    <t>8. Victim Services</t>
  </si>
  <si>
    <r>
      <t>8.1 How many unique TIP victims will receive one or more type of service?</t>
    </r>
    <r>
      <rPr>
        <sz val="10"/>
        <color rgb="FFFF0000"/>
        <rFont val="Verdana"/>
        <family val="2"/>
      </rPr>
      <t xml:space="preserve"> ‡</t>
    </r>
  </si>
  <si>
    <r>
      <t xml:space="preserve">8.2 How many unique TIP victims will </t>
    </r>
    <r>
      <rPr>
        <sz val="10"/>
        <rFont val="Verdana"/>
        <family val="2"/>
      </rPr>
      <t>receive</t>
    </r>
    <r>
      <rPr>
        <sz val="10"/>
        <color theme="10"/>
        <rFont val="Verdana"/>
        <family val="2"/>
      </rPr>
      <t xml:space="preserve"> shelter services? </t>
    </r>
    <r>
      <rPr>
        <sz val="10"/>
        <color rgb="FFFF0000"/>
        <rFont val="Verdana"/>
        <family val="2"/>
      </rPr>
      <t>‡</t>
    </r>
  </si>
  <si>
    <r>
      <rPr>
        <sz val="10"/>
        <rFont val="Verdana"/>
        <family val="2"/>
      </rPr>
      <t xml:space="preserve">8.3 How many unique TIP victims will receive </t>
    </r>
    <r>
      <rPr>
        <sz val="10"/>
        <color theme="10"/>
        <rFont val="Verdana"/>
        <family val="2"/>
      </rPr>
      <t xml:space="preserve">healthcare services? </t>
    </r>
    <r>
      <rPr>
        <sz val="10"/>
        <color rgb="FFFF0000"/>
        <rFont val="Verdana"/>
        <family val="2"/>
      </rPr>
      <t>‡</t>
    </r>
  </si>
  <si>
    <r>
      <rPr>
        <sz val="10"/>
        <rFont val="Verdana"/>
        <family val="2"/>
      </rPr>
      <t>8.4 How many unique TIP victims will receive</t>
    </r>
    <r>
      <rPr>
        <sz val="10"/>
        <color theme="10"/>
        <rFont val="Verdana"/>
        <family val="2"/>
      </rPr>
      <t xml:space="preserve"> counseling services? </t>
    </r>
    <r>
      <rPr>
        <sz val="10"/>
        <color rgb="FFFF0000"/>
        <rFont val="Verdana"/>
        <family val="2"/>
      </rPr>
      <t>‡</t>
    </r>
  </si>
  <si>
    <r>
      <t xml:space="preserve">8.5 How many unique </t>
    </r>
    <r>
      <rPr>
        <sz val="10"/>
        <rFont val="Verdana"/>
        <family val="2"/>
      </rPr>
      <t>TIP victims will receive</t>
    </r>
    <r>
      <rPr>
        <sz val="10"/>
        <color theme="10"/>
        <rFont val="Verdana"/>
        <family val="2"/>
      </rPr>
      <t xml:space="preserve"> legal assistance services? </t>
    </r>
    <r>
      <rPr>
        <sz val="10"/>
        <color rgb="FFFF0000"/>
        <rFont val="Verdana"/>
        <family val="2"/>
      </rPr>
      <t>‡</t>
    </r>
  </si>
  <si>
    <r>
      <t xml:space="preserve">8.6 How many unique TIP victims will receive </t>
    </r>
    <r>
      <rPr>
        <sz val="10"/>
        <color rgb="FF0070C0"/>
        <rFont val="Verdana"/>
        <family val="2"/>
      </rPr>
      <t>repatriation services</t>
    </r>
    <r>
      <rPr>
        <sz val="10"/>
        <color theme="1"/>
        <rFont val="Verdana"/>
        <family val="2"/>
      </rPr>
      <t xml:space="preserve">? </t>
    </r>
    <r>
      <rPr>
        <sz val="10"/>
        <color rgb="FFFF0000"/>
        <rFont val="Verdana"/>
        <family val="2"/>
      </rPr>
      <t>‡</t>
    </r>
  </si>
  <si>
    <r>
      <t xml:space="preserve">8.7 How many unique TIP victims will receive </t>
    </r>
    <r>
      <rPr>
        <sz val="10"/>
        <color rgb="FF0070C0"/>
        <rFont val="Verdana"/>
        <family val="2"/>
      </rPr>
      <t>reintegration services</t>
    </r>
    <r>
      <rPr>
        <sz val="10"/>
        <color theme="1"/>
        <rFont val="Verdana"/>
        <family val="2"/>
      </rPr>
      <t xml:space="preserve">? </t>
    </r>
    <r>
      <rPr>
        <sz val="10"/>
        <color rgb="FFFF0000"/>
        <rFont val="Verdana"/>
        <family val="2"/>
      </rPr>
      <t>‡</t>
    </r>
  </si>
  <si>
    <r>
      <t xml:space="preserve">8.8 How many unique TIP victims will receive a </t>
    </r>
    <r>
      <rPr>
        <sz val="10"/>
        <color rgb="FF0070C0"/>
        <rFont val="Verdana"/>
        <family val="2"/>
      </rPr>
      <t>form of education</t>
    </r>
    <r>
      <rPr>
        <sz val="10"/>
        <color theme="1"/>
        <rFont val="Verdana"/>
        <family val="2"/>
      </rPr>
      <t xml:space="preserve">? </t>
    </r>
    <r>
      <rPr>
        <sz val="10"/>
        <color rgb="FFFF0000"/>
        <rFont val="Verdana"/>
        <family val="2"/>
      </rPr>
      <t>‡</t>
    </r>
  </si>
  <si>
    <r>
      <rPr>
        <sz val="10"/>
        <rFont val="Verdana"/>
        <family val="2"/>
      </rPr>
      <t xml:space="preserve">8.9 How many unique TIP victims will achieve a </t>
    </r>
    <r>
      <rPr>
        <sz val="10"/>
        <color theme="10"/>
        <rFont val="Verdana"/>
        <family val="2"/>
      </rPr>
      <t>sustainable livelihood</t>
    </r>
    <r>
      <rPr>
        <sz val="10"/>
        <rFont val="Verdana"/>
        <family val="2"/>
      </rPr>
      <t xml:space="preserve"> at least one month after receipt of services?</t>
    </r>
    <r>
      <rPr>
        <sz val="10"/>
        <color rgb="FFFF0000"/>
        <rFont val="Verdana"/>
        <family val="2"/>
      </rPr>
      <t xml:space="preserve"> ‡</t>
    </r>
  </si>
  <si>
    <t>Prosecution - Law Enforcement</t>
  </si>
  <si>
    <t>Please select the type(s) of law enforcement outcomes that will be achieved.</t>
  </si>
  <si>
    <r>
      <rPr>
        <sz val="11"/>
        <rFont val="Verdana"/>
        <family val="2"/>
      </rPr>
      <t>9.</t>
    </r>
    <r>
      <rPr>
        <sz val="11"/>
        <color theme="10"/>
        <rFont val="Verdana"/>
        <family val="2"/>
      </rPr>
      <t xml:space="preserve"> Investigations</t>
    </r>
  </si>
  <si>
    <r>
      <t>9.1 How many TIP-related investigations will be initiated as a result of project activities or in coordination with grantee partners?</t>
    </r>
    <r>
      <rPr>
        <sz val="10"/>
        <color rgb="FFFF0000"/>
        <rFont val="Verdana"/>
        <family val="2"/>
      </rPr>
      <t xml:space="preserve"> †††</t>
    </r>
  </si>
  <si>
    <r>
      <rPr>
        <sz val="11"/>
        <rFont val="Verdana"/>
        <family val="2"/>
      </rPr>
      <t xml:space="preserve">10. </t>
    </r>
    <r>
      <rPr>
        <sz val="11"/>
        <color theme="10"/>
        <rFont val="Verdana"/>
        <family val="2"/>
      </rPr>
      <t>Arrests</t>
    </r>
  </si>
  <si>
    <t xml:space="preserve">10.1 How many TIP-related arrests will be made as a result of project activities or in coordination with grantee partners? </t>
  </si>
  <si>
    <r>
      <rPr>
        <sz val="11"/>
        <rFont val="Verdana"/>
        <family val="2"/>
      </rPr>
      <t xml:space="preserve">11. </t>
    </r>
    <r>
      <rPr>
        <sz val="11"/>
        <color theme="10"/>
        <rFont val="Verdana"/>
        <family val="2"/>
      </rPr>
      <t>Prosecutions</t>
    </r>
  </si>
  <si>
    <r>
      <t xml:space="preserve">11.1 How many TIP-related prosecutions will be initiated as a result of project activities or in coordination with grantee partners? </t>
    </r>
    <r>
      <rPr>
        <sz val="10"/>
        <color rgb="FFFF0000"/>
        <rFont val="Verdana"/>
        <family val="2"/>
      </rPr>
      <t xml:space="preserve">††† </t>
    </r>
  </si>
  <si>
    <r>
      <rPr>
        <sz val="11"/>
        <rFont val="Verdana"/>
        <family val="2"/>
      </rPr>
      <t>12.</t>
    </r>
    <r>
      <rPr>
        <sz val="11"/>
        <color theme="10"/>
        <rFont val="Verdana"/>
        <family val="2"/>
      </rPr>
      <t xml:space="preserve"> Convictions</t>
    </r>
  </si>
  <si>
    <t>12.1 How many TIP-related convictions will be made as a result of project activities or in coordination with grantee partners?</t>
  </si>
  <si>
    <t>Systemic Change</t>
  </si>
  <si>
    <t xml:space="preserve">Please select the type(s) of systemic change activities that will be performed. </t>
  </si>
  <si>
    <r>
      <rPr>
        <sz val="11"/>
        <rFont val="Verdana"/>
        <family val="2"/>
      </rPr>
      <t>13.</t>
    </r>
    <r>
      <rPr>
        <sz val="11"/>
        <color theme="10"/>
        <rFont val="Verdana"/>
        <family val="2"/>
      </rPr>
      <t xml:space="preserve"> Anti-TIP Policy/Legal Agreements</t>
    </r>
  </si>
  <si>
    <t>13.1 How many anti-TIP policies, laws, or international agreement(s) will be developed or strengthened?</t>
  </si>
  <si>
    <t>13.2 How many anti-TIP policies, laws, or international agreement(s) will be implemented?</t>
  </si>
  <si>
    <r>
      <rPr>
        <sz val="11"/>
        <rFont val="Verdana"/>
        <family val="2"/>
      </rPr>
      <t>14.</t>
    </r>
    <r>
      <rPr>
        <sz val="11"/>
        <color theme="10"/>
        <rFont val="Verdana"/>
        <family val="2"/>
      </rPr>
      <t xml:space="preserve"> National TIP Referral Mechanisms</t>
    </r>
  </si>
  <si>
    <t>14.1 Will the project develop or strengthen a National TIP Referral Mechanism(s)?</t>
  </si>
  <si>
    <t>Select Yes/No:</t>
  </si>
  <si>
    <t>Yes</t>
  </si>
  <si>
    <t xml:space="preserve">14.2 Will the project implement a National Referral Mechanism(s)? </t>
  </si>
  <si>
    <r>
      <rPr>
        <sz val="11"/>
        <rFont val="Verdana"/>
        <family val="2"/>
      </rPr>
      <t>15.</t>
    </r>
    <r>
      <rPr>
        <sz val="11"/>
        <color theme="10"/>
        <rFont val="Verdana"/>
        <family val="2"/>
      </rPr>
      <t xml:space="preserve"> Data Collection Systems</t>
    </r>
  </si>
  <si>
    <t xml:space="preserve">15.1 How many new TIP data collection and/or reporting mechanism(s) will be developed? </t>
  </si>
  <si>
    <t xml:space="preserve">15.2 How many existing TIP data collection and/or reporting mechanism(s) will be strengthened? </t>
  </si>
  <si>
    <t>Common Performance Indicator (CPI) Definitions, Examples, and Guidance</t>
  </si>
  <si>
    <t>CPI</t>
  </si>
  <si>
    <t>Definition</t>
  </si>
  <si>
    <t>Example</t>
  </si>
  <si>
    <t>Guidance</t>
  </si>
  <si>
    <t>Sex Trafficking</t>
  </si>
  <si>
    <t xml:space="preserve">When an adult (18 years or older) engages in a commercial sex act as the result of force, threats of force, fraud, coercion or any combination of such means. Child sex trafficking is when a child (under 18 years of age) is recruited, enticed, harbored, transported, provided, obtained, patronized, solicited, or maintained to perform a commercial sex act. In the case of child sex trafficking, proving force, fraud, or coercion is not necessary for the offense to be prosecuted as human trafficking. </t>
  </si>
  <si>
    <t xml:space="preserve">Prostitution as the result of force, fraud, coercion, or any such means. </t>
  </si>
  <si>
    <t xml:space="preserve">Note that CPIs 6.1, 6.2, 8.1, and 8.2 will require disaggregated reporting by gender, age, and type of trafficking (i.e., sex and labor) on a quarterly basis. </t>
  </si>
  <si>
    <t>Labor Trafficking</t>
  </si>
  <si>
    <t xml:space="preserve">When a person uses force or physical threats, psychological coercion, abuse of the legal process, deception, or other coercive means to compel someone to work. </t>
  </si>
  <si>
    <t xml:space="preserve">Involuntary domestic servitude or debt bondage. </t>
  </si>
  <si>
    <t>Prevention Training</t>
  </si>
  <si>
    <t>Formal or informal training primarily delivered to prevent human trafficking, including increasing awareness of human trafficking and its dangers. Attendees typically include—but are not limited to—the general public, professionals, and/or at risk populations. Includes collaborative workshops where attendees participate in knowledge sharing, lessons learned, skills improvement, capacity building, study tours, and/or simulation exercises.</t>
  </si>
  <si>
    <t>Trainings on identifying common mechanisms used by traffickers, identifying trafficking victims at border crossings, risks of trafficking and how to decrease these risks, effective methods for raising awareness, anti-TIP advocacy, etc.</t>
  </si>
  <si>
    <t xml:space="preserve">If applicable to your organization's proposed activities, provide: (1) the number of trainings to be conducted during the project's period of performance, (2) the number of people who will be trained during the project's period of performance, and (3) the number of people who will take action as a result of the training.  </t>
  </si>
  <si>
    <t>Protection Training</t>
  </si>
  <si>
    <t>Formal or informal training primarily delivered to support the protection of trafficking victims and/or improve victim services. Attendees typically include—but are not limited to—social workers, medical personnel, non-governmental organization personnel, first responders, and legal advocates. Includes collaborative workshops where attendees participate in knowledge sharing, lessons learned, skills improvement, capacity building, study tours, or simulation exercises.</t>
  </si>
  <si>
    <t>Trainings on victim identification, victim-centered services, safe housing, medical services, psychological services, legal assistance, safe and voluntary repatriation, reintegration and financial assistance, development of victim referral mechanisms, etc.</t>
  </si>
  <si>
    <t xml:space="preserve">If applicable to your organization's proposed activities, provide: (1) the number of trainings to be conducted during the project's period of performance and (2) the number of people who will be trained during the project's period of performance. </t>
  </si>
  <si>
    <t xml:space="preserve">Prosecution Training </t>
  </si>
  <si>
    <t>Formal or informal training primarily delivered to assist with the development and/or enforcement of anti-trafficking laws. Attendees typically include—but are not limited to—law enforcement officers, immigration officials, prosecutors, and judges. Includes collaborative workshops where attendees participate in knowledge sharing, lessons learned, skills improvement, capacity building, study tours, or simulation exercises.</t>
  </si>
  <si>
    <t xml:space="preserve">Trainings on investigating TIP cases, arresting TIP perpetrators, prosecuting TIP cases, presiding over TIP cases, etc. </t>
  </si>
  <si>
    <t>Multi-Subject/Other Training</t>
  </si>
  <si>
    <t>Formal or informal training conducted on topics related to 2 or more of the 3Ps. Includes collaborative workshops where attendees participate in knowledge sharing, lessons learned, skills improvement, capacity building, study tours, or simulation exercises.</t>
  </si>
  <si>
    <t>Training that transcends a single “P” (e.g., training parliamentarians on how to most effectively pass a law that both criminalizes trafficking in persons and establishes a fund to provide care for victims).</t>
  </si>
  <si>
    <t>Television Broadcasts</t>
  </si>
  <si>
    <t>Awareness raising and/or educational information on TIP that is developed and distributed to a mass audience via television. Information can include, but is not limited to: what is TIP, how TIP can be prevented, and/or the role someone can play in their community to support TIP victims.</t>
  </si>
  <si>
    <t>Public service announcements, TIP programs/interviews shared via television programs, etc.</t>
  </si>
  <si>
    <t xml:space="preserve">If applicable to your organization's proposed activities, provide: (1) the number of television broadcasts to be designed or adapted, (2) the number of times the television broadcasts will be broadcasted, (3) the number of people who will be reached by the television broadcasts, and (4) the number of people who will take action as a result of the television broadcasts.  </t>
  </si>
  <si>
    <t>Radio Broadcasts</t>
  </si>
  <si>
    <t xml:space="preserve">Awareness raising and/or educational information on TIP that is developed and distributed to a mass audience via radio. Information can include, but is not limited to: what is TIP, how TIP can be prevented, and/or the role someone can play in their community to support TIP victims. </t>
  </si>
  <si>
    <t xml:space="preserve">Public service announcements, TIP programs/interviews shared via radio programs, etc. </t>
  </si>
  <si>
    <t xml:space="preserve">If applicable to your organization's proposed activities, provide: (1) the number of radio broadcasts to be designed or adapted, (2) the number of times the radio broadcasts will be broadcasted, (3) the number of people who will be reached by the radio broadcasts, and (4) the number of people who will take action as a result of the radio broadcasts.  </t>
  </si>
  <si>
    <t>Magazine or Newspaper Articles/Advertisements</t>
  </si>
  <si>
    <t>Awareness raising and/or educational information on TIP that is developed and distributed to a mass audience via magazine or newspaper. Includes TIP related articles and advertisements.  Information can include, but is not limited to: what is TIP, how TIP can be prevented, and/or the role someone can play in their community to support TIP victims.</t>
  </si>
  <si>
    <t>Public service announcements, TIP programs/interviews shared via magazines or newspapers, etc.</t>
  </si>
  <si>
    <t xml:space="preserve">If applicable to your organization's proposed activities, provide: (1) the number of articles/advertisements to be designed or adapted, (2) the number of times the articles/advertisements will be published, (3) the number of people who will be reached by the articles/advertisements, and (4) the number of people who will take action as a result of the articles/advertisements.  </t>
  </si>
  <si>
    <t>Billboards/Posters</t>
  </si>
  <si>
    <t>Awareness raising and/or educational information on TIP that is developed for a mass audience viewing in public spaces via large, printed images. Information can include but is not limited to: what is TIP, how TIP can be prevented, and/or the role someone can play in their community to support TIP victims.</t>
  </si>
  <si>
    <t>Billboards, posters, or other large-scale signage that are designed to reach multiple people.</t>
  </si>
  <si>
    <t xml:space="preserve">If applicable to your organization's proposed activities, provide: (1) the number of billboards/posters to be designed or adapted, (2) the number of times the billboards/posters will be published, (3) the number of people who will be reached by the billboards/posters, and (4) the number of people who will take action as a result of the billboards/posters.  </t>
  </si>
  <si>
    <t>Social Media Posts</t>
  </si>
  <si>
    <t>Awareness raising and/or educational information on TIP that is developed and distributed via online social media platforms. Posts can be developed individually or as part of a greater anti-TIP campaign. Information can include but is not limited to: what is TIP, how TIP can be prevented, and/or the role someone can play in their community to support TIP victims.</t>
  </si>
  <si>
    <t xml:space="preserve">Facebook posts, Twitter posts, YouTube videos, etc. </t>
  </si>
  <si>
    <t xml:space="preserve">If applicable to your organization's proposed activities, provide: (1) the number of social media posts to be designed or adapted, (2) the number of times the social media posts will be published, (3) the number of people who will be reached by the social media posts, and (4) the number of people who will take action as a result of the social media posts.  </t>
  </si>
  <si>
    <t>Print Materials</t>
  </si>
  <si>
    <t>Awareness raising and/or educational information on TIP that is developed for individual distribution via print materials. This does not include research related materials such as scholarly articles or materials distributed during training. Information can include, but is not limited to: what is TIP, how TIP can be prevented, and/or the role someone can play in their community to support TIP victims.</t>
  </si>
  <si>
    <t xml:space="preserve">Brochures, leaflets, etc. </t>
  </si>
  <si>
    <t xml:space="preserve">If applicable to your organization's proposed activities, provide: (1) the number of print materials to be designed or adapted, (2) the number of times the print materials will be published, (3) the number of people who will be reached by the print materials, and (4) the number of people who will take action as a result of the print materials.  </t>
  </si>
  <si>
    <t>Performances</t>
  </si>
  <si>
    <t>Awareness raising and/or educational information on TIP that is developed for a mass audience viewing via dramatic, theatrical means. Information can include, but is not limited to: what is TIP, how TIP can be prevented, and/or the role someone can play in their community to support TIP victims.</t>
  </si>
  <si>
    <t xml:space="preserve">Plays, skits, street dramas, musical or dance productions, movies, demonstrations, etc. </t>
  </si>
  <si>
    <t xml:space="preserve">If applicable to your organization's proposed activities, provide: (1) the number of performances to be designed or adapted, (2) the number of times the performances will be broadcasted, (3) the number of people who will be reached by the performances, and (4) the number of people who will take action as a result of the performances.  </t>
  </si>
  <si>
    <t>Victim Identification</t>
  </si>
  <si>
    <t>The number of TIP victims identified and reported to a non-governmental organization or governing body as a result of project activities or in coordination with grantee partners.</t>
  </si>
  <si>
    <t>An individual is determined to be a victim of trafficking by a non-governmental organization or governmental official as defined by the Palermo Protocol, and is reported as such in official statistics.</t>
  </si>
  <si>
    <t>If applicable to your organization's proposed activities, provide: the total number of unique TIP victims to be identified during the project's period of performance.</t>
  </si>
  <si>
    <t>Victim Referral</t>
  </si>
  <si>
    <t xml:space="preserve">The number of identified victims of trafficking referred to a type of protection service as a result of project activities or in coordination with grantee partners. </t>
  </si>
  <si>
    <t>After being identified as a victim, the individual is referred to support services or a shelter for assistance (rather than being sent to a detention center, jail, or being deported).</t>
  </si>
  <si>
    <t>If applicable to your organization's proposed activities, provide: the total number of unique TIP victims to be referred to services during the project's period of performance.</t>
  </si>
  <si>
    <t>Victim Hotline</t>
  </si>
  <si>
    <t>Telephone hotlines established to report suspected or actual TIP cases and connect identified victims of trafficking with support services.</t>
  </si>
  <si>
    <t>Victim hotline established to report actual and/or suspected cases of TIP, etc.</t>
  </si>
  <si>
    <t xml:space="preserve">If applicable to your organization's proposed activities, provide: (1) the total number of calls to be answered by the victim hotline, (2) the total number of calls related to TIP to be answered by the victim hotline, and (3) the total number of unique TIP victims to be referred to services via the hotline. </t>
  </si>
  <si>
    <t>Shelter Services</t>
  </si>
  <si>
    <t xml:space="preserve">Secure physical accommodation provided to identified victims of trafficking. </t>
  </si>
  <si>
    <t>An identified victim of trafficking is provided with a safe place to sleep at night.</t>
  </si>
  <si>
    <t>If applicable to your organization's proposed activities, provide the total number of TIP victims to be served during the project period of performance.</t>
  </si>
  <si>
    <t>Healthcare Services</t>
  </si>
  <si>
    <t>Medical treatment as provided by a nurse, doctor, other healthcare practitioner, or first responder in order to assist with the physical recovery of identified victims of trafficking. This definition does not include healthcare education and does not include services provided to at-risk populations.</t>
  </si>
  <si>
    <t xml:space="preserve">Physical examination, assessment of physical trauma, sexually transmitted disease screening, etc. </t>
  </si>
  <si>
    <t>Counseling Services</t>
  </si>
  <si>
    <t>Psychological treatment provided by a social worker or other mental health practitioner to assist with the recovery of identified victims of trafficking.</t>
  </si>
  <si>
    <t xml:space="preserve">Individual or group therapy, art, music, and/or dance therapy, etc. </t>
  </si>
  <si>
    <t>Legal Assistance Services</t>
  </si>
  <si>
    <t>Legal services provided to identified victims of trafficking.</t>
  </si>
  <si>
    <t>Coordination with law enforcement or an assigned prosecutor to prepare evidence for court, helping a victim prepare to testify, filing civil claims for compensation (e.g., back wages), helping a victim obtain legal residency, etc.</t>
  </si>
  <si>
    <t>Repatriation Services</t>
  </si>
  <si>
    <t>Services to provide identified victims of trafficking secure return to their home countries.</t>
  </si>
  <si>
    <t>Return to a country of which the identified victim is a national, return to a country of which the identified victim had the right of permanent residency at the time of entry into a receiving territory, etc.</t>
  </si>
  <si>
    <t>Reintegration Services</t>
  </si>
  <si>
    <t>Services to reestablish identified victims of trafficking in their communities. These services may be culturally-specific and can be defined by the grantee. Typically, these services include: providing shelter in the community, helping the victim achieve a sustainable livelihood, etc.</t>
  </si>
  <si>
    <t>Housing and accommodations in their community, healthcare, legal status and rights, education, physical protection, community support, etc.</t>
  </si>
  <si>
    <t>Education</t>
  </si>
  <si>
    <t>Formal or informal education provided to identified victims of trafficking.</t>
  </si>
  <si>
    <t xml:space="preserve">Formal programs leading to a certificate or diploma, vocational training, life skills training (e.g., problem solving, effective communication), remedial services such as literacy or numeracy assistance, homework help, etc. </t>
  </si>
  <si>
    <t>Sustainable Livelihood</t>
  </si>
  <si>
    <t xml:space="preserve">Participation of identified victims of trafficking in activities that generate a sustainable income, resulting in the need to no longer receive financial support from a third party. </t>
  </si>
  <si>
    <t xml:space="preserve">Income as a result of job placement, support from a legal settlement, etc. </t>
  </si>
  <si>
    <t>Investigations</t>
  </si>
  <si>
    <t>Formal or systematic examinations or inquiries of individuals suspected of crimes related to TIP by law enforcement as a result of project activities or in coordination with grantee partners.</t>
  </si>
  <si>
    <t>Local police open a formal TIP investigation into a local individual based on information supplied to a hotline, etc.</t>
  </si>
  <si>
    <t xml:space="preserve">If applicable to your organization's proposed activities, provide the total number of TIP related investigations to be initiated during the project period of performance. </t>
  </si>
  <si>
    <t>Arrests</t>
  </si>
  <si>
    <t>The number of individuals that have been taken into custody for crimes related to trafficking in persons as a result of project activities or in coordination with grantee partners.</t>
  </si>
  <si>
    <t>A project-trained law enforcement official identifies a suspect of TIP related crimes leading to an arrest, etc.</t>
  </si>
  <si>
    <t xml:space="preserve">If applicable to your organization's proposed activities, provide the total number of TIP related arrests to be made during the project period of performance. </t>
  </si>
  <si>
    <t>Prosecutions</t>
  </si>
  <si>
    <t>Formal criminal allegations are filed against individuals in a court of law for crimes related to trafficking in persons as a result of project activities or in coordination with grantee partners.</t>
  </si>
  <si>
    <t xml:space="preserve">A project-trained prosecutor files criminal charges against an accused perpetrator for violating laws related to trafficking in persons, an arrest by a project-trained police officer leads to a formal prosecution, etc. </t>
  </si>
  <si>
    <t xml:space="preserve">If applicable to your organization's proposed activities, provide the total number of TIP related prosecutions to be initiated during the project period of performance. </t>
  </si>
  <si>
    <t>Convictions</t>
  </si>
  <si>
    <t>Formal declarations that individuals are guilty of criminal offenses related to TIP, made by the verdict of a jury or the decision of a judge/magistrate in a court of law as a result of project activities or in coordination with grantee partners. All convictions should be included, even if the conviction was appealed or could be appealed.</t>
  </si>
  <si>
    <t>A project-trained judge or magistrate presides over a trial where the accused is found guilty of crimes related to trafficking in persons, a TIP-related trial prosecuted by a project-trained prosecutor results in a conviction, etc.</t>
  </si>
  <si>
    <t>If applicable to your organization's proposed activities, provide the total number of TIP related convictions to be made during the project period of performance.</t>
  </si>
  <si>
    <t>Anti-TIP Policy/Legal Agreements</t>
  </si>
  <si>
    <t xml:space="preserve">International, national, provincial, and/or local policies, laws, or agreements related to TIP that are enforceable by a governing body as a result of project activities or in coordination with grantee partners. </t>
  </si>
  <si>
    <t>National action plans, counter-TIP laws, regional agreements, formation of national anti-trafficking committees, etc.</t>
  </si>
  <si>
    <t xml:space="preserve">If your organization will be developing new or strengthening existing anti-TIP policies, laws, or international agreements, please provide the total number of policies, laws, or agreements to be developed or strengthened during the project period of performance. If applicable, provide the total number of policies, laws, or agreements to be implemented by a governing body during the project period of performance. </t>
  </si>
  <si>
    <t>National TIP Referral Mechanism</t>
  </si>
  <si>
    <t>A structured framework that outlines procedures for identifying victims of trafficking and ensuring that they receive appropriate support. Enables state actors to coordinate anti-trafficking efforts via strategic partnerships and helps harmonize victim services with investigative and prosecutorial efforts.</t>
  </si>
  <si>
    <t xml:space="preserve">A National TIP Referral Mechanism exists to support identified or suspected victims of trafficking. </t>
  </si>
  <si>
    <t xml:space="preserve">If applicable to your organization's proposed activities, select "yes" from the dropdown menu. </t>
  </si>
  <si>
    <t>Data Collection Systems</t>
  </si>
  <si>
    <t>A database operated by an agency, organization, or company that contains information on TIP victims and/or potential TIP perpetrators. Information collected may include—but is not limited to— biographical data, care information, victimization type, and/or relevant legal status.</t>
  </si>
  <si>
    <t>TIP victim database, case management database, etc.</t>
  </si>
  <si>
    <t>If your organization will be developing a new collection system(s), provide the total number of systems to be developed during the project period of performance. If your organization will be strengthening an existing data collection system(s), provide the total number of systems to be strengthened during the project period of performance.</t>
  </si>
  <si>
    <t>Annex A: Results Monitoring Plan (RMP)
Project Title: Ñangareko Hagua
Organization Name: Partners of the Americas</t>
  </si>
  <si>
    <t>Activity</t>
  </si>
  <si>
    <t>Indicator or Milestone</t>
  </si>
  <si>
    <t>Indicator or Milestone Definition, 
Unit of Measure, Purpose</t>
  </si>
  <si>
    <t>Indicator Type, Outcome Level, and CPI</t>
  </si>
  <si>
    <t>Data Source, Disaggregation/s, Data Collection Tools and Methods</t>
  </si>
  <si>
    <t>Timing, Frequency or Schedule</t>
  </si>
  <si>
    <t>Responsibility</t>
  </si>
  <si>
    <t>Known Data Limitations, Assumptions and Risk</t>
  </si>
  <si>
    <t>Baseline, Data Source</t>
  </si>
  <si>
    <t xml:space="preserve">Vision Statement: Create a future where comprehensive, trauma-informed protection services are accessible to all victims of human trafficking in Paraguay, particularly adult male victims, ensuring their reintegration into society with dignity, equality, and the opportunity for a better life. </t>
  </si>
  <si>
    <t xml:space="preserve">Goal: Strengthen protection services, particularly among adult male victims of trafficking, and build the capacity of non-specialized shelter staff to provide trauma-informed and victim-centered care for vulnerable victims of human trafficking. </t>
  </si>
  <si>
    <t xml:space="preserve">Project Objective 1: </t>
  </si>
  <si>
    <t xml:space="preserve">Increase comprehensive services for adult trafficking victims, particularly men, through the provision of shelter, trauma-informed mental health counseling, and medical and legal assistance. </t>
  </si>
  <si>
    <r>
      <rPr>
        <b/>
        <sz val="14"/>
        <color rgb="FF000000"/>
        <rFont val="Calibri"/>
        <scheme val="minor"/>
      </rPr>
      <t>Activity 1.1</t>
    </r>
    <r>
      <rPr>
        <sz val="14"/>
        <color rgb="FF000000"/>
        <rFont val="Calibri"/>
        <scheme val="minor"/>
      </rPr>
      <t xml:space="preserve">: Identify Relevant Institution to Provide Care for Adult Male Victims of Trafficking. </t>
    </r>
  </si>
  <si>
    <r>
      <rPr>
        <b/>
        <sz val="14"/>
        <rFont val="Calibri"/>
        <scheme val="minor"/>
      </rPr>
      <t xml:space="preserve">M1: </t>
    </r>
    <r>
      <rPr>
        <sz val="14"/>
        <rFont val="Calibri"/>
        <scheme val="minor"/>
      </rPr>
      <t>Agreements Signed with Governmental Institutions to Create Shelter.</t>
    </r>
  </si>
  <si>
    <r>
      <rPr>
        <b/>
        <sz val="14"/>
        <color rgb="FF000000"/>
        <rFont val="Calibri"/>
        <scheme val="minor"/>
      </rPr>
      <t>Definition:</t>
    </r>
    <r>
      <rPr>
        <sz val="14"/>
        <color rgb="FF000000"/>
        <rFont val="Calibri"/>
        <scheme val="minor"/>
      </rPr>
      <t xml:space="preserve"> This milestone is intended to be completed by October 2024. The signed agreement will include a budget allocation, provided by the project, for the creation of the center and a sustainability plan. The sustainability plan will identify the human and financial resources required to maintain the shelter post-project. This agreement will ensure the sustainability of the shelter beyond the project’s duration.
</t>
    </r>
    <r>
      <rPr>
        <b/>
        <sz val="14"/>
        <color rgb="FF000000"/>
        <rFont val="Calibri"/>
        <scheme val="minor"/>
      </rPr>
      <t xml:space="preserve">Unit: </t>
    </r>
    <r>
      <rPr>
        <sz val="14"/>
        <color rgb="FF000000"/>
        <rFont val="Calibri"/>
        <scheme val="minor"/>
      </rPr>
      <t xml:space="preserve">Agreement
</t>
    </r>
    <r>
      <rPr>
        <b/>
        <sz val="14"/>
        <color rgb="FF000000"/>
        <rFont val="Calibri"/>
        <scheme val="minor"/>
      </rPr>
      <t xml:space="preserve">
</t>
    </r>
  </si>
  <si>
    <r>
      <rPr>
        <b/>
        <sz val="14"/>
        <rFont val="Calibri"/>
        <scheme val="minor"/>
      </rPr>
      <t>Activity 1.2</t>
    </r>
    <r>
      <rPr>
        <sz val="14"/>
        <rFont val="Calibri"/>
        <scheme val="minor"/>
      </rPr>
      <t xml:space="preserve">: Sign Agreements with Governmental Institutions to Create Shelter. </t>
    </r>
  </si>
  <si>
    <r>
      <rPr>
        <b/>
        <sz val="14"/>
        <color rgb="FF000000"/>
        <rFont val="Calibri"/>
        <scheme val="minor"/>
      </rPr>
      <t>Activity 1.3</t>
    </r>
    <r>
      <rPr>
        <sz val="14"/>
        <color rgb="FF000000"/>
        <rFont val="Calibri"/>
        <scheme val="minor"/>
      </rPr>
      <t xml:space="preserve">: Establish Adult Male Victims of Trafficking Shelter. </t>
    </r>
  </si>
  <si>
    <r>
      <rPr>
        <b/>
        <sz val="14"/>
        <color rgb="FF000000"/>
        <rFont val="Calibri"/>
        <scheme val="minor"/>
      </rPr>
      <t xml:space="preserve">1.3.1: </t>
    </r>
    <r>
      <rPr>
        <sz val="14"/>
        <color rgb="FF000000"/>
        <rFont val="Calibri"/>
        <scheme val="minor"/>
      </rPr>
      <t>Number of shelters established.</t>
    </r>
  </si>
  <si>
    <r>
      <rPr>
        <b/>
        <sz val="14"/>
        <color rgb="FF000000"/>
        <rFont val="Calibri"/>
        <scheme val="minor"/>
      </rPr>
      <t>Definition:</t>
    </r>
    <r>
      <rPr>
        <sz val="14"/>
        <color rgb="FF000000"/>
        <rFont val="Calibri"/>
        <scheme val="minor"/>
      </rPr>
      <t xml:space="preserve"> Number of shelters providing comprehensive services including legal assistance, mental health support, medical care, and reintegration programs (family reunification, housing, and livelihoods) to adult male trafficking victims.
</t>
    </r>
    <r>
      <rPr>
        <b/>
        <sz val="14"/>
        <color rgb="FF000000"/>
        <rFont val="Calibri"/>
        <scheme val="minor"/>
      </rPr>
      <t xml:space="preserve">Unit: </t>
    </r>
    <r>
      <rPr>
        <sz val="14"/>
        <color rgb="FF000000"/>
        <rFont val="Calibri"/>
        <scheme val="minor"/>
      </rPr>
      <t xml:space="preserve">Shelters
</t>
    </r>
    <r>
      <rPr>
        <b/>
        <sz val="14"/>
        <color rgb="FF000000"/>
        <rFont val="Calibri"/>
        <scheme val="minor"/>
      </rPr>
      <t xml:space="preserve">
Purpose: </t>
    </r>
    <r>
      <rPr>
        <sz val="14"/>
        <color rgb="FF000000"/>
        <rFont val="Calibri"/>
        <scheme val="minor"/>
      </rPr>
      <t xml:space="preserve">This indicator will measure the number of shelters available to adult male trafficking victims from their rescue to their reintegration.
</t>
    </r>
  </si>
  <si>
    <r>
      <rPr>
        <b/>
        <sz val="14"/>
        <color rgb="FF000000"/>
        <rFont val="Calibri"/>
        <scheme val="minor"/>
      </rPr>
      <t xml:space="preserve">Indicator Type: </t>
    </r>
    <r>
      <rPr>
        <sz val="14"/>
        <color rgb="FF000000"/>
        <rFont val="Calibri"/>
        <scheme val="minor"/>
      </rPr>
      <t xml:space="preserve">Outcome
</t>
    </r>
    <r>
      <rPr>
        <b/>
        <sz val="14"/>
        <color rgb="FF000000"/>
        <rFont val="Calibri"/>
        <scheme val="minor"/>
      </rPr>
      <t xml:space="preserve">
Outcome Level (for outcome indicators only): </t>
    </r>
    <r>
      <rPr>
        <sz val="14"/>
        <color rgb="FF000000"/>
        <rFont val="Calibri"/>
        <scheme val="minor"/>
      </rPr>
      <t xml:space="preserve">Medium-term
</t>
    </r>
    <r>
      <rPr>
        <b/>
        <sz val="14"/>
        <color rgb="FF000000"/>
        <rFont val="Calibri"/>
        <scheme val="minor"/>
      </rPr>
      <t xml:space="preserve">
CPI Code: </t>
    </r>
    <r>
      <rPr>
        <sz val="14"/>
        <color rgb="FF000000"/>
        <rFont val="Calibri"/>
        <scheme val="minor"/>
      </rPr>
      <t>8.2, 8.3, 8.4, 8.5, 8.7 and 8.9</t>
    </r>
  </si>
  <si>
    <r>
      <rPr>
        <b/>
        <sz val="14"/>
        <color rgb="FF000000"/>
        <rFont val="Calibri"/>
        <scheme val="minor"/>
      </rPr>
      <t>Source</t>
    </r>
    <r>
      <rPr>
        <sz val="14"/>
        <color rgb="FF000000"/>
        <rFont val="Calibri"/>
        <scheme val="minor"/>
      </rPr>
      <t xml:space="preserve">: Agreements to create shelter and Government administrative records
</t>
    </r>
    <r>
      <rPr>
        <b/>
        <sz val="14"/>
        <color rgb="FF000000"/>
        <rFont val="Calibri"/>
        <scheme val="minor"/>
      </rPr>
      <t>Disaggregation/s</t>
    </r>
    <r>
      <rPr>
        <sz val="14"/>
        <color rgb="FF000000"/>
        <rFont val="Calibri"/>
        <scheme val="minor"/>
      </rPr>
      <t xml:space="preserve">: 
1. Geography (Department and District)
</t>
    </r>
    <r>
      <rPr>
        <b/>
        <sz val="14"/>
        <color rgb="FF000000"/>
        <rFont val="Calibri"/>
        <scheme val="minor"/>
      </rPr>
      <t>Data Collection Tools and Methods:</t>
    </r>
    <r>
      <rPr>
        <sz val="14"/>
        <color rgb="FF000000"/>
        <rFont val="Calibri"/>
        <scheme val="minor"/>
      </rPr>
      <t xml:space="preserve"> Administrative actions</t>
    </r>
  </si>
  <si>
    <r>
      <rPr>
        <b/>
        <sz val="14"/>
        <color rgb="FF000000"/>
        <rFont val="Calibri"/>
        <scheme val="minor"/>
      </rPr>
      <t>Collection</t>
    </r>
    <r>
      <rPr>
        <sz val="14"/>
        <color rgb="FF000000"/>
        <rFont val="Calibri"/>
        <scheme val="minor"/>
      </rPr>
      <t xml:space="preserve">: Throughout the project
</t>
    </r>
    <r>
      <rPr>
        <b/>
        <sz val="14"/>
        <color rgb="FF000000"/>
        <rFont val="Calibri"/>
        <scheme val="minor"/>
      </rPr>
      <t>Analysis</t>
    </r>
    <r>
      <rPr>
        <sz val="14"/>
        <color rgb="FF000000"/>
        <rFont val="Calibri"/>
        <scheme val="minor"/>
      </rPr>
      <t xml:space="preserve">: Throughout the project
</t>
    </r>
    <r>
      <rPr>
        <b/>
        <sz val="14"/>
        <color rgb="FF000000"/>
        <rFont val="Calibri"/>
        <scheme val="minor"/>
      </rPr>
      <t>Reporting</t>
    </r>
    <r>
      <rPr>
        <sz val="14"/>
        <color rgb="FF000000"/>
        <rFont val="Calibri"/>
        <scheme val="minor"/>
      </rPr>
      <t>: Quarterly</t>
    </r>
  </si>
  <si>
    <r>
      <rPr>
        <b/>
        <sz val="14"/>
        <color rgb="FF000000"/>
        <rFont val="Calibri"/>
        <scheme val="minor"/>
      </rPr>
      <t>Collection</t>
    </r>
    <r>
      <rPr>
        <sz val="14"/>
        <color rgb="FF000000"/>
        <rFont val="Calibri"/>
        <scheme val="minor"/>
      </rPr>
      <t xml:space="preserve">: Program Coordinator
</t>
    </r>
    <r>
      <rPr>
        <b/>
        <sz val="14"/>
        <color rgb="FF000000"/>
        <rFont val="Calibri"/>
        <scheme val="minor"/>
      </rPr>
      <t>Analysis</t>
    </r>
    <r>
      <rPr>
        <sz val="14"/>
        <color rgb="FF000000"/>
        <rFont val="Calibri"/>
        <scheme val="minor"/>
      </rPr>
      <t xml:space="preserve">: Program Coordinator 
</t>
    </r>
    <r>
      <rPr>
        <b/>
        <sz val="14"/>
        <color rgb="FF000000"/>
        <rFont val="Calibri"/>
        <scheme val="minor"/>
      </rPr>
      <t>Reporting</t>
    </r>
    <r>
      <rPr>
        <sz val="14"/>
        <color rgb="FF000000"/>
        <rFont val="Calibri"/>
        <scheme val="minor"/>
      </rPr>
      <t>: Program Coordinator and Senior Director</t>
    </r>
  </si>
  <si>
    <r>
      <rPr>
        <b/>
        <sz val="14"/>
        <color rgb="FF000000"/>
        <rFont val="Calibri"/>
        <scheme val="minor"/>
      </rPr>
      <t>Limitation</t>
    </r>
    <r>
      <rPr>
        <sz val="14"/>
        <color rgb="FF000000"/>
        <rFont val="Calibri"/>
        <scheme val="minor"/>
      </rPr>
      <t xml:space="preserve">: Governmental Institutions may not provide information and/or inconsistent information.
</t>
    </r>
    <r>
      <rPr>
        <b/>
        <sz val="14"/>
        <color rgb="FF000000"/>
        <rFont val="Calibri"/>
        <scheme val="minor"/>
      </rPr>
      <t xml:space="preserve">Assumptions and Risk: </t>
    </r>
    <r>
      <rPr>
        <sz val="14"/>
        <color rgb="FF000000"/>
        <rFont val="Calibri"/>
        <scheme val="minor"/>
      </rPr>
      <t>Ongoing support of the Board may be hampered by political issues.</t>
    </r>
  </si>
  <si>
    <r>
      <rPr>
        <b/>
        <sz val="14"/>
        <color rgb="FF000000"/>
        <rFont val="Calibri"/>
        <scheme val="minor"/>
      </rPr>
      <t xml:space="preserve">Baseline: </t>
    </r>
    <r>
      <rPr>
        <sz val="14"/>
        <color rgb="FF000000"/>
        <rFont val="Calibri"/>
        <scheme val="minor"/>
      </rPr>
      <t xml:space="preserve">0
</t>
    </r>
    <r>
      <rPr>
        <b/>
        <sz val="14"/>
        <color rgb="FF000000"/>
        <rFont val="Calibri"/>
        <scheme val="minor"/>
      </rPr>
      <t xml:space="preserve">
Data Source: </t>
    </r>
    <r>
      <rPr>
        <sz val="14"/>
        <color rgb="FF000000"/>
        <rFont val="Calibri"/>
        <scheme val="minor"/>
      </rPr>
      <t>N/A</t>
    </r>
  </si>
  <si>
    <r>
      <t xml:space="preserve">End of Project Target: </t>
    </r>
    <r>
      <rPr>
        <sz val="14"/>
        <rFont val="Calibri"/>
        <scheme val="minor"/>
      </rPr>
      <t>1 shelter established</t>
    </r>
  </si>
  <si>
    <r>
      <rPr>
        <b/>
        <sz val="14"/>
        <rFont val="Calibri"/>
        <scheme val="minor"/>
      </rPr>
      <t>Activity 1.4</t>
    </r>
    <r>
      <rPr>
        <sz val="14"/>
        <rFont val="Calibri"/>
        <scheme val="minor"/>
      </rPr>
      <t xml:space="preserve">: Develop an Adult Male Trafficking Victim Care Manual. </t>
    </r>
  </si>
  <si>
    <r>
      <rPr>
        <b/>
        <sz val="14"/>
        <color rgb="FF000000"/>
        <rFont val="Calibri"/>
        <scheme val="minor"/>
      </rPr>
      <t xml:space="preserve">M2: </t>
    </r>
    <r>
      <rPr>
        <sz val="14"/>
        <color rgb="FF000000"/>
        <rFont val="Calibri"/>
        <scheme val="minor"/>
      </rPr>
      <t>Adult Male Trafficking Victim Care Manual institutionalized.</t>
    </r>
  </si>
  <si>
    <r>
      <rPr>
        <b/>
        <sz val="14"/>
        <color rgb="FF000000"/>
        <rFont val="Calibri"/>
        <scheme val="minor"/>
      </rPr>
      <t xml:space="preserve">Definition: </t>
    </r>
    <r>
      <rPr>
        <sz val="14"/>
        <color rgb="FF000000"/>
        <rFont val="Calibri"/>
        <scheme val="minor"/>
      </rPr>
      <t xml:space="preserve">This milestone is intended to be completed by April 2026. The institutionalization of this manual by the entity responsible for managing the shelter will be key to ensure long-term sustainability of care for adult male victims as the manual will be embedded into the operational protocols.
</t>
    </r>
    <r>
      <rPr>
        <b/>
        <sz val="14"/>
        <color rgb="FF000000"/>
        <rFont val="Calibri"/>
        <scheme val="minor"/>
      </rPr>
      <t>Unit:</t>
    </r>
    <r>
      <rPr>
        <sz val="14"/>
        <color rgb="FF000000"/>
        <rFont val="Calibri"/>
        <scheme val="minor"/>
      </rPr>
      <t xml:space="preserve"> Manual</t>
    </r>
  </si>
  <si>
    <r>
      <rPr>
        <b/>
        <sz val="14"/>
        <rFont val="Calibri"/>
        <scheme val="minor"/>
      </rPr>
      <t>Activity 1.5</t>
    </r>
    <r>
      <rPr>
        <sz val="14"/>
        <rFont val="Calibri"/>
        <scheme val="minor"/>
      </rPr>
      <t xml:space="preserve">: Train Stakeholders on the Adult Male Trafficking Victim Care Manual. </t>
    </r>
  </si>
  <si>
    <r>
      <rPr>
        <b/>
        <sz val="14"/>
        <color rgb="FF000000"/>
        <rFont val="Calibri"/>
        <scheme val="minor"/>
      </rPr>
      <t xml:space="preserve">1.5.1: </t>
    </r>
    <r>
      <rPr>
        <sz val="14"/>
        <color rgb="FF000000"/>
        <rFont val="Calibri"/>
        <scheme val="minor"/>
      </rPr>
      <t>Number of stakeholders trained.</t>
    </r>
  </si>
  <si>
    <r>
      <rPr>
        <b/>
        <sz val="14"/>
        <color rgb="FF000000"/>
        <rFont val="Calibri"/>
        <scheme val="minor"/>
      </rPr>
      <t>Definition:</t>
    </r>
    <r>
      <rPr>
        <sz val="14"/>
        <color rgb="FF000000"/>
        <rFont val="Calibri"/>
        <scheme val="minor"/>
      </rPr>
      <t xml:space="preserve"> Number of stakeholders attending the training on the Adult Male Trafficking Victim Care Manual. To be counted, participants will need to attend at least 75% of the training.
</t>
    </r>
    <r>
      <rPr>
        <b/>
        <sz val="14"/>
        <color rgb="FF000000"/>
        <rFont val="Calibri"/>
        <scheme val="minor"/>
      </rPr>
      <t xml:space="preserve">Unit: </t>
    </r>
    <r>
      <rPr>
        <sz val="14"/>
        <color rgb="FF000000"/>
        <rFont val="Calibri"/>
        <scheme val="minor"/>
      </rPr>
      <t xml:space="preserve">Individuals
</t>
    </r>
    <r>
      <rPr>
        <b/>
        <sz val="14"/>
        <color rgb="FF000000"/>
        <rFont val="Calibri"/>
        <scheme val="minor"/>
      </rPr>
      <t xml:space="preserve">
Purpose: </t>
    </r>
    <r>
      <rPr>
        <sz val="14"/>
        <color rgb="FF000000"/>
        <rFont val="Calibri"/>
        <scheme val="minor"/>
      </rPr>
      <t xml:space="preserve">This indicator will measure the number of stakeholders trained to ensure effective service delivery. </t>
    </r>
  </si>
  <si>
    <r>
      <t xml:space="preserve">Indicator Type: </t>
    </r>
    <r>
      <rPr>
        <sz val="14"/>
        <color rgb="FF000000"/>
        <rFont val="Calibri"/>
        <scheme val="minor"/>
      </rPr>
      <t>Output</t>
    </r>
    <r>
      <rPr>
        <b/>
        <sz val="14"/>
        <color rgb="FF000000"/>
        <rFont val="Calibri"/>
        <scheme val="minor"/>
      </rPr>
      <t xml:space="preserve">
Outcome Level (for outcome indicators only): </t>
    </r>
    <r>
      <rPr>
        <sz val="14"/>
        <color rgb="FF000000"/>
        <rFont val="Calibri"/>
        <scheme val="minor"/>
      </rPr>
      <t>N/A</t>
    </r>
    <r>
      <rPr>
        <b/>
        <sz val="14"/>
        <color rgb="FF000000"/>
        <rFont val="Calibri"/>
        <scheme val="minor"/>
      </rPr>
      <t xml:space="preserve">
CPI Code: </t>
    </r>
    <r>
      <rPr>
        <sz val="14"/>
        <color rgb="FF000000"/>
        <rFont val="Calibri"/>
        <scheme val="minor"/>
      </rPr>
      <t>2.1 and 2.2</t>
    </r>
  </si>
  <si>
    <r>
      <rPr>
        <b/>
        <sz val="14"/>
        <color rgb="FF000000"/>
        <rFont val="Calibri"/>
        <scheme val="minor"/>
      </rPr>
      <t>Collection</t>
    </r>
    <r>
      <rPr>
        <sz val="14"/>
        <color rgb="FF000000"/>
        <rFont val="Calibri"/>
        <scheme val="minor"/>
      </rPr>
      <t xml:space="preserve">: During training
</t>
    </r>
    <r>
      <rPr>
        <b/>
        <sz val="14"/>
        <color rgb="FF000000"/>
        <rFont val="Calibri"/>
        <scheme val="minor"/>
      </rPr>
      <t>Analysis</t>
    </r>
    <r>
      <rPr>
        <sz val="14"/>
        <color rgb="FF000000"/>
        <rFont val="Calibri"/>
        <scheme val="minor"/>
      </rPr>
      <t xml:space="preserve">: After training
</t>
    </r>
    <r>
      <rPr>
        <b/>
        <sz val="14"/>
        <color rgb="FF000000"/>
        <rFont val="Calibri"/>
        <scheme val="minor"/>
      </rPr>
      <t>Reporting</t>
    </r>
    <r>
      <rPr>
        <sz val="14"/>
        <color rgb="FF000000"/>
        <rFont val="Calibri"/>
        <scheme val="minor"/>
      </rPr>
      <t>: Quarterly</t>
    </r>
  </si>
  <si>
    <r>
      <rPr>
        <b/>
        <sz val="14"/>
        <color rgb="FF000000"/>
        <rFont val="Calibri"/>
        <scheme val="minor"/>
      </rPr>
      <t>Collection</t>
    </r>
    <r>
      <rPr>
        <sz val="14"/>
        <color rgb="FF000000"/>
        <rFont val="Calibri"/>
        <scheme val="minor"/>
      </rPr>
      <t xml:space="preserve">: Implementing Partner
</t>
    </r>
    <r>
      <rPr>
        <b/>
        <sz val="14"/>
        <color rgb="FF000000"/>
        <rFont val="Calibri"/>
        <scheme val="minor"/>
      </rPr>
      <t>Analysis</t>
    </r>
    <r>
      <rPr>
        <sz val="14"/>
        <color rgb="FF000000"/>
        <rFont val="Calibri"/>
        <scheme val="minor"/>
      </rPr>
      <t xml:space="preserve">: Program Coordinator 
</t>
    </r>
    <r>
      <rPr>
        <b/>
        <sz val="14"/>
        <color rgb="FF000000"/>
        <rFont val="Calibri"/>
        <scheme val="minor"/>
      </rPr>
      <t>Reporting</t>
    </r>
    <r>
      <rPr>
        <sz val="14"/>
        <color rgb="FF000000"/>
        <rFont val="Calibri"/>
        <scheme val="minor"/>
      </rPr>
      <t>: Program Coordinator and Senior Director</t>
    </r>
  </si>
  <si>
    <r>
      <rPr>
        <b/>
        <sz val="14"/>
        <color rgb="FF000000"/>
        <rFont val="Calibri"/>
        <scheme val="minor"/>
      </rPr>
      <t>Limitation</t>
    </r>
    <r>
      <rPr>
        <sz val="14"/>
        <color rgb="FF000000"/>
        <rFont val="Calibri"/>
        <scheme val="minor"/>
      </rPr>
      <t xml:space="preserve">:  Attendance list information depends on participants' self-identification.
</t>
    </r>
    <r>
      <rPr>
        <b/>
        <sz val="14"/>
        <color rgb="FF000000"/>
        <rFont val="Calibri"/>
        <scheme val="minor"/>
      </rPr>
      <t xml:space="preserve">Assumptions and Risk: </t>
    </r>
    <r>
      <rPr>
        <sz val="14"/>
        <color rgb="FF000000"/>
        <rFont val="Calibri"/>
        <scheme val="minor"/>
      </rPr>
      <t>Lack of stakeholder commitment could result in incomplete training.</t>
    </r>
  </si>
  <si>
    <r>
      <rPr>
        <b/>
        <sz val="14"/>
        <color rgb="FF000000"/>
        <rFont val="Calibri"/>
        <scheme val="minor"/>
      </rPr>
      <t xml:space="preserve">Baseline: </t>
    </r>
    <r>
      <rPr>
        <sz val="14"/>
        <color rgb="FF000000"/>
        <rFont val="Calibri"/>
        <scheme val="minor"/>
      </rPr>
      <t xml:space="preserve">0
</t>
    </r>
    <r>
      <rPr>
        <b/>
        <sz val="14"/>
        <color rgb="FF000000"/>
        <rFont val="Calibri"/>
        <scheme val="minor"/>
      </rPr>
      <t xml:space="preserve">
Data Source: </t>
    </r>
    <r>
      <rPr>
        <sz val="14"/>
        <color rgb="FF000000"/>
        <rFont val="Calibri"/>
        <scheme val="minor"/>
      </rPr>
      <t>N/A</t>
    </r>
  </si>
  <si>
    <r>
      <t xml:space="preserve">End of Project Target: </t>
    </r>
    <r>
      <rPr>
        <sz val="14"/>
        <rFont val="Calibri"/>
        <scheme val="minor"/>
      </rPr>
      <t>90 stakeholders trained</t>
    </r>
  </si>
  <si>
    <t>Project Objective 2:</t>
  </si>
  <si>
    <t xml:space="preserve">Enhance and implement the use of existing protection SOPs to provide trauma-informed and victim-centered care to adult victims of trafficking. </t>
  </si>
  <si>
    <r>
      <rPr>
        <b/>
        <sz val="14"/>
        <rFont val="Calibri"/>
        <scheme val="minor"/>
      </rPr>
      <t>Activity 2.1</t>
    </r>
    <r>
      <rPr>
        <sz val="14"/>
        <rFont val="Calibri"/>
        <scheme val="minor"/>
      </rPr>
      <t xml:space="preserve">: Increase the Board’s Inter-Institutional Coordination Capacity. </t>
    </r>
  </si>
  <si>
    <r>
      <t xml:space="preserve">2.1.1: </t>
    </r>
    <r>
      <rPr>
        <sz val="14"/>
        <color rgb="FF000000"/>
        <rFont val="Calibri"/>
        <scheme val="minor"/>
      </rPr>
      <t>Number of Boards that increase inter-institutional coordination capacity.</t>
    </r>
  </si>
  <si>
    <r>
      <rPr>
        <b/>
        <sz val="14"/>
        <color rgb="FF000000"/>
        <rFont val="Calibri"/>
        <scheme val="minor"/>
      </rPr>
      <t>Definition:</t>
    </r>
    <r>
      <rPr>
        <sz val="14"/>
        <color rgb="FF000000"/>
        <rFont val="Calibri"/>
        <scheme val="minor"/>
      </rPr>
      <t xml:space="preserve"> Number of Boards that increase inter-institutional coordination capacity. The increase will be measured as: at least 50% of member institutions will adopt and implement victim care SOPs and the Board will lead periodic coordination meetings to follow-up on the implementation of SOPs.
</t>
    </r>
    <r>
      <rPr>
        <b/>
        <sz val="14"/>
        <color rgb="FF000000"/>
        <rFont val="Calibri"/>
        <scheme val="minor"/>
      </rPr>
      <t xml:space="preserve">Unit: </t>
    </r>
    <r>
      <rPr>
        <sz val="14"/>
        <color rgb="FF000000"/>
        <rFont val="Calibri"/>
        <scheme val="minor"/>
      </rPr>
      <t xml:space="preserve">Board
</t>
    </r>
    <r>
      <rPr>
        <b/>
        <sz val="14"/>
        <color rgb="FF000000"/>
        <rFont val="Calibri"/>
        <scheme val="minor"/>
      </rPr>
      <t xml:space="preserve">
Purpose:</t>
    </r>
    <r>
      <rPr>
        <sz val="14"/>
        <color rgb="FF000000"/>
        <rFont val="Calibri"/>
        <scheme val="minor"/>
      </rPr>
      <t xml:space="preserve"> This indicator will measure the Board's capacity as an effective coordinating body.</t>
    </r>
  </si>
  <si>
    <r>
      <t xml:space="preserve">Indicator Type: </t>
    </r>
    <r>
      <rPr>
        <sz val="14"/>
        <color rgb="FF000000"/>
        <rFont val="Calibri"/>
        <scheme val="minor"/>
      </rPr>
      <t>Outcome</t>
    </r>
    <r>
      <rPr>
        <b/>
        <sz val="14"/>
        <color rgb="FF000000"/>
        <rFont val="Calibri"/>
        <scheme val="minor"/>
      </rPr>
      <t xml:space="preserve">
Outcome Level (for outcome indicators only): </t>
    </r>
    <r>
      <rPr>
        <sz val="14"/>
        <color rgb="FF000000"/>
        <rFont val="Calibri"/>
        <scheme val="minor"/>
      </rPr>
      <t>Long-term</t>
    </r>
    <r>
      <rPr>
        <b/>
        <sz val="14"/>
        <color rgb="FF000000"/>
        <rFont val="Calibri"/>
        <scheme val="minor"/>
      </rPr>
      <t xml:space="preserve">
CPI Code: </t>
    </r>
    <r>
      <rPr>
        <sz val="14"/>
        <color rgb="FF000000"/>
        <rFont val="Calibri"/>
        <scheme val="minor"/>
      </rPr>
      <t>15.1</t>
    </r>
  </si>
  <si>
    <r>
      <rPr>
        <b/>
        <sz val="14"/>
        <color rgb="FF000000"/>
        <rFont val="Calibri"/>
        <scheme val="minor"/>
      </rPr>
      <t>Source</t>
    </r>
    <r>
      <rPr>
        <sz val="14"/>
        <color rgb="FF000000"/>
        <rFont val="Calibri"/>
        <scheme val="minor"/>
      </rPr>
      <t xml:space="preserve">: Board administrative records
</t>
    </r>
    <r>
      <rPr>
        <b/>
        <sz val="14"/>
        <color rgb="FF000000"/>
        <rFont val="Calibri"/>
        <scheme val="minor"/>
      </rPr>
      <t>Disaggregation/s</t>
    </r>
    <r>
      <rPr>
        <sz val="14"/>
        <color rgb="FF000000"/>
        <rFont val="Calibri"/>
        <scheme val="minor"/>
      </rPr>
      <t xml:space="preserve">: N/A
</t>
    </r>
    <r>
      <rPr>
        <b/>
        <sz val="14"/>
        <color rgb="FF000000"/>
        <rFont val="Calibri"/>
        <scheme val="minor"/>
      </rPr>
      <t>Data Collection Tools and Methods:</t>
    </r>
    <r>
      <rPr>
        <sz val="14"/>
        <color rgb="FF000000"/>
        <rFont val="Calibri"/>
        <scheme val="minor"/>
      </rPr>
      <t xml:space="preserve"> Administrative actions</t>
    </r>
  </si>
  <si>
    <r>
      <rPr>
        <b/>
        <sz val="14"/>
        <color rgb="FF000000"/>
        <rFont val="Calibri"/>
        <scheme val="minor"/>
      </rPr>
      <t>Collection</t>
    </r>
    <r>
      <rPr>
        <sz val="14"/>
        <color rgb="FF000000"/>
        <rFont val="Calibri"/>
        <scheme val="minor"/>
      </rPr>
      <t xml:space="preserve">: Program Coordinator
</t>
    </r>
    <r>
      <rPr>
        <b/>
        <sz val="14"/>
        <color rgb="FF000000"/>
        <rFont val="Calibri"/>
        <scheme val="minor"/>
      </rPr>
      <t>Analysis</t>
    </r>
    <r>
      <rPr>
        <sz val="14"/>
        <color rgb="FF000000"/>
        <rFont val="Calibri"/>
        <scheme val="minor"/>
      </rPr>
      <t xml:space="preserve">: Program Coordinator
</t>
    </r>
    <r>
      <rPr>
        <b/>
        <sz val="14"/>
        <color rgb="FF000000"/>
        <rFont val="Calibri"/>
        <scheme val="minor"/>
      </rPr>
      <t>Reporting</t>
    </r>
    <r>
      <rPr>
        <sz val="14"/>
        <color rgb="FF000000"/>
        <rFont val="Calibri"/>
        <scheme val="minor"/>
      </rPr>
      <t>: Program Coordinator and Senior Director</t>
    </r>
  </si>
  <si>
    <r>
      <rPr>
        <b/>
        <sz val="14"/>
        <color rgb="FF000000"/>
        <rFont val="Calibri"/>
        <scheme val="minor"/>
      </rPr>
      <t>Limitation</t>
    </r>
    <r>
      <rPr>
        <sz val="14"/>
        <color rgb="FF000000"/>
        <rFont val="Calibri"/>
        <scheme val="minor"/>
      </rPr>
      <t xml:space="preserve">: 
Governmental Institutions may not provide information and/or inconsistent information.
</t>
    </r>
    <r>
      <rPr>
        <b/>
        <sz val="14"/>
        <color rgb="FF000000"/>
        <rFont val="Calibri"/>
        <scheme val="minor"/>
      </rPr>
      <t xml:space="preserve">Assumptions and Risk: </t>
    </r>
    <r>
      <rPr>
        <sz val="14"/>
        <color rgb="FF000000"/>
        <rFont val="Calibri"/>
        <scheme val="minor"/>
      </rPr>
      <t>Ongoing support of the Board may be hampered by political issues.</t>
    </r>
  </si>
  <si>
    <r>
      <rPr>
        <b/>
        <sz val="14"/>
        <color rgb="FF000000"/>
        <rFont val="Calibri"/>
        <scheme val="minor"/>
      </rPr>
      <t xml:space="preserve">End of Project Target: </t>
    </r>
    <r>
      <rPr>
        <sz val="14"/>
        <color rgb="FF000000"/>
        <rFont val="Calibri"/>
        <scheme val="minor"/>
      </rPr>
      <t>1 Board that increases inter-institutional coordination capacity</t>
    </r>
  </si>
  <si>
    <r>
      <rPr>
        <b/>
        <sz val="14"/>
        <rFont val="Calibri"/>
        <scheme val="minor"/>
      </rPr>
      <t>Activity 2.2</t>
    </r>
    <r>
      <rPr>
        <sz val="14"/>
        <rFont val="Calibri"/>
        <scheme val="minor"/>
      </rPr>
      <t>: Train Relevant Institution Staff on Existing SOPs for Victim Care.</t>
    </r>
  </si>
  <si>
    <r>
      <t xml:space="preserve">2.2.1: </t>
    </r>
    <r>
      <rPr>
        <sz val="14"/>
        <color rgb="FF000000"/>
        <rFont val="Calibri"/>
        <scheme val="minor"/>
      </rPr>
      <t>Number of relevant institutions trained on SOPs.</t>
    </r>
  </si>
  <si>
    <r>
      <rPr>
        <b/>
        <sz val="14"/>
        <color rgb="FF000000"/>
        <rFont val="Calibri"/>
        <scheme val="minor"/>
      </rPr>
      <t>Definition:</t>
    </r>
    <r>
      <rPr>
        <sz val="14"/>
        <color rgb="FF000000"/>
        <rFont val="Calibri"/>
        <scheme val="minor"/>
      </rPr>
      <t xml:space="preserve">  Number of relevant institutions attending the training on SOPs. To be counted, participants will need to attend a least 75% of the training.
</t>
    </r>
    <r>
      <rPr>
        <b/>
        <sz val="14"/>
        <color rgb="FF000000"/>
        <rFont val="Calibri"/>
        <scheme val="minor"/>
      </rPr>
      <t>Unit:</t>
    </r>
    <r>
      <rPr>
        <sz val="14"/>
        <color rgb="FF000000"/>
        <rFont val="Calibri"/>
        <scheme val="minor"/>
      </rPr>
      <t xml:space="preserve"> Institutions
</t>
    </r>
    <r>
      <rPr>
        <b/>
        <sz val="14"/>
        <color rgb="FF000000"/>
        <rFont val="Calibri"/>
        <scheme val="minor"/>
      </rPr>
      <t xml:space="preserve">
Purpose:</t>
    </r>
    <r>
      <rPr>
        <sz val="14"/>
        <color rgb="FF000000"/>
        <rFont val="Calibri"/>
        <scheme val="minor"/>
      </rPr>
      <t xml:space="preserve"> This indicator will measure the number of institutions trained to enhance and implement the use of SOPs.</t>
    </r>
  </si>
  <si>
    <r>
      <t xml:space="preserve">Indicator Type: </t>
    </r>
    <r>
      <rPr>
        <sz val="14"/>
        <color rgb="FF000000"/>
        <rFont val="Calibri"/>
        <scheme val="minor"/>
      </rPr>
      <t>Output</t>
    </r>
    <r>
      <rPr>
        <b/>
        <sz val="14"/>
        <color rgb="FF000000"/>
        <rFont val="Calibri"/>
        <scheme val="minor"/>
      </rPr>
      <t xml:space="preserve">
Outcome Level (for outcome indicators only): </t>
    </r>
    <r>
      <rPr>
        <sz val="14"/>
        <color rgb="FF000000"/>
        <rFont val="Calibri"/>
        <scheme val="minor"/>
      </rPr>
      <t>N/A</t>
    </r>
    <r>
      <rPr>
        <b/>
        <sz val="14"/>
        <color rgb="FF000000"/>
        <rFont val="Calibri"/>
        <scheme val="minor"/>
      </rPr>
      <t xml:space="preserve">
CPI Code: </t>
    </r>
    <r>
      <rPr>
        <sz val="14"/>
        <color rgb="FF000000"/>
        <rFont val="Calibri"/>
        <scheme val="minor"/>
      </rPr>
      <t>2.2</t>
    </r>
  </si>
  <si>
    <r>
      <t xml:space="preserve">Source: </t>
    </r>
    <r>
      <rPr>
        <sz val="14"/>
        <color rgb="FF000000"/>
        <rFont val="Calibri"/>
        <scheme val="minor"/>
      </rPr>
      <t>Training attendance list</t>
    </r>
    <r>
      <rPr>
        <b/>
        <sz val="14"/>
        <color rgb="FF000000"/>
        <rFont val="Calibri"/>
        <scheme val="minor"/>
      </rPr>
      <t xml:space="preserve">
Disaggregation/s: 
</t>
    </r>
    <r>
      <rPr>
        <sz val="14"/>
        <color rgb="FF000000"/>
        <rFont val="Calibri"/>
        <scheme val="minor"/>
      </rPr>
      <t xml:space="preserve">1. Type of Institutions (Enforcement or Social Protection) 
2. Geography (Department and District)
</t>
    </r>
    <r>
      <rPr>
        <b/>
        <sz val="14"/>
        <color rgb="FF000000"/>
        <rFont val="Calibri"/>
        <scheme val="minor"/>
      </rPr>
      <t xml:space="preserve">
Data Collection Tools and Methods: </t>
    </r>
    <r>
      <rPr>
        <sz val="14"/>
        <color rgb="FF000000"/>
        <rFont val="Calibri"/>
        <scheme val="minor"/>
      </rPr>
      <t>Printed attendance list completed during training</t>
    </r>
  </si>
  <si>
    <r>
      <rPr>
        <b/>
        <sz val="14"/>
        <color rgb="FF000000"/>
        <rFont val="Calibri"/>
        <scheme val="minor"/>
      </rPr>
      <t>Collection</t>
    </r>
    <r>
      <rPr>
        <sz val="14"/>
        <color rgb="FF000000"/>
        <rFont val="Calibri"/>
        <scheme val="minor"/>
      </rPr>
      <t xml:space="preserve">: During training
</t>
    </r>
    <r>
      <rPr>
        <b/>
        <sz val="14"/>
        <color rgb="FF000000"/>
        <rFont val="Calibri"/>
        <scheme val="minor"/>
      </rPr>
      <t>Analysis</t>
    </r>
    <r>
      <rPr>
        <sz val="14"/>
        <color rgb="FF000000"/>
        <rFont val="Calibri"/>
        <scheme val="minor"/>
      </rPr>
      <t xml:space="preserve">: After training 
</t>
    </r>
    <r>
      <rPr>
        <b/>
        <sz val="14"/>
        <color rgb="FF000000"/>
        <rFont val="Calibri"/>
        <scheme val="minor"/>
      </rPr>
      <t>Reporting</t>
    </r>
    <r>
      <rPr>
        <sz val="14"/>
        <color rgb="FF000000"/>
        <rFont val="Calibri"/>
        <scheme val="minor"/>
      </rPr>
      <t xml:space="preserve">: Quarterly </t>
    </r>
  </si>
  <si>
    <r>
      <rPr>
        <b/>
        <sz val="14"/>
        <color rgb="FF000000"/>
        <rFont val="Calibri"/>
        <scheme val="minor"/>
      </rPr>
      <t>Collection</t>
    </r>
    <r>
      <rPr>
        <sz val="14"/>
        <color rgb="FF000000"/>
        <rFont val="Calibri"/>
        <scheme val="minor"/>
      </rPr>
      <t xml:space="preserve">: Implementing Partner 
</t>
    </r>
    <r>
      <rPr>
        <b/>
        <sz val="14"/>
        <color rgb="FF000000"/>
        <rFont val="Calibri"/>
        <scheme val="minor"/>
      </rPr>
      <t>Analysis</t>
    </r>
    <r>
      <rPr>
        <sz val="14"/>
        <color rgb="FF000000"/>
        <rFont val="Calibri"/>
        <scheme val="minor"/>
      </rPr>
      <t xml:space="preserve">: Program Coordinator
</t>
    </r>
    <r>
      <rPr>
        <b/>
        <sz val="14"/>
        <color rgb="FF000000"/>
        <rFont val="Calibri"/>
        <scheme val="minor"/>
      </rPr>
      <t>Reporting</t>
    </r>
    <r>
      <rPr>
        <sz val="14"/>
        <color rgb="FF000000"/>
        <rFont val="Calibri"/>
        <scheme val="minor"/>
      </rPr>
      <t>: Program Coordinator and Senior Director</t>
    </r>
  </si>
  <si>
    <r>
      <rPr>
        <b/>
        <sz val="14"/>
        <color rgb="FF000000"/>
        <rFont val="Calibri"/>
        <scheme val="minor"/>
      </rPr>
      <t>Limitation</t>
    </r>
    <r>
      <rPr>
        <sz val="14"/>
        <color rgb="FF000000"/>
        <rFont val="Calibri"/>
        <scheme val="minor"/>
      </rPr>
      <t xml:space="preserve">: Attendance list information depends on participants' self-identification.
</t>
    </r>
    <r>
      <rPr>
        <b/>
        <sz val="14"/>
        <color rgb="FF000000"/>
        <rFont val="Calibri"/>
        <scheme val="minor"/>
      </rPr>
      <t xml:space="preserve">Assumptions and Risk: </t>
    </r>
    <r>
      <rPr>
        <sz val="14"/>
        <color rgb="FF000000"/>
        <rFont val="Calibri"/>
        <scheme val="minor"/>
      </rPr>
      <t>Lack of stakeholder commitment could result in incomplete training.</t>
    </r>
  </si>
  <si>
    <r>
      <rPr>
        <b/>
        <sz val="14"/>
        <color rgb="FF000000"/>
        <rFont val="Calibri"/>
        <scheme val="minor"/>
      </rPr>
      <t xml:space="preserve">End of Project Target: </t>
    </r>
    <r>
      <rPr>
        <sz val="14"/>
        <color rgb="FF000000"/>
        <rFont val="Calibri"/>
        <scheme val="minor"/>
      </rPr>
      <t>12 relevant institutions trained</t>
    </r>
  </si>
  <si>
    <t>Project Objective 3:</t>
  </si>
  <si>
    <t xml:space="preserve">Build the Capacity of Non-Specialized Shelters to Support Adult Male Trafficking Victims. </t>
  </si>
  <si>
    <r>
      <rPr>
        <b/>
        <sz val="14"/>
        <color rgb="FF000000"/>
        <rFont val="Calibri"/>
        <scheme val="minor"/>
      </rPr>
      <t>Activity 3.1</t>
    </r>
    <r>
      <rPr>
        <sz val="14"/>
        <color rgb="FF000000"/>
        <rFont val="Calibri"/>
        <scheme val="minor"/>
      </rPr>
      <t>: Map of Existing Organizations Providing Shelter or Similar Services.</t>
    </r>
  </si>
  <si>
    <r>
      <t xml:space="preserve">3.1.1: </t>
    </r>
    <r>
      <rPr>
        <sz val="14"/>
        <rFont val="Calibri"/>
        <scheme val="minor"/>
      </rPr>
      <t>Number of Non-Specialized Shelters that enhance their capacity to support Adult Male Trafficking Victims.</t>
    </r>
  </si>
  <si>
    <r>
      <rPr>
        <b/>
        <sz val="14"/>
        <color rgb="FF000000"/>
        <rFont val="Calibri"/>
        <scheme val="minor"/>
      </rPr>
      <t>Definition:</t>
    </r>
    <r>
      <rPr>
        <sz val="14"/>
        <color rgb="FF000000"/>
        <rFont val="Calibri"/>
        <scheme val="minor"/>
      </rPr>
      <t xml:space="preserve"> Number of Non-Specialized Shelters that carry out internal regulatory adjustments as a result of the projects technical assistance.                                                           
</t>
    </r>
    <r>
      <rPr>
        <b/>
        <sz val="14"/>
        <color rgb="FF000000"/>
        <rFont val="Calibri"/>
        <scheme val="minor"/>
      </rPr>
      <t xml:space="preserve">Unit: </t>
    </r>
    <r>
      <rPr>
        <sz val="14"/>
        <color rgb="FF000000"/>
        <rFont val="Calibri"/>
        <scheme val="minor"/>
      </rPr>
      <t xml:space="preserve">Non-Specialized Shelters
</t>
    </r>
    <r>
      <rPr>
        <b/>
        <sz val="14"/>
        <color rgb="FF000000"/>
        <rFont val="Calibri"/>
        <scheme val="minor"/>
      </rPr>
      <t xml:space="preserve">
Purpose:</t>
    </r>
    <r>
      <rPr>
        <sz val="14"/>
        <color rgb="FF000000"/>
        <rFont val="Calibri"/>
        <scheme val="minor"/>
      </rPr>
      <t xml:space="preserve"> This indicator will measure the number of Non-Specialized Shelters with capacity to support Adult Male Trafficking Victims.</t>
    </r>
  </si>
  <si>
    <r>
      <t xml:space="preserve">Indicator Type: </t>
    </r>
    <r>
      <rPr>
        <sz val="14"/>
        <color rgb="FF000000"/>
        <rFont val="Calibri"/>
        <scheme val="minor"/>
      </rPr>
      <t>Outcome</t>
    </r>
    <r>
      <rPr>
        <b/>
        <sz val="14"/>
        <color rgb="FF000000"/>
        <rFont val="Calibri"/>
        <scheme val="minor"/>
      </rPr>
      <t xml:space="preserve">
Outcome Level (for outcome indicators only): </t>
    </r>
    <r>
      <rPr>
        <sz val="14"/>
        <color rgb="FF000000"/>
        <rFont val="Calibri"/>
        <scheme val="minor"/>
      </rPr>
      <t>Short-Term</t>
    </r>
    <r>
      <rPr>
        <b/>
        <sz val="14"/>
        <color rgb="FF000000"/>
        <rFont val="Calibri"/>
        <scheme val="minor"/>
      </rPr>
      <t xml:space="preserve">
CPI Code: </t>
    </r>
    <r>
      <rPr>
        <sz val="14"/>
        <color rgb="FF000000"/>
        <rFont val="Calibri"/>
        <scheme val="minor"/>
      </rPr>
      <t>Custom</t>
    </r>
  </si>
  <si>
    <r>
      <rPr>
        <b/>
        <sz val="14"/>
        <color rgb="FF000000"/>
        <rFont val="Calibri"/>
        <scheme val="minor"/>
      </rPr>
      <t>Source</t>
    </r>
    <r>
      <rPr>
        <sz val="14"/>
        <color rgb="FF000000"/>
        <rFont val="Calibri"/>
        <scheme val="minor"/>
      </rPr>
      <t xml:space="preserve">: Technical Assistance Report
</t>
    </r>
    <r>
      <rPr>
        <b/>
        <sz val="14"/>
        <color rgb="FF000000"/>
        <rFont val="Calibri"/>
        <scheme val="minor"/>
      </rPr>
      <t>Disaggregation/s</t>
    </r>
    <r>
      <rPr>
        <sz val="14"/>
        <color rgb="FF000000"/>
        <rFont val="Calibri"/>
        <scheme val="minor"/>
      </rPr>
      <t xml:space="preserve">:               1. Geography (Department and District)
</t>
    </r>
    <r>
      <rPr>
        <b/>
        <sz val="14"/>
        <color rgb="FF000000"/>
        <rFont val="Calibri"/>
        <scheme val="minor"/>
      </rPr>
      <t>Data Collection Tools and Methods:</t>
    </r>
    <r>
      <rPr>
        <sz val="14"/>
        <color rgb="FF000000"/>
        <rFont val="Calibri"/>
        <scheme val="minor"/>
      </rPr>
      <t xml:space="preserve"> Technical Assistance Meetings with shelter staff</t>
    </r>
  </si>
  <si>
    <r>
      <rPr>
        <b/>
        <sz val="14"/>
        <color rgb="FF000000"/>
        <rFont val="Calibri"/>
        <scheme val="minor"/>
      </rPr>
      <t>Collection</t>
    </r>
    <r>
      <rPr>
        <sz val="14"/>
        <color rgb="FF000000"/>
        <rFont val="Calibri"/>
        <scheme val="minor"/>
      </rPr>
      <t xml:space="preserve">: During meetings
</t>
    </r>
    <r>
      <rPr>
        <b/>
        <sz val="14"/>
        <color rgb="FF000000"/>
        <rFont val="Calibri"/>
        <scheme val="minor"/>
      </rPr>
      <t>Analysis</t>
    </r>
    <r>
      <rPr>
        <sz val="14"/>
        <color rgb="FF000000"/>
        <rFont val="Calibri"/>
        <scheme val="minor"/>
      </rPr>
      <t xml:space="preserve">: Once technical assistance is completed
</t>
    </r>
    <r>
      <rPr>
        <b/>
        <sz val="14"/>
        <color rgb="FF000000"/>
        <rFont val="Calibri"/>
        <scheme val="minor"/>
      </rPr>
      <t>Reporting</t>
    </r>
    <r>
      <rPr>
        <sz val="14"/>
        <color rgb="FF000000"/>
        <rFont val="Calibri"/>
        <scheme val="minor"/>
      </rPr>
      <t>: Quarterly</t>
    </r>
  </si>
  <si>
    <r>
      <rPr>
        <b/>
        <sz val="14"/>
        <color rgb="FF000000"/>
        <rFont val="Calibri"/>
        <scheme val="minor"/>
      </rPr>
      <t>Collection</t>
    </r>
    <r>
      <rPr>
        <sz val="14"/>
        <color rgb="FF000000"/>
        <rFont val="Calibri"/>
        <scheme val="minor"/>
      </rPr>
      <t xml:space="preserve">: Implementing Partner
</t>
    </r>
    <r>
      <rPr>
        <b/>
        <sz val="14"/>
        <color rgb="FF000000"/>
        <rFont val="Calibri"/>
        <scheme val="minor"/>
      </rPr>
      <t>Analysis</t>
    </r>
    <r>
      <rPr>
        <sz val="14"/>
        <color rgb="FF000000"/>
        <rFont val="Calibri"/>
        <scheme val="minor"/>
      </rPr>
      <t xml:space="preserve">: Program Coordinator
</t>
    </r>
    <r>
      <rPr>
        <b/>
        <sz val="14"/>
        <color rgb="FF000000"/>
        <rFont val="Calibri"/>
        <scheme val="minor"/>
      </rPr>
      <t>Reporting</t>
    </r>
    <r>
      <rPr>
        <sz val="14"/>
        <color rgb="FF000000"/>
        <rFont val="Calibri"/>
        <scheme val="minor"/>
      </rPr>
      <t>: Program Coordinator and Senior Director</t>
    </r>
  </si>
  <si>
    <r>
      <rPr>
        <b/>
        <sz val="14"/>
        <color rgb="FF000000"/>
        <rFont val="Calibri"/>
        <scheme val="minor"/>
      </rPr>
      <t>Limitation</t>
    </r>
    <r>
      <rPr>
        <sz val="14"/>
        <color rgb="FF000000"/>
        <rFont val="Calibri"/>
        <scheme val="minor"/>
      </rPr>
      <t xml:space="preserve">: Low capacity of Non-Specialized Shelters my present challenges in ongoing data collection and monitoring.
</t>
    </r>
    <r>
      <rPr>
        <b/>
        <sz val="14"/>
        <color rgb="FF000000"/>
        <rFont val="Calibri"/>
        <scheme val="minor"/>
      </rPr>
      <t xml:space="preserve">Assumptions and Risk: </t>
    </r>
    <r>
      <rPr>
        <sz val="14"/>
        <color rgb="FF000000"/>
        <rFont val="Calibri"/>
        <scheme val="minor"/>
      </rPr>
      <t>Lack of Non-Specialized Shelter commitment could result in incomplete technical assistance.</t>
    </r>
  </si>
  <si>
    <r>
      <rPr>
        <b/>
        <sz val="14"/>
        <color rgb="FF000000"/>
        <rFont val="Calibri"/>
        <scheme val="minor"/>
      </rPr>
      <t xml:space="preserve">End of Project Target: </t>
    </r>
    <r>
      <rPr>
        <sz val="14"/>
        <color rgb="FF000000"/>
        <rFont val="Calibri"/>
        <scheme val="minor"/>
      </rPr>
      <t>2 Non-Specialized Shelters that enhance their capacity to support Adult Male Trafficking Victims</t>
    </r>
  </si>
  <si>
    <r>
      <rPr>
        <b/>
        <sz val="14"/>
        <rFont val="Calibri"/>
        <scheme val="minor"/>
      </rPr>
      <t>Activity 3.2</t>
    </r>
    <r>
      <rPr>
        <sz val="14"/>
        <rFont val="Calibri"/>
        <scheme val="minor"/>
      </rPr>
      <t xml:space="preserve">: Provide Technical Assistance for Internal Regulatory Adjustments in Alternative Shelters. </t>
    </r>
  </si>
  <si>
    <r>
      <rPr>
        <b/>
        <sz val="14"/>
        <color rgb="FF000000"/>
        <rFont val="Calibri"/>
        <scheme val="minor"/>
      </rPr>
      <t>Activity 3.3</t>
    </r>
    <r>
      <rPr>
        <sz val="14"/>
        <color rgb="FF000000"/>
        <rFont val="Calibri"/>
        <scheme val="minor"/>
      </rPr>
      <t>: Train Staff at Identified Establishments on Proper Case Handling.</t>
    </r>
  </si>
  <si>
    <r>
      <rPr>
        <b/>
        <sz val="14"/>
        <color rgb="FF000000"/>
        <rFont val="Calibri"/>
        <scheme val="minor"/>
      </rPr>
      <t xml:space="preserve">3.3.1: </t>
    </r>
    <r>
      <rPr>
        <sz val="14"/>
        <color rgb="FF000000"/>
        <rFont val="Calibri"/>
        <scheme val="minor"/>
      </rPr>
      <t>Number of Non-Specialized Shelter staff trained.</t>
    </r>
  </si>
  <si>
    <r>
      <rPr>
        <b/>
        <sz val="14"/>
        <color rgb="FF000000"/>
        <rFont val="Calibri"/>
        <scheme val="minor"/>
      </rPr>
      <t>Definition:</t>
    </r>
    <r>
      <rPr>
        <sz val="14"/>
        <color rgb="FF000000"/>
        <rFont val="Calibri"/>
        <scheme val="minor"/>
      </rPr>
      <t xml:space="preserve"> Number of Non-Specialized Shelter staff attending training on proper case handling. To be counted, participants will need to attend a least 75% of the training.
</t>
    </r>
    <r>
      <rPr>
        <b/>
        <sz val="14"/>
        <color rgb="FF000000"/>
        <rFont val="Calibri"/>
        <scheme val="minor"/>
      </rPr>
      <t xml:space="preserve">Unit: </t>
    </r>
    <r>
      <rPr>
        <sz val="14"/>
        <color rgb="FF000000"/>
        <rFont val="Calibri"/>
        <scheme val="minor"/>
      </rPr>
      <t xml:space="preserve">Individuals
</t>
    </r>
    <r>
      <rPr>
        <b/>
        <sz val="14"/>
        <color rgb="FF000000"/>
        <rFont val="Calibri"/>
        <scheme val="minor"/>
      </rPr>
      <t xml:space="preserve">
Purpose:</t>
    </r>
    <r>
      <rPr>
        <sz val="14"/>
        <color rgb="FF000000"/>
        <rFont val="Calibri"/>
        <scheme val="minor"/>
      </rPr>
      <t xml:space="preserve"> This indicator will measure the number of Non-Specialized Shelter staff trained to support adult male trafficking victims.</t>
    </r>
  </si>
  <si>
    <r>
      <rPr>
        <b/>
        <sz val="14"/>
        <rFont val="Calibri"/>
        <scheme val="minor"/>
      </rPr>
      <t>Collection</t>
    </r>
    <r>
      <rPr>
        <sz val="14"/>
        <rFont val="Calibri"/>
        <scheme val="minor"/>
      </rPr>
      <t xml:space="preserve">: During training
</t>
    </r>
    <r>
      <rPr>
        <b/>
        <sz val="14"/>
        <rFont val="Calibri"/>
        <scheme val="minor"/>
      </rPr>
      <t>Analysis</t>
    </r>
    <r>
      <rPr>
        <sz val="14"/>
        <rFont val="Calibri"/>
        <scheme val="minor"/>
      </rPr>
      <t xml:space="preserve">: After training
</t>
    </r>
    <r>
      <rPr>
        <b/>
        <sz val="14"/>
        <rFont val="Calibri"/>
        <scheme val="minor"/>
      </rPr>
      <t>Reporting</t>
    </r>
    <r>
      <rPr>
        <sz val="14"/>
        <rFont val="Calibri"/>
        <scheme val="minor"/>
      </rPr>
      <t>: Quarterly</t>
    </r>
  </si>
  <si>
    <r>
      <t xml:space="preserve">Limitation: </t>
    </r>
    <r>
      <rPr>
        <sz val="14"/>
        <color rgb="FF000000"/>
        <rFont val="Calibri"/>
        <scheme val="minor"/>
      </rPr>
      <t>Attendance list information depends on participants' self-identification.</t>
    </r>
    <r>
      <rPr>
        <b/>
        <sz val="14"/>
        <color rgb="FF000000"/>
        <rFont val="Calibri"/>
        <scheme val="minor"/>
      </rPr>
      <t xml:space="preserve">
Assumptions and Risk: </t>
    </r>
    <r>
      <rPr>
        <sz val="14"/>
        <color rgb="FF000000"/>
        <rFont val="Calibri"/>
        <scheme val="minor"/>
      </rPr>
      <t>Lack of stakeholder commitment could result in incomplete training.</t>
    </r>
  </si>
  <si>
    <r>
      <t xml:space="preserve">End of Project Target: </t>
    </r>
    <r>
      <rPr>
        <sz val="14"/>
        <color rgb="FF000000"/>
        <rFont val="Calibri"/>
        <scheme val="minor"/>
      </rPr>
      <t>10 Non-Specialized Shelter Staff trained</t>
    </r>
  </si>
  <si>
    <r>
      <rPr>
        <b/>
        <sz val="14"/>
        <rFont val="Calibri"/>
        <scheme val="minor"/>
      </rPr>
      <t>Activity 3.4</t>
    </r>
    <r>
      <rPr>
        <sz val="14"/>
        <rFont val="Calibri"/>
        <scheme val="minor"/>
      </rPr>
      <t xml:space="preserve">: Develop a Network of Alternative Shelters. </t>
    </r>
  </si>
  <si>
    <r>
      <rPr>
        <b/>
        <sz val="14"/>
        <color rgb="FF000000"/>
        <rFont val="Calibri"/>
        <scheme val="minor"/>
      </rPr>
      <t xml:space="preserve">3.4.1:  </t>
    </r>
    <r>
      <rPr>
        <sz val="14"/>
        <color rgb="FF000000"/>
        <rFont val="Calibri"/>
        <scheme val="minor"/>
      </rPr>
      <t>Number of agreements signed between network members for victim support.</t>
    </r>
  </si>
  <si>
    <r>
      <rPr>
        <b/>
        <sz val="14"/>
        <color rgb="FF000000"/>
        <rFont val="Calibri"/>
        <scheme val="minor"/>
      </rPr>
      <t>Definition:</t>
    </r>
    <r>
      <rPr>
        <sz val="14"/>
        <color rgb="FF000000"/>
        <rFont val="Calibri"/>
        <scheme val="minor"/>
      </rPr>
      <t xml:space="preserve"> Number of agreements signed between network members for victim support.
</t>
    </r>
    <r>
      <rPr>
        <b/>
        <sz val="14"/>
        <color rgb="FF000000"/>
        <rFont val="Calibri"/>
        <scheme val="minor"/>
      </rPr>
      <t xml:space="preserve">Unit: </t>
    </r>
    <r>
      <rPr>
        <sz val="14"/>
        <color rgb="FF000000"/>
        <rFont val="Calibri"/>
        <scheme val="minor"/>
      </rPr>
      <t xml:space="preserve">Alternative Shelters
</t>
    </r>
    <r>
      <rPr>
        <b/>
        <sz val="14"/>
        <color rgb="FF000000"/>
        <rFont val="Calibri"/>
        <scheme val="minor"/>
      </rPr>
      <t xml:space="preserve">
Purpose:</t>
    </r>
    <r>
      <rPr>
        <sz val="14"/>
        <color rgb="FF000000"/>
        <rFont val="Calibri"/>
        <scheme val="minor"/>
      </rPr>
      <t xml:space="preserve"> This indicator will measure the commitment of alternative shelters to work together to care for victims.</t>
    </r>
  </si>
  <si>
    <r>
      <t xml:space="preserve">Indicator Type: </t>
    </r>
    <r>
      <rPr>
        <sz val="14"/>
        <color rgb="FF000000"/>
        <rFont val="Calibri"/>
        <scheme val="minor"/>
      </rPr>
      <t>Output</t>
    </r>
    <r>
      <rPr>
        <b/>
        <sz val="14"/>
        <color rgb="FF000000"/>
        <rFont val="Calibri"/>
        <scheme val="minor"/>
      </rPr>
      <t xml:space="preserve">
Outcome Level (for outcome indicators only): </t>
    </r>
    <r>
      <rPr>
        <sz val="14"/>
        <color rgb="FF000000"/>
        <rFont val="Calibri"/>
        <scheme val="minor"/>
      </rPr>
      <t>N/A</t>
    </r>
    <r>
      <rPr>
        <b/>
        <sz val="14"/>
        <color rgb="FF000000"/>
        <rFont val="Calibri"/>
        <scheme val="minor"/>
      </rPr>
      <t xml:space="preserve">
CPI Code: </t>
    </r>
    <r>
      <rPr>
        <sz val="14"/>
        <color rgb="FF000000"/>
        <rFont val="Calibri"/>
        <scheme val="minor"/>
      </rPr>
      <t>Custom</t>
    </r>
  </si>
  <si>
    <r>
      <rPr>
        <b/>
        <sz val="14"/>
        <color rgb="FF000000"/>
        <rFont val="Calibri"/>
        <scheme val="minor"/>
      </rPr>
      <t>Source</t>
    </r>
    <r>
      <rPr>
        <sz val="14"/>
        <color rgb="FF000000"/>
        <rFont val="Calibri"/>
        <scheme val="minor"/>
      </rPr>
      <t xml:space="preserve">: Agreement
</t>
    </r>
    <r>
      <rPr>
        <b/>
        <sz val="14"/>
        <color rgb="FF000000"/>
        <rFont val="Calibri"/>
        <scheme val="minor"/>
      </rPr>
      <t>Disaggregation/s</t>
    </r>
    <r>
      <rPr>
        <sz val="14"/>
        <color rgb="FF000000"/>
        <rFont val="Calibri"/>
        <scheme val="minor"/>
      </rPr>
      <t xml:space="preserve">: 
1. Geography (Department and District)
</t>
    </r>
    <r>
      <rPr>
        <b/>
        <sz val="14"/>
        <color rgb="FF000000"/>
        <rFont val="Calibri"/>
        <scheme val="minor"/>
      </rPr>
      <t>Data Collection Tools and Methods:</t>
    </r>
    <r>
      <rPr>
        <sz val="14"/>
        <color rgb="FF000000"/>
        <rFont val="Calibri"/>
        <scheme val="minor"/>
      </rPr>
      <t xml:space="preserve"> Printed agreement signed</t>
    </r>
  </si>
  <si>
    <r>
      <rPr>
        <b/>
        <sz val="14"/>
        <rFont val="Calibri"/>
        <scheme val="minor"/>
      </rPr>
      <t>Collection</t>
    </r>
    <r>
      <rPr>
        <sz val="14"/>
        <rFont val="Calibri"/>
        <scheme val="minor"/>
      </rPr>
      <t xml:space="preserve">: During meetings
</t>
    </r>
    <r>
      <rPr>
        <b/>
        <sz val="14"/>
        <rFont val="Calibri"/>
        <scheme val="minor"/>
      </rPr>
      <t>Analysis</t>
    </r>
    <r>
      <rPr>
        <sz val="14"/>
        <rFont val="Calibri"/>
        <scheme val="minor"/>
      </rPr>
      <t xml:space="preserve">: After meetings
</t>
    </r>
    <r>
      <rPr>
        <b/>
        <sz val="14"/>
        <rFont val="Calibri"/>
        <scheme val="minor"/>
      </rPr>
      <t>Reporting</t>
    </r>
    <r>
      <rPr>
        <sz val="14"/>
        <rFont val="Calibri"/>
        <scheme val="minor"/>
      </rPr>
      <t>: Quarterly</t>
    </r>
  </si>
  <si>
    <r>
      <t xml:space="preserve">Limitation: </t>
    </r>
    <r>
      <rPr>
        <sz val="14"/>
        <color rgb="FF000000"/>
        <rFont val="Calibri"/>
        <scheme val="minor"/>
      </rPr>
      <t xml:space="preserve">Institutions may not provide their administrative records.
</t>
    </r>
    <r>
      <rPr>
        <b/>
        <sz val="14"/>
        <color rgb="FF000000"/>
        <rFont val="Calibri"/>
        <scheme val="minor"/>
      </rPr>
      <t xml:space="preserve">
Assumptions and Risk: </t>
    </r>
    <r>
      <rPr>
        <sz val="14"/>
        <color rgb="FF000000"/>
        <rFont val="Calibri"/>
        <scheme val="minor"/>
      </rPr>
      <t>Lack of commitment from Alternative Shelters could result in the non-development of the network.</t>
    </r>
  </si>
  <si>
    <r>
      <rPr>
        <b/>
        <sz val="14"/>
        <color rgb="FF000000"/>
        <rFont val="Calibri"/>
        <scheme val="minor"/>
      </rPr>
      <t xml:space="preserve">End of Project Target: </t>
    </r>
    <r>
      <rPr>
        <sz val="14"/>
        <color rgb="FF000000"/>
        <rFont val="Calibri"/>
        <scheme val="minor"/>
      </rPr>
      <t>1 Agreement signed</t>
    </r>
  </si>
  <si>
    <t>Name</t>
  </si>
  <si>
    <t>JTIP CPI Target Setting Template</t>
  </si>
  <si>
    <t>YearList</t>
  </si>
  <si>
    <t>QuarterList</t>
  </si>
  <si>
    <t>2.0</t>
  </si>
  <si>
    <t>Q1</t>
  </si>
  <si>
    <t>Q2</t>
  </si>
  <si>
    <t>Q3</t>
  </si>
  <si>
    <t>Q4</t>
  </si>
  <si>
    <r>
      <rPr>
        <b/>
        <sz val="14"/>
        <color rgb="FF000000"/>
        <rFont val="Calibri"/>
        <scheme val="minor"/>
      </rPr>
      <t>Source</t>
    </r>
    <r>
      <rPr>
        <sz val="14"/>
        <color rgb="FF000000"/>
        <rFont val="Calibri"/>
        <scheme val="minor"/>
      </rPr>
      <t xml:space="preserve">: Training attendance list
</t>
    </r>
    <r>
      <rPr>
        <b/>
        <sz val="14"/>
        <color rgb="FF000000"/>
        <rFont val="Calibri"/>
        <scheme val="minor"/>
      </rPr>
      <t>Disaggregation/s</t>
    </r>
    <r>
      <rPr>
        <sz val="14"/>
        <color rgb="FF000000"/>
        <rFont val="Calibri"/>
        <scheme val="minor"/>
      </rPr>
      <t xml:space="preserve">: 
1. Sex (male/female)
2. Type of institutions (Enforcement or Social Protection)
</t>
    </r>
    <r>
      <rPr>
        <b/>
        <sz val="14"/>
        <color rgb="FF000000"/>
        <rFont val="Calibri"/>
        <scheme val="minor"/>
      </rPr>
      <t>Data Collection Tools and Methods:</t>
    </r>
    <r>
      <rPr>
        <sz val="14"/>
        <color rgb="FF000000"/>
        <rFont val="Calibri"/>
        <scheme val="minor"/>
      </rPr>
      <t xml:space="preserve"> Printed attendance list completed during training</t>
    </r>
  </si>
  <si>
    <r>
      <t xml:space="preserve">Source: </t>
    </r>
    <r>
      <rPr>
        <sz val="14"/>
        <color rgb="FF000000"/>
        <rFont val="Calibri"/>
        <scheme val="minor"/>
      </rPr>
      <t xml:space="preserve">Training attendance list
</t>
    </r>
    <r>
      <rPr>
        <b/>
        <sz val="14"/>
        <color rgb="FF000000"/>
        <rFont val="Calibri"/>
        <scheme val="minor"/>
      </rPr>
      <t xml:space="preserve">
Disaggregation/s: 
</t>
    </r>
    <r>
      <rPr>
        <sz val="14"/>
        <color rgb="FF000000"/>
        <rFont val="Calibri"/>
        <scheme val="minor"/>
      </rPr>
      <t xml:space="preserve">1. Sex (male/fermale)
2. Geography (Department and District)
</t>
    </r>
    <r>
      <rPr>
        <b/>
        <sz val="14"/>
        <color rgb="FF000000"/>
        <rFont val="Calibri"/>
        <scheme val="minor"/>
      </rPr>
      <t xml:space="preserve">
Data Collection Tools and Methods: </t>
    </r>
    <r>
      <rPr>
        <sz val="14"/>
        <color rgb="FF000000"/>
        <rFont val="Calibri"/>
        <scheme val="minor"/>
      </rPr>
      <t>Printed attendance list completed during trainings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</si>
</sst>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8" x14ac:knownFonts="1">
    <font>
      <sz val="11"/>
      <color theme="1"/>
      <name val="Calibri"/>
      <family val="2"/>
      <scheme val="minor"/>
    </font>
    <font>
      <sz val="12"/>
      <color theme="1"/>
      <name val="Verdana"/>
      <family val="2"/>
    </font>
    <font>
      <sz val="14"/>
      <color theme="1"/>
      <name val="Verdana"/>
      <family val="2"/>
    </font>
    <font>
      <sz val="10"/>
      <color theme="1"/>
      <name val="Verdana"/>
      <family val="2"/>
    </font>
    <font>
      <i/>
      <sz val="10"/>
      <color theme="1"/>
      <name val="Verdana"/>
      <family val="2"/>
    </font>
    <font>
      <sz val="10.5"/>
      <color theme="1"/>
      <name val="Verdana"/>
      <family val="2"/>
    </font>
    <font>
      <sz val="10"/>
      <name val="Arial"/>
      <family val="2"/>
    </font>
    <font>
      <b/>
      <sz val="11"/>
      <color theme="1"/>
      <name val="Verdana"/>
      <family val="2"/>
    </font>
    <font>
      <b/>
      <sz val="10.5"/>
      <color theme="1"/>
      <name val="Verdana"/>
      <family val="2"/>
    </font>
    <font>
      <sz val="11"/>
      <color theme="1"/>
      <name val="Verdana"/>
      <family val="2"/>
    </font>
    <font>
      <sz val="16"/>
      <color theme="1"/>
      <name val="Verdana"/>
      <family val="2"/>
    </font>
    <font>
      <b/>
      <sz val="16"/>
      <color theme="0"/>
      <name val="Verdana"/>
      <family val="2"/>
    </font>
    <font>
      <sz val="14"/>
      <color theme="1" tint="0.499984740745262"/>
      <name val="Verdana"/>
      <family val="2"/>
    </font>
    <font>
      <sz val="10"/>
      <color theme="0"/>
      <name val="Verdana"/>
      <family val="2"/>
    </font>
    <font>
      <sz val="10"/>
      <name val="Verdana"/>
      <family val="2"/>
    </font>
    <font>
      <b/>
      <sz val="10"/>
      <name val="Verdana"/>
      <family val="2"/>
    </font>
    <font>
      <sz val="11"/>
      <color theme="1"/>
      <name val="Calibri"/>
      <family val="2"/>
      <scheme val="minor"/>
    </font>
    <font>
      <sz val="11"/>
      <color rgb="FFFF0000"/>
      <name val="Verdana"/>
      <family val="2"/>
    </font>
    <font>
      <sz val="10"/>
      <color rgb="FFFF0000"/>
      <name val="Verdana"/>
      <family val="2"/>
    </font>
    <font>
      <u/>
      <sz val="11"/>
      <color theme="10"/>
      <name val="Calibri"/>
      <family val="2"/>
      <scheme val="minor"/>
    </font>
    <font>
      <i/>
      <sz val="10"/>
      <color theme="10"/>
      <name val="Verdana"/>
      <family val="2"/>
    </font>
    <font>
      <sz val="10"/>
      <color theme="10"/>
      <name val="Verdana"/>
      <family val="2"/>
    </font>
    <font>
      <sz val="11"/>
      <color theme="10"/>
      <name val="Verdana"/>
      <family val="2"/>
    </font>
    <font>
      <i/>
      <sz val="10"/>
      <name val="Verdana"/>
      <family val="2"/>
    </font>
    <font>
      <i/>
      <u/>
      <sz val="10"/>
      <color theme="1"/>
      <name val="Verdana"/>
      <family val="2"/>
    </font>
    <font>
      <sz val="11"/>
      <name val="Verdana"/>
      <family val="2"/>
    </font>
    <font>
      <b/>
      <sz val="14"/>
      <color theme="1" tint="0.499984740745262"/>
      <name val="Verdana"/>
      <family val="2"/>
    </font>
    <font>
      <sz val="10"/>
      <color rgb="FF0070C0"/>
      <name val="Verdana"/>
      <family val="2"/>
    </font>
    <font>
      <sz val="11"/>
      <name val="Times New Roman"/>
      <family val="1"/>
    </font>
    <font>
      <b/>
      <sz val="11"/>
      <name val="Times New Roman"/>
      <family val="1"/>
    </font>
    <font>
      <b/>
      <sz val="14"/>
      <name val="Calibri"/>
      <family val="2"/>
      <scheme val="minor"/>
    </font>
    <font>
      <sz val="14"/>
      <name val="Calibri"/>
      <family val="2"/>
      <scheme val="minor"/>
    </font>
    <font>
      <b/>
      <sz val="14"/>
      <color rgb="FF000000"/>
      <name val="Calibri"/>
      <scheme val="minor"/>
    </font>
    <font>
      <sz val="14"/>
      <color rgb="FF000000"/>
      <name val="Calibri"/>
      <scheme val="minor"/>
    </font>
    <font>
      <b/>
      <sz val="14"/>
      <name val="Calibri"/>
      <scheme val="minor"/>
    </font>
    <font>
      <sz val="14"/>
      <name val="Calibri"/>
      <scheme val="minor"/>
    </font>
    <font>
      <b/>
      <i/>
      <sz val="14"/>
      <name val="Calibri"/>
      <scheme val="minor"/>
    </font>
    <font>
      <sz val="11"/>
      <name val="Calibri"/>
      <scheme val="minor"/>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59999389629810485"/>
        <bgColor indexed="64"/>
      </patternFill>
    </fill>
  </fills>
  <borders count="25">
    <border>
      <left/>
      <right/>
      <top/>
      <bottom/>
      <diagonal/>
    </border>
    <border>
      <left style="thin">
        <color indexed="64"/>
      </left>
      <right style="thin">
        <color theme="2" tint="-9.9978637043366805E-2"/>
      </right>
      <top style="thin">
        <color indexed="64"/>
      </top>
      <bottom style="thin">
        <color theme="2" tint="-9.9978637043366805E-2"/>
      </bottom>
      <diagonal/>
    </border>
    <border>
      <left style="thin">
        <color indexed="64"/>
      </left>
      <right/>
      <top style="thin">
        <color indexed="64"/>
      </top>
      <bottom style="thin">
        <color theme="2" tint="-9.9978637043366805E-2"/>
      </bottom>
      <diagonal/>
    </border>
    <border>
      <left/>
      <right/>
      <top style="thin">
        <color indexed="64"/>
      </top>
      <bottom style="thin">
        <color theme="2" tint="-9.9978637043366805E-2"/>
      </bottom>
      <diagonal/>
    </border>
    <border>
      <left/>
      <right style="thin">
        <color theme="2" tint="-9.9978637043366805E-2"/>
      </right>
      <top style="thin">
        <color indexed="64"/>
      </top>
      <bottom style="thin">
        <color theme="2" tint="-9.9978637043366805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right/>
      <top style="thin">
        <color theme="0"/>
      </top>
      <bottom/>
      <diagonal/>
    </border>
    <border>
      <left/>
      <right/>
      <top style="thin">
        <color theme="0"/>
      </top>
      <bottom style="thin">
        <color theme="0"/>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theme="3"/>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3"/>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4">
    <xf numFmtId="0" fontId="0" fillId="0" borderId="0"/>
    <xf numFmtId="0" fontId="6" fillId="0" borderId="0"/>
    <xf numFmtId="164" fontId="16" fillId="0" borderId="0" applyFont="0" applyFill="0" applyBorder="0" applyAlignment="0" applyProtection="0"/>
    <xf numFmtId="0" fontId="19" fillId="0" borderId="0" applyNumberFormat="0" applyFill="0" applyBorder="0" applyAlignment="0" applyProtection="0"/>
  </cellStyleXfs>
  <cellXfs count="130">
    <xf numFmtId="0" fontId="0" fillId="0" borderId="0" xfId="0"/>
    <xf numFmtId="0" fontId="3" fillId="3" borderId="0" xfId="0" applyFont="1" applyFill="1" applyAlignment="1">
      <alignment horizontal="left"/>
    </xf>
    <xf numFmtId="0" fontId="3" fillId="2" borderId="0" xfId="0" applyFont="1" applyFill="1" applyAlignment="1">
      <alignment horizontal="left"/>
    </xf>
    <xf numFmtId="0" fontId="13" fillId="2" borderId="0" xfId="0" applyFont="1" applyFill="1"/>
    <xf numFmtId="0" fontId="11" fillId="2" borderId="0" xfId="0" applyFont="1" applyFill="1" applyAlignment="1">
      <alignment horizontal="left"/>
    </xf>
    <xf numFmtId="0" fontId="2" fillId="2" borderId="0" xfId="0" applyFont="1" applyFill="1" applyAlignment="1">
      <alignment horizontal="left"/>
    </xf>
    <xf numFmtId="0" fontId="7" fillId="2" borderId="0" xfId="0" applyFont="1" applyFill="1" applyAlignment="1">
      <alignment horizontal="left"/>
    </xf>
    <xf numFmtId="0" fontId="5" fillId="2" borderId="0" xfId="0" applyFont="1" applyFill="1" applyAlignment="1">
      <alignment horizontal="left"/>
    </xf>
    <xf numFmtId="0" fontId="3" fillId="2" borderId="1" xfId="0" applyFont="1" applyFill="1" applyBorder="1" applyAlignment="1" applyProtection="1">
      <alignment horizontal="right"/>
      <protection locked="0"/>
    </xf>
    <xf numFmtId="3" fontId="3" fillId="2" borderId="1" xfId="2" applyNumberFormat="1" applyFont="1" applyFill="1" applyBorder="1" applyAlignment="1" applyProtection="1">
      <alignment horizontal="right"/>
      <protection locked="0"/>
    </xf>
    <xf numFmtId="3" fontId="3" fillId="0" borderId="1" xfId="2" applyNumberFormat="1" applyFont="1" applyFill="1" applyBorder="1" applyAlignment="1" applyProtection="1">
      <alignment horizontal="right"/>
      <protection locked="0"/>
    </xf>
    <xf numFmtId="0" fontId="3" fillId="2" borderId="0" xfId="0" applyFont="1" applyFill="1"/>
    <xf numFmtId="0" fontId="1" fillId="2" borderId="0" xfId="0" applyFont="1" applyFill="1" applyAlignment="1">
      <alignment horizontal="left"/>
    </xf>
    <xf numFmtId="0" fontId="9" fillId="2" borderId="0" xfId="0" applyFont="1" applyFill="1" applyAlignment="1">
      <alignment horizontal="left"/>
    </xf>
    <xf numFmtId="0" fontId="3" fillId="2" borderId="0" xfId="0" applyFont="1" applyFill="1" applyAlignment="1">
      <alignment horizontal="right"/>
    </xf>
    <xf numFmtId="0" fontId="10" fillId="2" borderId="0" xfId="0" applyFont="1" applyFill="1" applyAlignment="1">
      <alignment horizontal="left"/>
    </xf>
    <xf numFmtId="0" fontId="17" fillId="2" borderId="0" xfId="0" applyFont="1" applyFill="1" applyAlignment="1">
      <alignment horizontal="left"/>
    </xf>
    <xf numFmtId="0" fontId="12" fillId="2" borderId="0" xfId="0" applyFont="1" applyFill="1" applyAlignment="1">
      <alignment horizontal="left"/>
    </xf>
    <xf numFmtId="0" fontId="9" fillId="2" borderId="0" xfId="0" applyFont="1" applyFill="1" applyAlignment="1">
      <alignment horizontal="right"/>
    </xf>
    <xf numFmtId="0" fontId="9" fillId="2" borderId="0" xfId="0" applyFont="1" applyFill="1"/>
    <xf numFmtId="0" fontId="9" fillId="2" borderId="5" xfId="0" applyFont="1" applyFill="1" applyBorder="1" applyAlignment="1">
      <alignment horizontal="left"/>
    </xf>
    <xf numFmtId="0" fontId="3" fillId="2" borderId="5" xfId="0" applyFont="1" applyFill="1" applyBorder="1" applyAlignment="1">
      <alignment horizontal="left"/>
    </xf>
    <xf numFmtId="0" fontId="3" fillId="2" borderId="5" xfId="0" applyFont="1" applyFill="1" applyBorder="1" applyAlignment="1">
      <alignment horizontal="right"/>
    </xf>
    <xf numFmtId="0" fontId="3" fillId="2" borderId="5" xfId="0" applyFont="1" applyFill="1" applyBorder="1"/>
    <xf numFmtId="0" fontId="5" fillId="2" borderId="5" xfId="0" applyFont="1" applyFill="1" applyBorder="1" applyAlignment="1">
      <alignment horizontal="left"/>
    </xf>
    <xf numFmtId="3" fontId="3" fillId="2" borderId="0" xfId="2" applyNumberFormat="1" applyFont="1" applyFill="1" applyBorder="1" applyAlignment="1" applyProtection="1">
      <alignment horizontal="right"/>
    </xf>
    <xf numFmtId="0" fontId="3" fillId="3" borderId="0" xfId="0" applyFont="1" applyFill="1" applyAlignment="1">
      <alignment horizontal="right"/>
    </xf>
    <xf numFmtId="0" fontId="3" fillId="3" borderId="0" xfId="0" applyFont="1" applyFill="1"/>
    <xf numFmtId="0" fontId="4" fillId="3" borderId="0" xfId="0" applyFont="1" applyFill="1" applyAlignment="1">
      <alignment horizontal="right"/>
    </xf>
    <xf numFmtId="0" fontId="8" fillId="2" borderId="0" xfId="0" applyFont="1" applyFill="1" applyAlignment="1">
      <alignment horizontal="left"/>
    </xf>
    <xf numFmtId="0" fontId="4" fillId="2" borderId="0" xfId="0" applyFont="1" applyFill="1" applyAlignment="1">
      <alignment horizontal="right"/>
    </xf>
    <xf numFmtId="3" fontId="3" fillId="0" borderId="0" xfId="2" applyNumberFormat="1" applyFont="1" applyFill="1" applyBorder="1" applyAlignment="1" applyProtection="1">
      <alignment horizontal="right"/>
    </xf>
    <xf numFmtId="0" fontId="3" fillId="2" borderId="7" xfId="0" applyFont="1" applyFill="1" applyBorder="1" applyAlignment="1">
      <alignment horizontal="right"/>
    </xf>
    <xf numFmtId="0" fontId="3" fillId="2" borderId="9" xfId="0" applyFont="1" applyFill="1" applyBorder="1"/>
    <xf numFmtId="0" fontId="14" fillId="2" borderId="0" xfId="1" applyFont="1" applyFill="1"/>
    <xf numFmtId="0" fontId="14" fillId="2" borderId="0" xfId="1" applyFont="1" applyFill="1" applyAlignment="1">
      <alignment vertical="top"/>
    </xf>
    <xf numFmtId="0" fontId="15" fillId="2" borderId="0" xfId="1" applyFont="1" applyFill="1"/>
    <xf numFmtId="0" fontId="14" fillId="3" borderId="5" xfId="1" applyFont="1" applyFill="1" applyBorder="1" applyAlignment="1">
      <alignment horizontal="left" vertical="top" wrapText="1"/>
    </xf>
    <xf numFmtId="0" fontId="14" fillId="2" borderId="0" xfId="1" applyFont="1" applyFill="1" applyAlignment="1">
      <alignment vertical="top" wrapText="1"/>
    </xf>
    <xf numFmtId="0" fontId="24" fillId="3" borderId="0" xfId="0" applyFont="1" applyFill="1" applyAlignment="1">
      <alignment horizontal="right"/>
    </xf>
    <xf numFmtId="0" fontId="15" fillId="2" borderId="12" xfId="1" applyFont="1" applyFill="1" applyBorder="1" applyAlignment="1">
      <alignment vertical="top"/>
    </xf>
    <xf numFmtId="0" fontId="18" fillId="2" borderId="0" xfId="0" applyFont="1" applyFill="1" applyAlignment="1">
      <alignment horizontal="left"/>
    </xf>
    <xf numFmtId="0" fontId="4" fillId="3" borderId="0" xfId="0" applyFont="1" applyFill="1" applyAlignment="1">
      <alignment horizontal="left"/>
    </xf>
    <xf numFmtId="0" fontId="19" fillId="3" borderId="0" xfId="3" applyFill="1" applyAlignment="1" applyProtection="1">
      <alignment horizontal="right"/>
    </xf>
    <xf numFmtId="0" fontId="14" fillId="0" borderId="5" xfId="1" applyFont="1" applyBorder="1" applyAlignment="1">
      <alignment horizontal="left" vertical="top" wrapText="1"/>
    </xf>
    <xf numFmtId="0" fontId="14" fillId="0" borderId="5" xfId="1" applyFont="1" applyBorder="1" applyAlignment="1">
      <alignment vertical="top" wrapText="1"/>
    </xf>
    <xf numFmtId="0" fontId="18" fillId="2" borderId="0" xfId="0" applyFont="1" applyFill="1"/>
    <xf numFmtId="0" fontId="4" fillId="2" borderId="0" xfId="0" applyFont="1" applyFill="1" applyAlignment="1">
      <alignment horizontal="left"/>
    </xf>
    <xf numFmtId="0" fontId="0" fillId="0" borderId="0" xfId="0" quotePrefix="1"/>
    <xf numFmtId="0" fontId="26" fillId="2" borderId="0" xfId="0" applyFont="1" applyFill="1" applyAlignment="1">
      <alignment horizontal="left"/>
    </xf>
    <xf numFmtId="0" fontId="28" fillId="0" borderId="0" xfId="0" applyFont="1"/>
    <xf numFmtId="49" fontId="28" fillId="0" borderId="0" xfId="0" applyNumberFormat="1"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49" fontId="28" fillId="0" borderId="0" xfId="0" applyNumberFormat="1" applyFont="1" applyAlignment="1">
      <alignment vertical="top" wrapText="1"/>
    </xf>
    <xf numFmtId="9" fontId="28" fillId="0" borderId="0" xfId="0" applyNumberFormat="1" applyFont="1" applyAlignment="1">
      <alignment horizontal="left" vertical="top" wrapText="1"/>
    </xf>
    <xf numFmtId="0" fontId="3" fillId="2" borderId="0" xfId="0" applyFont="1" applyFill="1" applyAlignment="1">
      <alignment horizontal="left" vertical="top" wrapText="1"/>
    </xf>
    <xf numFmtId="0" fontId="20" fillId="3" borderId="0" xfId="3" applyFont="1" applyFill="1" applyAlignment="1" applyProtection="1">
      <alignment horizontal="right"/>
    </xf>
    <xf numFmtId="0" fontId="21" fillId="2" borderId="0" xfId="3" applyFont="1" applyFill="1" applyAlignment="1" applyProtection="1">
      <alignment horizontal="left"/>
    </xf>
    <xf numFmtId="0" fontId="31" fillId="0" borderId="0" xfId="0" applyFont="1" applyAlignment="1">
      <alignment wrapText="1"/>
    </xf>
    <xf numFmtId="0" fontId="31" fillId="0" borderId="0" xfId="0" applyFont="1"/>
    <xf numFmtId="0" fontId="30" fillId="0" borderId="0" xfId="0" applyFont="1" applyAlignment="1">
      <alignment vertical="center" wrapText="1"/>
    </xf>
    <xf numFmtId="49" fontId="33" fillId="0" borderId="17" xfId="0" applyNumberFormat="1" applyFont="1" applyBorder="1" applyAlignment="1">
      <alignment horizontal="center" vertical="top" wrapText="1"/>
    </xf>
    <xf numFmtId="49" fontId="33" fillId="0" borderId="14" xfId="0" applyNumberFormat="1" applyFont="1" applyBorder="1" applyAlignment="1">
      <alignment horizontal="center" vertical="top" wrapText="1"/>
    </xf>
    <xf numFmtId="49" fontId="33" fillId="0" borderId="16" xfId="0" applyNumberFormat="1" applyFont="1" applyBorder="1" applyAlignment="1">
      <alignment horizontal="center" vertical="top" wrapText="1"/>
    </xf>
    <xf numFmtId="9" fontId="32" fillId="0" borderId="16" xfId="0" applyNumberFormat="1" applyFont="1" applyBorder="1" applyAlignment="1">
      <alignment horizontal="center" vertical="top" wrapText="1"/>
    </xf>
    <xf numFmtId="49" fontId="32" fillId="0" borderId="16" xfId="0" applyNumberFormat="1" applyFont="1" applyBorder="1" applyAlignment="1">
      <alignment horizontal="center" vertical="top" wrapText="1"/>
    </xf>
    <xf numFmtId="49" fontId="28" fillId="0" borderId="0" xfId="0" applyNumberFormat="1" applyFont="1" applyAlignment="1">
      <alignment horizontal="center" vertical="top" wrapText="1"/>
    </xf>
    <xf numFmtId="0" fontId="29" fillId="0" borderId="0" xfId="0" applyFont="1" applyAlignment="1">
      <alignment horizontal="center" vertical="top" wrapText="1"/>
    </xf>
    <xf numFmtId="9" fontId="28" fillId="0" borderId="0" xfId="0" applyNumberFormat="1" applyFont="1" applyAlignment="1">
      <alignment horizontal="center" vertical="top" wrapText="1"/>
    </xf>
    <xf numFmtId="0" fontId="35" fillId="0" borderId="0" xfId="0" applyFont="1"/>
    <xf numFmtId="49" fontId="34" fillId="4" borderId="13" xfId="0" applyNumberFormat="1" applyFont="1" applyFill="1" applyBorder="1" applyAlignment="1">
      <alignment horizontal="center" vertical="center" wrapText="1"/>
    </xf>
    <xf numFmtId="49" fontId="34" fillId="4" borderId="16" xfId="0" applyNumberFormat="1" applyFont="1" applyFill="1" applyBorder="1" applyAlignment="1">
      <alignment horizontal="center" vertical="center" wrapText="1"/>
    </xf>
    <xf numFmtId="49" fontId="34" fillId="4" borderId="14" xfId="0" applyNumberFormat="1" applyFont="1" applyFill="1" applyBorder="1" applyAlignment="1">
      <alignment horizontal="center" vertical="center" wrapText="1"/>
    </xf>
    <xf numFmtId="49" fontId="34" fillId="4" borderId="15" xfId="0" applyNumberFormat="1" applyFont="1" applyFill="1" applyBorder="1" applyAlignment="1">
      <alignment horizontal="center" vertical="center" wrapText="1"/>
    </xf>
    <xf numFmtId="49" fontId="36" fillId="6" borderId="16" xfId="0" applyNumberFormat="1" applyFont="1" applyFill="1" applyBorder="1" applyAlignment="1">
      <alignment horizontal="left" vertical="center" wrapText="1"/>
    </xf>
    <xf numFmtId="49" fontId="35" fillId="0" borderId="21" xfId="0" applyNumberFormat="1" applyFont="1" applyBorder="1" applyAlignment="1">
      <alignment horizontal="center" vertical="top" wrapText="1"/>
    </xf>
    <xf numFmtId="0" fontId="32" fillId="0" borderId="24" xfId="0" applyFont="1" applyBorder="1" applyAlignment="1">
      <alignment horizontal="center" vertical="top" wrapText="1"/>
    </xf>
    <xf numFmtId="0" fontId="32" fillId="0" borderId="14" xfId="0" applyFont="1" applyBorder="1" applyAlignment="1">
      <alignment horizontal="center" vertical="top" wrapText="1"/>
    </xf>
    <xf numFmtId="9" fontId="34" fillId="0" borderId="14" xfId="0" applyNumberFormat="1" applyFont="1" applyBorder="1" applyAlignment="1">
      <alignment horizontal="center" vertical="top" wrapText="1"/>
    </xf>
    <xf numFmtId="49" fontId="35" fillId="0" borderId="16" xfId="0" applyNumberFormat="1" applyFont="1" applyBorder="1" applyAlignment="1">
      <alignment horizontal="center" vertical="top" wrapText="1"/>
    </xf>
    <xf numFmtId="0" fontId="33" fillId="0" borderId="24" xfId="0" applyFont="1" applyBorder="1" applyAlignment="1">
      <alignment horizontal="center" vertical="top" wrapText="1"/>
    </xf>
    <xf numFmtId="0" fontId="37" fillId="0" borderId="16" xfId="0" applyFont="1" applyBorder="1" applyAlignment="1">
      <alignment horizontal="center"/>
    </xf>
    <xf numFmtId="49" fontId="35" fillId="0" borderId="20" xfId="0" applyNumberFormat="1" applyFont="1" applyBorder="1" applyAlignment="1">
      <alignment horizontal="center" vertical="top" wrapText="1"/>
    </xf>
    <xf numFmtId="49" fontId="36" fillId="6" borderId="16" xfId="0" applyNumberFormat="1" applyFont="1" applyFill="1" applyBorder="1" applyAlignment="1">
      <alignment horizontal="center" vertical="center"/>
    </xf>
    <xf numFmtId="0" fontId="32" fillId="0" borderId="16" xfId="0" applyFont="1" applyBorder="1" applyAlignment="1">
      <alignment horizontal="center" vertical="top" wrapText="1"/>
    </xf>
    <xf numFmtId="49" fontId="35" fillId="0" borderId="14" xfId="0" applyNumberFormat="1" applyFont="1" applyBorder="1" applyAlignment="1">
      <alignment horizontal="center" vertical="top" wrapText="1"/>
    </xf>
    <xf numFmtId="49" fontId="32" fillId="0" borderId="14" xfId="0" applyNumberFormat="1" applyFont="1" applyBorder="1" applyAlignment="1">
      <alignment horizontal="center" vertical="top" wrapText="1"/>
    </xf>
    <xf numFmtId="0" fontId="3" fillId="2" borderId="2" xfId="0" applyFont="1" applyFill="1" applyBorder="1" applyAlignment="1" applyProtection="1">
      <alignment horizontal="left"/>
      <protection locked="0"/>
    </xf>
    <xf numFmtId="0" fontId="3" fillId="2" borderId="3" xfId="0" applyFont="1" applyFill="1" applyBorder="1" applyAlignment="1" applyProtection="1">
      <alignment horizontal="left"/>
      <protection locked="0"/>
    </xf>
    <xf numFmtId="0" fontId="3" fillId="2" borderId="4" xfId="0" applyFont="1" applyFill="1" applyBorder="1" applyAlignment="1" applyProtection="1">
      <alignment horizontal="left"/>
      <protection locked="0"/>
    </xf>
    <xf numFmtId="0" fontId="22" fillId="2" borderId="5" xfId="3" applyFont="1" applyFill="1" applyBorder="1" applyAlignment="1" applyProtection="1">
      <alignment horizontal="left"/>
    </xf>
    <xf numFmtId="0" fontId="21" fillId="2" borderId="0" xfId="3" applyFont="1" applyFill="1" applyAlignment="1" applyProtection="1">
      <alignment horizontal="left" vertical="top" wrapText="1"/>
    </xf>
    <xf numFmtId="0" fontId="3" fillId="2" borderId="0" xfId="0" applyFont="1" applyFill="1" applyAlignment="1">
      <alignment horizontal="left" vertical="top" wrapText="1"/>
    </xf>
    <xf numFmtId="0" fontId="3" fillId="2" borderId="2" xfId="0" applyFont="1" applyFill="1" applyBorder="1" applyAlignment="1" applyProtection="1">
      <alignment horizontal="left" wrapText="1"/>
      <protection locked="0"/>
    </xf>
    <xf numFmtId="0" fontId="3" fillId="2" borderId="10"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11" xfId="0" applyFont="1" applyFill="1" applyBorder="1" applyAlignment="1">
      <alignment horizontal="left" vertical="top" wrapText="1"/>
    </xf>
    <xf numFmtId="0" fontId="20" fillId="3" borderId="0" xfId="3" applyFont="1" applyFill="1" applyAlignment="1" applyProtection="1">
      <alignment horizontal="right"/>
    </xf>
    <xf numFmtId="0" fontId="21" fillId="2" borderId="0" xfId="3" applyFont="1" applyFill="1" applyAlignment="1" applyProtection="1">
      <alignment horizontal="left"/>
    </xf>
    <xf numFmtId="0" fontId="3" fillId="2" borderId="0" xfId="0" applyFont="1" applyFill="1"/>
    <xf numFmtId="0" fontId="3" fillId="3" borderId="6" xfId="0" applyFont="1" applyFill="1" applyBorder="1" applyAlignment="1">
      <alignment horizontal="left" vertical="top" wrapText="1"/>
    </xf>
    <xf numFmtId="0" fontId="14" fillId="0" borderId="6" xfId="1" applyFont="1" applyBorder="1" applyAlignment="1">
      <alignment horizontal="left" vertical="top" wrapText="1"/>
    </xf>
    <xf numFmtId="0" fontId="3" fillId="0" borderId="6" xfId="0" applyFont="1" applyBorder="1" applyAlignment="1">
      <alignment horizontal="left" vertical="top" wrapText="1"/>
    </xf>
    <xf numFmtId="0" fontId="34" fillId="0" borderId="0" xfId="0" applyFont="1" applyAlignment="1">
      <alignment horizontal="center" wrapText="1"/>
    </xf>
    <xf numFmtId="49" fontId="36" fillId="6" borderId="16" xfId="0" applyNumberFormat="1" applyFont="1" applyFill="1" applyBorder="1" applyAlignment="1">
      <alignment horizontal="left" vertical="center"/>
    </xf>
    <xf numFmtId="49" fontId="36" fillId="6" borderId="17" xfId="0" applyNumberFormat="1" applyFont="1" applyFill="1" applyBorder="1" applyAlignment="1">
      <alignment horizontal="left" vertical="center"/>
    </xf>
    <xf numFmtId="49" fontId="36" fillId="6" borderId="18" xfId="0" applyNumberFormat="1" applyFont="1" applyFill="1" applyBorder="1" applyAlignment="1">
      <alignment horizontal="left" vertical="center"/>
    </xf>
    <xf numFmtId="49" fontId="36" fillId="6" borderId="19" xfId="0" applyNumberFormat="1" applyFont="1" applyFill="1" applyBorder="1" applyAlignment="1">
      <alignment horizontal="left" vertical="center"/>
    </xf>
    <xf numFmtId="0" fontId="35" fillId="0" borderId="16" xfId="0" applyFont="1" applyBorder="1" applyAlignment="1">
      <alignment horizontal="center" vertical="top" wrapText="1"/>
    </xf>
    <xf numFmtId="49" fontId="33" fillId="0" borderId="14" xfId="0" applyNumberFormat="1" applyFont="1" applyBorder="1" applyAlignment="1">
      <alignment horizontal="center" vertical="top" wrapText="1"/>
    </xf>
    <xf numFmtId="49" fontId="33" fillId="0" borderId="23" xfId="0" applyNumberFormat="1" applyFont="1" applyBorder="1" applyAlignment="1">
      <alignment horizontal="center" vertical="top" wrapText="1"/>
    </xf>
    <xf numFmtId="0" fontId="37" fillId="0" borderId="14" xfId="0" applyFont="1" applyBorder="1" applyAlignment="1">
      <alignment horizontal="center"/>
    </xf>
    <xf numFmtId="0" fontId="37" fillId="0" borderId="23" xfId="0" applyFont="1" applyBorder="1" applyAlignment="1">
      <alignment horizontal="center"/>
    </xf>
    <xf numFmtId="0" fontId="34" fillId="0" borderId="0" xfId="0" applyFont="1" applyAlignment="1">
      <alignment horizontal="left" vertical="center" wrapText="1"/>
    </xf>
    <xf numFmtId="49" fontId="34" fillId="5" borderId="21" xfId="0" applyNumberFormat="1" applyFont="1" applyFill="1" applyBorder="1" applyAlignment="1">
      <alignment horizontal="left" vertical="center" wrapText="1"/>
    </xf>
    <xf numFmtId="49" fontId="34" fillId="5" borderId="0" xfId="0" applyNumberFormat="1" applyFont="1" applyFill="1" applyAlignment="1">
      <alignment horizontal="left" vertical="center" wrapText="1"/>
    </xf>
    <xf numFmtId="49" fontId="34" fillId="5" borderId="22" xfId="0" applyNumberFormat="1" applyFont="1" applyFill="1" applyBorder="1" applyAlignment="1">
      <alignment horizontal="left" vertical="center" wrapText="1"/>
    </xf>
    <xf numFmtId="49" fontId="34" fillId="7" borderId="17" xfId="0" applyNumberFormat="1" applyFont="1" applyFill="1" applyBorder="1" applyAlignment="1">
      <alignment horizontal="left" vertical="center" wrapText="1"/>
    </xf>
    <xf numFmtId="49" fontId="34" fillId="7" borderId="18" xfId="0" applyNumberFormat="1" applyFont="1" applyFill="1" applyBorder="1" applyAlignment="1">
      <alignment horizontal="left" vertical="center" wrapText="1"/>
    </xf>
    <xf numFmtId="49" fontId="34" fillId="7" borderId="19" xfId="0" applyNumberFormat="1" applyFont="1" applyFill="1" applyBorder="1" applyAlignment="1">
      <alignment horizontal="left" vertical="center" wrapText="1"/>
    </xf>
    <xf numFmtId="49" fontId="35" fillId="0" borderId="23" xfId="0" applyNumberFormat="1" applyFont="1" applyBorder="1" applyAlignment="1">
      <alignment horizontal="center" vertical="top" wrapText="1"/>
    </xf>
    <xf numFmtId="49" fontId="32" fillId="0" borderId="14" xfId="0" applyNumberFormat="1" applyFont="1" applyBorder="1" applyAlignment="1">
      <alignment horizontal="center" vertical="top" wrapText="1"/>
    </xf>
    <xf numFmtId="49" fontId="34" fillId="0" borderId="23" xfId="0" applyNumberFormat="1" applyFont="1" applyBorder="1" applyAlignment="1">
      <alignment horizontal="center" vertical="top" wrapText="1"/>
    </xf>
    <xf numFmtId="9" fontId="32" fillId="0" borderId="14" xfId="0" applyNumberFormat="1" applyFont="1" applyBorder="1" applyAlignment="1">
      <alignment horizontal="center" vertical="top" wrapText="1"/>
    </xf>
    <xf numFmtId="9" fontId="34" fillId="0" borderId="23" xfId="0" applyNumberFormat="1" applyFont="1" applyBorder="1" applyAlignment="1">
      <alignment horizontal="center" vertical="top" wrapText="1"/>
    </xf>
    <xf numFmtId="0" fontId="34" fillId="0" borderId="14" xfId="0" applyFont="1" applyBorder="1" applyAlignment="1">
      <alignment horizontal="center" vertical="top" wrapText="1"/>
    </xf>
    <xf numFmtId="0" fontId="34" fillId="0" borderId="23" xfId="0" applyFont="1" applyBorder="1" applyAlignment="1">
      <alignment horizontal="center" vertical="top" wrapText="1"/>
    </xf>
    <xf numFmtId="0" fontId="32" fillId="0" borderId="14" xfId="0" applyFont="1" applyBorder="1" applyAlignment="1">
      <alignment horizontal="center" vertical="top" wrapText="1"/>
    </xf>
    <xf numFmtId="0" fontId="32" fillId="0" borderId="23" xfId="0" applyFont="1" applyBorder="1" applyAlignment="1">
      <alignment horizontal="center" vertical="top" wrapText="1"/>
    </xf>
  </cellXfs>
  <cellStyles count="4">
    <cellStyle name="Comma" xfId="2" builtinId="3"/>
    <cellStyle name="Hyperlink" xfId="3" builtinId="8"/>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34</xdr:row>
      <xdr:rowOff>0</xdr:rowOff>
    </xdr:from>
    <xdr:to>
      <xdr:col>3</xdr:col>
      <xdr:colOff>0</xdr:colOff>
      <xdr:row>35</xdr:row>
      <xdr:rowOff>10885</xdr:rowOff>
    </xdr:to>
    <xdr:sp macro="[0]!training_sub_standard" textlink="">
      <xdr:nvSpPr>
        <xdr:cNvPr id="4" name="minus10" hidden="1">
          <a:extLst>
            <a:ext uri="{FF2B5EF4-FFF2-40B4-BE49-F238E27FC236}">
              <a16:creationId xmlns:a16="http://schemas.microsoft.com/office/drawing/2014/main" id="{00000000-0008-0000-0000-000004000000}"/>
            </a:ext>
          </a:extLst>
        </xdr:cNvPr>
        <xdr:cNvSpPr txBox="1"/>
      </xdr:nvSpPr>
      <xdr:spPr>
        <a:xfrm>
          <a:off x="381000" y="14935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43</xdr:row>
      <xdr:rowOff>0</xdr:rowOff>
    </xdr:from>
    <xdr:to>
      <xdr:col>3</xdr:col>
      <xdr:colOff>0</xdr:colOff>
      <xdr:row>44</xdr:row>
      <xdr:rowOff>10886</xdr:rowOff>
    </xdr:to>
    <xdr:sp macro="[0]!training_sub_standard" textlink="">
      <xdr:nvSpPr>
        <xdr:cNvPr id="5" name="minus28" hidden="1">
          <a:extLst>
            <a:ext uri="{FF2B5EF4-FFF2-40B4-BE49-F238E27FC236}">
              <a16:creationId xmlns:a16="http://schemas.microsoft.com/office/drawing/2014/main" id="{00000000-0008-0000-0000-000005000000}"/>
            </a:ext>
          </a:extLst>
        </xdr:cNvPr>
        <xdr:cNvSpPr txBox="1"/>
      </xdr:nvSpPr>
      <xdr:spPr>
        <a:xfrm>
          <a:off x="381000" y="179070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64</xdr:row>
      <xdr:rowOff>0</xdr:rowOff>
    </xdr:from>
    <xdr:to>
      <xdr:col>3</xdr:col>
      <xdr:colOff>0</xdr:colOff>
      <xdr:row>65</xdr:row>
      <xdr:rowOff>10887</xdr:rowOff>
    </xdr:to>
    <xdr:sp macro="[0]!training_sub_standard" textlink="">
      <xdr:nvSpPr>
        <xdr:cNvPr id="8" name="minus63" hidden="1">
          <a:extLst>
            <a:ext uri="{FF2B5EF4-FFF2-40B4-BE49-F238E27FC236}">
              <a16:creationId xmlns:a16="http://schemas.microsoft.com/office/drawing/2014/main" id="{00000000-0008-0000-0000-000008000000}"/>
            </a:ext>
          </a:extLst>
        </xdr:cNvPr>
        <xdr:cNvSpPr txBox="1"/>
      </xdr:nvSpPr>
      <xdr:spPr>
        <a:xfrm>
          <a:off x="381000" y="514350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49</xdr:row>
      <xdr:rowOff>0</xdr:rowOff>
    </xdr:from>
    <xdr:to>
      <xdr:col>3</xdr:col>
      <xdr:colOff>0</xdr:colOff>
      <xdr:row>50</xdr:row>
      <xdr:rowOff>18507</xdr:rowOff>
    </xdr:to>
    <xdr:sp macro="[0]!training_prosecution" textlink="">
      <xdr:nvSpPr>
        <xdr:cNvPr id="9" name="minus46" hidden="1">
          <a:extLst>
            <a:ext uri="{FF2B5EF4-FFF2-40B4-BE49-F238E27FC236}">
              <a16:creationId xmlns:a16="http://schemas.microsoft.com/office/drawing/2014/main" id="{00000000-0008-0000-0000-000009000000}"/>
            </a:ext>
          </a:extLst>
        </xdr:cNvPr>
        <xdr:cNvSpPr txBox="1"/>
      </xdr:nvSpPr>
      <xdr:spPr>
        <a:xfrm>
          <a:off x="381000" y="2682240"/>
          <a:ext cx="1905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77</xdr:row>
      <xdr:rowOff>0</xdr:rowOff>
    </xdr:from>
    <xdr:to>
      <xdr:col>3</xdr:col>
      <xdr:colOff>0</xdr:colOff>
      <xdr:row>78</xdr:row>
      <xdr:rowOff>10885</xdr:rowOff>
    </xdr:to>
    <xdr:sp macro="[0]!awareness_sub_standard" textlink="">
      <xdr:nvSpPr>
        <xdr:cNvPr id="13" name="plus87" hidden="1">
          <a:extLst>
            <a:ext uri="{FF2B5EF4-FFF2-40B4-BE49-F238E27FC236}">
              <a16:creationId xmlns:a16="http://schemas.microsoft.com/office/drawing/2014/main" id="{00000000-0008-0000-0000-00000D000000}"/>
            </a:ext>
          </a:extLst>
        </xdr:cNvPr>
        <xdr:cNvSpPr txBox="1"/>
      </xdr:nvSpPr>
      <xdr:spPr>
        <a:xfrm>
          <a:off x="381000" y="35509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oneCell">
    <xdr:from>
      <xdr:col>2</xdr:col>
      <xdr:colOff>0</xdr:colOff>
      <xdr:row>135</xdr:row>
      <xdr:rowOff>0</xdr:rowOff>
    </xdr:from>
    <xdr:to>
      <xdr:col>3</xdr:col>
      <xdr:colOff>0</xdr:colOff>
      <xdr:row>136</xdr:row>
      <xdr:rowOff>10885</xdr:rowOff>
    </xdr:to>
    <xdr:sp macro="[0]!awareness_sub_standard" textlink="">
      <xdr:nvSpPr>
        <xdr:cNvPr id="14" name="plus101" hidden="1">
          <a:extLst>
            <a:ext uri="{FF2B5EF4-FFF2-40B4-BE49-F238E27FC236}">
              <a16:creationId xmlns:a16="http://schemas.microsoft.com/office/drawing/2014/main" id="{00000000-0008-0000-0000-00000E000000}"/>
            </a:ext>
          </a:extLst>
        </xdr:cNvPr>
        <xdr:cNvSpPr txBox="1"/>
      </xdr:nvSpPr>
      <xdr:spPr>
        <a:xfrm>
          <a:off x="381000" y="384810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oneCell">
    <xdr:from>
      <xdr:col>2</xdr:col>
      <xdr:colOff>0</xdr:colOff>
      <xdr:row>135</xdr:row>
      <xdr:rowOff>0</xdr:rowOff>
    </xdr:from>
    <xdr:to>
      <xdr:col>3</xdr:col>
      <xdr:colOff>7620</xdr:colOff>
      <xdr:row>136</xdr:row>
      <xdr:rowOff>10885</xdr:rowOff>
    </xdr:to>
    <xdr:sp macro="[0]!awareness_sub_standard" textlink="">
      <xdr:nvSpPr>
        <xdr:cNvPr id="17" name="minus115" hidden="1">
          <a:extLst>
            <a:ext uri="{FF2B5EF4-FFF2-40B4-BE49-F238E27FC236}">
              <a16:creationId xmlns:a16="http://schemas.microsoft.com/office/drawing/2014/main" id="{00000000-0008-0000-0000-000011000000}"/>
            </a:ext>
          </a:extLst>
        </xdr:cNvPr>
        <xdr:cNvSpPr txBox="1"/>
      </xdr:nvSpPr>
      <xdr:spPr>
        <a:xfrm>
          <a:off x="381000" y="5928360"/>
          <a:ext cx="19812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135</xdr:row>
      <xdr:rowOff>0</xdr:rowOff>
    </xdr:from>
    <xdr:to>
      <xdr:col>3</xdr:col>
      <xdr:colOff>0</xdr:colOff>
      <xdr:row>136</xdr:row>
      <xdr:rowOff>10885</xdr:rowOff>
    </xdr:to>
    <xdr:sp macro="[0]!awareness_sub_standard" textlink="">
      <xdr:nvSpPr>
        <xdr:cNvPr id="19" name="minus129" hidden="1">
          <a:extLst>
            <a:ext uri="{FF2B5EF4-FFF2-40B4-BE49-F238E27FC236}">
              <a16:creationId xmlns:a16="http://schemas.microsoft.com/office/drawing/2014/main" id="{00000000-0008-0000-0000-000013000000}"/>
            </a:ext>
          </a:extLst>
        </xdr:cNvPr>
        <xdr:cNvSpPr txBox="1"/>
      </xdr:nvSpPr>
      <xdr:spPr>
        <a:xfrm>
          <a:off x="381000" y="80086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194</xdr:row>
      <xdr:rowOff>0</xdr:rowOff>
    </xdr:from>
    <xdr:to>
      <xdr:col>3</xdr:col>
      <xdr:colOff>7620</xdr:colOff>
      <xdr:row>195</xdr:row>
      <xdr:rowOff>10887</xdr:rowOff>
    </xdr:to>
    <xdr:sp macro="[0]!vs_sub_standard" textlink="">
      <xdr:nvSpPr>
        <xdr:cNvPr id="22" name="plus153" hidden="1">
          <a:extLst>
            <a:ext uri="{FF2B5EF4-FFF2-40B4-BE49-F238E27FC236}">
              <a16:creationId xmlns:a16="http://schemas.microsoft.com/office/drawing/2014/main" id="{00000000-0008-0000-0000-000016000000}"/>
            </a:ext>
          </a:extLst>
        </xdr:cNvPr>
        <xdr:cNvSpPr txBox="1"/>
      </xdr:nvSpPr>
      <xdr:spPr>
        <a:xfrm>
          <a:off x="381000" y="7985760"/>
          <a:ext cx="19812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24" name="plus161" hidden="1">
          <a:extLst>
            <a:ext uri="{FF2B5EF4-FFF2-40B4-BE49-F238E27FC236}">
              <a16:creationId xmlns:a16="http://schemas.microsoft.com/office/drawing/2014/main" id="{00000000-0008-0000-0000-000018000000}"/>
            </a:ext>
          </a:extLst>
        </xdr:cNvPr>
        <xdr:cNvSpPr txBox="1"/>
      </xdr:nvSpPr>
      <xdr:spPr>
        <a:xfrm>
          <a:off x="381000" y="649986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oneCell">
    <xdr:from>
      <xdr:col>2</xdr:col>
      <xdr:colOff>0</xdr:colOff>
      <xdr:row>194</xdr:row>
      <xdr:rowOff>0</xdr:rowOff>
    </xdr:from>
    <xdr:to>
      <xdr:col>3</xdr:col>
      <xdr:colOff>7620</xdr:colOff>
      <xdr:row>195</xdr:row>
      <xdr:rowOff>10887</xdr:rowOff>
    </xdr:to>
    <xdr:sp macro="[0]!vs_sub_standard" textlink="">
      <xdr:nvSpPr>
        <xdr:cNvPr id="26" name="plus169" hidden="1">
          <a:extLst>
            <a:ext uri="{FF2B5EF4-FFF2-40B4-BE49-F238E27FC236}">
              <a16:creationId xmlns:a16="http://schemas.microsoft.com/office/drawing/2014/main" id="{00000000-0008-0000-0000-00001A000000}"/>
            </a:ext>
          </a:extLst>
        </xdr:cNvPr>
        <xdr:cNvSpPr txBox="1"/>
      </xdr:nvSpPr>
      <xdr:spPr>
        <a:xfrm>
          <a:off x="381000" y="10363200"/>
          <a:ext cx="19812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33" name="minus157" hidden="1">
          <a:extLst>
            <a:ext uri="{FF2B5EF4-FFF2-40B4-BE49-F238E27FC236}">
              <a16:creationId xmlns:a16="http://schemas.microsoft.com/office/drawing/2014/main" id="{00000000-0008-0000-0000-000021000000}"/>
            </a:ext>
          </a:extLst>
        </xdr:cNvPr>
        <xdr:cNvSpPr txBox="1"/>
      </xdr:nvSpPr>
      <xdr:spPr>
        <a:xfrm>
          <a:off x="381000" y="85801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37" name="minus165" hidden="1">
          <a:extLst>
            <a:ext uri="{FF2B5EF4-FFF2-40B4-BE49-F238E27FC236}">
              <a16:creationId xmlns:a16="http://schemas.microsoft.com/office/drawing/2014/main" id="{00000000-0008-0000-0000-000025000000}"/>
            </a:ext>
          </a:extLst>
        </xdr:cNvPr>
        <xdr:cNvSpPr txBox="1"/>
      </xdr:nvSpPr>
      <xdr:spPr>
        <a:xfrm>
          <a:off x="381000" y="976884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41" name="minus173" hidden="1">
          <a:extLst>
            <a:ext uri="{FF2B5EF4-FFF2-40B4-BE49-F238E27FC236}">
              <a16:creationId xmlns:a16="http://schemas.microsoft.com/office/drawing/2014/main" id="{00000000-0008-0000-0000-000029000000}"/>
            </a:ext>
          </a:extLst>
        </xdr:cNvPr>
        <xdr:cNvSpPr txBox="1"/>
      </xdr:nvSpPr>
      <xdr:spPr>
        <a:xfrm>
          <a:off x="381000" y="1095756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43" name="minus177" hidden="1">
          <a:extLst>
            <a:ext uri="{FF2B5EF4-FFF2-40B4-BE49-F238E27FC236}">
              <a16:creationId xmlns:a16="http://schemas.microsoft.com/office/drawing/2014/main" id="{00000000-0008-0000-0000-00002B000000}"/>
            </a:ext>
          </a:extLst>
        </xdr:cNvPr>
        <xdr:cNvSpPr txBox="1"/>
      </xdr:nvSpPr>
      <xdr:spPr>
        <a:xfrm>
          <a:off x="381000" y="115519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2</xdr:col>
      <xdr:colOff>0</xdr:colOff>
      <xdr:row>194</xdr:row>
      <xdr:rowOff>0</xdr:rowOff>
    </xdr:from>
    <xdr:to>
      <xdr:col>3</xdr:col>
      <xdr:colOff>0</xdr:colOff>
      <xdr:row>195</xdr:row>
      <xdr:rowOff>10887</xdr:rowOff>
    </xdr:to>
    <xdr:sp macro="[0]!vs_sub_standard" textlink="">
      <xdr:nvSpPr>
        <xdr:cNvPr id="51" name="minus149" hidden="1">
          <a:extLst>
            <a:ext uri="{FF2B5EF4-FFF2-40B4-BE49-F238E27FC236}">
              <a16:creationId xmlns:a16="http://schemas.microsoft.com/office/drawing/2014/main" id="{00000000-0008-0000-0000-000033000000}"/>
            </a:ext>
          </a:extLst>
        </xdr:cNvPr>
        <xdr:cNvSpPr txBox="1"/>
      </xdr:nvSpPr>
      <xdr:spPr>
        <a:xfrm>
          <a:off x="381000" y="56083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twoCellAnchor>
  <xdr:twoCellAnchor editAs="oneCell">
    <xdr:from>
      <xdr:col>1</xdr:col>
      <xdr:colOff>0</xdr:colOff>
      <xdr:row>30</xdr:row>
      <xdr:rowOff>0</xdr:rowOff>
    </xdr:from>
    <xdr:to>
      <xdr:col>2</xdr:col>
      <xdr:colOff>0</xdr:colOff>
      <xdr:row>31</xdr:row>
      <xdr:rowOff>10887</xdr:rowOff>
    </xdr:to>
    <xdr:sp macro="[0]!training_header" textlink="">
      <xdr:nvSpPr>
        <xdr:cNvPr id="52" name="plus6" hidden="1">
          <a:extLst>
            <a:ext uri="{FF2B5EF4-FFF2-40B4-BE49-F238E27FC236}">
              <a16:creationId xmlns:a16="http://schemas.microsoft.com/office/drawing/2014/main" id="{00000000-0008-0000-0000-000034000000}"/>
            </a:ext>
          </a:extLst>
        </xdr:cNvPr>
        <xdr:cNvSpPr txBox="1"/>
      </xdr:nvSpPr>
      <xdr:spPr>
        <a:xfrm>
          <a:off x="190500" y="922020"/>
          <a:ext cx="19050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twoCellAnchor>
  <xdr:twoCellAnchor editAs="absolute">
    <xdr:from>
      <xdr:col>1</xdr:col>
      <xdr:colOff>30480</xdr:colOff>
      <xdr:row>0</xdr:row>
      <xdr:rowOff>190500</xdr:rowOff>
    </xdr:from>
    <xdr:to>
      <xdr:col>4</xdr:col>
      <xdr:colOff>158115</xdr:colOff>
      <xdr:row>3</xdr:row>
      <xdr:rowOff>80645</xdr:rowOff>
    </xdr:to>
    <xdr:pic>
      <xdr:nvPicPr>
        <xdr:cNvPr id="20" name="Picture 19" descr="https://www.state.gov/state-responsive/images/favicons/apple-touch-icon-180x180.png">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 y="190500"/>
          <a:ext cx="680085" cy="633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194</xdr:row>
      <xdr:rowOff>0</xdr:rowOff>
    </xdr:from>
    <xdr:ext cx="190500" cy="217715"/>
    <xdr:sp macro="[0]!vs_sub_standard" textlink="">
      <xdr:nvSpPr>
        <xdr:cNvPr id="78" name="plus153" hidden="1">
          <a:extLst>
            <a:ext uri="{FF2B5EF4-FFF2-40B4-BE49-F238E27FC236}">
              <a16:creationId xmlns:a16="http://schemas.microsoft.com/office/drawing/2014/main" id="{00000000-0008-0000-0000-00004E000000}"/>
            </a:ext>
          </a:extLst>
        </xdr:cNvPr>
        <xdr:cNvSpPr txBox="1"/>
      </xdr:nvSpPr>
      <xdr:spPr>
        <a:xfrm>
          <a:off x="365760" y="3213354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82880" cy="217715"/>
    <xdr:sp macro="[0]!vs_sub_standard" textlink="">
      <xdr:nvSpPr>
        <xdr:cNvPr id="79" name="plus161" hidden="1">
          <a:extLst>
            <a:ext uri="{FF2B5EF4-FFF2-40B4-BE49-F238E27FC236}">
              <a16:creationId xmlns:a16="http://schemas.microsoft.com/office/drawing/2014/main" id="{00000000-0008-0000-0000-00004F000000}"/>
            </a:ext>
          </a:extLst>
        </xdr:cNvPr>
        <xdr:cNvSpPr txBox="1"/>
      </xdr:nvSpPr>
      <xdr:spPr>
        <a:xfrm>
          <a:off x="365760" y="335051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90500" cy="217715"/>
    <xdr:sp macro="[0]!vs_sub_standard" textlink="">
      <xdr:nvSpPr>
        <xdr:cNvPr id="80" name="plus169" hidden="1">
          <a:extLst>
            <a:ext uri="{FF2B5EF4-FFF2-40B4-BE49-F238E27FC236}">
              <a16:creationId xmlns:a16="http://schemas.microsoft.com/office/drawing/2014/main" id="{00000000-0008-0000-0000-000050000000}"/>
            </a:ext>
          </a:extLst>
        </xdr:cNvPr>
        <xdr:cNvSpPr txBox="1"/>
      </xdr:nvSpPr>
      <xdr:spPr>
        <a:xfrm>
          <a:off x="365760" y="3487674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82880" cy="217715"/>
    <xdr:sp macro="[0]!vs_sub_standard" textlink="">
      <xdr:nvSpPr>
        <xdr:cNvPr id="81" name="minus157" hidden="1">
          <a:extLst>
            <a:ext uri="{FF2B5EF4-FFF2-40B4-BE49-F238E27FC236}">
              <a16:creationId xmlns:a16="http://schemas.microsoft.com/office/drawing/2014/main" id="{00000000-0008-0000-0000-000051000000}"/>
            </a:ext>
          </a:extLst>
        </xdr:cNvPr>
        <xdr:cNvSpPr txBox="1"/>
      </xdr:nvSpPr>
      <xdr:spPr>
        <a:xfrm>
          <a:off x="365760" y="328193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82" name="minus165" hidden="1">
          <a:extLst>
            <a:ext uri="{FF2B5EF4-FFF2-40B4-BE49-F238E27FC236}">
              <a16:creationId xmlns:a16="http://schemas.microsoft.com/office/drawing/2014/main" id="{00000000-0008-0000-0000-000052000000}"/>
            </a:ext>
          </a:extLst>
        </xdr:cNvPr>
        <xdr:cNvSpPr txBox="1"/>
      </xdr:nvSpPr>
      <xdr:spPr>
        <a:xfrm>
          <a:off x="365760" y="341909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83" name="minus173" hidden="1">
          <a:extLst>
            <a:ext uri="{FF2B5EF4-FFF2-40B4-BE49-F238E27FC236}">
              <a16:creationId xmlns:a16="http://schemas.microsoft.com/office/drawing/2014/main" id="{00000000-0008-0000-0000-000053000000}"/>
            </a:ext>
          </a:extLst>
        </xdr:cNvPr>
        <xdr:cNvSpPr txBox="1"/>
      </xdr:nvSpPr>
      <xdr:spPr>
        <a:xfrm>
          <a:off x="365760" y="355625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84" name="minus177" hidden="1">
          <a:extLst>
            <a:ext uri="{FF2B5EF4-FFF2-40B4-BE49-F238E27FC236}">
              <a16:creationId xmlns:a16="http://schemas.microsoft.com/office/drawing/2014/main" id="{00000000-0008-0000-0000-000054000000}"/>
            </a:ext>
          </a:extLst>
        </xdr:cNvPr>
        <xdr:cNvSpPr txBox="1"/>
      </xdr:nvSpPr>
      <xdr:spPr>
        <a:xfrm>
          <a:off x="365760" y="362483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85" name="minus149" hidden="1">
          <a:extLst>
            <a:ext uri="{FF2B5EF4-FFF2-40B4-BE49-F238E27FC236}">
              <a16:creationId xmlns:a16="http://schemas.microsoft.com/office/drawing/2014/main" id="{00000000-0008-0000-0000-000055000000}"/>
            </a:ext>
          </a:extLst>
        </xdr:cNvPr>
        <xdr:cNvSpPr txBox="1"/>
      </xdr:nvSpPr>
      <xdr:spPr>
        <a:xfrm>
          <a:off x="365760" y="3144774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4</xdr:col>
      <xdr:colOff>0</xdr:colOff>
      <xdr:row>194</xdr:row>
      <xdr:rowOff>0</xdr:rowOff>
    </xdr:from>
    <xdr:ext cx="190500" cy="217715"/>
    <xdr:sp macro="[0]!vs_sub_standard" textlink="">
      <xdr:nvSpPr>
        <xdr:cNvPr id="110" name="plus153" hidden="1">
          <a:extLst>
            <a:ext uri="{FF2B5EF4-FFF2-40B4-BE49-F238E27FC236}">
              <a16:creationId xmlns:a16="http://schemas.microsoft.com/office/drawing/2014/main" id="{00000000-0008-0000-0000-00006E000000}"/>
            </a:ext>
          </a:extLst>
        </xdr:cNvPr>
        <xdr:cNvSpPr txBox="1"/>
      </xdr:nvSpPr>
      <xdr:spPr>
        <a:xfrm>
          <a:off x="548640" y="3213354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4</xdr:col>
      <xdr:colOff>0</xdr:colOff>
      <xdr:row>194</xdr:row>
      <xdr:rowOff>0</xdr:rowOff>
    </xdr:from>
    <xdr:ext cx="190500" cy="217715"/>
    <xdr:sp macro="[0]!vs_sub_standard" textlink="">
      <xdr:nvSpPr>
        <xdr:cNvPr id="111" name="plus169" hidden="1">
          <a:extLst>
            <a:ext uri="{FF2B5EF4-FFF2-40B4-BE49-F238E27FC236}">
              <a16:creationId xmlns:a16="http://schemas.microsoft.com/office/drawing/2014/main" id="{00000000-0008-0000-0000-00006F000000}"/>
            </a:ext>
          </a:extLst>
        </xdr:cNvPr>
        <xdr:cNvSpPr txBox="1"/>
      </xdr:nvSpPr>
      <xdr:spPr>
        <a:xfrm>
          <a:off x="548640" y="3487674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194</xdr:row>
      <xdr:rowOff>0</xdr:rowOff>
    </xdr:from>
    <xdr:ext cx="188595" cy="217715"/>
    <xdr:sp macro="[0]!vs_sub_standard" textlink="">
      <xdr:nvSpPr>
        <xdr:cNvPr id="108" name="plus153" hidden="1">
          <a:extLst>
            <a:ext uri="{FF2B5EF4-FFF2-40B4-BE49-F238E27FC236}">
              <a16:creationId xmlns:a16="http://schemas.microsoft.com/office/drawing/2014/main" id="{00000000-0008-0000-0000-00006C000000}"/>
            </a:ext>
          </a:extLst>
        </xdr:cNvPr>
        <xdr:cNvSpPr txBox="1"/>
      </xdr:nvSpPr>
      <xdr:spPr>
        <a:xfrm>
          <a:off x="361950" y="33737550"/>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194</xdr:row>
      <xdr:rowOff>0</xdr:rowOff>
    </xdr:from>
    <xdr:ext cx="188595" cy="217715"/>
    <xdr:sp macro="[0]!vs_sub_standard" textlink="">
      <xdr:nvSpPr>
        <xdr:cNvPr id="109" name="plus169" hidden="1">
          <a:extLst>
            <a:ext uri="{FF2B5EF4-FFF2-40B4-BE49-F238E27FC236}">
              <a16:creationId xmlns:a16="http://schemas.microsoft.com/office/drawing/2014/main" id="{00000000-0008-0000-0000-00006D000000}"/>
            </a:ext>
          </a:extLst>
        </xdr:cNvPr>
        <xdr:cNvSpPr txBox="1"/>
      </xdr:nvSpPr>
      <xdr:spPr>
        <a:xfrm>
          <a:off x="361950" y="33737550"/>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90500" cy="217715"/>
    <xdr:sp macro="[0]!vs_sub_standard" textlink="">
      <xdr:nvSpPr>
        <xdr:cNvPr id="112" name="plus153" hidden="1">
          <a:extLst>
            <a:ext uri="{FF2B5EF4-FFF2-40B4-BE49-F238E27FC236}">
              <a16:creationId xmlns:a16="http://schemas.microsoft.com/office/drawing/2014/main" id="{00000000-0008-0000-0000-000070000000}"/>
            </a:ext>
          </a:extLst>
        </xdr:cNvPr>
        <xdr:cNvSpPr txBox="1"/>
      </xdr:nvSpPr>
      <xdr:spPr>
        <a:xfrm>
          <a:off x="542925" y="3373755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82880" cy="217715"/>
    <xdr:sp macro="[0]!vs_sub_standard" textlink="">
      <xdr:nvSpPr>
        <xdr:cNvPr id="113" name="plus161" hidden="1">
          <a:extLst>
            <a:ext uri="{FF2B5EF4-FFF2-40B4-BE49-F238E27FC236}">
              <a16:creationId xmlns:a16="http://schemas.microsoft.com/office/drawing/2014/main" id="{00000000-0008-0000-0000-000071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90500" cy="217715"/>
    <xdr:sp macro="[0]!vs_sub_standard" textlink="">
      <xdr:nvSpPr>
        <xdr:cNvPr id="114" name="plus169" hidden="1">
          <a:extLst>
            <a:ext uri="{FF2B5EF4-FFF2-40B4-BE49-F238E27FC236}">
              <a16:creationId xmlns:a16="http://schemas.microsoft.com/office/drawing/2014/main" id="{00000000-0008-0000-0000-000072000000}"/>
            </a:ext>
          </a:extLst>
        </xdr:cNvPr>
        <xdr:cNvSpPr txBox="1"/>
      </xdr:nvSpPr>
      <xdr:spPr>
        <a:xfrm>
          <a:off x="542925" y="3373755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194</xdr:row>
      <xdr:rowOff>0</xdr:rowOff>
    </xdr:from>
    <xdr:ext cx="182880" cy="217715"/>
    <xdr:sp macro="[0]!vs_sub_standard" textlink="">
      <xdr:nvSpPr>
        <xdr:cNvPr id="115" name="minus157" hidden="1">
          <a:extLst>
            <a:ext uri="{FF2B5EF4-FFF2-40B4-BE49-F238E27FC236}">
              <a16:creationId xmlns:a16="http://schemas.microsoft.com/office/drawing/2014/main" id="{00000000-0008-0000-0000-000073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116" name="minus165" hidden="1">
          <a:extLst>
            <a:ext uri="{FF2B5EF4-FFF2-40B4-BE49-F238E27FC236}">
              <a16:creationId xmlns:a16="http://schemas.microsoft.com/office/drawing/2014/main" id="{00000000-0008-0000-0000-000074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117" name="minus173" hidden="1">
          <a:extLst>
            <a:ext uri="{FF2B5EF4-FFF2-40B4-BE49-F238E27FC236}">
              <a16:creationId xmlns:a16="http://schemas.microsoft.com/office/drawing/2014/main" id="{00000000-0008-0000-0000-000075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118" name="minus177" hidden="1">
          <a:extLst>
            <a:ext uri="{FF2B5EF4-FFF2-40B4-BE49-F238E27FC236}">
              <a16:creationId xmlns:a16="http://schemas.microsoft.com/office/drawing/2014/main" id="{00000000-0008-0000-0000-000076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194</xdr:row>
      <xdr:rowOff>0</xdr:rowOff>
    </xdr:from>
    <xdr:ext cx="182880" cy="217715"/>
    <xdr:sp macro="[0]!vs_sub_standard" textlink="">
      <xdr:nvSpPr>
        <xdr:cNvPr id="119" name="minus149" hidden="1">
          <a:extLst>
            <a:ext uri="{FF2B5EF4-FFF2-40B4-BE49-F238E27FC236}">
              <a16:creationId xmlns:a16="http://schemas.microsoft.com/office/drawing/2014/main" id="{00000000-0008-0000-0000-000077000000}"/>
            </a:ext>
          </a:extLst>
        </xdr:cNvPr>
        <xdr:cNvSpPr txBox="1"/>
      </xdr:nvSpPr>
      <xdr:spPr>
        <a:xfrm>
          <a:off x="542925" y="3373755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4</xdr:col>
      <xdr:colOff>0</xdr:colOff>
      <xdr:row>194</xdr:row>
      <xdr:rowOff>0</xdr:rowOff>
    </xdr:from>
    <xdr:ext cx="190500" cy="217715"/>
    <xdr:sp macro="[0]!vs_sub_standard" textlink="">
      <xdr:nvSpPr>
        <xdr:cNvPr id="120" name="plus153" hidden="1">
          <a:extLst>
            <a:ext uri="{FF2B5EF4-FFF2-40B4-BE49-F238E27FC236}">
              <a16:creationId xmlns:a16="http://schemas.microsoft.com/office/drawing/2014/main" id="{00000000-0008-0000-0000-000078000000}"/>
            </a:ext>
          </a:extLst>
        </xdr:cNvPr>
        <xdr:cNvSpPr txBox="1"/>
      </xdr:nvSpPr>
      <xdr:spPr>
        <a:xfrm>
          <a:off x="723900" y="3373755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4</xdr:col>
      <xdr:colOff>0</xdr:colOff>
      <xdr:row>194</xdr:row>
      <xdr:rowOff>0</xdr:rowOff>
    </xdr:from>
    <xdr:ext cx="190500" cy="217715"/>
    <xdr:sp macro="[0]!vs_sub_standard" textlink="">
      <xdr:nvSpPr>
        <xdr:cNvPr id="121" name="plus169" hidden="1">
          <a:extLst>
            <a:ext uri="{FF2B5EF4-FFF2-40B4-BE49-F238E27FC236}">
              <a16:creationId xmlns:a16="http://schemas.microsoft.com/office/drawing/2014/main" id="{00000000-0008-0000-0000-000079000000}"/>
            </a:ext>
          </a:extLst>
        </xdr:cNvPr>
        <xdr:cNvSpPr txBox="1"/>
      </xdr:nvSpPr>
      <xdr:spPr>
        <a:xfrm>
          <a:off x="723900" y="3373755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166</xdr:row>
      <xdr:rowOff>0</xdr:rowOff>
    </xdr:from>
    <xdr:ext cx="188595" cy="217715"/>
    <xdr:sp macro="[0]!vs_sub_standard" textlink="">
      <xdr:nvSpPr>
        <xdr:cNvPr id="155" name="plus153" hidden="1">
          <a:extLst>
            <a:ext uri="{FF2B5EF4-FFF2-40B4-BE49-F238E27FC236}">
              <a16:creationId xmlns:a16="http://schemas.microsoft.com/office/drawing/2014/main" id="{00000000-0008-0000-0000-00009B000000}"/>
            </a:ext>
          </a:extLst>
        </xdr:cNvPr>
        <xdr:cNvSpPr txBox="1"/>
      </xdr:nvSpPr>
      <xdr:spPr>
        <a:xfrm>
          <a:off x="361950" y="42948225"/>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166</xdr:row>
      <xdr:rowOff>0</xdr:rowOff>
    </xdr:from>
    <xdr:ext cx="188595" cy="217715"/>
    <xdr:sp macro="[0]!vs_sub_standard" textlink="">
      <xdr:nvSpPr>
        <xdr:cNvPr id="156" name="plus169" hidden="1">
          <a:extLst>
            <a:ext uri="{FF2B5EF4-FFF2-40B4-BE49-F238E27FC236}">
              <a16:creationId xmlns:a16="http://schemas.microsoft.com/office/drawing/2014/main" id="{00000000-0008-0000-0000-00009C000000}"/>
            </a:ext>
          </a:extLst>
        </xdr:cNvPr>
        <xdr:cNvSpPr txBox="1"/>
      </xdr:nvSpPr>
      <xdr:spPr>
        <a:xfrm>
          <a:off x="361950" y="42948225"/>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166</xdr:row>
      <xdr:rowOff>0</xdr:rowOff>
    </xdr:from>
    <xdr:ext cx="190500" cy="217715"/>
    <xdr:sp macro="[0]!vs_sub_standard" textlink="">
      <xdr:nvSpPr>
        <xdr:cNvPr id="157" name="plus153" hidden="1">
          <a:extLst>
            <a:ext uri="{FF2B5EF4-FFF2-40B4-BE49-F238E27FC236}">
              <a16:creationId xmlns:a16="http://schemas.microsoft.com/office/drawing/2014/main" id="{00000000-0008-0000-0000-00009D000000}"/>
            </a:ext>
          </a:extLst>
        </xdr:cNvPr>
        <xdr:cNvSpPr txBox="1"/>
      </xdr:nvSpPr>
      <xdr:spPr>
        <a:xfrm>
          <a:off x="542925" y="42948225"/>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166</xdr:row>
      <xdr:rowOff>0</xdr:rowOff>
    </xdr:from>
    <xdr:ext cx="182880" cy="217715"/>
    <xdr:sp macro="[0]!vs_sub_standard" textlink="">
      <xdr:nvSpPr>
        <xdr:cNvPr id="158" name="plus161" hidden="1">
          <a:extLst>
            <a:ext uri="{FF2B5EF4-FFF2-40B4-BE49-F238E27FC236}">
              <a16:creationId xmlns:a16="http://schemas.microsoft.com/office/drawing/2014/main" id="{00000000-0008-0000-0000-00009E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166</xdr:row>
      <xdr:rowOff>0</xdr:rowOff>
    </xdr:from>
    <xdr:ext cx="190500" cy="217715"/>
    <xdr:sp macro="[0]!vs_sub_standard" textlink="">
      <xdr:nvSpPr>
        <xdr:cNvPr id="159" name="plus169" hidden="1">
          <a:extLst>
            <a:ext uri="{FF2B5EF4-FFF2-40B4-BE49-F238E27FC236}">
              <a16:creationId xmlns:a16="http://schemas.microsoft.com/office/drawing/2014/main" id="{00000000-0008-0000-0000-00009F000000}"/>
            </a:ext>
          </a:extLst>
        </xdr:cNvPr>
        <xdr:cNvSpPr txBox="1"/>
      </xdr:nvSpPr>
      <xdr:spPr>
        <a:xfrm>
          <a:off x="542925" y="42948225"/>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166</xdr:row>
      <xdr:rowOff>0</xdr:rowOff>
    </xdr:from>
    <xdr:ext cx="182880" cy="217715"/>
    <xdr:sp macro="[0]!vs_sub_standard" textlink="">
      <xdr:nvSpPr>
        <xdr:cNvPr id="160" name="minus157" hidden="1">
          <a:extLst>
            <a:ext uri="{FF2B5EF4-FFF2-40B4-BE49-F238E27FC236}">
              <a16:creationId xmlns:a16="http://schemas.microsoft.com/office/drawing/2014/main" id="{00000000-0008-0000-0000-0000A0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166</xdr:row>
      <xdr:rowOff>0</xdr:rowOff>
    </xdr:from>
    <xdr:ext cx="182880" cy="217715"/>
    <xdr:sp macro="[0]!vs_sub_standard" textlink="">
      <xdr:nvSpPr>
        <xdr:cNvPr id="161" name="minus165" hidden="1">
          <a:extLst>
            <a:ext uri="{FF2B5EF4-FFF2-40B4-BE49-F238E27FC236}">
              <a16:creationId xmlns:a16="http://schemas.microsoft.com/office/drawing/2014/main" id="{00000000-0008-0000-0000-0000A1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166</xdr:row>
      <xdr:rowOff>0</xdr:rowOff>
    </xdr:from>
    <xdr:ext cx="182880" cy="217715"/>
    <xdr:sp macro="[0]!vs_sub_standard" textlink="">
      <xdr:nvSpPr>
        <xdr:cNvPr id="162" name="minus173" hidden="1">
          <a:extLst>
            <a:ext uri="{FF2B5EF4-FFF2-40B4-BE49-F238E27FC236}">
              <a16:creationId xmlns:a16="http://schemas.microsoft.com/office/drawing/2014/main" id="{00000000-0008-0000-0000-0000A2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166</xdr:row>
      <xdr:rowOff>0</xdr:rowOff>
    </xdr:from>
    <xdr:ext cx="182880" cy="217715"/>
    <xdr:sp macro="[0]!vs_sub_standard" textlink="">
      <xdr:nvSpPr>
        <xdr:cNvPr id="163" name="minus177" hidden="1">
          <a:extLst>
            <a:ext uri="{FF2B5EF4-FFF2-40B4-BE49-F238E27FC236}">
              <a16:creationId xmlns:a16="http://schemas.microsoft.com/office/drawing/2014/main" id="{00000000-0008-0000-0000-0000A3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166</xdr:row>
      <xdr:rowOff>0</xdr:rowOff>
    </xdr:from>
    <xdr:ext cx="182880" cy="217715"/>
    <xdr:sp macro="[0]!vs_sub_standard" textlink="">
      <xdr:nvSpPr>
        <xdr:cNvPr id="164" name="minus149" hidden="1">
          <a:extLst>
            <a:ext uri="{FF2B5EF4-FFF2-40B4-BE49-F238E27FC236}">
              <a16:creationId xmlns:a16="http://schemas.microsoft.com/office/drawing/2014/main" id="{00000000-0008-0000-0000-0000A4000000}"/>
            </a:ext>
          </a:extLst>
        </xdr:cNvPr>
        <xdr:cNvSpPr txBox="1"/>
      </xdr:nvSpPr>
      <xdr:spPr>
        <a:xfrm>
          <a:off x="542925" y="42948225"/>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4</xdr:col>
      <xdr:colOff>0</xdr:colOff>
      <xdr:row>166</xdr:row>
      <xdr:rowOff>0</xdr:rowOff>
    </xdr:from>
    <xdr:ext cx="190500" cy="217715"/>
    <xdr:sp macro="[0]!vs_sub_standard" textlink="">
      <xdr:nvSpPr>
        <xdr:cNvPr id="165" name="plus153" hidden="1">
          <a:extLst>
            <a:ext uri="{FF2B5EF4-FFF2-40B4-BE49-F238E27FC236}">
              <a16:creationId xmlns:a16="http://schemas.microsoft.com/office/drawing/2014/main" id="{00000000-0008-0000-0000-0000A5000000}"/>
            </a:ext>
          </a:extLst>
        </xdr:cNvPr>
        <xdr:cNvSpPr txBox="1"/>
      </xdr:nvSpPr>
      <xdr:spPr>
        <a:xfrm>
          <a:off x="723900" y="42948225"/>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4</xdr:col>
      <xdr:colOff>0</xdr:colOff>
      <xdr:row>166</xdr:row>
      <xdr:rowOff>0</xdr:rowOff>
    </xdr:from>
    <xdr:ext cx="190500" cy="217715"/>
    <xdr:sp macro="[0]!vs_sub_standard" textlink="">
      <xdr:nvSpPr>
        <xdr:cNvPr id="166" name="plus169" hidden="1">
          <a:extLst>
            <a:ext uri="{FF2B5EF4-FFF2-40B4-BE49-F238E27FC236}">
              <a16:creationId xmlns:a16="http://schemas.microsoft.com/office/drawing/2014/main" id="{00000000-0008-0000-0000-0000A6000000}"/>
            </a:ext>
          </a:extLst>
        </xdr:cNvPr>
        <xdr:cNvSpPr txBox="1"/>
      </xdr:nvSpPr>
      <xdr:spPr>
        <a:xfrm>
          <a:off x="723900" y="42948225"/>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174</xdr:row>
      <xdr:rowOff>0</xdr:rowOff>
    </xdr:from>
    <xdr:ext cx="188595" cy="217715"/>
    <xdr:sp macro="[0]!vs_sub_standard" textlink="">
      <xdr:nvSpPr>
        <xdr:cNvPr id="170" name="plus153" hidden="1">
          <a:extLst>
            <a:ext uri="{FF2B5EF4-FFF2-40B4-BE49-F238E27FC236}">
              <a16:creationId xmlns:a16="http://schemas.microsoft.com/office/drawing/2014/main" id="{00000000-0008-0000-0000-0000AA000000}"/>
            </a:ext>
          </a:extLst>
        </xdr:cNvPr>
        <xdr:cNvSpPr txBox="1"/>
      </xdr:nvSpPr>
      <xdr:spPr>
        <a:xfrm>
          <a:off x="365760" y="37094160"/>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2</xdr:col>
      <xdr:colOff>0</xdr:colOff>
      <xdr:row>174</xdr:row>
      <xdr:rowOff>0</xdr:rowOff>
    </xdr:from>
    <xdr:ext cx="188595" cy="217715"/>
    <xdr:sp macro="[0]!vs_sub_standard" textlink="">
      <xdr:nvSpPr>
        <xdr:cNvPr id="171" name="plus169" hidden="1">
          <a:extLst>
            <a:ext uri="{FF2B5EF4-FFF2-40B4-BE49-F238E27FC236}">
              <a16:creationId xmlns:a16="http://schemas.microsoft.com/office/drawing/2014/main" id="{00000000-0008-0000-0000-0000AB000000}"/>
            </a:ext>
          </a:extLst>
        </xdr:cNvPr>
        <xdr:cNvSpPr txBox="1"/>
      </xdr:nvSpPr>
      <xdr:spPr>
        <a:xfrm>
          <a:off x="365760" y="37094160"/>
          <a:ext cx="188595"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174</xdr:row>
      <xdr:rowOff>0</xdr:rowOff>
    </xdr:from>
    <xdr:ext cx="190500" cy="217715"/>
    <xdr:sp macro="[0]!vs_sub_standard" textlink="">
      <xdr:nvSpPr>
        <xdr:cNvPr id="172" name="plus153" hidden="1">
          <a:extLst>
            <a:ext uri="{FF2B5EF4-FFF2-40B4-BE49-F238E27FC236}">
              <a16:creationId xmlns:a16="http://schemas.microsoft.com/office/drawing/2014/main" id="{00000000-0008-0000-0000-0000AC000000}"/>
            </a:ext>
          </a:extLst>
        </xdr:cNvPr>
        <xdr:cNvSpPr txBox="1"/>
      </xdr:nvSpPr>
      <xdr:spPr>
        <a:xfrm>
          <a:off x="548640" y="3709416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174</xdr:row>
      <xdr:rowOff>0</xdr:rowOff>
    </xdr:from>
    <xdr:ext cx="182880" cy="217715"/>
    <xdr:sp macro="[0]!vs_sub_standard" textlink="">
      <xdr:nvSpPr>
        <xdr:cNvPr id="173" name="plus161" hidden="1">
          <a:extLst>
            <a:ext uri="{FF2B5EF4-FFF2-40B4-BE49-F238E27FC236}">
              <a16:creationId xmlns:a16="http://schemas.microsoft.com/office/drawing/2014/main" id="{00000000-0008-0000-0000-0000AD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174</xdr:row>
      <xdr:rowOff>0</xdr:rowOff>
    </xdr:from>
    <xdr:ext cx="190500" cy="217715"/>
    <xdr:sp macro="[0]!vs_sub_standard" textlink="">
      <xdr:nvSpPr>
        <xdr:cNvPr id="174" name="plus169" hidden="1">
          <a:extLst>
            <a:ext uri="{FF2B5EF4-FFF2-40B4-BE49-F238E27FC236}">
              <a16:creationId xmlns:a16="http://schemas.microsoft.com/office/drawing/2014/main" id="{00000000-0008-0000-0000-0000AE000000}"/>
            </a:ext>
          </a:extLst>
        </xdr:cNvPr>
        <xdr:cNvSpPr txBox="1"/>
      </xdr:nvSpPr>
      <xdr:spPr>
        <a:xfrm>
          <a:off x="548640" y="3709416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3</xdr:col>
      <xdr:colOff>0</xdr:colOff>
      <xdr:row>174</xdr:row>
      <xdr:rowOff>0</xdr:rowOff>
    </xdr:from>
    <xdr:ext cx="182880" cy="217715"/>
    <xdr:sp macro="[0]!vs_sub_standard" textlink="">
      <xdr:nvSpPr>
        <xdr:cNvPr id="175" name="minus157" hidden="1">
          <a:extLst>
            <a:ext uri="{FF2B5EF4-FFF2-40B4-BE49-F238E27FC236}">
              <a16:creationId xmlns:a16="http://schemas.microsoft.com/office/drawing/2014/main" id="{00000000-0008-0000-0000-0000AF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174</xdr:row>
      <xdr:rowOff>0</xdr:rowOff>
    </xdr:from>
    <xdr:ext cx="182880" cy="217715"/>
    <xdr:sp macro="[0]!vs_sub_standard" textlink="">
      <xdr:nvSpPr>
        <xdr:cNvPr id="176" name="minus165" hidden="1">
          <a:extLst>
            <a:ext uri="{FF2B5EF4-FFF2-40B4-BE49-F238E27FC236}">
              <a16:creationId xmlns:a16="http://schemas.microsoft.com/office/drawing/2014/main" id="{00000000-0008-0000-0000-0000B0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174</xdr:row>
      <xdr:rowOff>0</xdr:rowOff>
    </xdr:from>
    <xdr:ext cx="182880" cy="217715"/>
    <xdr:sp macro="[0]!vs_sub_standard" textlink="">
      <xdr:nvSpPr>
        <xdr:cNvPr id="177" name="minus173" hidden="1">
          <a:extLst>
            <a:ext uri="{FF2B5EF4-FFF2-40B4-BE49-F238E27FC236}">
              <a16:creationId xmlns:a16="http://schemas.microsoft.com/office/drawing/2014/main" id="{00000000-0008-0000-0000-0000B1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174</xdr:row>
      <xdr:rowOff>0</xdr:rowOff>
    </xdr:from>
    <xdr:ext cx="182880" cy="217715"/>
    <xdr:sp macro="[0]!vs_sub_standard" textlink="">
      <xdr:nvSpPr>
        <xdr:cNvPr id="178" name="minus177" hidden="1">
          <a:extLst>
            <a:ext uri="{FF2B5EF4-FFF2-40B4-BE49-F238E27FC236}">
              <a16:creationId xmlns:a16="http://schemas.microsoft.com/office/drawing/2014/main" id="{00000000-0008-0000-0000-0000B2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3</xdr:col>
      <xdr:colOff>0</xdr:colOff>
      <xdr:row>174</xdr:row>
      <xdr:rowOff>0</xdr:rowOff>
    </xdr:from>
    <xdr:ext cx="182880" cy="217715"/>
    <xdr:sp macro="[0]!vs_sub_standard" textlink="">
      <xdr:nvSpPr>
        <xdr:cNvPr id="179" name="minus149" hidden="1">
          <a:extLst>
            <a:ext uri="{FF2B5EF4-FFF2-40B4-BE49-F238E27FC236}">
              <a16:creationId xmlns:a16="http://schemas.microsoft.com/office/drawing/2014/main" id="{00000000-0008-0000-0000-0000B3000000}"/>
            </a:ext>
          </a:extLst>
        </xdr:cNvPr>
        <xdr:cNvSpPr txBox="1"/>
      </xdr:nvSpPr>
      <xdr:spPr>
        <a:xfrm>
          <a:off x="548640" y="37094160"/>
          <a:ext cx="18288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274320" rtlCol="0" anchor="ctr"/>
        <a:lstStyle/>
        <a:p>
          <a:pPr algn="ctr"/>
          <a:r>
            <a:rPr lang="en-US" sz="2000">
              <a:solidFill>
                <a:schemeClr val="accent1"/>
              </a:solidFill>
              <a:latin typeface="Verdana" panose="020B0604030504040204" pitchFamily="34" charset="0"/>
              <a:ea typeface="Verdana" panose="020B0604030504040204" pitchFamily="34" charset="0"/>
              <a:cs typeface="Verdana" panose="020B0604030504040204" pitchFamily="34" charset="0"/>
            </a:rPr>
            <a:t>_</a:t>
          </a:r>
        </a:p>
      </xdr:txBody>
    </xdr:sp>
    <xdr:clientData/>
  </xdr:oneCellAnchor>
  <xdr:oneCellAnchor>
    <xdr:from>
      <xdr:col>4</xdr:col>
      <xdr:colOff>0</xdr:colOff>
      <xdr:row>174</xdr:row>
      <xdr:rowOff>0</xdr:rowOff>
    </xdr:from>
    <xdr:ext cx="190500" cy="217715"/>
    <xdr:sp macro="[0]!vs_sub_standard" textlink="">
      <xdr:nvSpPr>
        <xdr:cNvPr id="180" name="plus153" hidden="1">
          <a:extLst>
            <a:ext uri="{FF2B5EF4-FFF2-40B4-BE49-F238E27FC236}">
              <a16:creationId xmlns:a16="http://schemas.microsoft.com/office/drawing/2014/main" id="{00000000-0008-0000-0000-0000B4000000}"/>
            </a:ext>
          </a:extLst>
        </xdr:cNvPr>
        <xdr:cNvSpPr txBox="1"/>
      </xdr:nvSpPr>
      <xdr:spPr>
        <a:xfrm>
          <a:off x="731520" y="3709416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oneCellAnchor>
    <xdr:from>
      <xdr:col>4</xdr:col>
      <xdr:colOff>0</xdr:colOff>
      <xdr:row>174</xdr:row>
      <xdr:rowOff>0</xdr:rowOff>
    </xdr:from>
    <xdr:ext cx="190500" cy="217715"/>
    <xdr:sp macro="[0]!vs_sub_standard" textlink="">
      <xdr:nvSpPr>
        <xdr:cNvPr id="181" name="plus169" hidden="1">
          <a:extLst>
            <a:ext uri="{FF2B5EF4-FFF2-40B4-BE49-F238E27FC236}">
              <a16:creationId xmlns:a16="http://schemas.microsoft.com/office/drawing/2014/main" id="{00000000-0008-0000-0000-0000B5000000}"/>
            </a:ext>
          </a:extLst>
        </xdr:cNvPr>
        <xdr:cNvSpPr txBox="1"/>
      </xdr:nvSpPr>
      <xdr:spPr>
        <a:xfrm>
          <a:off x="731520" y="37094160"/>
          <a:ext cx="190500" cy="217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solidFill>
                <a:schemeClr val="accent1"/>
              </a:solidFill>
              <a:latin typeface="Verdana" panose="020B0604030504040204" pitchFamily="34" charset="0"/>
              <a:ea typeface="Verdana" panose="020B0604030504040204" pitchFamily="34" charset="0"/>
              <a:cs typeface="Verdana" panose="020B0604030504040204" pitchFamily="34" charset="0"/>
            </a:rPr>
            <a:t>+</a:t>
          </a: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43543</xdr:colOff>
      <xdr:row>0</xdr:row>
      <xdr:rowOff>185057</xdr:rowOff>
    </xdr:from>
    <xdr:to>
      <xdr:col>5</xdr:col>
      <xdr:colOff>2109</xdr:colOff>
      <xdr:row>3</xdr:row>
      <xdr:rowOff>75202</xdr:rowOff>
    </xdr:to>
    <xdr:pic>
      <xdr:nvPicPr>
        <xdr:cNvPr id="3" name="Picture 2" descr="https://www.state.gov/state-responsive/images/favicons/apple-touch-icon-180x180.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85057"/>
          <a:ext cx="692332" cy="641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238"/>
  <sheetViews>
    <sheetView zoomScaleNormal="100" workbookViewId="0">
      <selection activeCell="P222" sqref="P222"/>
    </sheetView>
  </sheetViews>
  <sheetFormatPr defaultColWidth="0" defaultRowHeight="19.5" zeroHeight="1" x14ac:dyDescent="0.35"/>
  <cols>
    <col min="1" max="1" width="2.453125" style="11" customWidth="1"/>
    <col min="2" max="2" width="2.453125" style="15" customWidth="1"/>
    <col min="3" max="3" width="2.453125" style="12" customWidth="1"/>
    <col min="4" max="4" width="2.453125" style="7" customWidth="1"/>
    <col min="5" max="11" width="2.453125" style="2" customWidth="1"/>
    <col min="12" max="12" width="89.453125" style="2" customWidth="1"/>
    <col min="13" max="13" width="2.453125" style="2" customWidth="1"/>
    <col min="14" max="14" width="20.453125" style="14" customWidth="1"/>
    <col min="15" max="15" width="3.453125" style="11" customWidth="1"/>
    <col min="16" max="16" width="23.453125" style="2" customWidth="1"/>
    <col min="17" max="18" width="2.453125" style="11" customWidth="1"/>
    <col min="19" max="20" width="8.81640625" style="11" hidden="1" customWidth="1"/>
    <col min="21" max="21" width="12.453125" style="11" hidden="1" customWidth="1"/>
    <col min="22" max="22" width="18.81640625" style="11" hidden="1" customWidth="1"/>
    <col min="23" max="23" width="13.453125" style="11" hidden="1" customWidth="1"/>
    <col min="24" max="24" width="13.81640625" style="11" hidden="1" customWidth="1"/>
    <col min="25" max="16384" width="8.81640625" style="11" hidden="1"/>
  </cols>
  <sheetData>
    <row r="1" spans="2:24" ht="20.149999999999999" customHeight="1" x14ac:dyDescent="0.35">
      <c r="T1" s="3" t="s">
        <v>0</v>
      </c>
      <c r="U1" s="11" t="s">
        <v>1</v>
      </c>
      <c r="V1" s="11" t="s">
        <v>2</v>
      </c>
      <c r="W1" s="11" t="s">
        <v>3</v>
      </c>
      <c r="X1" s="11" t="s">
        <v>4</v>
      </c>
    </row>
    <row r="2" spans="2:24" ht="20.149999999999999" customHeight="1" x14ac:dyDescent="0.35">
      <c r="F2" s="15" t="s">
        <v>5</v>
      </c>
      <c r="T2" s="3">
        <v>1</v>
      </c>
    </row>
    <row r="3" spans="2:24" ht="20.149999999999999" customHeight="1" x14ac:dyDescent="0.35">
      <c r="F3" s="17" t="s">
        <v>6</v>
      </c>
    </row>
    <row r="4" spans="2:24" ht="14.15" customHeight="1" x14ac:dyDescent="0.35">
      <c r="F4" s="17"/>
    </row>
    <row r="5" spans="2:24" ht="20.149999999999999" customHeight="1" x14ac:dyDescent="0.35">
      <c r="B5" s="49" t="s">
        <v>7</v>
      </c>
      <c r="F5" s="11"/>
      <c r="G5" s="12"/>
      <c r="H5" s="7"/>
      <c r="N5" s="2"/>
      <c r="O5" s="2"/>
    </row>
    <row r="6" spans="2:24" s="19" customFormat="1" ht="13.5" x14ac:dyDescent="0.25">
      <c r="B6" s="13"/>
      <c r="C6" s="13"/>
      <c r="D6" s="13"/>
      <c r="E6" s="13"/>
      <c r="F6" s="13"/>
      <c r="G6" s="13"/>
      <c r="H6" s="13"/>
      <c r="I6" s="13"/>
      <c r="J6" s="13"/>
      <c r="K6" s="13"/>
      <c r="L6" s="13"/>
      <c r="M6" s="13"/>
      <c r="N6" s="18"/>
      <c r="P6" s="13"/>
    </row>
    <row r="7" spans="2:24" ht="15" x14ac:dyDescent="0.3">
      <c r="B7" s="12" t="s">
        <v>8</v>
      </c>
      <c r="D7" s="13"/>
      <c r="I7" s="88" t="s">
        <v>9</v>
      </c>
      <c r="J7" s="89"/>
      <c r="K7" s="89"/>
      <c r="L7" s="90"/>
      <c r="M7" s="2" t="s">
        <v>10</v>
      </c>
      <c r="U7" s="11" t="b">
        <v>1</v>
      </c>
      <c r="V7" s="11" t="b">
        <v>1</v>
      </c>
      <c r="X7" s="11" t="s">
        <v>11</v>
      </c>
    </row>
    <row r="8" spans="2:24" ht="7.4" customHeight="1" x14ac:dyDescent="0.3">
      <c r="B8" s="12"/>
      <c r="D8" s="13"/>
    </row>
    <row r="9" spans="2:24" ht="15" x14ac:dyDescent="0.3">
      <c r="B9" s="12" t="s">
        <v>12</v>
      </c>
      <c r="D9" s="13"/>
      <c r="I9" s="88" t="s">
        <v>13</v>
      </c>
      <c r="J9" s="89"/>
      <c r="K9" s="89"/>
      <c r="L9" s="90"/>
      <c r="M9" s="2" t="s">
        <v>10</v>
      </c>
      <c r="U9" s="11" t="b">
        <v>1</v>
      </c>
      <c r="V9" s="11" t="b">
        <v>1</v>
      </c>
      <c r="X9" s="11" t="s">
        <v>14</v>
      </c>
    </row>
    <row r="10" spans="2:24" ht="7.4" customHeight="1" x14ac:dyDescent="0.3">
      <c r="B10" s="12"/>
      <c r="D10" s="13"/>
    </row>
    <row r="11" spans="2:24" ht="15" x14ac:dyDescent="0.3">
      <c r="B11" s="12" t="s">
        <v>15</v>
      </c>
      <c r="D11" s="13"/>
      <c r="I11" s="94" t="s">
        <v>16</v>
      </c>
      <c r="J11" s="89"/>
      <c r="K11" s="89"/>
      <c r="L11" s="90"/>
      <c r="M11" s="2" t="s">
        <v>10</v>
      </c>
      <c r="U11" s="11" t="b">
        <v>1</v>
      </c>
      <c r="V11" s="11" t="b">
        <v>1</v>
      </c>
      <c r="X11" s="11" t="s">
        <v>17</v>
      </c>
    </row>
    <row r="12" spans="2:24" ht="6.75" customHeight="1" x14ac:dyDescent="0.3">
      <c r="B12" s="12"/>
      <c r="D12" s="13"/>
    </row>
    <row r="13" spans="2:24" ht="13.5" customHeight="1" x14ac:dyDescent="0.3">
      <c r="B13" s="12" t="s">
        <v>18</v>
      </c>
      <c r="D13" s="13"/>
      <c r="I13" s="88"/>
      <c r="J13" s="89"/>
      <c r="K13" s="89"/>
      <c r="L13" s="90"/>
      <c r="U13" s="11" t="b">
        <v>1</v>
      </c>
      <c r="V13" s="11" t="b">
        <v>1</v>
      </c>
      <c r="X13" s="11" t="s">
        <v>19</v>
      </c>
    </row>
    <row r="14" spans="2:24" ht="6.75" customHeight="1" x14ac:dyDescent="0.3">
      <c r="B14" s="12"/>
      <c r="D14" s="13"/>
    </row>
    <row r="15" spans="2:24" ht="17.149999999999999" customHeight="1" x14ac:dyDescent="0.3">
      <c r="B15" s="12" t="s">
        <v>20</v>
      </c>
      <c r="D15" s="13"/>
      <c r="I15" s="88"/>
      <c r="J15" s="89"/>
      <c r="K15" s="89"/>
      <c r="L15" s="90"/>
      <c r="U15" s="11" t="b">
        <v>1</v>
      </c>
      <c r="V15" s="11" t="b">
        <v>1</v>
      </c>
      <c r="X15" s="11" t="s">
        <v>21</v>
      </c>
    </row>
    <row r="16" spans="2:24" ht="8.15" customHeight="1" x14ac:dyDescent="0.3">
      <c r="B16" s="12"/>
      <c r="D16" s="13"/>
    </row>
    <row r="17" spans="1:24" ht="15" x14ac:dyDescent="0.3">
      <c r="B17" s="12" t="s">
        <v>22</v>
      </c>
      <c r="D17" s="13"/>
      <c r="I17" s="88"/>
      <c r="J17" s="89"/>
      <c r="K17" s="89"/>
      <c r="L17" s="90"/>
      <c r="U17" s="11" t="b">
        <v>1</v>
      </c>
      <c r="V17" s="11" t="b">
        <v>1</v>
      </c>
      <c r="X17" s="11" t="s">
        <v>23</v>
      </c>
    </row>
    <row r="18" spans="1:24" ht="8.5" customHeight="1" x14ac:dyDescent="0.3">
      <c r="B18" s="12"/>
      <c r="D18" s="13"/>
    </row>
    <row r="19" spans="1:24" ht="14.5" customHeight="1" x14ac:dyDescent="0.3">
      <c r="B19" s="12" t="s">
        <v>24</v>
      </c>
      <c r="D19" s="13"/>
      <c r="I19" s="88"/>
      <c r="J19" s="89"/>
      <c r="K19" s="89"/>
      <c r="L19" s="90"/>
      <c r="U19" s="11" t="b">
        <v>1</v>
      </c>
      <c r="V19" s="11" t="b">
        <v>1</v>
      </c>
      <c r="X19" s="11" t="s">
        <v>25</v>
      </c>
    </row>
    <row r="20" spans="1:24" ht="7.4" customHeight="1" x14ac:dyDescent="0.35">
      <c r="D20" s="13"/>
    </row>
    <row r="21" spans="1:24" ht="44.15" customHeight="1" x14ac:dyDescent="0.3">
      <c r="B21" s="95" t="s">
        <v>26</v>
      </c>
      <c r="C21" s="96"/>
      <c r="D21" s="96"/>
      <c r="E21" s="96"/>
      <c r="F21" s="96"/>
      <c r="G21" s="96"/>
      <c r="H21" s="96"/>
      <c r="I21" s="96"/>
      <c r="J21" s="96"/>
      <c r="K21" s="96"/>
      <c r="L21" s="96"/>
      <c r="M21" s="96"/>
      <c r="N21" s="96"/>
      <c r="O21" s="96"/>
      <c r="P21" s="97"/>
      <c r="Q21" s="33"/>
    </row>
    <row r="22" spans="1:24" ht="8.15" customHeight="1" x14ac:dyDescent="0.35">
      <c r="D22" s="13"/>
    </row>
    <row r="23" spans="1:24" ht="16.399999999999999" customHeight="1" x14ac:dyDescent="0.3">
      <c r="B23" s="41" t="s">
        <v>27</v>
      </c>
      <c r="C23" s="2"/>
      <c r="D23" s="2"/>
    </row>
    <row r="24" spans="1:24" ht="6.65" customHeight="1" x14ac:dyDescent="0.3">
      <c r="B24" s="41"/>
      <c r="C24" s="2"/>
      <c r="D24" s="2"/>
    </row>
    <row r="25" spans="1:24" ht="16.399999999999999" customHeight="1" x14ac:dyDescent="0.3">
      <c r="B25" s="41" t="s">
        <v>28</v>
      </c>
      <c r="C25" s="2"/>
      <c r="D25" s="2"/>
    </row>
    <row r="26" spans="1:24" ht="6.65" customHeight="1" x14ac:dyDescent="0.3">
      <c r="B26" s="41"/>
      <c r="C26" s="2"/>
      <c r="D26" s="2"/>
    </row>
    <row r="27" spans="1:24" ht="16.399999999999999" customHeight="1" x14ac:dyDescent="0.3">
      <c r="B27" s="41" t="s">
        <v>29</v>
      </c>
      <c r="C27" s="2"/>
      <c r="D27" s="2"/>
    </row>
    <row r="28" spans="1:24" ht="6.65" customHeight="1" x14ac:dyDescent="0.3">
      <c r="B28" s="41"/>
      <c r="C28" s="2"/>
      <c r="D28" s="2"/>
    </row>
    <row r="29" spans="1:24" ht="16.399999999999999" customHeight="1" x14ac:dyDescent="0.3">
      <c r="B29" s="41" t="s">
        <v>30</v>
      </c>
      <c r="C29" s="2"/>
      <c r="D29" s="2"/>
    </row>
    <row r="30" spans="1:24" ht="16.399999999999999" customHeight="1" x14ac:dyDescent="0.3">
      <c r="B30" s="16"/>
      <c r="D30" s="13"/>
    </row>
    <row r="31" spans="1:24" ht="16.399999999999999" customHeight="1" x14ac:dyDescent="0.35">
      <c r="A31" s="3">
        <f t="shared" ref="A31:A63" si="0">MOD(ROW(),2)</f>
        <v>1</v>
      </c>
      <c r="B31" s="4"/>
      <c r="C31" s="5" t="s">
        <v>31</v>
      </c>
      <c r="D31" s="13"/>
      <c r="N31" s="32"/>
    </row>
    <row r="32" spans="1:24" ht="16.399999999999999" customHeight="1" x14ac:dyDescent="0.35">
      <c r="A32" s="3">
        <f t="shared" si="0"/>
        <v>0</v>
      </c>
      <c r="B32" s="4"/>
      <c r="D32" s="13"/>
    </row>
    <row r="33" spans="1:24" ht="16.399999999999999" customHeight="1" x14ac:dyDescent="0.35">
      <c r="A33" s="3">
        <f t="shared" si="0"/>
        <v>1</v>
      </c>
      <c r="B33" s="4"/>
      <c r="C33" s="6" t="s">
        <v>32</v>
      </c>
      <c r="D33" s="13"/>
      <c r="P33" s="7"/>
    </row>
    <row r="34" spans="1:24" ht="16.399999999999999" customHeight="1" x14ac:dyDescent="0.35">
      <c r="A34" s="3">
        <f t="shared" si="0"/>
        <v>0</v>
      </c>
      <c r="B34" s="4"/>
      <c r="D34" s="13"/>
    </row>
    <row r="35" spans="1:24" ht="16.399999999999999" customHeight="1" x14ac:dyDescent="0.35">
      <c r="A35" s="3">
        <f t="shared" si="0"/>
        <v>1</v>
      </c>
      <c r="B35" s="4"/>
      <c r="D35" s="91" t="s">
        <v>33</v>
      </c>
      <c r="E35" s="91"/>
      <c r="F35" s="91"/>
      <c r="G35" s="91"/>
      <c r="H35" s="91"/>
      <c r="I35" s="91"/>
      <c r="J35" s="91"/>
      <c r="K35" s="21"/>
      <c r="L35" s="21"/>
      <c r="M35" s="21"/>
      <c r="N35" s="22"/>
      <c r="O35" s="23"/>
      <c r="P35" s="24"/>
    </row>
    <row r="36" spans="1:24" ht="16.399999999999999" customHeight="1" x14ac:dyDescent="0.35">
      <c r="A36" s="3">
        <f t="shared" si="0"/>
        <v>0</v>
      </c>
      <c r="B36" s="4"/>
      <c r="D36" s="13"/>
    </row>
    <row r="37" spans="1:24" ht="16.399999999999999" customHeight="1" x14ac:dyDescent="0.35">
      <c r="A37" s="3">
        <f t="shared" si="0"/>
        <v>1</v>
      </c>
      <c r="B37" s="4"/>
      <c r="D37" s="13"/>
      <c r="E37" s="2" t="s">
        <v>34</v>
      </c>
      <c r="N37" s="14" t="s">
        <v>35</v>
      </c>
      <c r="P37" s="9"/>
      <c r="Q37" s="11" t="s">
        <v>10</v>
      </c>
      <c r="U37" s="11" t="b">
        <v>1</v>
      </c>
      <c r="V37" s="11" t="b">
        <v>1</v>
      </c>
      <c r="W37" s="11" t="b">
        <f>NOT(ISBLANK(P37))</f>
        <v>0</v>
      </c>
      <c r="X37" s="11">
        <v>1.1000000000000001</v>
      </c>
    </row>
    <row r="38" spans="1:24" ht="16.399999999999999" customHeight="1" x14ac:dyDescent="0.35">
      <c r="A38" s="3">
        <f t="shared" si="0"/>
        <v>0</v>
      </c>
      <c r="B38" s="4"/>
      <c r="D38" s="13"/>
    </row>
    <row r="39" spans="1:24" ht="16.399999999999999" customHeight="1" x14ac:dyDescent="0.35">
      <c r="A39" s="3">
        <f t="shared" si="0"/>
        <v>1</v>
      </c>
      <c r="B39" s="4"/>
      <c r="D39" s="13"/>
      <c r="E39" s="2" t="s">
        <v>36</v>
      </c>
      <c r="N39" s="14" t="s">
        <v>35</v>
      </c>
      <c r="P39" s="9"/>
      <c r="Q39" s="11" t="s">
        <v>10</v>
      </c>
      <c r="U39" s="11" t="b">
        <v>1</v>
      </c>
      <c r="V39" s="11" t="b">
        <v>1</v>
      </c>
      <c r="W39" s="11" t="b">
        <f>NOT(ISBLANK(P39))</f>
        <v>0</v>
      </c>
      <c r="X39" s="11">
        <v>1.2</v>
      </c>
    </row>
    <row r="40" spans="1:24" ht="16.399999999999999" customHeight="1" x14ac:dyDescent="0.35">
      <c r="A40" s="3">
        <f t="shared" si="0"/>
        <v>0</v>
      </c>
      <c r="B40" s="4"/>
      <c r="D40" s="13"/>
    </row>
    <row r="41" spans="1:24" ht="16.399999999999999" customHeight="1" x14ac:dyDescent="0.35">
      <c r="A41" s="3">
        <f t="shared" si="0"/>
        <v>1</v>
      </c>
      <c r="B41" s="4"/>
      <c r="D41" s="13"/>
      <c r="E41" s="93" t="s">
        <v>37</v>
      </c>
      <c r="F41" s="93"/>
      <c r="G41" s="93"/>
      <c r="H41" s="93"/>
      <c r="I41" s="93"/>
      <c r="J41" s="93"/>
      <c r="K41" s="93"/>
      <c r="L41" s="93"/>
      <c r="N41" s="14" t="s">
        <v>35</v>
      </c>
      <c r="P41" s="9"/>
      <c r="U41" s="11" t="b">
        <v>1</v>
      </c>
      <c r="V41" s="11" t="b">
        <v>1</v>
      </c>
      <c r="W41" s="11" t="b">
        <f>NOT(ISBLANK(P41))</f>
        <v>0</v>
      </c>
      <c r="X41" s="11">
        <v>1.3</v>
      </c>
    </row>
    <row r="42" spans="1:24" x14ac:dyDescent="0.35">
      <c r="A42" s="3"/>
      <c r="B42" s="4"/>
      <c r="D42" s="13"/>
      <c r="E42" s="93"/>
      <c r="F42" s="93"/>
      <c r="G42" s="93"/>
      <c r="H42" s="93"/>
      <c r="I42" s="93"/>
      <c r="J42" s="93"/>
      <c r="K42" s="93"/>
      <c r="L42" s="93"/>
      <c r="P42" s="25"/>
    </row>
    <row r="43" spans="1:24" ht="16.399999999999999" customHeight="1" x14ac:dyDescent="0.35">
      <c r="A43" s="3">
        <f t="shared" si="0"/>
        <v>1</v>
      </c>
      <c r="B43" s="4"/>
      <c r="D43" s="13"/>
    </row>
    <row r="44" spans="1:24" ht="16.399999999999999" customHeight="1" x14ac:dyDescent="0.35">
      <c r="A44" s="3">
        <f t="shared" si="0"/>
        <v>0</v>
      </c>
      <c r="B44" s="4"/>
      <c r="D44" s="91" t="s">
        <v>38</v>
      </c>
      <c r="E44" s="91"/>
      <c r="F44" s="91"/>
      <c r="G44" s="91"/>
      <c r="H44" s="91"/>
      <c r="I44" s="91"/>
      <c r="J44" s="91"/>
      <c r="K44" s="21"/>
      <c r="L44" s="21"/>
      <c r="M44" s="21"/>
      <c r="N44" s="22"/>
      <c r="O44" s="23"/>
      <c r="P44" s="24"/>
    </row>
    <row r="45" spans="1:24" ht="16.399999999999999" customHeight="1" x14ac:dyDescent="0.35">
      <c r="A45" s="3">
        <f t="shared" si="0"/>
        <v>1</v>
      </c>
      <c r="B45" s="4"/>
      <c r="D45" s="13"/>
    </row>
    <row r="46" spans="1:24" ht="16.399999999999999" customHeight="1" x14ac:dyDescent="0.35">
      <c r="A46" s="3">
        <f t="shared" si="0"/>
        <v>0</v>
      </c>
      <c r="B46" s="4"/>
      <c r="D46" s="13"/>
      <c r="E46" s="2" t="s">
        <v>39</v>
      </c>
      <c r="N46" s="14" t="s">
        <v>35</v>
      </c>
      <c r="P46" s="9">
        <v>20</v>
      </c>
      <c r="U46" s="11" t="b">
        <v>1</v>
      </c>
      <c r="V46" s="11" t="b">
        <v>1</v>
      </c>
      <c r="W46" s="11" t="b">
        <f>NOT(ISBLANK(P46))</f>
        <v>1</v>
      </c>
      <c r="X46" s="11">
        <v>2.1</v>
      </c>
    </row>
    <row r="47" spans="1:24" ht="16.399999999999999" customHeight="1" x14ac:dyDescent="0.35">
      <c r="A47" s="3">
        <f t="shared" si="0"/>
        <v>1</v>
      </c>
      <c r="B47" s="4"/>
      <c r="D47" s="13"/>
    </row>
    <row r="48" spans="1:24" ht="16.399999999999999" customHeight="1" x14ac:dyDescent="0.35">
      <c r="A48" s="3">
        <f t="shared" si="0"/>
        <v>0</v>
      </c>
      <c r="B48" s="4"/>
      <c r="D48" s="13"/>
      <c r="E48" s="2" t="s">
        <v>40</v>
      </c>
      <c r="N48" s="14" t="s">
        <v>35</v>
      </c>
      <c r="P48" s="9">
        <v>100</v>
      </c>
      <c r="U48" s="11" t="b">
        <v>1</v>
      </c>
      <c r="V48" s="11" t="b">
        <v>1</v>
      </c>
      <c r="W48" s="11" t="b">
        <f>NOT(ISBLANK(P48))</f>
        <v>1</v>
      </c>
      <c r="X48" s="11">
        <v>2.2000000000000002</v>
      </c>
    </row>
    <row r="49" spans="1:24" ht="16.399999999999999" customHeight="1" x14ac:dyDescent="0.35">
      <c r="A49" s="3">
        <f t="shared" si="0"/>
        <v>1</v>
      </c>
      <c r="B49" s="4"/>
      <c r="D49" s="13"/>
    </row>
    <row r="50" spans="1:24" ht="16.399999999999999" customHeight="1" x14ac:dyDescent="0.35">
      <c r="A50" s="3">
        <f t="shared" si="0"/>
        <v>0</v>
      </c>
      <c r="B50" s="4"/>
      <c r="D50" s="91" t="s">
        <v>41</v>
      </c>
      <c r="E50" s="91"/>
      <c r="F50" s="91"/>
      <c r="G50" s="91"/>
      <c r="H50" s="91"/>
      <c r="I50" s="91"/>
      <c r="J50" s="91"/>
      <c r="K50" s="91"/>
      <c r="L50" s="21"/>
      <c r="M50" s="21"/>
      <c r="N50" s="22"/>
      <c r="O50" s="23"/>
      <c r="P50" s="24"/>
    </row>
    <row r="51" spans="1:24" ht="16.399999999999999" customHeight="1" x14ac:dyDescent="0.35">
      <c r="A51" s="3">
        <f t="shared" si="0"/>
        <v>1</v>
      </c>
      <c r="B51" s="4"/>
      <c r="D51" s="13"/>
    </row>
    <row r="52" spans="1:24" ht="16.399999999999999" customHeight="1" x14ac:dyDescent="0.35">
      <c r="A52" s="3">
        <f t="shared" si="0"/>
        <v>0</v>
      </c>
      <c r="B52" s="4"/>
      <c r="D52" s="13"/>
      <c r="E52" s="2" t="s">
        <v>42</v>
      </c>
      <c r="N52" s="14" t="s">
        <v>35</v>
      </c>
      <c r="P52" s="9"/>
      <c r="U52" s="11" t="b">
        <v>1</v>
      </c>
      <c r="V52" s="11" t="b">
        <v>1</v>
      </c>
      <c r="W52" s="11" t="b">
        <f>NOT(ISBLANK(P52))</f>
        <v>0</v>
      </c>
      <c r="X52" s="11">
        <v>3.1</v>
      </c>
    </row>
    <row r="53" spans="1:24" ht="16.399999999999999" customHeight="1" x14ac:dyDescent="0.35">
      <c r="A53" s="3">
        <f t="shared" si="0"/>
        <v>1</v>
      </c>
      <c r="B53" s="4"/>
      <c r="D53" s="13"/>
    </row>
    <row r="54" spans="1:24" ht="16.399999999999999" customHeight="1" x14ac:dyDescent="0.35">
      <c r="A54" s="3">
        <f t="shared" si="0"/>
        <v>0</v>
      </c>
      <c r="B54" s="4"/>
      <c r="D54" s="13"/>
      <c r="E54" s="2" t="s">
        <v>43</v>
      </c>
      <c r="N54" s="14" t="s">
        <v>35</v>
      </c>
      <c r="P54" s="9"/>
      <c r="U54" s="11" t="b">
        <v>1</v>
      </c>
      <c r="V54" s="11" t="b">
        <v>1</v>
      </c>
      <c r="W54" s="11" t="b">
        <f>NOT(ISBLANK(P54))</f>
        <v>0</v>
      </c>
      <c r="X54" s="11">
        <v>3.2</v>
      </c>
    </row>
    <row r="55" spans="1:24" ht="16.399999999999999" customHeight="1" x14ac:dyDescent="0.35">
      <c r="A55" s="3">
        <f t="shared" si="0"/>
        <v>1</v>
      </c>
      <c r="B55" s="4"/>
      <c r="D55" s="13"/>
    </row>
    <row r="56" spans="1:24" ht="16.399999999999999" customHeight="1" x14ac:dyDescent="0.35">
      <c r="A56" s="3">
        <f t="shared" si="0"/>
        <v>0</v>
      </c>
      <c r="B56" s="4"/>
      <c r="D56" s="13"/>
      <c r="E56" s="1"/>
      <c r="F56" s="1"/>
      <c r="G56" s="1"/>
      <c r="H56" s="1"/>
      <c r="I56" s="1"/>
      <c r="J56" s="1"/>
      <c r="K56" s="1"/>
      <c r="L56" s="1"/>
      <c r="M56" s="1"/>
      <c r="N56" s="26" t="s">
        <v>44</v>
      </c>
      <c r="O56" s="27"/>
      <c r="P56" s="1"/>
      <c r="Q56" s="27"/>
    </row>
    <row r="57" spans="1:24" ht="16.399999999999999" customHeight="1" x14ac:dyDescent="0.35">
      <c r="A57" s="3">
        <f t="shared" si="0"/>
        <v>1</v>
      </c>
      <c r="B57" s="4"/>
      <c r="D57" s="13"/>
      <c r="E57" s="1"/>
      <c r="F57" s="1"/>
      <c r="G57" s="1"/>
      <c r="H57" s="1"/>
      <c r="I57" s="1"/>
      <c r="J57" s="1"/>
      <c r="K57" s="1"/>
      <c r="L57" s="1"/>
      <c r="M57" s="1"/>
      <c r="N57" s="26"/>
      <c r="O57" s="27"/>
      <c r="P57" s="1"/>
      <c r="Q57" s="27"/>
    </row>
    <row r="58" spans="1:24" ht="16.399999999999999" customHeight="1" x14ac:dyDescent="0.35">
      <c r="A58" s="3">
        <f t="shared" si="0"/>
        <v>0</v>
      </c>
      <c r="B58" s="4"/>
      <c r="D58" s="13"/>
      <c r="E58" s="1"/>
      <c r="F58" s="1"/>
      <c r="G58" s="1"/>
      <c r="H58" s="1"/>
      <c r="I58" s="1"/>
      <c r="J58" s="1"/>
      <c r="K58" s="1"/>
      <c r="L58" s="1"/>
      <c r="M58" s="1"/>
      <c r="N58" s="28" t="s">
        <v>45</v>
      </c>
      <c r="O58" s="27"/>
      <c r="P58" s="9"/>
      <c r="Q58" s="27"/>
      <c r="U58" s="11" t="b">
        <v>1</v>
      </c>
      <c r="V58" s="11" t="b">
        <v>0</v>
      </c>
      <c r="W58" s="11" t="b">
        <f>NOT(ISBLANK(P58))</f>
        <v>0</v>
      </c>
    </row>
    <row r="59" spans="1:24" ht="10.4" customHeight="1" x14ac:dyDescent="0.35">
      <c r="A59" s="3">
        <f t="shared" si="0"/>
        <v>1</v>
      </c>
      <c r="B59" s="4"/>
      <c r="D59" s="13"/>
      <c r="E59" s="1"/>
      <c r="F59" s="1"/>
      <c r="G59" s="1"/>
      <c r="H59" s="1"/>
      <c r="I59" s="1"/>
      <c r="J59" s="1"/>
      <c r="K59" s="1"/>
      <c r="L59" s="1"/>
      <c r="M59" s="1"/>
      <c r="N59" s="28"/>
      <c r="O59" s="27"/>
      <c r="P59" s="1"/>
      <c r="Q59" s="27"/>
    </row>
    <row r="60" spans="1:24" ht="16.399999999999999" customHeight="1" x14ac:dyDescent="0.35">
      <c r="A60" s="3">
        <f t="shared" si="0"/>
        <v>0</v>
      </c>
      <c r="B60" s="4"/>
      <c r="D60" s="13"/>
      <c r="E60" s="1"/>
      <c r="F60" s="1"/>
      <c r="G60" s="1"/>
      <c r="H60" s="1"/>
      <c r="I60" s="1"/>
      <c r="J60" s="1"/>
      <c r="K60" s="1"/>
      <c r="L60" s="1"/>
      <c r="M60" s="1"/>
      <c r="N60" s="28" t="s">
        <v>46</v>
      </c>
      <c r="O60" s="27"/>
      <c r="P60" s="9"/>
      <c r="Q60" s="27"/>
      <c r="U60" s="11" t="b">
        <v>1</v>
      </c>
      <c r="V60" s="11" t="b">
        <v>0</v>
      </c>
      <c r="W60" s="11" t="b">
        <f>NOT(ISBLANK(P60))</f>
        <v>0</v>
      </c>
    </row>
    <row r="61" spans="1:24" ht="10.4" customHeight="1" x14ac:dyDescent="0.35">
      <c r="A61" s="3">
        <f t="shared" si="0"/>
        <v>1</v>
      </c>
      <c r="B61" s="4"/>
      <c r="D61" s="13"/>
      <c r="E61" s="1"/>
      <c r="F61" s="1"/>
      <c r="G61" s="1"/>
      <c r="H61" s="1"/>
      <c r="I61" s="1"/>
      <c r="J61" s="1"/>
      <c r="K61" s="1"/>
      <c r="L61" s="1"/>
      <c r="M61" s="1"/>
      <c r="N61" s="28"/>
      <c r="O61" s="27"/>
      <c r="P61" s="1"/>
      <c r="Q61" s="27"/>
    </row>
    <row r="62" spans="1:24" ht="16.399999999999999" customHeight="1" x14ac:dyDescent="0.35">
      <c r="A62" s="3">
        <f t="shared" si="0"/>
        <v>0</v>
      </c>
      <c r="B62" s="4"/>
      <c r="D62" s="13"/>
      <c r="E62" s="1"/>
      <c r="F62" s="1"/>
      <c r="G62" s="1"/>
      <c r="H62" s="1"/>
      <c r="I62" s="1"/>
      <c r="J62" s="1"/>
      <c r="K62" s="1"/>
      <c r="L62" s="1"/>
      <c r="M62" s="1"/>
      <c r="N62" s="28" t="s">
        <v>47</v>
      </c>
      <c r="O62" s="27"/>
      <c r="P62" s="9"/>
      <c r="Q62" s="27"/>
      <c r="U62" s="11" t="b">
        <v>1</v>
      </c>
      <c r="V62" s="11" t="b">
        <v>0</v>
      </c>
      <c r="W62" s="11" t="b">
        <f>NOT(ISBLANK(P62))</f>
        <v>0</v>
      </c>
    </row>
    <row r="63" spans="1:24" ht="10.4" customHeight="1" x14ac:dyDescent="0.35">
      <c r="A63" s="3">
        <f t="shared" si="0"/>
        <v>1</v>
      </c>
      <c r="B63" s="4"/>
      <c r="D63" s="13"/>
      <c r="E63" s="1"/>
      <c r="F63" s="1"/>
      <c r="G63" s="1"/>
      <c r="H63" s="1"/>
      <c r="I63" s="1"/>
      <c r="J63" s="1"/>
      <c r="K63" s="1"/>
      <c r="L63" s="1"/>
      <c r="M63" s="1"/>
      <c r="N63" s="26"/>
      <c r="O63" s="27"/>
      <c r="P63" s="1"/>
      <c r="Q63" s="27"/>
    </row>
    <row r="64" spans="1:24" ht="16.399999999999999" customHeight="1" x14ac:dyDescent="0.35">
      <c r="A64" s="3"/>
      <c r="B64" s="4"/>
      <c r="D64" s="13"/>
    </row>
    <row r="65" spans="1:24" ht="16.399999999999999" customHeight="1" x14ac:dyDescent="0.35">
      <c r="A65" s="3">
        <f t="shared" ref="A65:A91" si="1">MOD(ROW(),2)</f>
        <v>1</v>
      </c>
      <c r="B65" s="4"/>
      <c r="D65" s="91" t="s">
        <v>48</v>
      </c>
      <c r="E65" s="91"/>
      <c r="F65" s="91"/>
      <c r="G65" s="91"/>
      <c r="H65" s="91"/>
      <c r="I65" s="91"/>
      <c r="J65" s="91"/>
      <c r="K65" s="91"/>
      <c r="L65" s="91"/>
      <c r="M65" s="21"/>
      <c r="N65" s="22"/>
      <c r="O65" s="23"/>
      <c r="P65" s="24"/>
    </row>
    <row r="66" spans="1:24" ht="16.399999999999999" customHeight="1" x14ac:dyDescent="0.35">
      <c r="A66" s="3"/>
      <c r="B66" s="4"/>
      <c r="D66" s="13"/>
    </row>
    <row r="67" spans="1:24" ht="16.399999999999999" customHeight="1" x14ac:dyDescent="0.35">
      <c r="A67" s="3"/>
      <c r="B67" s="4"/>
      <c r="D67" s="13"/>
      <c r="E67" s="2" t="s">
        <v>49</v>
      </c>
      <c r="N67" s="14" t="s">
        <v>35</v>
      </c>
      <c r="P67" s="9"/>
      <c r="U67" s="11" t="b">
        <v>1</v>
      </c>
      <c r="V67" s="11" t="b">
        <v>1</v>
      </c>
      <c r="W67" s="11" t="b">
        <f>NOT(ISBLANK(P67))</f>
        <v>0</v>
      </c>
      <c r="X67" s="11">
        <v>4.0999999999999996</v>
      </c>
    </row>
    <row r="68" spans="1:24" ht="16.399999999999999" customHeight="1" x14ac:dyDescent="0.35">
      <c r="A68" s="3"/>
      <c r="B68" s="4"/>
      <c r="D68" s="13"/>
    </row>
    <row r="69" spans="1:24" ht="16.399999999999999" customHeight="1" x14ac:dyDescent="0.35">
      <c r="A69" s="3"/>
      <c r="B69" s="4"/>
      <c r="D69" s="13"/>
      <c r="E69" s="2" t="s">
        <v>50</v>
      </c>
      <c r="N69" s="14" t="s">
        <v>35</v>
      </c>
      <c r="P69" s="9"/>
      <c r="U69" s="11" t="b">
        <v>1</v>
      </c>
      <c r="V69" s="11" t="b">
        <v>1</v>
      </c>
      <c r="W69" s="11" t="b">
        <f>NOT(ISBLANK(P69))</f>
        <v>0</v>
      </c>
      <c r="X69" s="11">
        <v>4.2</v>
      </c>
    </row>
    <row r="70" spans="1:24" ht="16.399999999999999" customHeight="1" x14ac:dyDescent="0.35">
      <c r="A70" s="3"/>
      <c r="B70" s="4"/>
      <c r="D70" s="13"/>
    </row>
    <row r="71" spans="1:24" ht="16.399999999999999" customHeight="1" x14ac:dyDescent="0.35">
      <c r="A71" s="3"/>
      <c r="B71" s="4"/>
      <c r="D71" s="13"/>
      <c r="E71" s="93" t="s">
        <v>51</v>
      </c>
      <c r="F71" s="93"/>
      <c r="G71" s="93"/>
      <c r="H71" s="93"/>
      <c r="I71" s="93"/>
      <c r="J71" s="93"/>
      <c r="K71" s="93"/>
      <c r="L71" s="93"/>
      <c r="N71" s="14" t="s">
        <v>35</v>
      </c>
      <c r="P71" s="9"/>
      <c r="U71" s="11" t="b">
        <v>1</v>
      </c>
      <c r="V71" s="11" t="b">
        <v>1</v>
      </c>
      <c r="W71" s="11" t="b">
        <f>NOT(ISBLANK(P71))</f>
        <v>0</v>
      </c>
      <c r="X71" s="11">
        <v>4.3</v>
      </c>
    </row>
    <row r="72" spans="1:24" ht="16.399999999999999" customHeight="1" x14ac:dyDescent="0.35">
      <c r="A72" s="3"/>
      <c r="B72" s="4"/>
      <c r="D72" s="13"/>
      <c r="E72" s="93"/>
      <c r="F72" s="93"/>
      <c r="G72" s="93"/>
      <c r="H72" s="93"/>
      <c r="I72" s="93"/>
      <c r="J72" s="93"/>
      <c r="K72" s="93"/>
      <c r="L72" s="93"/>
      <c r="P72" s="25"/>
    </row>
    <row r="73" spans="1:24" ht="16.399999999999999" customHeight="1" x14ac:dyDescent="0.35">
      <c r="A73" s="3"/>
      <c r="B73" s="4"/>
      <c r="D73" s="13"/>
    </row>
    <row r="74" spans="1:24" ht="16.399999999999999" customHeight="1" x14ac:dyDescent="0.35">
      <c r="A74" s="3">
        <f t="shared" si="1"/>
        <v>0</v>
      </c>
      <c r="B74" s="4"/>
      <c r="C74" s="5" t="s">
        <v>52</v>
      </c>
      <c r="D74" s="13"/>
    </row>
    <row r="75" spans="1:24" ht="16.399999999999999" customHeight="1" x14ac:dyDescent="0.35">
      <c r="A75" s="3">
        <f t="shared" si="1"/>
        <v>1</v>
      </c>
      <c r="B75" s="4"/>
      <c r="D75" s="13"/>
    </row>
    <row r="76" spans="1:24" ht="16.399999999999999" customHeight="1" x14ac:dyDescent="0.35">
      <c r="A76" s="3">
        <f t="shared" si="1"/>
        <v>0</v>
      </c>
      <c r="B76" s="4"/>
      <c r="C76" s="29" t="s">
        <v>53</v>
      </c>
      <c r="D76" s="13"/>
      <c r="P76" s="7"/>
    </row>
    <row r="77" spans="1:24" ht="16.399999999999999" customHeight="1" x14ac:dyDescent="0.35">
      <c r="A77" s="3">
        <f t="shared" si="1"/>
        <v>1</v>
      </c>
      <c r="B77" s="4"/>
      <c r="D77" s="13"/>
    </row>
    <row r="78" spans="1:24" ht="16.399999999999999" customHeight="1" x14ac:dyDescent="0.35">
      <c r="A78" s="3">
        <f t="shared" si="1"/>
        <v>0</v>
      </c>
      <c r="B78" s="4"/>
      <c r="D78" s="20" t="s">
        <v>54</v>
      </c>
      <c r="E78" s="21"/>
      <c r="F78" s="21"/>
      <c r="G78" s="21"/>
      <c r="H78" s="21"/>
      <c r="I78" s="21"/>
      <c r="J78" s="21"/>
      <c r="K78" s="21"/>
      <c r="L78" s="21"/>
      <c r="M78" s="21"/>
      <c r="N78" s="22"/>
      <c r="O78" s="23"/>
      <c r="P78" s="24"/>
    </row>
    <row r="79" spans="1:24" ht="16.399999999999999" customHeight="1" x14ac:dyDescent="0.35">
      <c r="A79" s="3">
        <f t="shared" si="1"/>
        <v>1</v>
      </c>
      <c r="B79" s="4"/>
      <c r="D79" s="13"/>
    </row>
    <row r="80" spans="1:24" ht="16.399999999999999" customHeight="1" x14ac:dyDescent="0.35">
      <c r="A80" s="3">
        <f t="shared" si="1"/>
        <v>0</v>
      </c>
      <c r="B80" s="4"/>
      <c r="D80" s="13"/>
      <c r="E80" s="2" t="s">
        <v>55</v>
      </c>
      <c r="N80" s="14" t="s">
        <v>35</v>
      </c>
      <c r="P80" s="9"/>
      <c r="U80" s="11" t="b">
        <v>1</v>
      </c>
      <c r="V80" s="11" t="b">
        <v>1</v>
      </c>
      <c r="W80" s="11" t="b">
        <f>NOT(ISBLANK(P80))</f>
        <v>0</v>
      </c>
      <c r="X80" s="11">
        <v>5.0999999999999996</v>
      </c>
    </row>
    <row r="81" spans="1:23" ht="16.399999999999999" customHeight="1" x14ac:dyDescent="0.35">
      <c r="A81" s="3">
        <f t="shared" si="1"/>
        <v>1</v>
      </c>
      <c r="B81" s="4"/>
      <c r="D81" s="13"/>
    </row>
    <row r="82" spans="1:23" ht="16.399999999999999" customHeight="1" x14ac:dyDescent="0.35">
      <c r="A82" s="3">
        <f t="shared" si="1"/>
        <v>0</v>
      </c>
      <c r="B82" s="4"/>
      <c r="D82" s="13"/>
      <c r="E82" s="1"/>
      <c r="F82" s="1"/>
      <c r="G82" s="1"/>
      <c r="H82" s="1"/>
      <c r="I82" s="1"/>
      <c r="J82" s="1"/>
      <c r="K82" s="1"/>
      <c r="L82" s="1"/>
      <c r="M82" s="1"/>
      <c r="N82" s="26" t="s">
        <v>56</v>
      </c>
      <c r="O82" s="27"/>
      <c r="P82" s="1"/>
      <c r="Q82" s="27"/>
    </row>
    <row r="83" spans="1:23" ht="16.399999999999999" customHeight="1" x14ac:dyDescent="0.35">
      <c r="A83" s="3">
        <f t="shared" si="1"/>
        <v>1</v>
      </c>
      <c r="B83" s="4"/>
      <c r="D83" s="13"/>
      <c r="E83" s="1"/>
      <c r="F83" s="1"/>
      <c r="G83" s="1"/>
      <c r="H83" s="1"/>
      <c r="I83" s="1"/>
      <c r="J83" s="1"/>
      <c r="K83" s="1"/>
      <c r="L83" s="42"/>
      <c r="M83" s="42"/>
      <c r="N83" s="28"/>
      <c r="O83" s="27"/>
      <c r="P83" s="1"/>
      <c r="Q83" s="27"/>
    </row>
    <row r="84" spans="1:23" ht="16.399999999999999" customHeight="1" x14ac:dyDescent="0.35">
      <c r="A84" s="3">
        <f t="shared" si="1"/>
        <v>0</v>
      </c>
      <c r="B84" s="4"/>
      <c r="D84" s="13"/>
      <c r="E84" s="1"/>
      <c r="F84" s="1"/>
      <c r="G84" s="1"/>
      <c r="H84" s="1"/>
      <c r="I84" s="1"/>
      <c r="J84" s="1"/>
      <c r="K84" s="1"/>
      <c r="L84" s="98" t="s">
        <v>57</v>
      </c>
      <c r="M84" s="98"/>
      <c r="N84" s="98"/>
      <c r="O84" s="27"/>
      <c r="P84" s="9"/>
      <c r="Q84" s="27"/>
      <c r="U84" s="11" t="b">
        <v>1</v>
      </c>
      <c r="V84" s="11" t="b">
        <v>0</v>
      </c>
      <c r="W84" s="11" t="b">
        <f>NOT(ISBLANK(P84))</f>
        <v>0</v>
      </c>
    </row>
    <row r="85" spans="1:23" ht="10.4" customHeight="1" x14ac:dyDescent="0.35">
      <c r="A85" s="3">
        <f t="shared" si="1"/>
        <v>1</v>
      </c>
      <c r="B85" s="4"/>
      <c r="D85" s="13"/>
      <c r="E85" s="1"/>
      <c r="F85" s="1"/>
      <c r="G85" s="1"/>
      <c r="H85" s="1"/>
      <c r="I85" s="1"/>
      <c r="J85" s="1"/>
      <c r="K85" s="1"/>
      <c r="L85" s="42"/>
      <c r="M85" s="42"/>
      <c r="N85" s="28"/>
      <c r="O85" s="27"/>
      <c r="P85" s="1"/>
      <c r="Q85" s="27"/>
    </row>
    <row r="86" spans="1:23" ht="16.399999999999999" customHeight="1" x14ac:dyDescent="0.35">
      <c r="A86" s="3">
        <f t="shared" si="1"/>
        <v>0</v>
      </c>
      <c r="B86" s="4"/>
      <c r="D86" s="13"/>
      <c r="E86" s="1"/>
      <c r="F86" s="1"/>
      <c r="G86" s="1"/>
      <c r="H86" s="1"/>
      <c r="I86" s="1"/>
      <c r="J86" s="1"/>
      <c r="K86" s="1"/>
      <c r="L86" s="98" t="s">
        <v>58</v>
      </c>
      <c r="M86" s="98"/>
      <c r="N86" s="98"/>
      <c r="O86" s="27"/>
      <c r="P86" s="9"/>
      <c r="Q86" s="27"/>
      <c r="U86" s="11" t="b">
        <v>1</v>
      </c>
      <c r="V86" s="11" t="b">
        <v>0</v>
      </c>
      <c r="W86" s="11" t="b">
        <f>NOT(ISBLANK(P86))</f>
        <v>0</v>
      </c>
    </row>
    <row r="87" spans="1:23" ht="10.4" customHeight="1" x14ac:dyDescent="0.35">
      <c r="A87" s="3">
        <f t="shared" si="1"/>
        <v>1</v>
      </c>
      <c r="B87" s="4"/>
      <c r="D87" s="13"/>
      <c r="E87" s="1"/>
      <c r="F87" s="1"/>
      <c r="G87" s="1"/>
      <c r="H87" s="1"/>
      <c r="I87" s="1"/>
      <c r="J87" s="1"/>
      <c r="K87" s="1"/>
      <c r="L87" s="42"/>
      <c r="M87" s="42"/>
      <c r="N87" s="28"/>
      <c r="O87" s="27"/>
      <c r="P87" s="1"/>
      <c r="Q87" s="27"/>
    </row>
    <row r="88" spans="1:23" ht="16.399999999999999" customHeight="1" x14ac:dyDescent="0.35">
      <c r="A88" s="3">
        <f t="shared" si="1"/>
        <v>0</v>
      </c>
      <c r="B88" s="4"/>
      <c r="D88" s="13"/>
      <c r="E88" s="1"/>
      <c r="F88" s="1"/>
      <c r="G88" s="1"/>
      <c r="H88" s="1"/>
      <c r="I88" s="1"/>
      <c r="J88" s="1"/>
      <c r="K88" s="1"/>
      <c r="L88" s="98" t="s">
        <v>59</v>
      </c>
      <c r="M88" s="98"/>
      <c r="N88" s="98"/>
      <c r="O88" s="27"/>
      <c r="P88" s="9"/>
      <c r="Q88" s="27"/>
      <c r="U88" s="11" t="b">
        <v>1</v>
      </c>
      <c r="V88" s="11" t="b">
        <v>0</v>
      </c>
      <c r="W88" s="11" t="b">
        <f>NOT(ISBLANK(P88))</f>
        <v>0</v>
      </c>
    </row>
    <row r="89" spans="1:23" ht="10.4" customHeight="1" x14ac:dyDescent="0.35">
      <c r="A89" s="3">
        <f t="shared" si="1"/>
        <v>1</v>
      </c>
      <c r="B89" s="4"/>
      <c r="D89" s="13"/>
      <c r="E89" s="1"/>
      <c r="F89" s="1"/>
      <c r="G89" s="1"/>
      <c r="H89" s="1"/>
      <c r="I89" s="1"/>
      <c r="J89" s="1"/>
      <c r="K89" s="1"/>
      <c r="L89" s="42"/>
      <c r="M89" s="42"/>
      <c r="N89" s="28"/>
      <c r="O89" s="27"/>
      <c r="P89" s="1"/>
      <c r="Q89" s="27"/>
    </row>
    <row r="90" spans="1:23" ht="16.399999999999999" customHeight="1" x14ac:dyDescent="0.35">
      <c r="A90" s="3">
        <f t="shared" si="1"/>
        <v>0</v>
      </c>
      <c r="B90" s="4"/>
      <c r="D90" s="13"/>
      <c r="E90" s="1"/>
      <c r="F90" s="1"/>
      <c r="G90" s="1"/>
      <c r="H90" s="1"/>
      <c r="I90" s="1"/>
      <c r="J90" s="1"/>
      <c r="K90" s="1"/>
      <c r="L90" s="98" t="s">
        <v>60</v>
      </c>
      <c r="M90" s="98"/>
      <c r="N90" s="98"/>
      <c r="O90" s="27"/>
      <c r="P90" s="9"/>
      <c r="Q90" s="27"/>
      <c r="U90" s="11" t="b">
        <v>1</v>
      </c>
      <c r="V90" s="11" t="b">
        <v>0</v>
      </c>
      <c r="W90" s="11" t="b">
        <f>NOT(ISBLANK(P90))</f>
        <v>0</v>
      </c>
    </row>
    <row r="91" spans="1:23" ht="10.4" customHeight="1" x14ac:dyDescent="0.35">
      <c r="A91" s="3">
        <f t="shared" si="1"/>
        <v>1</v>
      </c>
      <c r="B91" s="4"/>
      <c r="D91" s="13"/>
      <c r="E91" s="1"/>
      <c r="F91" s="1"/>
      <c r="G91" s="1"/>
      <c r="H91" s="1"/>
      <c r="I91" s="1"/>
      <c r="J91" s="1"/>
      <c r="K91" s="1"/>
      <c r="L91" s="42"/>
      <c r="M91" s="42"/>
      <c r="N91" s="28"/>
      <c r="O91" s="27"/>
      <c r="P91" s="1"/>
      <c r="Q91" s="27"/>
    </row>
    <row r="92" spans="1:23" ht="16.399999999999999" customHeight="1" x14ac:dyDescent="0.35">
      <c r="A92" s="3"/>
      <c r="B92" s="4"/>
      <c r="D92" s="13"/>
      <c r="E92" s="1"/>
      <c r="F92" s="1"/>
      <c r="G92" s="1"/>
      <c r="H92" s="1"/>
      <c r="I92" s="1"/>
      <c r="J92" s="1"/>
      <c r="K92" s="1"/>
      <c r="L92" s="98" t="s">
        <v>61</v>
      </c>
      <c r="M92" s="98"/>
      <c r="N92" s="98"/>
      <c r="O92" s="27"/>
      <c r="P92" s="9"/>
      <c r="Q92" s="27"/>
      <c r="U92" s="11" t="b">
        <v>1</v>
      </c>
      <c r="V92" s="11" t="b">
        <v>0</v>
      </c>
      <c r="W92" s="11" t="b">
        <f>NOT(ISBLANK(P111))</f>
        <v>0</v>
      </c>
    </row>
    <row r="93" spans="1:23" ht="10.4" customHeight="1" x14ac:dyDescent="0.35">
      <c r="A93" s="3"/>
      <c r="B93" s="4"/>
      <c r="D93" s="13"/>
      <c r="E93" s="1"/>
      <c r="F93" s="1"/>
      <c r="G93" s="1"/>
      <c r="H93" s="1"/>
      <c r="I93" s="1"/>
      <c r="J93" s="1"/>
      <c r="K93" s="1"/>
      <c r="L93" s="42"/>
      <c r="M93" s="42"/>
      <c r="N93" s="28"/>
      <c r="O93" s="27"/>
      <c r="P93" s="1"/>
      <c r="Q93" s="27"/>
    </row>
    <row r="94" spans="1:23" ht="16.399999999999999" customHeight="1" x14ac:dyDescent="0.35">
      <c r="A94" s="3"/>
      <c r="B94" s="4"/>
      <c r="D94" s="13"/>
      <c r="E94" s="1"/>
      <c r="F94" s="1"/>
      <c r="G94" s="1"/>
      <c r="H94" s="1"/>
      <c r="I94" s="1"/>
      <c r="J94" s="1"/>
      <c r="K94" s="1"/>
      <c r="L94" s="98" t="s">
        <v>62</v>
      </c>
      <c r="M94" s="98"/>
      <c r="N94" s="98"/>
      <c r="O94" s="27"/>
      <c r="P94" s="9"/>
      <c r="Q94" s="27"/>
      <c r="U94" s="11" t="b">
        <v>1</v>
      </c>
      <c r="V94" s="11" t="b">
        <v>0</v>
      </c>
      <c r="W94" s="11" t="b">
        <f>NOT(ISBLANK(P113))</f>
        <v>0</v>
      </c>
    </row>
    <row r="95" spans="1:23" ht="10.4" customHeight="1" x14ac:dyDescent="0.35">
      <c r="A95" s="3"/>
      <c r="B95" s="4"/>
      <c r="D95" s="13"/>
      <c r="E95" s="1"/>
      <c r="F95" s="1"/>
      <c r="G95" s="1"/>
      <c r="H95" s="1"/>
      <c r="I95" s="1"/>
      <c r="J95" s="1"/>
      <c r="K95" s="1"/>
      <c r="L95" s="42"/>
      <c r="M95" s="42"/>
      <c r="N95" s="28"/>
      <c r="O95" s="27"/>
      <c r="P95" s="1"/>
      <c r="Q95" s="27"/>
    </row>
    <row r="96" spans="1:23" ht="16.399999999999999" customHeight="1" x14ac:dyDescent="0.35">
      <c r="A96" s="3"/>
      <c r="B96" s="4"/>
      <c r="D96" s="13"/>
      <c r="E96" s="1"/>
      <c r="F96" s="1"/>
      <c r="G96" s="1"/>
      <c r="H96" s="1"/>
      <c r="I96" s="1"/>
      <c r="J96" s="1"/>
      <c r="K96" s="1"/>
      <c r="L96" s="98" t="s">
        <v>63</v>
      </c>
      <c r="M96" s="98"/>
      <c r="N96" s="98"/>
      <c r="O96" s="27"/>
      <c r="P96" s="9"/>
      <c r="Q96" s="27"/>
      <c r="U96" s="11" t="b">
        <v>1</v>
      </c>
      <c r="V96" s="11" t="b">
        <v>0</v>
      </c>
      <c r="W96" s="11" t="b">
        <f>NOT(ISBLANK(P96))</f>
        <v>0</v>
      </c>
    </row>
    <row r="97" spans="1:24" ht="10.4" customHeight="1" x14ac:dyDescent="0.35">
      <c r="A97" s="3"/>
      <c r="B97" s="4"/>
      <c r="D97" s="13"/>
      <c r="E97" s="1"/>
      <c r="F97" s="1"/>
      <c r="G97" s="1"/>
      <c r="H97" s="1"/>
      <c r="I97" s="1"/>
      <c r="J97" s="1"/>
      <c r="K97" s="1"/>
      <c r="L97" s="1"/>
      <c r="M97" s="1"/>
      <c r="N97" s="28"/>
      <c r="O97" s="27"/>
      <c r="P97" s="1"/>
      <c r="Q97" s="27"/>
    </row>
    <row r="98" spans="1:24" ht="16.399999999999999" customHeight="1" x14ac:dyDescent="0.35">
      <c r="A98" s="3"/>
      <c r="B98" s="4"/>
      <c r="D98" s="13"/>
      <c r="N98" s="30"/>
    </row>
    <row r="99" spans="1:24" ht="16.399999999999999" customHeight="1" x14ac:dyDescent="0.35">
      <c r="A99" s="3">
        <f t="shared" ref="A99:A100" si="2">MOD(ROW(),2)</f>
        <v>1</v>
      </c>
      <c r="B99" s="4"/>
      <c r="D99" s="13"/>
      <c r="E99" s="2" t="s">
        <v>64</v>
      </c>
      <c r="N99" s="14" t="s">
        <v>35</v>
      </c>
      <c r="P99" s="10"/>
      <c r="U99" s="11" t="b">
        <v>1</v>
      </c>
      <c r="V99" s="11" t="b">
        <v>1</v>
      </c>
      <c r="W99" s="11" t="b">
        <f>NOT(ISBLANK(P99))</f>
        <v>0</v>
      </c>
      <c r="X99" s="11">
        <v>5.2</v>
      </c>
    </row>
    <row r="100" spans="1:24" ht="16.399999999999999" customHeight="1" x14ac:dyDescent="0.35">
      <c r="A100" s="3">
        <f t="shared" si="2"/>
        <v>0</v>
      </c>
      <c r="B100" s="4"/>
      <c r="D100" s="13"/>
    </row>
    <row r="101" spans="1:24" ht="16.399999999999999" customHeight="1" x14ac:dyDescent="0.35">
      <c r="A101" s="3"/>
      <c r="B101" s="4"/>
      <c r="D101" s="13"/>
      <c r="E101" s="1"/>
      <c r="F101" s="1"/>
      <c r="G101" s="1"/>
      <c r="H101" s="1"/>
      <c r="I101" s="1"/>
      <c r="J101" s="1"/>
      <c r="K101" s="1"/>
      <c r="L101" s="1"/>
      <c r="M101" s="1"/>
      <c r="N101" s="26" t="s">
        <v>56</v>
      </c>
      <c r="O101" s="27"/>
      <c r="P101" s="1"/>
      <c r="Q101" s="27"/>
    </row>
    <row r="102" spans="1:24" ht="16.399999999999999" customHeight="1" x14ac:dyDescent="0.35">
      <c r="A102" s="3"/>
      <c r="B102" s="4"/>
      <c r="D102" s="13"/>
      <c r="E102" s="1"/>
      <c r="F102" s="1"/>
      <c r="G102" s="1"/>
      <c r="H102" s="1"/>
      <c r="I102" s="1"/>
      <c r="J102" s="1"/>
      <c r="K102" s="1"/>
      <c r="L102" s="1"/>
      <c r="M102" s="1"/>
      <c r="N102" s="39"/>
      <c r="O102" s="27"/>
      <c r="P102" s="1"/>
      <c r="Q102" s="27"/>
    </row>
    <row r="103" spans="1:24" ht="16.399999999999999" customHeight="1" x14ac:dyDescent="0.35">
      <c r="A103" s="3"/>
      <c r="B103" s="4"/>
      <c r="D103" s="13"/>
      <c r="E103" s="1"/>
      <c r="F103" s="1"/>
      <c r="G103" s="1"/>
      <c r="H103" s="1"/>
      <c r="I103" s="1"/>
      <c r="J103" s="1"/>
      <c r="K103" s="1"/>
      <c r="L103" s="1"/>
      <c r="M103" s="1"/>
      <c r="N103" s="57" t="s">
        <v>65</v>
      </c>
      <c r="O103" s="27"/>
      <c r="P103" s="9"/>
      <c r="Q103" s="27"/>
      <c r="U103" s="11" t="b">
        <v>1</v>
      </c>
      <c r="V103" s="11" t="b">
        <v>0</v>
      </c>
      <c r="W103" s="11" t="b">
        <f>NOT(ISBLANK(P103))</f>
        <v>0</v>
      </c>
    </row>
    <row r="104" spans="1:24" ht="10.4" customHeight="1" x14ac:dyDescent="0.35">
      <c r="A104" s="3"/>
      <c r="B104" s="4"/>
      <c r="D104" s="13"/>
      <c r="E104" s="1"/>
      <c r="F104" s="1"/>
      <c r="G104" s="1"/>
      <c r="H104" s="1"/>
      <c r="I104" s="1"/>
      <c r="J104" s="1"/>
      <c r="K104" s="1"/>
      <c r="L104" s="1"/>
      <c r="M104" s="1"/>
      <c r="N104" s="39"/>
      <c r="O104" s="27"/>
      <c r="P104" s="1"/>
      <c r="Q104" s="27"/>
    </row>
    <row r="105" spans="1:24" ht="16.399999999999999" customHeight="1" x14ac:dyDescent="0.35">
      <c r="A105" s="3"/>
      <c r="B105" s="4"/>
      <c r="D105" s="13"/>
      <c r="E105" s="1"/>
      <c r="F105" s="1"/>
      <c r="G105" s="1"/>
      <c r="H105" s="1"/>
      <c r="I105" s="1"/>
      <c r="J105" s="1"/>
      <c r="K105" s="1"/>
      <c r="L105" s="1"/>
      <c r="M105" s="1"/>
      <c r="N105" s="57" t="s">
        <v>66</v>
      </c>
      <c r="O105" s="27"/>
      <c r="P105" s="9"/>
      <c r="Q105" s="27"/>
      <c r="U105" s="11" t="b">
        <v>1</v>
      </c>
      <c r="V105" s="11" t="b">
        <v>0</v>
      </c>
      <c r="W105" s="11" t="b">
        <f>NOT(ISBLANK(P105))</f>
        <v>0</v>
      </c>
    </row>
    <row r="106" spans="1:24" ht="10.4" customHeight="1" x14ac:dyDescent="0.35">
      <c r="A106" s="3"/>
      <c r="B106" s="4"/>
      <c r="D106" s="13"/>
      <c r="E106" s="1"/>
      <c r="F106" s="1"/>
      <c r="G106" s="1"/>
      <c r="H106" s="1"/>
      <c r="I106" s="1"/>
      <c r="J106" s="1"/>
      <c r="K106" s="1"/>
      <c r="L106" s="1"/>
      <c r="M106" s="1"/>
      <c r="N106" s="39"/>
      <c r="O106" s="27"/>
      <c r="P106" s="1"/>
      <c r="Q106" s="27"/>
    </row>
    <row r="107" spans="1:24" ht="16.399999999999999" customHeight="1" x14ac:dyDescent="0.35">
      <c r="A107" s="3"/>
      <c r="B107" s="4"/>
      <c r="D107" s="13"/>
      <c r="E107" s="1"/>
      <c r="F107" s="1"/>
      <c r="G107" s="1"/>
      <c r="H107" s="1"/>
      <c r="I107" s="1"/>
      <c r="J107" s="1"/>
      <c r="K107" s="1"/>
      <c r="L107" s="1"/>
      <c r="M107" s="1"/>
      <c r="N107" s="57" t="s">
        <v>67</v>
      </c>
      <c r="O107" s="27"/>
      <c r="P107" s="9"/>
      <c r="Q107" s="27"/>
      <c r="U107" s="11" t="b">
        <v>1</v>
      </c>
      <c r="V107" s="11" t="b">
        <v>0</v>
      </c>
      <c r="W107" s="11" t="b">
        <f>NOT(ISBLANK(P107))</f>
        <v>0</v>
      </c>
    </row>
    <row r="108" spans="1:24" ht="10.4" customHeight="1" x14ac:dyDescent="0.35">
      <c r="A108" s="3"/>
      <c r="B108" s="4"/>
      <c r="D108" s="13"/>
      <c r="E108" s="1"/>
      <c r="F108" s="1"/>
      <c r="G108" s="1"/>
      <c r="H108" s="1"/>
      <c r="I108" s="1"/>
      <c r="J108" s="1"/>
      <c r="K108" s="1"/>
      <c r="L108" s="1"/>
      <c r="M108" s="1"/>
      <c r="N108" s="39"/>
      <c r="O108" s="27"/>
      <c r="P108" s="1"/>
      <c r="Q108" s="27"/>
    </row>
    <row r="109" spans="1:24" ht="16.399999999999999" customHeight="1" x14ac:dyDescent="0.35">
      <c r="A109" s="3"/>
      <c r="B109" s="4"/>
      <c r="D109" s="13"/>
      <c r="E109" s="1"/>
      <c r="F109" s="1"/>
      <c r="G109" s="1"/>
      <c r="H109" s="1"/>
      <c r="I109" s="1"/>
      <c r="J109" s="1"/>
      <c r="K109" s="1"/>
      <c r="L109" s="1"/>
      <c r="M109" s="1"/>
      <c r="N109" s="57" t="s">
        <v>68</v>
      </c>
      <c r="O109" s="27"/>
      <c r="P109" s="9"/>
      <c r="Q109" s="27"/>
      <c r="U109" s="11" t="b">
        <v>1</v>
      </c>
      <c r="V109" s="11" t="b">
        <v>0</v>
      </c>
      <c r="W109" s="11" t="b">
        <f>NOT(ISBLANK(P109))</f>
        <v>0</v>
      </c>
    </row>
    <row r="110" spans="1:24" ht="10.4" customHeight="1" x14ac:dyDescent="0.35">
      <c r="A110" s="3"/>
      <c r="B110" s="4"/>
      <c r="D110" s="13"/>
      <c r="E110" s="1"/>
      <c r="F110" s="1"/>
      <c r="G110" s="1"/>
      <c r="H110" s="1"/>
      <c r="I110" s="1"/>
      <c r="J110" s="1"/>
      <c r="K110" s="1"/>
      <c r="L110" s="1"/>
      <c r="M110" s="1"/>
      <c r="N110" s="39"/>
      <c r="O110" s="27"/>
      <c r="P110" s="1"/>
      <c r="Q110" s="27"/>
    </row>
    <row r="111" spans="1:24" ht="16.399999999999999" customHeight="1" x14ac:dyDescent="0.35">
      <c r="A111" s="3"/>
      <c r="B111" s="4"/>
      <c r="D111" s="13"/>
      <c r="E111" s="1"/>
      <c r="F111" s="1"/>
      <c r="G111" s="1"/>
      <c r="H111" s="1"/>
      <c r="I111" s="1"/>
      <c r="J111" s="1"/>
      <c r="K111" s="1"/>
      <c r="L111" s="1"/>
      <c r="M111" s="1"/>
      <c r="N111" s="57" t="s">
        <v>69</v>
      </c>
      <c r="O111" s="27"/>
      <c r="P111" s="9"/>
      <c r="Q111" s="27"/>
      <c r="U111" s="11" t="b">
        <v>1</v>
      </c>
      <c r="V111" s="11" t="b">
        <v>0</v>
      </c>
      <c r="W111" s="11" t="b">
        <f>NOT(ISBLANK(#REF!))</f>
        <v>1</v>
      </c>
    </row>
    <row r="112" spans="1:24" ht="10.4" customHeight="1" x14ac:dyDescent="0.35">
      <c r="A112" s="3"/>
      <c r="B112" s="4"/>
      <c r="D112" s="13"/>
      <c r="E112" s="1"/>
      <c r="F112" s="1"/>
      <c r="G112" s="1"/>
      <c r="H112" s="1"/>
      <c r="I112" s="1"/>
      <c r="J112" s="1"/>
      <c r="K112" s="1"/>
      <c r="L112" s="1"/>
      <c r="M112" s="1"/>
      <c r="N112" s="39"/>
      <c r="O112" s="27"/>
      <c r="P112" s="1"/>
      <c r="Q112" s="27"/>
    </row>
    <row r="113" spans="1:24" ht="16.399999999999999" customHeight="1" x14ac:dyDescent="0.35">
      <c r="A113" s="3"/>
      <c r="B113" s="4"/>
      <c r="D113" s="13"/>
      <c r="E113" s="1"/>
      <c r="F113" s="1"/>
      <c r="G113" s="1"/>
      <c r="H113" s="1"/>
      <c r="I113" s="1"/>
      <c r="J113" s="1"/>
      <c r="K113" s="1"/>
      <c r="L113" s="1"/>
      <c r="M113" s="1"/>
      <c r="N113" s="57" t="s">
        <v>70</v>
      </c>
      <c r="O113" s="27"/>
      <c r="P113" s="9"/>
      <c r="Q113" s="27"/>
      <c r="U113" s="11" t="b">
        <v>1</v>
      </c>
      <c r="V113" s="11" t="b">
        <v>0</v>
      </c>
      <c r="W113" s="11" t="b">
        <f>NOT(ISBLANK(#REF!))</f>
        <v>1</v>
      </c>
    </row>
    <row r="114" spans="1:24" ht="10.4" customHeight="1" x14ac:dyDescent="0.35">
      <c r="A114" s="3"/>
      <c r="B114" s="4"/>
      <c r="D114" s="13"/>
      <c r="E114" s="1"/>
      <c r="F114" s="1"/>
      <c r="G114" s="1"/>
      <c r="H114" s="1"/>
      <c r="I114" s="1"/>
      <c r="J114" s="1"/>
      <c r="K114" s="1"/>
      <c r="L114" s="1"/>
      <c r="M114" s="1"/>
      <c r="N114" s="39"/>
      <c r="O114" s="27"/>
      <c r="P114" s="1"/>
      <c r="Q114" s="27"/>
    </row>
    <row r="115" spans="1:24" ht="16.399999999999999" customHeight="1" x14ac:dyDescent="0.35">
      <c r="A115" s="3"/>
      <c r="B115" s="4"/>
      <c r="D115" s="13"/>
      <c r="E115" s="1"/>
      <c r="F115" s="1"/>
      <c r="G115" s="1"/>
      <c r="H115" s="1"/>
      <c r="I115" s="1"/>
      <c r="J115" s="1"/>
      <c r="K115" s="1"/>
      <c r="L115" s="1"/>
      <c r="M115" s="1"/>
      <c r="N115" s="57" t="s">
        <v>71</v>
      </c>
      <c r="O115" s="27"/>
      <c r="P115" s="9"/>
      <c r="Q115" s="27"/>
      <c r="U115" s="11" t="b">
        <v>1</v>
      </c>
      <c r="V115" s="11" t="b">
        <v>0</v>
      </c>
      <c r="W115" s="11" t="b">
        <f>NOT(ISBLANK(P115))</f>
        <v>0</v>
      </c>
    </row>
    <row r="116" spans="1:24" ht="10.4" customHeight="1" x14ac:dyDescent="0.35">
      <c r="A116" s="3"/>
      <c r="B116" s="4"/>
      <c r="D116" s="13"/>
      <c r="E116" s="1"/>
      <c r="F116" s="1"/>
      <c r="G116" s="1"/>
      <c r="H116" s="1"/>
      <c r="I116" s="1"/>
      <c r="J116" s="1"/>
      <c r="K116" s="1"/>
      <c r="L116" s="1"/>
      <c r="M116" s="1"/>
      <c r="N116" s="28"/>
      <c r="O116" s="27"/>
      <c r="P116" s="1"/>
      <c r="Q116" s="27"/>
    </row>
    <row r="117" spans="1:24" ht="16.399999999999999" customHeight="1" x14ac:dyDescent="0.35">
      <c r="A117" s="3"/>
      <c r="B117" s="4"/>
      <c r="D117" s="13"/>
    </row>
    <row r="118" spans="1:24" ht="16.399999999999999" customHeight="1" x14ac:dyDescent="0.35">
      <c r="A118" s="3"/>
      <c r="B118" s="4"/>
      <c r="D118" s="13"/>
      <c r="E118" s="2" t="s">
        <v>72</v>
      </c>
      <c r="N118" s="14" t="s">
        <v>35</v>
      </c>
      <c r="P118" s="10"/>
      <c r="U118" s="11" t="b">
        <v>1</v>
      </c>
      <c r="V118" s="11" t="b">
        <v>1</v>
      </c>
      <c r="W118" s="11" t="b">
        <f>NOT(ISBLANK(P118))</f>
        <v>0</v>
      </c>
      <c r="X118" s="11">
        <v>5.3</v>
      </c>
    </row>
    <row r="119" spans="1:24" ht="16.399999999999999" customHeight="1" x14ac:dyDescent="0.35">
      <c r="A119" s="3"/>
      <c r="B119" s="4"/>
      <c r="D119" s="13"/>
      <c r="P119" s="31"/>
    </row>
    <row r="120" spans="1:24" ht="16.399999999999999" customHeight="1" x14ac:dyDescent="0.35">
      <c r="A120" s="3"/>
      <c r="B120" s="4"/>
      <c r="D120" s="13"/>
      <c r="E120" s="1"/>
      <c r="F120" s="1"/>
      <c r="G120" s="1"/>
      <c r="H120" s="1"/>
      <c r="I120" s="1"/>
      <c r="J120" s="1"/>
      <c r="K120" s="1"/>
      <c r="L120" s="1"/>
      <c r="M120" s="1"/>
      <c r="N120" s="26" t="s">
        <v>56</v>
      </c>
      <c r="O120" s="27"/>
      <c r="P120" s="1"/>
      <c r="Q120" s="27"/>
    </row>
    <row r="121" spans="1:24" ht="16.399999999999999" customHeight="1" x14ac:dyDescent="0.35">
      <c r="A121" s="3"/>
      <c r="B121" s="4"/>
      <c r="D121" s="13"/>
      <c r="E121" s="1"/>
      <c r="F121" s="1"/>
      <c r="G121" s="1"/>
      <c r="H121" s="1"/>
      <c r="I121" s="1"/>
      <c r="J121" s="1"/>
      <c r="K121" s="1"/>
      <c r="L121" s="1"/>
      <c r="M121" s="1"/>
      <c r="N121" s="28"/>
      <c r="O121" s="27"/>
      <c r="P121" s="1"/>
      <c r="Q121" s="27"/>
    </row>
    <row r="122" spans="1:24" ht="16.399999999999999" customHeight="1" x14ac:dyDescent="0.35">
      <c r="A122" s="3"/>
      <c r="B122" s="4"/>
      <c r="D122" s="13"/>
      <c r="E122" s="1"/>
      <c r="F122" s="1"/>
      <c r="G122" s="1"/>
      <c r="H122" s="1"/>
      <c r="I122" s="1"/>
      <c r="J122" s="1"/>
      <c r="K122" s="1"/>
      <c r="L122" s="1"/>
      <c r="M122" s="1"/>
      <c r="N122" s="57" t="s">
        <v>73</v>
      </c>
      <c r="O122" s="27"/>
      <c r="P122" s="9"/>
      <c r="Q122" s="27"/>
      <c r="U122" s="11" t="b">
        <v>1</v>
      </c>
      <c r="V122" s="11" t="b">
        <v>0</v>
      </c>
      <c r="W122" s="11" t="b">
        <f>NOT(ISBLANK(P122))</f>
        <v>0</v>
      </c>
    </row>
    <row r="123" spans="1:24" ht="10.4" customHeight="1" x14ac:dyDescent="0.35">
      <c r="A123" s="3"/>
      <c r="B123" s="4"/>
      <c r="D123" s="13"/>
      <c r="E123" s="1"/>
      <c r="F123" s="1"/>
      <c r="G123" s="1"/>
      <c r="H123" s="1"/>
      <c r="I123" s="1"/>
      <c r="J123" s="1"/>
      <c r="K123" s="1"/>
      <c r="L123" s="1"/>
      <c r="M123" s="1"/>
      <c r="N123" s="28"/>
      <c r="O123" s="27"/>
      <c r="P123" s="1"/>
      <c r="Q123" s="27"/>
    </row>
    <row r="124" spans="1:24" ht="16.399999999999999" customHeight="1" x14ac:dyDescent="0.35">
      <c r="A124" s="3"/>
      <c r="B124" s="4"/>
      <c r="D124" s="13"/>
      <c r="E124" s="1"/>
      <c r="F124" s="1"/>
      <c r="G124" s="1"/>
      <c r="H124" s="1"/>
      <c r="I124" s="1"/>
      <c r="J124" s="1"/>
      <c r="K124" s="1"/>
      <c r="L124" s="1"/>
      <c r="M124" s="1"/>
      <c r="N124" s="57" t="s">
        <v>74</v>
      </c>
      <c r="O124" s="27"/>
      <c r="P124" s="9"/>
      <c r="Q124" s="27"/>
      <c r="U124" s="11" t="b">
        <v>1</v>
      </c>
      <c r="V124" s="11" t="b">
        <v>0</v>
      </c>
      <c r="W124" s="11" t="b">
        <f>NOT(ISBLANK(P124))</f>
        <v>0</v>
      </c>
    </row>
    <row r="125" spans="1:24" ht="10.4" customHeight="1" x14ac:dyDescent="0.35">
      <c r="A125" s="3"/>
      <c r="B125" s="4"/>
      <c r="D125" s="13"/>
      <c r="E125" s="1"/>
      <c r="F125" s="1"/>
      <c r="G125" s="1"/>
      <c r="H125" s="1"/>
      <c r="I125" s="1"/>
      <c r="J125" s="1"/>
      <c r="K125" s="1"/>
      <c r="L125" s="1"/>
      <c r="M125" s="1"/>
      <c r="N125" s="28"/>
      <c r="O125" s="27"/>
      <c r="P125" s="1"/>
      <c r="Q125" s="27"/>
    </row>
    <row r="126" spans="1:24" ht="16.399999999999999" customHeight="1" x14ac:dyDescent="0.35">
      <c r="A126" s="3"/>
      <c r="B126" s="4"/>
      <c r="D126" s="13"/>
      <c r="E126" s="1"/>
      <c r="F126" s="1"/>
      <c r="G126" s="1"/>
      <c r="H126" s="1"/>
      <c r="I126" s="1"/>
      <c r="J126" s="1"/>
      <c r="K126" s="1"/>
      <c r="L126" s="1"/>
      <c r="M126" s="1"/>
      <c r="N126" s="57" t="s">
        <v>75</v>
      </c>
      <c r="O126" s="27"/>
      <c r="P126" s="9"/>
      <c r="Q126" s="27"/>
      <c r="U126" s="11" t="b">
        <v>1</v>
      </c>
      <c r="V126" s="11" t="b">
        <v>0</v>
      </c>
      <c r="W126" s="11" t="b">
        <f>NOT(ISBLANK(P126))</f>
        <v>0</v>
      </c>
    </row>
    <row r="127" spans="1:24" ht="10.4" customHeight="1" x14ac:dyDescent="0.35">
      <c r="A127" s="3"/>
      <c r="B127" s="4"/>
      <c r="D127" s="13"/>
      <c r="E127" s="1"/>
      <c r="F127" s="1"/>
      <c r="G127" s="1"/>
      <c r="H127" s="1"/>
      <c r="I127" s="1"/>
      <c r="J127" s="1"/>
      <c r="K127" s="1"/>
      <c r="L127" s="1"/>
      <c r="M127" s="1"/>
      <c r="N127" s="28"/>
      <c r="O127" s="27"/>
      <c r="P127" s="1"/>
      <c r="Q127" s="27"/>
    </row>
    <row r="128" spans="1:24" ht="16.399999999999999" customHeight="1" x14ac:dyDescent="0.35">
      <c r="A128" s="3"/>
      <c r="B128" s="4"/>
      <c r="D128" s="13"/>
      <c r="E128" s="1"/>
      <c r="F128" s="1"/>
      <c r="G128" s="1"/>
      <c r="H128" s="1"/>
      <c r="I128" s="1"/>
      <c r="J128" s="1"/>
      <c r="K128" s="1"/>
      <c r="L128" s="1"/>
      <c r="M128" s="1"/>
      <c r="N128" s="57" t="s">
        <v>76</v>
      </c>
      <c r="O128" s="27"/>
      <c r="P128" s="9"/>
      <c r="Q128" s="27"/>
      <c r="U128" s="11" t="b">
        <v>1</v>
      </c>
      <c r="V128" s="11" t="b">
        <v>0</v>
      </c>
      <c r="W128" s="11" t="b">
        <f>NOT(ISBLANK(P128))</f>
        <v>0</v>
      </c>
    </row>
    <row r="129" spans="1:24" ht="10.4" customHeight="1" x14ac:dyDescent="0.35">
      <c r="A129" s="3"/>
      <c r="B129" s="4"/>
      <c r="D129" s="13"/>
      <c r="E129" s="1"/>
      <c r="F129" s="1"/>
      <c r="G129" s="1"/>
      <c r="H129" s="1"/>
      <c r="I129" s="1"/>
      <c r="J129" s="1"/>
      <c r="K129" s="1"/>
      <c r="L129" s="1"/>
      <c r="M129" s="1"/>
      <c r="N129" s="28"/>
      <c r="O129" s="27"/>
      <c r="P129" s="1"/>
      <c r="Q129" s="27"/>
    </row>
    <row r="130" spans="1:24" ht="16.399999999999999" customHeight="1" x14ac:dyDescent="0.35">
      <c r="A130" s="3"/>
      <c r="B130" s="4"/>
      <c r="D130" s="13"/>
      <c r="E130" s="1"/>
      <c r="F130" s="1"/>
      <c r="G130" s="1"/>
      <c r="H130" s="1"/>
      <c r="I130" s="1"/>
      <c r="J130" s="1"/>
      <c r="K130" s="1"/>
      <c r="L130" s="1"/>
      <c r="M130" s="1"/>
      <c r="N130" s="57" t="s">
        <v>77</v>
      </c>
      <c r="O130" s="27"/>
      <c r="P130" s="9"/>
      <c r="Q130" s="27"/>
      <c r="U130" s="11" t="b">
        <v>1</v>
      </c>
      <c r="V130" s="11" t="b">
        <v>0</v>
      </c>
      <c r="W130" s="11" t="b">
        <f>NOT(ISBLANK(P130))</f>
        <v>0</v>
      </c>
    </row>
    <row r="131" spans="1:24" ht="10.4" customHeight="1" x14ac:dyDescent="0.35">
      <c r="A131" s="3"/>
      <c r="B131" s="4"/>
      <c r="D131" s="13"/>
      <c r="E131" s="1"/>
      <c r="F131" s="1"/>
      <c r="G131" s="1"/>
      <c r="H131" s="1"/>
      <c r="I131" s="1"/>
      <c r="J131" s="1"/>
      <c r="K131" s="1"/>
      <c r="L131" s="1"/>
      <c r="M131" s="1"/>
      <c r="N131" s="28"/>
      <c r="O131" s="27"/>
      <c r="P131" s="1"/>
      <c r="Q131" s="27"/>
    </row>
    <row r="132" spans="1:24" ht="16.399999999999999" customHeight="1" x14ac:dyDescent="0.35">
      <c r="A132" s="3"/>
      <c r="B132" s="4"/>
      <c r="D132" s="13"/>
      <c r="E132" s="1"/>
      <c r="F132" s="1"/>
      <c r="G132" s="1"/>
      <c r="H132" s="1"/>
      <c r="I132" s="1"/>
      <c r="J132" s="1"/>
      <c r="K132" s="1"/>
      <c r="L132" s="1"/>
      <c r="M132" s="1"/>
      <c r="N132" s="57" t="s">
        <v>78</v>
      </c>
      <c r="O132" s="27"/>
      <c r="P132" s="9"/>
      <c r="Q132" s="27"/>
      <c r="U132" s="11" t="b">
        <v>1</v>
      </c>
      <c r="V132" s="11" t="b">
        <v>0</v>
      </c>
      <c r="W132" s="11" t="b">
        <f>NOT(ISBLANK(P132))</f>
        <v>0</v>
      </c>
    </row>
    <row r="133" spans="1:24" ht="10.4" customHeight="1" x14ac:dyDescent="0.35">
      <c r="A133" s="3"/>
      <c r="B133" s="4"/>
      <c r="D133" s="13"/>
      <c r="E133" s="1"/>
      <c r="F133" s="1"/>
      <c r="G133" s="1"/>
      <c r="H133" s="1"/>
      <c r="I133" s="1"/>
      <c r="J133" s="1"/>
      <c r="K133" s="1"/>
      <c r="L133" s="1"/>
      <c r="M133" s="1"/>
      <c r="N133" s="28"/>
      <c r="O133" s="27"/>
      <c r="P133" s="1"/>
      <c r="Q133" s="27"/>
    </row>
    <row r="134" spans="1:24" ht="16.399999999999999" customHeight="1" x14ac:dyDescent="0.35">
      <c r="A134" s="3"/>
      <c r="B134" s="4"/>
      <c r="D134" s="13"/>
      <c r="E134" s="1"/>
      <c r="F134" s="1"/>
      <c r="G134" s="1"/>
      <c r="H134" s="1"/>
      <c r="I134" s="1"/>
      <c r="J134" s="1"/>
      <c r="K134" s="1"/>
      <c r="L134" s="1"/>
      <c r="M134" s="1"/>
      <c r="N134" s="57" t="s">
        <v>79</v>
      </c>
      <c r="O134" s="27"/>
      <c r="P134" s="9"/>
      <c r="Q134" s="27"/>
      <c r="U134" s="11" t="b">
        <v>1</v>
      </c>
      <c r="V134" s="11" t="b">
        <v>0</v>
      </c>
      <c r="W134" s="11" t="b">
        <f>NOT(ISBLANK(P134))</f>
        <v>0</v>
      </c>
    </row>
    <row r="135" spans="1:24" ht="10.4" customHeight="1" x14ac:dyDescent="0.35">
      <c r="A135" s="3"/>
      <c r="B135" s="4"/>
      <c r="D135" s="13"/>
      <c r="E135" s="1"/>
      <c r="F135" s="1"/>
      <c r="G135" s="1"/>
      <c r="H135" s="1"/>
      <c r="I135" s="1"/>
      <c r="J135" s="1"/>
      <c r="K135" s="1"/>
      <c r="L135" s="1"/>
      <c r="M135" s="1"/>
      <c r="N135" s="28"/>
      <c r="O135" s="27"/>
      <c r="P135" s="1"/>
      <c r="Q135" s="27"/>
    </row>
    <row r="136" spans="1:24" ht="16.399999999999999" customHeight="1" x14ac:dyDescent="0.35">
      <c r="A136" s="3">
        <f t="shared" ref="A136:A160" si="3">MOD(ROW(),2)</f>
        <v>0</v>
      </c>
      <c r="B136" s="4"/>
      <c r="D136" s="13"/>
    </row>
    <row r="137" spans="1:24" ht="16.399999999999999" customHeight="1" x14ac:dyDescent="0.35">
      <c r="A137" s="3"/>
      <c r="B137" s="4"/>
      <c r="D137" s="13"/>
      <c r="E137" s="93" t="s">
        <v>80</v>
      </c>
      <c r="F137" s="93"/>
      <c r="G137" s="93"/>
      <c r="H137" s="93"/>
      <c r="I137" s="93"/>
      <c r="J137" s="93"/>
      <c r="K137" s="93"/>
      <c r="L137" s="93"/>
      <c r="N137" s="14" t="s">
        <v>35</v>
      </c>
      <c r="P137" s="10"/>
      <c r="U137" s="11" t="b">
        <v>1</v>
      </c>
      <c r="V137" s="11" t="b">
        <v>1</v>
      </c>
      <c r="W137" s="11" t="b">
        <f>NOT(ISBLANK(P137))</f>
        <v>0</v>
      </c>
      <c r="X137" s="11">
        <v>5.4</v>
      </c>
    </row>
    <row r="138" spans="1:24" ht="16.399999999999999" customHeight="1" x14ac:dyDescent="0.35">
      <c r="A138" s="3"/>
      <c r="B138" s="4"/>
      <c r="D138" s="13"/>
      <c r="E138" s="93"/>
      <c r="F138" s="93"/>
      <c r="G138" s="93"/>
      <c r="H138" s="93"/>
      <c r="I138" s="93"/>
      <c r="J138" s="93"/>
      <c r="K138" s="93"/>
      <c r="L138" s="93"/>
      <c r="P138" s="25"/>
    </row>
    <row r="139" spans="1:24" ht="16.399999999999999" customHeight="1" x14ac:dyDescent="0.35">
      <c r="A139" s="3"/>
      <c r="B139" s="4"/>
      <c r="D139" s="13"/>
      <c r="P139" s="25"/>
    </row>
    <row r="140" spans="1:24" ht="16.399999999999999" customHeight="1" x14ac:dyDescent="0.35">
      <c r="A140" s="3"/>
      <c r="B140" s="4"/>
      <c r="D140" s="13"/>
      <c r="E140" s="1"/>
      <c r="F140" s="1"/>
      <c r="G140" s="1"/>
      <c r="H140" s="1"/>
      <c r="I140" s="1"/>
      <c r="J140" s="1"/>
      <c r="K140" s="1"/>
      <c r="L140" s="1"/>
      <c r="M140" s="1"/>
      <c r="N140" s="26" t="s">
        <v>56</v>
      </c>
      <c r="O140" s="27"/>
      <c r="P140" s="1"/>
      <c r="Q140" s="27"/>
    </row>
    <row r="141" spans="1:24" ht="16.399999999999999" customHeight="1" x14ac:dyDescent="0.35">
      <c r="A141" s="3"/>
      <c r="B141" s="4"/>
      <c r="D141" s="13"/>
      <c r="E141" s="1"/>
      <c r="F141" s="1"/>
      <c r="G141" s="1"/>
      <c r="H141" s="1"/>
      <c r="I141" s="1"/>
      <c r="J141" s="1"/>
      <c r="K141" s="1"/>
      <c r="L141" s="42"/>
      <c r="M141" s="42"/>
      <c r="N141" s="28"/>
      <c r="O141" s="27"/>
      <c r="P141" s="1"/>
      <c r="Q141" s="27"/>
    </row>
    <row r="142" spans="1:24" ht="16.399999999999999" customHeight="1" x14ac:dyDescent="0.35">
      <c r="A142" s="3"/>
      <c r="B142" s="4"/>
      <c r="D142" s="13"/>
      <c r="E142" s="1"/>
      <c r="F142" s="1"/>
      <c r="G142" s="1"/>
      <c r="H142" s="1"/>
      <c r="I142" s="1"/>
      <c r="J142" s="1"/>
      <c r="K142" s="1"/>
      <c r="L142" s="42"/>
      <c r="M142" s="43"/>
      <c r="N142" s="57" t="s">
        <v>81</v>
      </c>
      <c r="O142" s="27"/>
      <c r="P142" s="9"/>
      <c r="Q142" s="27"/>
      <c r="U142" s="11" t="b">
        <v>1</v>
      </c>
      <c r="V142" s="11" t="b">
        <v>0</v>
      </c>
      <c r="W142" s="11" t="b">
        <f>NOT(ISBLANK(P142))</f>
        <v>0</v>
      </c>
    </row>
    <row r="143" spans="1:24" ht="10.4" customHeight="1" x14ac:dyDescent="0.35">
      <c r="A143" s="3"/>
      <c r="B143" s="4"/>
      <c r="D143" s="13"/>
      <c r="E143" s="1"/>
      <c r="F143" s="1"/>
      <c r="G143" s="1"/>
      <c r="H143" s="1"/>
      <c r="I143" s="1"/>
      <c r="J143" s="1"/>
      <c r="K143" s="1"/>
      <c r="L143" s="42"/>
      <c r="M143" s="42"/>
      <c r="N143" s="28"/>
      <c r="O143" s="27"/>
      <c r="P143" s="1"/>
      <c r="Q143" s="27"/>
    </row>
    <row r="144" spans="1:24" ht="16.399999999999999" customHeight="1" x14ac:dyDescent="0.35">
      <c r="A144" s="3"/>
      <c r="B144" s="4"/>
      <c r="D144" s="13"/>
      <c r="E144" s="1"/>
      <c r="F144" s="1"/>
      <c r="G144" s="1"/>
      <c r="H144" s="1"/>
      <c r="I144" s="1"/>
      <c r="J144" s="1"/>
      <c r="K144" s="1"/>
      <c r="L144" s="42"/>
      <c r="M144" s="42"/>
      <c r="N144" s="57" t="s">
        <v>82</v>
      </c>
      <c r="O144" s="27"/>
      <c r="P144" s="9"/>
      <c r="Q144" s="27"/>
      <c r="U144" s="11" t="b">
        <v>1</v>
      </c>
      <c r="V144" s="11" t="b">
        <v>0</v>
      </c>
      <c r="W144" s="11" t="b">
        <f>NOT(ISBLANK(P144))</f>
        <v>0</v>
      </c>
    </row>
    <row r="145" spans="1:23" ht="10.4" customHeight="1" x14ac:dyDescent="0.35">
      <c r="A145" s="3"/>
      <c r="B145" s="4"/>
      <c r="D145" s="13"/>
      <c r="E145" s="1"/>
      <c r="F145" s="1"/>
      <c r="G145" s="1"/>
      <c r="H145" s="1"/>
      <c r="I145" s="1"/>
      <c r="J145" s="1"/>
      <c r="K145" s="1"/>
      <c r="L145" s="42"/>
      <c r="M145" s="42"/>
      <c r="N145" s="28"/>
      <c r="O145" s="27"/>
      <c r="P145" s="1"/>
      <c r="Q145" s="27"/>
    </row>
    <row r="146" spans="1:23" ht="16.399999999999999" customHeight="1" x14ac:dyDescent="0.35">
      <c r="A146" s="3"/>
      <c r="B146" s="4"/>
      <c r="D146" s="13"/>
      <c r="E146" s="1"/>
      <c r="F146" s="1"/>
      <c r="G146" s="1"/>
      <c r="H146" s="1"/>
      <c r="I146" s="1"/>
      <c r="J146" s="1"/>
      <c r="K146" s="1"/>
      <c r="L146" s="42"/>
      <c r="M146" s="42"/>
      <c r="N146" s="57" t="s">
        <v>83</v>
      </c>
      <c r="O146" s="27"/>
      <c r="P146" s="9"/>
      <c r="Q146" s="27"/>
      <c r="U146" s="11" t="b">
        <v>1</v>
      </c>
      <c r="V146" s="11" t="b">
        <v>0</v>
      </c>
      <c r="W146" s="11" t="b">
        <f>NOT(ISBLANK(P146))</f>
        <v>0</v>
      </c>
    </row>
    <row r="147" spans="1:23" ht="10.4" customHeight="1" x14ac:dyDescent="0.35">
      <c r="A147" s="3"/>
      <c r="B147" s="4"/>
      <c r="D147" s="13"/>
      <c r="E147" s="1"/>
      <c r="F147" s="1"/>
      <c r="G147" s="1"/>
      <c r="H147" s="1"/>
      <c r="I147" s="1"/>
      <c r="J147" s="1"/>
      <c r="K147" s="1"/>
      <c r="L147" s="42"/>
      <c r="M147" s="42"/>
      <c r="N147" s="28"/>
      <c r="O147" s="27"/>
      <c r="P147" s="1"/>
      <c r="Q147" s="27"/>
    </row>
    <row r="148" spans="1:23" ht="16.399999999999999" customHeight="1" x14ac:dyDescent="0.35">
      <c r="A148" s="3"/>
      <c r="B148" s="4"/>
      <c r="D148" s="13"/>
      <c r="E148" s="1"/>
      <c r="F148" s="1"/>
      <c r="G148" s="1"/>
      <c r="H148" s="1"/>
      <c r="I148" s="1"/>
      <c r="J148" s="1"/>
      <c r="K148" s="1"/>
      <c r="L148" s="42"/>
      <c r="M148" s="42"/>
      <c r="N148" s="57" t="s">
        <v>84</v>
      </c>
      <c r="O148" s="27"/>
      <c r="P148" s="9"/>
      <c r="Q148" s="27"/>
      <c r="U148" s="11" t="b">
        <v>1</v>
      </c>
      <c r="V148" s="11" t="b">
        <v>0</v>
      </c>
      <c r="W148" s="11" t="b">
        <f>NOT(ISBLANK(P148))</f>
        <v>0</v>
      </c>
    </row>
    <row r="149" spans="1:23" ht="10.4" customHeight="1" x14ac:dyDescent="0.35">
      <c r="A149" s="3"/>
      <c r="B149" s="4"/>
      <c r="D149" s="13"/>
      <c r="E149" s="1"/>
      <c r="F149" s="1"/>
      <c r="G149" s="1"/>
      <c r="H149" s="1"/>
      <c r="I149" s="1"/>
      <c r="J149" s="1"/>
      <c r="K149" s="1"/>
      <c r="L149" s="42"/>
      <c r="M149" s="42"/>
      <c r="N149" s="28"/>
      <c r="O149" s="27"/>
      <c r="P149" s="1"/>
      <c r="Q149" s="27"/>
    </row>
    <row r="150" spans="1:23" ht="16.399999999999999" customHeight="1" x14ac:dyDescent="0.35">
      <c r="A150" s="3"/>
      <c r="B150" s="4"/>
      <c r="D150" s="13"/>
      <c r="E150" s="1"/>
      <c r="F150" s="1"/>
      <c r="G150" s="1"/>
      <c r="H150" s="1"/>
      <c r="I150" s="1"/>
      <c r="J150" s="1"/>
      <c r="K150" s="1"/>
      <c r="L150" s="42"/>
      <c r="M150" s="42"/>
      <c r="N150" s="57" t="s">
        <v>85</v>
      </c>
      <c r="O150" s="27"/>
      <c r="P150" s="9"/>
      <c r="Q150" s="27"/>
      <c r="U150" s="11" t="b">
        <v>1</v>
      </c>
      <c r="V150" s="11" t="b">
        <v>0</v>
      </c>
      <c r="W150" s="11" t="b">
        <f>NOT(ISBLANK(P150))</f>
        <v>0</v>
      </c>
    </row>
    <row r="151" spans="1:23" ht="10.4" customHeight="1" x14ac:dyDescent="0.35">
      <c r="A151" s="3"/>
      <c r="B151" s="4"/>
      <c r="D151" s="13"/>
      <c r="E151" s="1"/>
      <c r="F151" s="1"/>
      <c r="G151" s="1"/>
      <c r="H151" s="1"/>
      <c r="I151" s="1"/>
      <c r="J151" s="1"/>
      <c r="K151" s="1"/>
      <c r="L151" s="42"/>
      <c r="M151" s="42"/>
      <c r="N151" s="28"/>
      <c r="O151" s="27"/>
      <c r="P151" s="1"/>
      <c r="Q151" s="27"/>
    </row>
    <row r="152" spans="1:23" ht="16.399999999999999" customHeight="1" x14ac:dyDescent="0.35">
      <c r="A152" s="3"/>
      <c r="B152" s="4"/>
      <c r="D152" s="13"/>
      <c r="E152" s="1"/>
      <c r="F152" s="1"/>
      <c r="G152" s="1"/>
      <c r="H152" s="1"/>
      <c r="I152" s="1"/>
      <c r="J152" s="1"/>
      <c r="K152" s="1"/>
      <c r="L152" s="42"/>
      <c r="M152" s="42"/>
      <c r="N152" s="57" t="s">
        <v>86</v>
      </c>
      <c r="O152" s="27"/>
      <c r="P152" s="9"/>
      <c r="Q152" s="27"/>
      <c r="U152" s="11" t="b">
        <v>1</v>
      </c>
      <c r="V152" s="11" t="b">
        <v>0</v>
      </c>
      <c r="W152" s="11" t="b">
        <f>NOT(ISBLANK(P152))</f>
        <v>0</v>
      </c>
    </row>
    <row r="153" spans="1:23" ht="10.4" customHeight="1" x14ac:dyDescent="0.35">
      <c r="A153" s="3"/>
      <c r="B153" s="4"/>
      <c r="D153" s="13"/>
      <c r="E153" s="1"/>
      <c r="F153" s="1"/>
      <c r="G153" s="1"/>
      <c r="H153" s="1"/>
      <c r="I153" s="1"/>
      <c r="J153" s="1"/>
      <c r="K153" s="1"/>
      <c r="L153" s="42"/>
      <c r="M153" s="42"/>
      <c r="N153" s="28"/>
      <c r="O153" s="27"/>
      <c r="P153" s="1"/>
      <c r="Q153" s="27"/>
    </row>
    <row r="154" spans="1:23" ht="16.399999999999999" customHeight="1" x14ac:dyDescent="0.35">
      <c r="A154" s="3"/>
      <c r="B154" s="4"/>
      <c r="D154" s="13"/>
      <c r="E154" s="1"/>
      <c r="F154" s="1"/>
      <c r="G154" s="1"/>
      <c r="H154" s="1"/>
      <c r="I154" s="1"/>
      <c r="J154" s="1"/>
      <c r="K154" s="1"/>
      <c r="L154" s="42"/>
      <c r="M154" s="42"/>
      <c r="N154" s="57" t="s">
        <v>87</v>
      </c>
      <c r="O154" s="27"/>
      <c r="P154" s="9"/>
      <c r="Q154" s="27"/>
      <c r="U154" s="11" t="b">
        <v>1</v>
      </c>
      <c r="V154" s="11" t="b">
        <v>0</v>
      </c>
      <c r="W154" s="11" t="b">
        <f>NOT(ISBLANK(P154))</f>
        <v>0</v>
      </c>
    </row>
    <row r="155" spans="1:23" ht="10.4" customHeight="1" x14ac:dyDescent="0.35">
      <c r="A155" s="3"/>
      <c r="B155" s="4"/>
      <c r="D155" s="13"/>
      <c r="E155" s="1"/>
      <c r="F155" s="1"/>
      <c r="G155" s="1"/>
      <c r="H155" s="1"/>
      <c r="I155" s="1"/>
      <c r="J155" s="1"/>
      <c r="K155" s="1"/>
      <c r="L155" s="1"/>
      <c r="M155" s="1"/>
      <c r="N155" s="28"/>
      <c r="O155" s="27"/>
      <c r="P155" s="1"/>
      <c r="Q155" s="27"/>
    </row>
    <row r="156" spans="1:23" ht="16.399999999999999" customHeight="1" x14ac:dyDescent="0.35">
      <c r="A156" s="3"/>
      <c r="B156" s="4"/>
      <c r="D156" s="13"/>
    </row>
    <row r="157" spans="1:23" ht="16.399999999999999" customHeight="1" x14ac:dyDescent="0.35">
      <c r="A157" s="3">
        <f t="shared" si="3"/>
        <v>1</v>
      </c>
      <c r="B157" s="4"/>
      <c r="C157" s="5" t="s">
        <v>88</v>
      </c>
      <c r="D157" s="13"/>
    </row>
    <row r="158" spans="1:23" ht="16.399999999999999" customHeight="1" x14ac:dyDescent="0.35">
      <c r="A158" s="3">
        <f t="shared" si="3"/>
        <v>0</v>
      </c>
      <c r="B158" s="4"/>
      <c r="D158" s="13"/>
    </row>
    <row r="159" spans="1:23" ht="16.399999999999999" customHeight="1" x14ac:dyDescent="0.35">
      <c r="A159" s="3">
        <f t="shared" si="3"/>
        <v>1</v>
      </c>
      <c r="B159" s="4"/>
      <c r="C159" s="6" t="s">
        <v>89</v>
      </c>
      <c r="D159" s="13"/>
    </row>
    <row r="160" spans="1:23" ht="16.399999999999999" customHeight="1" x14ac:dyDescent="0.35">
      <c r="A160" s="3">
        <f t="shared" si="3"/>
        <v>0</v>
      </c>
      <c r="B160" s="4"/>
      <c r="D160" s="13"/>
    </row>
    <row r="161" spans="1:24" ht="16.399999999999999" customHeight="1" x14ac:dyDescent="0.35">
      <c r="A161" s="3"/>
      <c r="B161" s="4"/>
      <c r="D161" s="20" t="s">
        <v>90</v>
      </c>
      <c r="E161" s="21"/>
      <c r="F161" s="21"/>
      <c r="G161" s="21"/>
      <c r="H161" s="21"/>
      <c r="I161" s="21"/>
      <c r="J161" s="21"/>
      <c r="K161" s="21"/>
      <c r="L161" s="21"/>
      <c r="M161" s="21"/>
      <c r="N161" s="22"/>
      <c r="O161" s="23"/>
      <c r="P161" s="21"/>
    </row>
    <row r="162" spans="1:24" ht="16.399999999999999" customHeight="1" x14ac:dyDescent="0.35">
      <c r="A162" s="3"/>
      <c r="B162" s="4"/>
      <c r="D162" s="13"/>
    </row>
    <row r="163" spans="1:24" ht="16.399999999999999" customHeight="1" x14ac:dyDescent="0.35">
      <c r="A163" s="3"/>
      <c r="B163" s="4"/>
      <c r="D163" s="13"/>
      <c r="E163" s="92" t="s">
        <v>91</v>
      </c>
      <c r="F163" s="92"/>
      <c r="G163" s="92"/>
      <c r="H163" s="92"/>
      <c r="I163" s="92"/>
      <c r="J163" s="92"/>
      <c r="K163" s="92"/>
      <c r="L163" s="92"/>
      <c r="N163" s="14" t="s">
        <v>35</v>
      </c>
      <c r="P163" s="9">
        <v>35</v>
      </c>
      <c r="U163" s="11" t="b">
        <v>1</v>
      </c>
      <c r="V163" s="11" t="b">
        <v>1</v>
      </c>
      <c r="W163" s="11" t="b">
        <f>NOT(ISBLANK(P163))</f>
        <v>1</v>
      </c>
      <c r="X163" s="11">
        <v>6.1</v>
      </c>
    </row>
    <row r="164" spans="1:24" ht="25.4" customHeight="1" x14ac:dyDescent="0.35">
      <c r="A164" s="3"/>
      <c r="B164" s="4"/>
      <c r="D164" s="13"/>
      <c r="E164" s="92"/>
      <c r="F164" s="92"/>
      <c r="G164" s="92"/>
      <c r="H164" s="92"/>
      <c r="I164" s="92"/>
      <c r="J164" s="92"/>
      <c r="K164" s="92"/>
      <c r="L164" s="92"/>
      <c r="P164" s="25"/>
    </row>
    <row r="165" spans="1:24" ht="16.399999999999999" customHeight="1" x14ac:dyDescent="0.35">
      <c r="A165" s="3"/>
      <c r="B165" s="4"/>
      <c r="D165" s="13"/>
      <c r="E165" s="92" t="s">
        <v>92</v>
      </c>
      <c r="F165" s="92"/>
      <c r="G165" s="92"/>
      <c r="H165" s="92"/>
      <c r="I165" s="92"/>
      <c r="J165" s="92"/>
      <c r="K165" s="92"/>
      <c r="L165" s="92"/>
      <c r="N165" s="14" t="s">
        <v>35</v>
      </c>
      <c r="P165" s="9">
        <v>30</v>
      </c>
      <c r="U165" s="11" t="b">
        <v>1</v>
      </c>
      <c r="V165" s="11" t="b">
        <v>1</v>
      </c>
      <c r="W165" s="11" t="b">
        <f>NOT(ISBLANK(P165))</f>
        <v>1</v>
      </c>
      <c r="X165" s="11">
        <v>6.2</v>
      </c>
    </row>
    <row r="166" spans="1:24" ht="25.4" customHeight="1" x14ac:dyDescent="0.35">
      <c r="A166" s="3"/>
      <c r="B166" s="4"/>
      <c r="D166" s="13"/>
      <c r="E166" s="92"/>
      <c r="F166" s="92"/>
      <c r="G166" s="92"/>
      <c r="H166" s="92"/>
      <c r="I166" s="92"/>
      <c r="J166" s="92"/>
      <c r="K166" s="92"/>
      <c r="L166" s="92"/>
      <c r="P166" s="25"/>
    </row>
    <row r="167" spans="1:24" ht="16.399999999999999" customHeight="1" x14ac:dyDescent="0.35">
      <c r="A167" s="3"/>
      <c r="B167" s="4"/>
      <c r="D167" s="91" t="s">
        <v>93</v>
      </c>
      <c r="E167" s="91"/>
      <c r="F167" s="91"/>
      <c r="G167" s="91"/>
      <c r="H167" s="91"/>
      <c r="I167" s="91"/>
      <c r="J167" s="91"/>
      <c r="K167" s="91"/>
      <c r="L167" s="21"/>
      <c r="M167" s="21"/>
      <c r="N167" s="22"/>
      <c r="O167" s="23"/>
      <c r="P167" s="21"/>
    </row>
    <row r="168" spans="1:24" ht="16.399999999999999" customHeight="1" x14ac:dyDescent="0.35">
      <c r="A168" s="3"/>
      <c r="B168" s="4"/>
      <c r="D168" s="13"/>
      <c r="E168" s="7"/>
      <c r="F168" s="7"/>
    </row>
    <row r="169" spans="1:24" ht="16.399999999999999" customHeight="1" x14ac:dyDescent="0.35">
      <c r="A169" s="3"/>
      <c r="B169" s="4"/>
      <c r="D169" s="13"/>
      <c r="E169" s="2" t="s">
        <v>94</v>
      </c>
      <c r="N169" s="14" t="s">
        <v>35</v>
      </c>
      <c r="P169" s="9"/>
      <c r="U169" s="11" t="b">
        <v>1</v>
      </c>
      <c r="V169" s="11" t="b">
        <v>1</v>
      </c>
      <c r="W169" s="11" t="b">
        <f>NOT(ISBLANK(P169))</f>
        <v>0</v>
      </c>
      <c r="X169" s="11">
        <v>7.1</v>
      </c>
    </row>
    <row r="170" spans="1:24" ht="16.399999999999999" customHeight="1" x14ac:dyDescent="0.35">
      <c r="A170" s="3"/>
      <c r="B170" s="4"/>
      <c r="D170" s="13"/>
      <c r="F170" s="7"/>
    </row>
    <row r="171" spans="1:24" ht="16.399999999999999" customHeight="1" x14ac:dyDescent="0.35">
      <c r="A171" s="3"/>
      <c r="B171" s="4"/>
      <c r="D171" s="13"/>
      <c r="E171" s="2" t="s">
        <v>95</v>
      </c>
      <c r="N171" s="14" t="s">
        <v>35</v>
      </c>
      <c r="P171" s="9"/>
      <c r="U171" s="11" t="b">
        <v>1</v>
      </c>
      <c r="V171" s="11" t="b">
        <v>1</v>
      </c>
      <c r="W171" s="11" t="b">
        <f>NOT(ISBLANK(P171))</f>
        <v>0</v>
      </c>
      <c r="X171" s="11">
        <v>7.2</v>
      </c>
    </row>
    <row r="172" spans="1:24" ht="16.399999999999999" customHeight="1" x14ac:dyDescent="0.35">
      <c r="A172" s="3"/>
      <c r="B172" s="4"/>
      <c r="D172" s="13"/>
      <c r="P172" s="25"/>
    </row>
    <row r="173" spans="1:24" ht="16.399999999999999" customHeight="1" x14ac:dyDescent="0.35">
      <c r="A173" s="3"/>
      <c r="B173" s="4"/>
      <c r="D173" s="13"/>
      <c r="E173" s="2" t="s">
        <v>96</v>
      </c>
      <c r="N173" s="14" t="s">
        <v>35</v>
      </c>
      <c r="P173" s="9"/>
      <c r="U173" s="11" t="b">
        <v>1</v>
      </c>
      <c r="V173" s="11" t="b">
        <v>1</v>
      </c>
      <c r="W173" s="11" t="b">
        <f>NOT(ISBLANK(P173))</f>
        <v>0</v>
      </c>
      <c r="X173" s="11">
        <v>7.3</v>
      </c>
    </row>
    <row r="174" spans="1:24" ht="16.399999999999999" customHeight="1" x14ac:dyDescent="0.35">
      <c r="A174" s="3"/>
      <c r="B174" s="4"/>
      <c r="D174" s="13"/>
      <c r="P174" s="25"/>
    </row>
    <row r="175" spans="1:24" ht="16.399999999999999" customHeight="1" x14ac:dyDescent="0.35">
      <c r="A175" s="3"/>
      <c r="B175" s="4"/>
      <c r="D175" s="20" t="s">
        <v>97</v>
      </c>
      <c r="E175" s="21"/>
      <c r="F175" s="21"/>
      <c r="G175" s="21"/>
      <c r="H175" s="21"/>
      <c r="I175" s="21"/>
      <c r="J175" s="21"/>
      <c r="K175" s="21"/>
      <c r="L175" s="21"/>
      <c r="M175" s="21"/>
      <c r="N175" s="22"/>
      <c r="O175" s="23"/>
      <c r="P175" s="21"/>
    </row>
    <row r="176" spans="1:24" ht="16.399999999999999" customHeight="1" x14ac:dyDescent="0.35">
      <c r="A176" s="3"/>
      <c r="B176" s="4"/>
      <c r="D176" s="13"/>
    </row>
    <row r="177" spans="1:24" ht="16.399999999999999" customHeight="1" x14ac:dyDescent="0.35">
      <c r="A177" s="3"/>
      <c r="B177" s="4"/>
      <c r="D177" s="13"/>
      <c r="E177" s="100" t="s">
        <v>98</v>
      </c>
      <c r="F177" s="100"/>
      <c r="G177" s="100"/>
      <c r="H177" s="100"/>
      <c r="I177" s="100"/>
      <c r="J177" s="100"/>
      <c r="K177" s="100"/>
      <c r="L177" s="100"/>
      <c r="N177" s="14" t="s">
        <v>35</v>
      </c>
      <c r="P177" s="9">
        <v>30</v>
      </c>
      <c r="U177" s="11" t="b">
        <v>1</v>
      </c>
      <c r="V177" s="11" t="b">
        <v>1</v>
      </c>
      <c r="W177" s="11" t="b">
        <f>NOT(ISBLANK(P177))</f>
        <v>1</v>
      </c>
      <c r="X177" s="11">
        <v>8.1</v>
      </c>
    </row>
    <row r="178" spans="1:24" ht="16.399999999999999" customHeight="1" x14ac:dyDescent="0.35">
      <c r="A178" s="3"/>
      <c r="B178" s="4"/>
      <c r="D178" s="13"/>
      <c r="E178" s="11"/>
    </row>
    <row r="179" spans="1:24" ht="16.399999999999999" customHeight="1" x14ac:dyDescent="0.35">
      <c r="A179" s="3"/>
      <c r="B179" s="4"/>
      <c r="D179" s="13"/>
      <c r="E179" s="100" t="s">
        <v>99</v>
      </c>
      <c r="F179" s="100"/>
      <c r="G179" s="100"/>
      <c r="H179" s="100"/>
      <c r="I179" s="100"/>
      <c r="J179" s="100"/>
      <c r="K179" s="100"/>
      <c r="L179" s="100"/>
      <c r="N179" s="14" t="s">
        <v>35</v>
      </c>
      <c r="P179" s="9">
        <v>10</v>
      </c>
      <c r="U179" s="11" t="b">
        <v>1</v>
      </c>
      <c r="V179" s="11" t="b">
        <v>1</v>
      </c>
      <c r="W179" s="11" t="b">
        <f>NOT(ISBLANK(P179))</f>
        <v>1</v>
      </c>
      <c r="X179" s="11">
        <v>8.1999999999999993</v>
      </c>
    </row>
    <row r="180" spans="1:24" ht="16.399999999999999" customHeight="1" x14ac:dyDescent="0.35">
      <c r="A180" s="3"/>
      <c r="B180" s="4"/>
      <c r="D180" s="13"/>
      <c r="E180" s="11"/>
      <c r="N180" s="30"/>
    </row>
    <row r="181" spans="1:24" ht="16.399999999999999" customHeight="1" x14ac:dyDescent="0.35">
      <c r="A181" s="3"/>
      <c r="B181" s="4"/>
      <c r="D181" s="13"/>
      <c r="E181" s="100" t="s">
        <v>100</v>
      </c>
      <c r="F181" s="100"/>
      <c r="G181" s="100"/>
      <c r="H181" s="100"/>
      <c r="I181" s="100"/>
      <c r="J181" s="100"/>
      <c r="K181" s="100"/>
      <c r="L181" s="100"/>
      <c r="N181" s="14" t="s">
        <v>35</v>
      </c>
      <c r="O181" s="46"/>
      <c r="P181" s="9">
        <v>30</v>
      </c>
      <c r="U181" s="11" t="b">
        <v>1</v>
      </c>
      <c r="V181" s="11" t="b">
        <v>1</v>
      </c>
      <c r="W181" s="11" t="b">
        <f>NOT(ISBLANK(P181))</f>
        <v>1</v>
      </c>
      <c r="X181" s="11">
        <v>8.3000000000000007</v>
      </c>
    </row>
    <row r="182" spans="1:24" ht="10.4" customHeight="1" x14ac:dyDescent="0.35">
      <c r="A182" s="3"/>
      <c r="B182" s="4"/>
      <c r="D182" s="13"/>
      <c r="E182" s="11"/>
      <c r="N182" s="30"/>
      <c r="O182" s="46"/>
    </row>
    <row r="183" spans="1:24" ht="16.399999999999999" customHeight="1" x14ac:dyDescent="0.35">
      <c r="A183" s="3"/>
      <c r="B183" s="4"/>
      <c r="D183" s="13"/>
      <c r="E183" s="99" t="s">
        <v>101</v>
      </c>
      <c r="F183" s="99"/>
      <c r="G183" s="99"/>
      <c r="H183" s="99"/>
      <c r="I183" s="99"/>
      <c r="J183" s="99"/>
      <c r="K183" s="99"/>
      <c r="L183" s="99"/>
      <c r="N183" s="14" t="s">
        <v>35</v>
      </c>
      <c r="O183" s="46"/>
      <c r="P183" s="9">
        <v>30</v>
      </c>
      <c r="U183" s="11" t="b">
        <v>1</v>
      </c>
      <c r="V183" s="11" t="b">
        <v>1</v>
      </c>
      <c r="W183" s="11" t="b">
        <f>NOT(ISBLANK(P183))</f>
        <v>1</v>
      </c>
      <c r="X183" s="11">
        <v>8.4</v>
      </c>
    </row>
    <row r="184" spans="1:24" ht="10.4" customHeight="1" x14ac:dyDescent="0.35">
      <c r="A184" s="3"/>
      <c r="B184" s="4"/>
      <c r="D184" s="13"/>
      <c r="E184" s="11"/>
      <c r="N184" s="30"/>
      <c r="O184" s="46"/>
    </row>
    <row r="185" spans="1:24" ht="16.399999999999999" customHeight="1" x14ac:dyDescent="0.35">
      <c r="A185" s="3"/>
      <c r="B185" s="4"/>
      <c r="D185" s="13"/>
      <c r="E185" s="100" t="s">
        <v>102</v>
      </c>
      <c r="F185" s="100"/>
      <c r="G185" s="100"/>
      <c r="H185" s="100"/>
      <c r="I185" s="100"/>
      <c r="J185" s="100"/>
      <c r="K185" s="100"/>
      <c r="L185" s="100"/>
      <c r="N185" s="14" t="s">
        <v>35</v>
      </c>
      <c r="O185" s="46"/>
      <c r="P185" s="9">
        <v>30</v>
      </c>
      <c r="U185" s="11" t="b">
        <v>1</v>
      </c>
      <c r="V185" s="11" t="b">
        <v>1</v>
      </c>
      <c r="W185" s="11" t="b">
        <f>NOT(ISBLANK(P185))</f>
        <v>1</v>
      </c>
      <c r="X185" s="11">
        <v>8.5</v>
      </c>
    </row>
    <row r="186" spans="1:24" ht="10.4" customHeight="1" x14ac:dyDescent="0.35">
      <c r="A186" s="3"/>
      <c r="B186" s="4"/>
      <c r="D186" s="13"/>
      <c r="N186" s="30"/>
      <c r="O186" s="46"/>
    </row>
    <row r="187" spans="1:24" ht="16.399999999999999" customHeight="1" x14ac:dyDescent="0.35">
      <c r="A187" s="3"/>
      <c r="B187" s="4"/>
      <c r="D187" s="13"/>
      <c r="E187" s="100" t="s">
        <v>103</v>
      </c>
      <c r="F187" s="100"/>
      <c r="G187" s="100"/>
      <c r="H187" s="100"/>
      <c r="I187" s="100"/>
      <c r="J187" s="100"/>
      <c r="K187" s="100"/>
      <c r="L187" s="100"/>
      <c r="N187" s="14" t="s">
        <v>35</v>
      </c>
      <c r="O187" s="46"/>
      <c r="P187" s="9"/>
      <c r="U187" s="11" t="b">
        <v>1</v>
      </c>
      <c r="V187" s="11" t="b">
        <v>1</v>
      </c>
      <c r="W187" s="11" t="b">
        <f>NOT(ISBLANK(P187))</f>
        <v>0</v>
      </c>
      <c r="X187" s="11">
        <v>8.6</v>
      </c>
    </row>
    <row r="188" spans="1:24" ht="10.4" customHeight="1" x14ac:dyDescent="0.35">
      <c r="A188" s="3"/>
      <c r="B188" s="4"/>
      <c r="D188" s="13"/>
      <c r="N188" s="30"/>
      <c r="O188" s="46"/>
    </row>
    <row r="189" spans="1:24" ht="16.399999999999999" customHeight="1" x14ac:dyDescent="0.35">
      <c r="A189" s="3"/>
      <c r="B189" s="4"/>
      <c r="D189" s="13"/>
      <c r="E189" s="100" t="s">
        <v>104</v>
      </c>
      <c r="F189" s="100"/>
      <c r="G189" s="100"/>
      <c r="H189" s="100"/>
      <c r="I189" s="100"/>
      <c r="J189" s="100"/>
      <c r="K189" s="100"/>
      <c r="L189" s="100"/>
      <c r="N189" s="14" t="s">
        <v>35</v>
      </c>
      <c r="O189" s="46"/>
      <c r="P189" s="9">
        <v>30</v>
      </c>
      <c r="U189" s="11" t="b">
        <v>1</v>
      </c>
      <c r="V189" s="11" t="b">
        <v>1</v>
      </c>
      <c r="W189" s="11" t="b">
        <f>NOT(ISBLANK(P189))</f>
        <v>1</v>
      </c>
      <c r="X189" s="11">
        <v>8.6999999999999993</v>
      </c>
    </row>
    <row r="190" spans="1:24" ht="10.4" customHeight="1" x14ac:dyDescent="0.35">
      <c r="A190" s="3"/>
      <c r="B190" s="4"/>
      <c r="D190" s="13"/>
      <c r="N190" s="30"/>
      <c r="O190" s="46"/>
    </row>
    <row r="191" spans="1:24" ht="16.399999999999999" customHeight="1" x14ac:dyDescent="0.35">
      <c r="A191" s="3"/>
      <c r="B191" s="4"/>
      <c r="D191" s="13"/>
      <c r="E191" s="100" t="s">
        <v>105</v>
      </c>
      <c r="F191" s="100"/>
      <c r="G191" s="100"/>
      <c r="H191" s="100"/>
      <c r="I191" s="100"/>
      <c r="J191" s="100"/>
      <c r="K191" s="100"/>
      <c r="L191" s="100"/>
      <c r="N191" s="14" t="s">
        <v>35</v>
      </c>
      <c r="O191" s="46"/>
      <c r="P191" s="9">
        <v>15</v>
      </c>
      <c r="U191" s="11" t="b">
        <v>1</v>
      </c>
      <c r="V191" s="11" t="b">
        <v>1</v>
      </c>
      <c r="W191" s="11" t="b">
        <f>NOT(ISBLANK(P191))</f>
        <v>1</v>
      </c>
      <c r="X191" s="11">
        <v>8.8000000000000007</v>
      </c>
    </row>
    <row r="192" spans="1:24" ht="10.4" customHeight="1" x14ac:dyDescent="0.35">
      <c r="A192" s="3"/>
      <c r="B192" s="4"/>
      <c r="D192" s="13"/>
      <c r="E192" s="47"/>
      <c r="N192" s="30"/>
      <c r="O192" s="46"/>
    </row>
    <row r="193" spans="1:24" ht="16.399999999999999" customHeight="1" x14ac:dyDescent="0.35">
      <c r="A193" s="3"/>
      <c r="B193" s="4"/>
      <c r="D193" s="13"/>
      <c r="E193" s="100" t="s">
        <v>106</v>
      </c>
      <c r="F193" s="100"/>
      <c r="G193" s="100"/>
      <c r="H193" s="100"/>
      <c r="I193" s="100"/>
      <c r="J193" s="100"/>
      <c r="K193" s="100"/>
      <c r="L193" s="100"/>
      <c r="M193" s="58"/>
      <c r="N193" s="14" t="s">
        <v>35</v>
      </c>
      <c r="P193" s="9">
        <v>15</v>
      </c>
      <c r="U193" s="11" t="b">
        <v>1</v>
      </c>
      <c r="V193" s="11" t="b">
        <v>1</v>
      </c>
      <c r="W193" s="11" t="b">
        <f>NOT(ISBLANK(P193))</f>
        <v>1</v>
      </c>
      <c r="X193" s="11">
        <v>8.9</v>
      </c>
    </row>
    <row r="194" spans="1:24" ht="16.399999999999999" customHeight="1" x14ac:dyDescent="0.35">
      <c r="A194" s="3"/>
      <c r="B194" s="4"/>
      <c r="D194" s="13"/>
      <c r="N194" s="30"/>
    </row>
    <row r="195" spans="1:24" ht="16.399999999999999" customHeight="1" x14ac:dyDescent="0.35">
      <c r="A195" s="3"/>
      <c r="B195" s="4"/>
      <c r="C195" s="5" t="s">
        <v>107</v>
      </c>
    </row>
    <row r="196" spans="1:24" ht="16.399999999999999" customHeight="1" x14ac:dyDescent="0.35">
      <c r="A196" s="3"/>
      <c r="B196" s="4"/>
    </row>
    <row r="197" spans="1:24" ht="16.399999999999999" customHeight="1" x14ac:dyDescent="0.35">
      <c r="A197" s="3"/>
      <c r="B197" s="4"/>
      <c r="C197" s="6" t="s">
        <v>108</v>
      </c>
    </row>
    <row r="198" spans="1:24" ht="16.399999999999999" customHeight="1" x14ac:dyDescent="0.35">
      <c r="A198" s="3"/>
      <c r="B198" s="4"/>
      <c r="D198" s="13"/>
    </row>
    <row r="199" spans="1:24" ht="16.399999999999999" customHeight="1" x14ac:dyDescent="0.35">
      <c r="A199" s="3"/>
      <c r="B199" s="4"/>
      <c r="D199" s="91" t="s">
        <v>109</v>
      </c>
      <c r="E199" s="91"/>
      <c r="F199" s="91"/>
      <c r="G199" s="91"/>
      <c r="H199" s="91"/>
      <c r="I199" s="91"/>
      <c r="J199" s="91"/>
      <c r="K199" s="91"/>
      <c r="L199" s="21"/>
      <c r="M199" s="21"/>
      <c r="N199" s="22"/>
      <c r="O199" s="23"/>
      <c r="P199" s="21"/>
    </row>
    <row r="200" spans="1:24" ht="16.399999999999999" customHeight="1" x14ac:dyDescent="0.35">
      <c r="A200" s="3"/>
      <c r="B200" s="4"/>
      <c r="D200" s="13"/>
    </row>
    <row r="201" spans="1:24" ht="16.399999999999999" customHeight="1" x14ac:dyDescent="0.35">
      <c r="A201" s="3"/>
      <c r="B201" s="4"/>
      <c r="D201" s="13"/>
      <c r="E201" s="93" t="s">
        <v>110</v>
      </c>
      <c r="F201" s="93"/>
      <c r="G201" s="93"/>
      <c r="H201" s="93"/>
      <c r="I201" s="93"/>
      <c r="J201" s="93"/>
      <c r="K201" s="93"/>
      <c r="L201" s="93"/>
      <c r="N201" s="14" t="s">
        <v>35</v>
      </c>
      <c r="P201" s="9"/>
      <c r="U201" s="11" t="b">
        <v>1</v>
      </c>
      <c r="V201" s="11" t="b">
        <v>1</v>
      </c>
      <c r="W201" s="11" t="b">
        <f>NOT(ISBLANK(P201))</f>
        <v>0</v>
      </c>
      <c r="X201" s="11">
        <v>9.1</v>
      </c>
    </row>
    <row r="202" spans="1:24" ht="25.4" customHeight="1" x14ac:dyDescent="0.35">
      <c r="A202" s="3"/>
      <c r="B202" s="4"/>
      <c r="D202" s="13"/>
      <c r="E202" s="93"/>
      <c r="F202" s="93"/>
      <c r="G202" s="93"/>
      <c r="H202" s="93"/>
      <c r="I202" s="93"/>
      <c r="J202" s="93"/>
      <c r="K202" s="93"/>
      <c r="L202" s="93"/>
      <c r="P202" s="25"/>
    </row>
    <row r="203" spans="1:24" ht="16.399999999999999" customHeight="1" x14ac:dyDescent="0.35">
      <c r="A203" s="3"/>
      <c r="B203" s="4"/>
      <c r="D203" s="91" t="s">
        <v>111</v>
      </c>
      <c r="E203" s="91"/>
      <c r="F203" s="91"/>
      <c r="G203" s="91"/>
      <c r="H203" s="91"/>
      <c r="I203" s="91"/>
      <c r="J203" s="91"/>
      <c r="K203" s="21"/>
      <c r="L203" s="21"/>
      <c r="M203" s="21"/>
      <c r="N203" s="22"/>
      <c r="O203" s="23"/>
      <c r="P203" s="21"/>
    </row>
    <row r="204" spans="1:24" ht="16.399999999999999" customHeight="1" x14ac:dyDescent="0.35">
      <c r="A204" s="3"/>
      <c r="B204" s="4"/>
      <c r="D204" s="13"/>
    </row>
    <row r="205" spans="1:24" ht="16.399999999999999" customHeight="1" x14ac:dyDescent="0.35">
      <c r="A205" s="3"/>
      <c r="B205" s="4"/>
      <c r="D205" s="13"/>
      <c r="E205" s="93" t="s">
        <v>112</v>
      </c>
      <c r="F205" s="93"/>
      <c r="G205" s="93"/>
      <c r="H205" s="93"/>
      <c r="I205" s="93"/>
      <c r="J205" s="93"/>
      <c r="K205" s="93"/>
      <c r="L205" s="93"/>
      <c r="N205" s="14" t="s">
        <v>35</v>
      </c>
      <c r="P205" s="9"/>
      <c r="U205" s="11" t="b">
        <v>1</v>
      </c>
      <c r="V205" s="11" t="b">
        <v>1</v>
      </c>
      <c r="W205" s="11" t="b">
        <f>NOT(ISBLANK(P205))</f>
        <v>0</v>
      </c>
      <c r="X205" s="11">
        <v>10.1</v>
      </c>
    </row>
    <row r="206" spans="1:24" ht="25.4" customHeight="1" x14ac:dyDescent="0.35">
      <c r="A206" s="3"/>
      <c r="B206" s="4"/>
      <c r="D206" s="13"/>
      <c r="E206" s="93"/>
      <c r="F206" s="93"/>
      <c r="G206" s="93"/>
      <c r="H206" s="93"/>
      <c r="I206" s="93"/>
      <c r="J206" s="93"/>
      <c r="K206" s="93"/>
      <c r="L206" s="93"/>
    </row>
    <row r="207" spans="1:24" ht="16.399999999999999" customHeight="1" x14ac:dyDescent="0.35">
      <c r="A207" s="3"/>
      <c r="B207" s="4"/>
      <c r="D207" s="91" t="s">
        <v>113</v>
      </c>
      <c r="E207" s="91"/>
      <c r="F207" s="91"/>
      <c r="G207" s="91"/>
      <c r="H207" s="91"/>
      <c r="I207" s="91"/>
      <c r="J207" s="91"/>
      <c r="K207" s="91"/>
      <c r="L207" s="21"/>
      <c r="M207" s="21"/>
      <c r="N207" s="22"/>
      <c r="O207" s="23"/>
      <c r="P207" s="21"/>
    </row>
    <row r="208" spans="1:24" ht="16.399999999999999" customHeight="1" x14ac:dyDescent="0.35">
      <c r="A208" s="3"/>
      <c r="B208" s="4"/>
      <c r="D208" s="13"/>
    </row>
    <row r="209" spans="1:24" ht="16.399999999999999" customHeight="1" x14ac:dyDescent="0.35">
      <c r="A209" s="3"/>
      <c r="B209" s="4"/>
      <c r="D209" s="13"/>
      <c r="E209" s="93" t="s">
        <v>114</v>
      </c>
      <c r="F209" s="93"/>
      <c r="G209" s="93"/>
      <c r="H209" s="93"/>
      <c r="I209" s="93"/>
      <c r="J209" s="93"/>
      <c r="K209" s="93"/>
      <c r="L209" s="93"/>
      <c r="N209" s="14" t="s">
        <v>35</v>
      </c>
      <c r="P209" s="9"/>
      <c r="U209" s="11" t="b">
        <v>1</v>
      </c>
      <c r="V209" s="11" t="b">
        <v>1</v>
      </c>
      <c r="W209" s="11" t="b">
        <f>NOT(ISBLANK(P209))</f>
        <v>0</v>
      </c>
      <c r="X209" s="11">
        <v>11.1</v>
      </c>
    </row>
    <row r="210" spans="1:24" ht="25.4" customHeight="1" x14ac:dyDescent="0.35">
      <c r="A210" s="3"/>
      <c r="B210" s="4"/>
      <c r="D210" s="13"/>
      <c r="E210" s="93"/>
      <c r="F210" s="93"/>
      <c r="G210" s="93"/>
      <c r="H210" s="93"/>
      <c r="I210" s="93"/>
      <c r="J210" s="93"/>
      <c r="K210" s="93"/>
      <c r="L210" s="93"/>
    </row>
    <row r="211" spans="1:24" ht="16.399999999999999" customHeight="1" x14ac:dyDescent="0.35">
      <c r="A211" s="3"/>
      <c r="B211" s="4"/>
      <c r="D211" s="91" t="s">
        <v>115</v>
      </c>
      <c r="E211" s="91"/>
      <c r="F211" s="91"/>
      <c r="G211" s="91"/>
      <c r="H211" s="91"/>
      <c r="I211" s="91"/>
      <c r="J211" s="91"/>
      <c r="K211" s="91"/>
      <c r="L211" s="21"/>
      <c r="M211" s="21"/>
      <c r="N211" s="22"/>
      <c r="O211" s="23"/>
      <c r="P211" s="21"/>
    </row>
    <row r="212" spans="1:24" ht="16.399999999999999" customHeight="1" x14ac:dyDescent="0.35">
      <c r="A212" s="3"/>
      <c r="B212" s="4"/>
    </row>
    <row r="213" spans="1:24" ht="16.399999999999999" customHeight="1" x14ac:dyDescent="0.35">
      <c r="A213" s="3"/>
      <c r="B213" s="4"/>
      <c r="E213" s="93" t="s">
        <v>116</v>
      </c>
      <c r="F213" s="93"/>
      <c r="G213" s="93"/>
      <c r="H213" s="93"/>
      <c r="I213" s="93"/>
      <c r="J213" s="93"/>
      <c r="K213" s="93"/>
      <c r="L213" s="93"/>
      <c r="N213" s="14" t="s">
        <v>35</v>
      </c>
      <c r="P213" s="9"/>
      <c r="U213" s="11" t="b">
        <v>1</v>
      </c>
      <c r="V213" s="11" t="b">
        <v>1</v>
      </c>
      <c r="W213" s="11" t="b">
        <f>NOT(ISBLANK(P213))</f>
        <v>0</v>
      </c>
      <c r="X213" s="11">
        <v>12.1</v>
      </c>
    </row>
    <row r="214" spans="1:24" ht="16.399999999999999" customHeight="1" x14ac:dyDescent="0.35">
      <c r="A214" s="3"/>
      <c r="B214" s="4"/>
      <c r="E214" s="93"/>
      <c r="F214" s="93"/>
      <c r="G214" s="93"/>
      <c r="H214" s="93"/>
      <c r="I214" s="93"/>
      <c r="J214" s="93"/>
      <c r="K214" s="93"/>
      <c r="L214" s="93"/>
    </row>
    <row r="215" spans="1:24" ht="16.399999999999999" customHeight="1" x14ac:dyDescent="0.35">
      <c r="A215" s="3"/>
      <c r="B215" s="4"/>
      <c r="E215" s="56"/>
      <c r="F215" s="56"/>
      <c r="G215" s="56"/>
      <c r="H215" s="56"/>
      <c r="I215" s="56"/>
      <c r="J215" s="56"/>
      <c r="K215" s="56"/>
      <c r="L215" s="56"/>
    </row>
    <row r="216" spans="1:24" ht="16.399999999999999" customHeight="1" x14ac:dyDescent="0.35">
      <c r="A216" s="3">
        <f t="shared" ref="A216:A236" si="4">MOD(ROW(),2)</f>
        <v>0</v>
      </c>
      <c r="B216" s="4"/>
      <c r="C216" s="5" t="s">
        <v>117</v>
      </c>
      <c r="D216" s="13"/>
    </row>
    <row r="217" spans="1:24" ht="16.399999999999999" customHeight="1" x14ac:dyDescent="0.35">
      <c r="A217" s="3">
        <f t="shared" si="4"/>
        <v>1</v>
      </c>
      <c r="B217" s="4"/>
    </row>
    <row r="218" spans="1:24" ht="16.399999999999999" customHeight="1" x14ac:dyDescent="0.35">
      <c r="A218" s="3">
        <f t="shared" si="4"/>
        <v>0</v>
      </c>
      <c r="B218" s="4"/>
      <c r="C218" s="6" t="s">
        <v>118</v>
      </c>
      <c r="D218" s="13"/>
    </row>
    <row r="219" spans="1:24" ht="16.399999999999999" customHeight="1" x14ac:dyDescent="0.35">
      <c r="A219" s="3">
        <f t="shared" si="4"/>
        <v>1</v>
      </c>
      <c r="B219" s="4"/>
      <c r="D219" s="13"/>
    </row>
    <row r="220" spans="1:24" ht="16.399999999999999" customHeight="1" x14ac:dyDescent="0.35">
      <c r="A220" s="3">
        <f t="shared" si="4"/>
        <v>0</v>
      </c>
      <c r="B220" s="4"/>
      <c r="D220" s="91" t="s">
        <v>119</v>
      </c>
      <c r="E220" s="91"/>
      <c r="F220" s="91"/>
      <c r="G220" s="91"/>
      <c r="H220" s="91"/>
      <c r="I220" s="91"/>
      <c r="J220" s="91"/>
      <c r="K220" s="91"/>
      <c r="L220" s="91"/>
      <c r="M220" s="21"/>
      <c r="N220" s="22"/>
      <c r="O220" s="23"/>
      <c r="P220" s="21"/>
    </row>
    <row r="221" spans="1:24" ht="16.399999999999999" customHeight="1" x14ac:dyDescent="0.35">
      <c r="A221" s="3">
        <f t="shared" si="4"/>
        <v>1</v>
      </c>
      <c r="B221" s="4"/>
      <c r="D221" s="13"/>
    </row>
    <row r="222" spans="1:24" ht="16.399999999999999" customHeight="1" x14ac:dyDescent="0.35">
      <c r="A222" s="3"/>
      <c r="B222" s="4"/>
      <c r="D222" s="13"/>
      <c r="E222" s="2" t="s">
        <v>120</v>
      </c>
      <c r="N222" s="14" t="s">
        <v>35</v>
      </c>
      <c r="P222" s="9">
        <v>1</v>
      </c>
      <c r="U222" s="11" t="b">
        <v>1</v>
      </c>
      <c r="V222" s="11" t="b">
        <v>1</v>
      </c>
      <c r="W222" s="11" t="b">
        <f>NOT(ISBLANK(P222))</f>
        <v>1</v>
      </c>
      <c r="X222" s="11">
        <v>13.1</v>
      </c>
    </row>
    <row r="223" spans="1:24" ht="16.399999999999999" customHeight="1" x14ac:dyDescent="0.35">
      <c r="A223" s="3"/>
      <c r="B223" s="4"/>
      <c r="D223" s="13"/>
    </row>
    <row r="224" spans="1:24" ht="16.399999999999999" customHeight="1" x14ac:dyDescent="0.35">
      <c r="A224" s="3"/>
      <c r="B224" s="4"/>
      <c r="D224" s="13"/>
      <c r="E224" s="2" t="s">
        <v>121</v>
      </c>
      <c r="N224" s="14" t="s">
        <v>35</v>
      </c>
      <c r="P224" s="9">
        <v>1</v>
      </c>
      <c r="U224" s="11" t="b">
        <v>1</v>
      </c>
      <c r="V224" s="11" t="b">
        <v>1</v>
      </c>
      <c r="W224" s="11" t="b">
        <f>NOT(ISBLANK(P224))</f>
        <v>1</v>
      </c>
      <c r="X224" s="11">
        <v>13.2</v>
      </c>
    </row>
    <row r="225" spans="1:24" ht="16.399999999999999" customHeight="1" x14ac:dyDescent="0.35">
      <c r="A225" s="3"/>
      <c r="B225" s="4"/>
      <c r="D225" s="13"/>
    </row>
    <row r="226" spans="1:24" ht="16.399999999999999" customHeight="1" x14ac:dyDescent="0.35">
      <c r="A226" s="3">
        <f t="shared" si="4"/>
        <v>0</v>
      </c>
      <c r="B226" s="4"/>
      <c r="D226" s="91" t="s">
        <v>122</v>
      </c>
      <c r="E226" s="91"/>
      <c r="F226" s="91"/>
      <c r="G226" s="91"/>
      <c r="H226" s="91"/>
      <c r="I226" s="91"/>
      <c r="J226" s="91"/>
      <c r="K226" s="91"/>
      <c r="L226" s="91"/>
      <c r="M226" s="21"/>
      <c r="N226" s="22"/>
      <c r="O226" s="23"/>
      <c r="P226" s="21"/>
    </row>
    <row r="227" spans="1:24" ht="16.399999999999999" customHeight="1" x14ac:dyDescent="0.35">
      <c r="A227" s="3">
        <f t="shared" si="4"/>
        <v>1</v>
      </c>
      <c r="B227" s="4"/>
      <c r="D227" s="13"/>
    </row>
    <row r="228" spans="1:24" ht="16.399999999999999" customHeight="1" x14ac:dyDescent="0.35">
      <c r="A228" s="3">
        <f t="shared" si="4"/>
        <v>0</v>
      </c>
      <c r="B228" s="4"/>
      <c r="D228" s="13"/>
      <c r="E228" s="2" t="s">
        <v>123</v>
      </c>
      <c r="N228" s="14" t="s">
        <v>124</v>
      </c>
      <c r="P228" s="8" t="s">
        <v>125</v>
      </c>
      <c r="U228" s="11" t="b">
        <v>1</v>
      </c>
      <c r="V228" s="11" t="b">
        <v>1</v>
      </c>
      <c r="W228" s="11" t="b">
        <f>NOT(ISBLANK(P228))</f>
        <v>1</v>
      </c>
      <c r="X228" s="11">
        <v>14.1</v>
      </c>
    </row>
    <row r="229" spans="1:24" ht="16.399999999999999" customHeight="1" x14ac:dyDescent="0.35">
      <c r="A229" s="3"/>
      <c r="B229" s="4"/>
      <c r="D229" s="13"/>
      <c r="P229" s="14"/>
    </row>
    <row r="230" spans="1:24" ht="16.399999999999999" customHeight="1" x14ac:dyDescent="0.35">
      <c r="A230" s="3"/>
      <c r="B230" s="4"/>
      <c r="D230" s="13"/>
      <c r="E230" s="2" t="s">
        <v>126</v>
      </c>
      <c r="N230" s="14" t="s">
        <v>124</v>
      </c>
      <c r="P230" s="8" t="s">
        <v>125</v>
      </c>
      <c r="U230" s="11" t="b">
        <v>1</v>
      </c>
      <c r="V230" s="11" t="b">
        <v>1</v>
      </c>
      <c r="W230" s="11" t="b">
        <f>NOT(ISBLANK(P230))</f>
        <v>1</v>
      </c>
      <c r="X230" s="11">
        <v>14.2</v>
      </c>
    </row>
    <row r="231" spans="1:24" ht="16.399999999999999" customHeight="1" x14ac:dyDescent="0.35">
      <c r="A231" s="3">
        <f t="shared" si="4"/>
        <v>1</v>
      </c>
      <c r="B231" s="4"/>
      <c r="D231" s="13"/>
    </row>
    <row r="232" spans="1:24" ht="16.399999999999999" customHeight="1" x14ac:dyDescent="0.35">
      <c r="A232" s="3">
        <f t="shared" si="4"/>
        <v>0</v>
      </c>
      <c r="B232" s="4"/>
      <c r="D232" s="91" t="s">
        <v>127</v>
      </c>
      <c r="E232" s="91"/>
      <c r="F232" s="91"/>
      <c r="G232" s="91"/>
      <c r="H232" s="91"/>
      <c r="I232" s="91"/>
      <c r="J232" s="91"/>
      <c r="K232" s="91"/>
      <c r="L232" s="91"/>
      <c r="M232" s="21"/>
      <c r="N232" s="22"/>
      <c r="O232" s="23"/>
      <c r="P232" s="21"/>
    </row>
    <row r="233" spans="1:24" ht="16.399999999999999" customHeight="1" x14ac:dyDescent="0.35">
      <c r="A233" s="3">
        <f t="shared" si="4"/>
        <v>1</v>
      </c>
      <c r="B233" s="4"/>
      <c r="D233" s="13"/>
    </row>
    <row r="234" spans="1:24" ht="16.399999999999999" customHeight="1" x14ac:dyDescent="0.35">
      <c r="A234" s="3">
        <f t="shared" si="4"/>
        <v>0</v>
      </c>
      <c r="B234" s="4"/>
      <c r="D234" s="13"/>
      <c r="E234" s="2" t="s">
        <v>128</v>
      </c>
      <c r="N234" s="14" t="s">
        <v>35</v>
      </c>
      <c r="P234" s="9"/>
      <c r="U234" s="11" t="b">
        <v>1</v>
      </c>
      <c r="V234" s="11" t="b">
        <v>1</v>
      </c>
      <c r="W234" s="11" t="b">
        <f>NOT(ISBLANK(P234))</f>
        <v>0</v>
      </c>
      <c r="X234" s="11">
        <v>15.1</v>
      </c>
    </row>
    <row r="235" spans="1:24" ht="16.399999999999999" customHeight="1" x14ac:dyDescent="0.35">
      <c r="A235" s="3">
        <f t="shared" si="4"/>
        <v>1</v>
      </c>
      <c r="B235" s="4"/>
    </row>
    <row r="236" spans="1:24" ht="16" customHeight="1" x14ac:dyDescent="0.35">
      <c r="A236" s="3">
        <f t="shared" si="4"/>
        <v>0</v>
      </c>
      <c r="B236" s="4"/>
      <c r="E236" s="2" t="s">
        <v>129</v>
      </c>
      <c r="N236" s="14" t="s">
        <v>35</v>
      </c>
      <c r="P236" s="9"/>
      <c r="U236" s="11" t="b">
        <v>1</v>
      </c>
      <c r="V236" s="11" t="b">
        <v>1</v>
      </c>
      <c r="W236" s="11" t="b">
        <f>NOT(ISBLANK(P236))</f>
        <v>0</v>
      </c>
      <c r="X236" s="11">
        <v>15.2</v>
      </c>
    </row>
    <row r="237" spans="1:24" ht="16.399999999999999" customHeight="1" x14ac:dyDescent="0.35">
      <c r="A237" s="3"/>
      <c r="B237" s="4"/>
    </row>
    <row r="238" spans="1:24" x14ac:dyDescent="0.35"/>
  </sheetData>
  <sheetProtection algorithmName="SHA-512" hashValue="UoJX+6KLqEhF6dJ4xGjwHlUiEVdU+xUiZWYTR+iiHPt8MfXDGIXJOkZinVga0buz5iakZ8EIzNKg7YMB4P+ZdQ==" saltValue="qxgq0f8Vjp0OsmCbqzZVQw==" spinCount="100000" sheet="1" objects="1" scenarios="1"/>
  <customSheetViews>
    <customSheetView guid="{D262EE00-DAA1-48D6-803B-F3257DFE1182}" scale="80" showPageBreaks="1" fitToPage="1" printArea="1" topLeftCell="A91">
      <selection activeCell="E106" sqref="E106:L106"/>
      <pageMargins left="0" right="0" top="0" bottom="0" header="0" footer="0"/>
      <printOptions horizontalCentered="1"/>
      <pageSetup scale="73" fitToHeight="4" orientation="portrait" r:id="rId1"/>
    </customSheetView>
  </customSheetViews>
  <mergeCells count="45">
    <mergeCell ref="E193:L193"/>
    <mergeCell ref="E191:L191"/>
    <mergeCell ref="E189:L189"/>
    <mergeCell ref="E187:L187"/>
    <mergeCell ref="E185:L185"/>
    <mergeCell ref="D44:J44"/>
    <mergeCell ref="D50:K50"/>
    <mergeCell ref="D65:L65"/>
    <mergeCell ref="L96:N96"/>
    <mergeCell ref="E183:L183"/>
    <mergeCell ref="E181:L181"/>
    <mergeCell ref="E179:L179"/>
    <mergeCell ref="E177:L177"/>
    <mergeCell ref="D226:L226"/>
    <mergeCell ref="D232:L232"/>
    <mergeCell ref="I7:L7"/>
    <mergeCell ref="I9:L9"/>
    <mergeCell ref="I11:L11"/>
    <mergeCell ref="B21:P21"/>
    <mergeCell ref="E137:L138"/>
    <mergeCell ref="E41:L42"/>
    <mergeCell ref="E71:L72"/>
    <mergeCell ref="L84:N84"/>
    <mergeCell ref="L86:N86"/>
    <mergeCell ref="L88:N88"/>
    <mergeCell ref="L90:N90"/>
    <mergeCell ref="L92:N92"/>
    <mergeCell ref="L94:N94"/>
    <mergeCell ref="E213:L214"/>
    <mergeCell ref="I13:L13"/>
    <mergeCell ref="I15:L15"/>
    <mergeCell ref="I17:L17"/>
    <mergeCell ref="I19:L19"/>
    <mergeCell ref="D220:L220"/>
    <mergeCell ref="E163:L164"/>
    <mergeCell ref="E165:L166"/>
    <mergeCell ref="E201:L202"/>
    <mergeCell ref="E205:L206"/>
    <mergeCell ref="E209:L210"/>
    <mergeCell ref="D167:K167"/>
    <mergeCell ref="D199:K199"/>
    <mergeCell ref="D203:J203"/>
    <mergeCell ref="D207:K207"/>
    <mergeCell ref="D211:K211"/>
    <mergeCell ref="D35:J35"/>
  </mergeCells>
  <dataValidations count="5">
    <dataValidation type="list" allowBlank="1" showInputMessage="1" showErrorMessage="1" errorTitle="Only Yes or No" error="Only &quot;yes&quot; or &quot;no&quot; can be input into this field." sqref="P228 P230" xr:uid="{00000000-0002-0000-0000-000000000000}">
      <formula1>"Yes,No"</formula1>
    </dataValidation>
    <dataValidation type="whole" allowBlank="1" showInputMessage="1" showErrorMessage="1" errorTitle="Only numbers" error="Only numbers can be input into this field" sqref="P236 P222 P224 P234" xr:uid="{00000000-0002-0000-0000-000001000000}">
      <formula1>0</formula1>
      <formula2>9999999999</formula2>
    </dataValidation>
    <dataValidation type="whole" allowBlank="1" showInputMessage="1" showErrorMessage="1" errorTitle="Whole Numbers" error="Please enter only whole numbers." sqref="P191 P189 P187 P185 P183 P181 P177 P99 P90 P88 P86 P84 P80 P71:P72 P69 P67 P62 P60 P58 P54 P52 P37 P39 P48 P46 P201:P202 P209 P213 P193 P205 P41:P42 P163:P166 P169 P171:P174 P111 P113 P96 P109 P107 P105 P103 P115 P118:P119 P128 P126 P124 P122 P130 P132 P134 P137:P139 P148 P146 P144 P142 P150 P152 P154 P179" xr:uid="{00000000-0002-0000-0000-000002000000}">
      <formula1>0</formula1>
      <formula2>9999999999</formula2>
    </dataValidation>
    <dataValidation type="list" allowBlank="1" showInputMessage="1" showErrorMessage="1" sqref="I13:L13 I17:L17" xr:uid="{00000000-0002-0000-0000-000003000000}">
      <formula1>YearList</formula1>
    </dataValidation>
    <dataValidation type="list" allowBlank="1" showInputMessage="1" showErrorMessage="1" sqref="I15:L15 I19:L19" xr:uid="{00000000-0002-0000-0000-000004000000}">
      <formula1>QuarterList</formula1>
    </dataValidation>
  </dataValidations>
  <hyperlinks>
    <hyperlink ref="D35" location="Definitions!C10" display="1. Prevention" xr:uid="{00000000-0004-0000-0000-000000000000}"/>
    <hyperlink ref="D44" location="Definitions!C11" display="2. Protection" xr:uid="{00000000-0004-0000-0000-000001000000}"/>
    <hyperlink ref="D50" location="Definitions!C12" display="3. Prosecution" xr:uid="{00000000-0004-0000-0000-000002000000}"/>
    <hyperlink ref="D65" location="Definitions!C13" display="4. Multi-Subject/Other" xr:uid="{00000000-0004-0000-0000-000003000000}"/>
    <hyperlink ref="L84" location="Definitions!C15" display="# of television broadcasts designed or adapted" xr:uid="{00000000-0004-0000-0000-000004000000}"/>
    <hyperlink ref="L86" location="Definitions!C16" display="# of radio broadcasts designed or adapted" xr:uid="{00000000-0004-0000-0000-000005000000}"/>
    <hyperlink ref="L88" location="Definitions!C17" display="# of magazine or newspaper articles/advertisements designed or adapted" xr:uid="{00000000-0004-0000-0000-000006000000}"/>
    <hyperlink ref="L90" location="Definitions!C18" display="# of billboards/posters designed or adapted" xr:uid="{00000000-0004-0000-0000-000007000000}"/>
    <hyperlink ref="L92" location="Definitions!C19" display="# of social media posts designed or adapted" xr:uid="{00000000-0004-0000-0000-000008000000}"/>
    <hyperlink ref="L94" location="Definitions!C20" display="# of print materials (e.g., brochures, leaflets, etc.) designed or adapted" xr:uid="{00000000-0004-0000-0000-000009000000}"/>
    <hyperlink ref="L96" location="Definitions!C21" display="# of performances designed or adapted" xr:uid="{00000000-0004-0000-0000-00000A000000}"/>
    <hyperlink ref="D167" location="Definitions!C23" display="7. Victim Hotline" xr:uid="{00000000-0004-0000-0000-00000B000000}"/>
    <hyperlink ref="N103" location="Definitions!C14" display="# of television broadcasts" xr:uid="{00000000-0004-0000-0000-00000C000000}"/>
    <hyperlink ref="N105" location="Definitions!C15" display="# of radio broadcasts" xr:uid="{00000000-0004-0000-0000-00000D000000}"/>
    <hyperlink ref="N107" location="Definitions!C16" display="# of magazine or newspaper articles/advertisements" xr:uid="{00000000-0004-0000-0000-00000E000000}"/>
    <hyperlink ref="N109" location="Definitions!C17" display="# of billboards/posters" xr:uid="{00000000-0004-0000-0000-00000F000000}"/>
    <hyperlink ref="N111" location="Definitions!C18" display="# of social media posts" xr:uid="{00000000-0004-0000-0000-000010000000}"/>
    <hyperlink ref="N113" location="Definitions!C19" display="# of print materials (e.g., brochures, leaflets, etc.)" xr:uid="{00000000-0004-0000-0000-000011000000}"/>
    <hyperlink ref="N115" location="Definitions!C20" display="# of performances" xr:uid="{00000000-0004-0000-0000-000012000000}"/>
    <hyperlink ref="N122" location="Definitions!C14" display="# of people reached by television broadcasts" xr:uid="{00000000-0004-0000-0000-000013000000}"/>
    <hyperlink ref="N124" location="Definitions!C15" display="# of people reached by radio broadcasts" xr:uid="{00000000-0004-0000-0000-000014000000}"/>
    <hyperlink ref="N126" location="Definitions!C16" display="# of people reached by magazine or newspaper articles/advertisements" xr:uid="{00000000-0004-0000-0000-000015000000}"/>
    <hyperlink ref="N128" location="Definitions!C17" display="# of people reached by billboards/posters" xr:uid="{00000000-0004-0000-0000-000016000000}"/>
    <hyperlink ref="N130" location="Definitions!C18" display="# of people reached by social media posts" xr:uid="{00000000-0004-0000-0000-000017000000}"/>
    <hyperlink ref="N132" location="Definitions!C19" display="# of people reached by print materials (e.g., brochures, leaflets, etc.)" xr:uid="{00000000-0004-0000-0000-000018000000}"/>
    <hyperlink ref="N134" location="Definitions!C20" display="# of people reached by performances" xr:uid="{00000000-0004-0000-0000-000019000000}"/>
    <hyperlink ref="N144" location="Definitions!C15" display="# of people who will take action as a result of radio broadcasts" xr:uid="{00000000-0004-0000-0000-00001A000000}"/>
    <hyperlink ref="N146" location="Definitions!C16" display="# of people who will take action as a result of magazine or newspaper articles/advertisements" xr:uid="{00000000-0004-0000-0000-00001B000000}"/>
    <hyperlink ref="N148" location="Definitions!C17" display="# of people who will take action as a result of billboards/posters" xr:uid="{00000000-0004-0000-0000-00001C000000}"/>
    <hyperlink ref="N150" location="Definitions!C18" display="# of people who will take action as a result of social media posts" xr:uid="{00000000-0004-0000-0000-00001D000000}"/>
    <hyperlink ref="N152" location="Definitions!C19" display="# of people who will take action as a result of print materials (e.g., brochures, leaflets, etc.)" xr:uid="{00000000-0004-0000-0000-00001E000000}"/>
    <hyperlink ref="N154" location="Definitions!C20" display="# of people who take action as a result of performances" xr:uid="{00000000-0004-0000-0000-00001F000000}"/>
    <hyperlink ref="L84:N84" location="Definitions!C14" display="# of television broadcasts designed or adapted" xr:uid="{00000000-0004-0000-0000-000020000000}"/>
    <hyperlink ref="L86:N86" location="Definitions!C15" display="# of radio broadcasts designed or adapted" xr:uid="{00000000-0004-0000-0000-000021000000}"/>
    <hyperlink ref="L88:N88" location="Definitions!C16" display="# of magazine or newspaper articles/advertisements designed or adapted" xr:uid="{00000000-0004-0000-0000-000022000000}"/>
    <hyperlink ref="L90:N90" location="Definitions!C17" display="# of billboards/posters designed or adapted" xr:uid="{00000000-0004-0000-0000-000023000000}"/>
    <hyperlink ref="L92:N92" location="Definitions!C18" display="# of social media posts designed or adapted" xr:uid="{00000000-0004-0000-0000-000024000000}"/>
    <hyperlink ref="L94:N94" location="Definitions!C19" display="# of print materials (e.g., brochures, leaflets, etc.) designed or adapted" xr:uid="{00000000-0004-0000-0000-000025000000}"/>
    <hyperlink ref="L96:N96" location="Definitions!C20" display="# of performances designed or adapted" xr:uid="{00000000-0004-0000-0000-000026000000}"/>
    <hyperlink ref="M142:N142" location="Definitions!C14" display="# of people who will take action as a result of television broadcasts" xr:uid="{00000000-0004-0000-0000-000027000000}"/>
    <hyperlink ref="E163:L164" location="Definitions!C21" display="6.1 How many unique victims will be identified as a result of project activities or in coordination with grantee partners? ‡" xr:uid="{00000000-0004-0000-0000-000028000000}"/>
    <hyperlink ref="E165:L166" location="Definitions!C22" display="6.2 How many unique victims will be referred to services as a result of project activities or in coordination with grantee partners? ‡" xr:uid="{00000000-0004-0000-0000-000029000000}"/>
    <hyperlink ref="E193" location="Definitions!C31" display="8.2 How many unique TIP victims will achieve a sustainable livelihood at least one month after receipt of services? ‡" xr:uid="{00000000-0004-0000-0000-00002A000000}"/>
    <hyperlink ref="D199" location="Definitions!C32" display="9. Investigations" xr:uid="{00000000-0004-0000-0000-00002B000000}"/>
    <hyperlink ref="D203" location="Definitions!C33" display="10. Arrests" xr:uid="{00000000-0004-0000-0000-00002C000000}"/>
    <hyperlink ref="D207" location="Definitions!C34" display="11. Prosecutions" xr:uid="{00000000-0004-0000-0000-00002D000000}"/>
    <hyperlink ref="D211" location="Definitions!C35" display="12. Convictions" xr:uid="{00000000-0004-0000-0000-00002E000000}"/>
    <hyperlink ref="D220" location="Definitions!C36" display="13. Anti-TIP Policy/Legal Agreements" xr:uid="{00000000-0004-0000-0000-00002F000000}"/>
    <hyperlink ref="D226" location="Definitions!C37" display="14. National TIP Referral Mechanisms" xr:uid="{00000000-0004-0000-0000-000030000000}"/>
    <hyperlink ref="D232" location="Definitions!C38" display="15. Data Collection Systems" xr:uid="{00000000-0004-0000-0000-000031000000}"/>
    <hyperlink ref="N142" location="Definitions!C14" display="# of people who will take action as a result of television broadcasts" xr:uid="{00000000-0004-0000-0000-000032000000}"/>
    <hyperlink ref="E179" location="Definitions!C24" display="# of TIP victims to receive shelter services" xr:uid="{00000000-0004-0000-0000-000033000000}"/>
    <hyperlink ref="E181" location="Definitions!C25" display="# of TIP victims to receive healthcare services" xr:uid="{00000000-0004-0000-0000-000034000000}"/>
    <hyperlink ref="E183" location="Definitions!C26" display="# of TIP victims to receive counseling services" xr:uid="{00000000-0004-0000-0000-000035000000}"/>
    <hyperlink ref="E185" location="Definitions!C27" display="# of TIP victims to receive legal assistance services" xr:uid="{00000000-0004-0000-0000-000036000000}"/>
    <hyperlink ref="E189" location="Definitions!A1" display="8.7 How many unique TIP victims will receive reintegration services? ‡" xr:uid="{00000000-0004-0000-0000-000037000000}"/>
    <hyperlink ref="E187:L187" location="Definitions!C28" display="8.6 How many unique TIP victims will receive repatriation services? ‡" xr:uid="{00000000-0004-0000-0000-000038000000}"/>
    <hyperlink ref="E189:L189" location="Definitions!C29" display="8.7 How many unique TIP victims will receive reintegration services? ‡" xr:uid="{00000000-0004-0000-0000-000039000000}"/>
    <hyperlink ref="E191:L191" location="Definitions!C30" display="8.8 How many unique TIP victims will receive a form of education? ‡" xr:uid="{00000000-0004-0000-0000-00003A000000}"/>
  </hyperlinks>
  <printOptions horizontalCentered="1"/>
  <pageMargins left="0.25" right="0.25" top="0.5" bottom="0.5" header="0.3" footer="0.3"/>
  <pageSetup scale="58" fitToHeight="0" orientation="portrait" r:id="rId2"/>
  <headerFooter>
    <oddFooter xml:space="preserve">&amp;RCPI Proposal Template - July 2018 </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39"/>
  <sheetViews>
    <sheetView showGridLines="0" zoomScale="80" zoomScaleNormal="80" workbookViewId="0">
      <selection activeCell="L24" sqref="L24"/>
    </sheetView>
  </sheetViews>
  <sheetFormatPr defaultColWidth="0" defaultRowHeight="13.5" zeroHeight="1" x14ac:dyDescent="0.3"/>
  <cols>
    <col min="1" max="8" width="2.453125" style="34" customWidth="1"/>
    <col min="9" max="9" width="8.1796875" style="34" customWidth="1"/>
    <col min="10" max="10" width="55.453125" style="34" customWidth="1"/>
    <col min="11" max="11" width="2.453125" style="34" customWidth="1"/>
    <col min="12" max="12" width="55.453125" style="34" customWidth="1"/>
    <col min="13" max="13" width="2.453125" style="34" customWidth="1"/>
    <col min="14" max="14" width="53.453125" style="34" customWidth="1"/>
    <col min="15" max="15" width="2.453125" style="34" customWidth="1"/>
    <col min="16" max="19" width="0" style="34" hidden="1" customWidth="1"/>
    <col min="20" max="16384" width="9.1796875" style="34" hidden="1"/>
  </cols>
  <sheetData>
    <row r="1" spans="2:19" ht="20.149999999999999" customHeight="1" x14ac:dyDescent="0.3"/>
    <row r="2" spans="2:19" ht="20.149999999999999" customHeight="1" x14ac:dyDescent="0.35">
      <c r="F2" s="15" t="s">
        <v>5</v>
      </c>
      <c r="G2" s="2"/>
      <c r="H2" s="2"/>
      <c r="I2" s="2"/>
      <c r="J2" s="2"/>
    </row>
    <row r="3" spans="2:19" ht="20.149999999999999" customHeight="1" x14ac:dyDescent="0.35">
      <c r="F3" s="17" t="s">
        <v>6</v>
      </c>
      <c r="G3" s="2"/>
      <c r="H3" s="2"/>
      <c r="I3" s="2"/>
      <c r="J3" s="2"/>
    </row>
    <row r="4" spans="2:19" ht="14.15" customHeight="1" x14ac:dyDescent="0.35">
      <c r="F4" s="17"/>
      <c r="G4" s="2"/>
      <c r="H4" s="2"/>
      <c r="I4" s="2"/>
      <c r="J4" s="2"/>
      <c r="K4" s="2"/>
      <c r="L4" s="2"/>
      <c r="M4" s="2"/>
    </row>
    <row r="5" spans="2:19" ht="20.149999999999999" customHeight="1" x14ac:dyDescent="0.35">
      <c r="B5" s="17" t="s">
        <v>130</v>
      </c>
      <c r="C5" s="17"/>
      <c r="D5" s="17"/>
      <c r="E5" s="17"/>
      <c r="F5" s="17"/>
      <c r="G5" s="17"/>
      <c r="H5" s="17"/>
      <c r="I5" s="17"/>
      <c r="J5" s="17"/>
      <c r="K5" s="2"/>
      <c r="L5" s="2"/>
      <c r="M5" s="2"/>
    </row>
    <row r="6" spans="2:19" ht="20.149999999999999" customHeight="1" x14ac:dyDescent="0.3"/>
    <row r="7" spans="2:19" s="35" customFormat="1" ht="22.4" customHeight="1" x14ac:dyDescent="0.35">
      <c r="C7" s="40" t="s">
        <v>131</v>
      </c>
      <c r="D7" s="40"/>
      <c r="E7" s="40"/>
      <c r="F7" s="40"/>
      <c r="G7" s="40"/>
      <c r="H7" s="40"/>
      <c r="I7" s="40"/>
      <c r="J7" s="40" t="s">
        <v>132</v>
      </c>
      <c r="K7" s="40"/>
      <c r="L7" s="40" t="s">
        <v>133</v>
      </c>
      <c r="M7" s="40"/>
      <c r="N7" s="40" t="s">
        <v>134</v>
      </c>
    </row>
    <row r="8" spans="2:19" s="35" customFormat="1" ht="135" customHeight="1" x14ac:dyDescent="0.3">
      <c r="B8" s="36"/>
      <c r="C8" s="101" t="s">
        <v>135</v>
      </c>
      <c r="D8" s="101"/>
      <c r="E8" s="101"/>
      <c r="F8" s="101"/>
      <c r="G8" s="101"/>
      <c r="H8" s="101"/>
      <c r="I8" s="101"/>
      <c r="J8" s="37" t="s">
        <v>136</v>
      </c>
      <c r="K8" s="37"/>
      <c r="L8" s="37" t="s">
        <v>137</v>
      </c>
      <c r="M8" s="37"/>
      <c r="N8" s="37" t="s">
        <v>138</v>
      </c>
      <c r="O8" s="38"/>
      <c r="P8" s="38"/>
      <c r="Q8" s="38"/>
      <c r="R8" s="38"/>
      <c r="S8" s="38"/>
    </row>
    <row r="9" spans="2:19" s="35" customFormat="1" ht="135" customHeight="1" x14ac:dyDescent="0.3">
      <c r="B9" s="36"/>
      <c r="C9" s="103" t="s">
        <v>139</v>
      </c>
      <c r="D9" s="103"/>
      <c r="E9" s="103"/>
      <c r="F9" s="103"/>
      <c r="G9" s="103"/>
      <c r="H9" s="103"/>
      <c r="I9" s="103"/>
      <c r="J9" s="44" t="s">
        <v>140</v>
      </c>
      <c r="K9" s="44"/>
      <c r="L9" s="44" t="s">
        <v>141</v>
      </c>
      <c r="M9" s="44"/>
      <c r="N9" s="44" t="s">
        <v>138</v>
      </c>
      <c r="O9" s="38"/>
      <c r="P9" s="38"/>
      <c r="Q9" s="38"/>
      <c r="R9" s="38"/>
      <c r="S9" s="38"/>
    </row>
    <row r="10" spans="2:19" s="35" customFormat="1" ht="135" customHeight="1" x14ac:dyDescent="0.3">
      <c r="B10" s="36"/>
      <c r="C10" s="101" t="s">
        <v>142</v>
      </c>
      <c r="D10" s="101"/>
      <c r="E10" s="101"/>
      <c r="F10" s="101"/>
      <c r="G10" s="101"/>
      <c r="H10" s="101"/>
      <c r="I10" s="101"/>
      <c r="J10" s="37" t="s">
        <v>143</v>
      </c>
      <c r="K10" s="37"/>
      <c r="L10" s="37" t="s">
        <v>144</v>
      </c>
      <c r="M10" s="37"/>
      <c r="N10" s="37" t="s">
        <v>145</v>
      </c>
      <c r="O10" s="38"/>
      <c r="P10" s="38"/>
      <c r="Q10" s="38"/>
      <c r="R10" s="38"/>
      <c r="S10" s="38"/>
    </row>
    <row r="11" spans="2:19" s="35" customFormat="1" ht="135" customHeight="1" x14ac:dyDescent="0.35">
      <c r="C11" s="102" t="s">
        <v>146</v>
      </c>
      <c r="D11" s="102"/>
      <c r="E11" s="102"/>
      <c r="F11" s="102"/>
      <c r="G11" s="102"/>
      <c r="H11" s="102"/>
      <c r="I11" s="102"/>
      <c r="J11" s="45" t="s">
        <v>147</v>
      </c>
      <c r="K11" s="45"/>
      <c r="L11" s="45" t="s">
        <v>148</v>
      </c>
      <c r="M11" s="45"/>
      <c r="N11" s="45" t="s">
        <v>149</v>
      </c>
      <c r="O11" s="38"/>
      <c r="P11" s="38"/>
      <c r="Q11" s="38"/>
      <c r="R11" s="38"/>
      <c r="S11" s="38"/>
    </row>
    <row r="12" spans="2:19" s="35" customFormat="1" ht="135" customHeight="1" x14ac:dyDescent="0.35">
      <c r="C12" s="101" t="s">
        <v>150</v>
      </c>
      <c r="D12" s="101"/>
      <c r="E12" s="101"/>
      <c r="F12" s="101"/>
      <c r="G12" s="101"/>
      <c r="H12" s="101"/>
      <c r="I12" s="101"/>
      <c r="J12" s="37" t="s">
        <v>151</v>
      </c>
      <c r="K12" s="37"/>
      <c r="L12" s="37" t="s">
        <v>152</v>
      </c>
      <c r="M12" s="37"/>
      <c r="N12" s="37" t="s">
        <v>149</v>
      </c>
      <c r="O12" s="38"/>
      <c r="P12" s="38"/>
      <c r="Q12" s="38"/>
      <c r="R12" s="38"/>
      <c r="S12" s="38"/>
    </row>
    <row r="13" spans="2:19" s="35" customFormat="1" ht="135" customHeight="1" x14ac:dyDescent="0.35">
      <c r="C13" s="102" t="s">
        <v>153</v>
      </c>
      <c r="D13" s="102"/>
      <c r="E13" s="102"/>
      <c r="F13" s="102"/>
      <c r="G13" s="102"/>
      <c r="H13" s="102"/>
      <c r="I13" s="102"/>
      <c r="J13" s="45" t="s">
        <v>154</v>
      </c>
      <c r="K13" s="45"/>
      <c r="L13" s="45" t="s">
        <v>155</v>
      </c>
      <c r="M13" s="45"/>
      <c r="N13" s="45" t="s">
        <v>145</v>
      </c>
      <c r="O13" s="38"/>
      <c r="P13" s="38"/>
      <c r="Q13" s="38"/>
      <c r="R13" s="38"/>
      <c r="S13" s="38"/>
    </row>
    <row r="14" spans="2:19" s="35" customFormat="1" ht="130.4" customHeight="1" x14ac:dyDescent="0.35">
      <c r="C14" s="101" t="s">
        <v>156</v>
      </c>
      <c r="D14" s="101"/>
      <c r="E14" s="101"/>
      <c r="F14" s="101"/>
      <c r="G14" s="101"/>
      <c r="H14" s="101"/>
      <c r="I14" s="101"/>
      <c r="J14" s="37" t="s">
        <v>157</v>
      </c>
      <c r="K14" s="37"/>
      <c r="L14" s="37" t="s">
        <v>158</v>
      </c>
      <c r="M14" s="37"/>
      <c r="N14" s="37" t="s">
        <v>159</v>
      </c>
      <c r="O14" s="38"/>
      <c r="P14" s="38"/>
      <c r="Q14" s="38"/>
      <c r="R14" s="38"/>
      <c r="S14" s="38"/>
    </row>
    <row r="15" spans="2:19" s="35" customFormat="1" ht="130.4" customHeight="1" x14ac:dyDescent="0.35">
      <c r="C15" s="102" t="s">
        <v>160</v>
      </c>
      <c r="D15" s="102"/>
      <c r="E15" s="102"/>
      <c r="F15" s="102"/>
      <c r="G15" s="102"/>
      <c r="H15" s="102"/>
      <c r="I15" s="102"/>
      <c r="J15" s="45" t="s">
        <v>161</v>
      </c>
      <c r="K15" s="45"/>
      <c r="L15" s="45" t="s">
        <v>162</v>
      </c>
      <c r="M15" s="45"/>
      <c r="N15" s="45" t="s">
        <v>163</v>
      </c>
      <c r="O15" s="38"/>
      <c r="P15" s="38"/>
      <c r="Q15" s="38"/>
      <c r="R15" s="38"/>
      <c r="S15" s="38"/>
    </row>
    <row r="16" spans="2:19" s="35" customFormat="1" ht="130.4" customHeight="1" x14ac:dyDescent="0.35">
      <c r="C16" s="101" t="s">
        <v>164</v>
      </c>
      <c r="D16" s="101"/>
      <c r="E16" s="101"/>
      <c r="F16" s="101"/>
      <c r="G16" s="101"/>
      <c r="H16" s="101"/>
      <c r="I16" s="101"/>
      <c r="J16" s="37" t="s">
        <v>165</v>
      </c>
      <c r="K16" s="37"/>
      <c r="L16" s="37" t="s">
        <v>166</v>
      </c>
      <c r="M16" s="37"/>
      <c r="N16" s="37" t="s">
        <v>167</v>
      </c>
      <c r="O16" s="38"/>
      <c r="P16" s="38"/>
      <c r="Q16" s="38"/>
      <c r="R16" s="38"/>
      <c r="S16" s="38"/>
    </row>
    <row r="17" spans="3:19" s="35" customFormat="1" ht="130.4" customHeight="1" x14ac:dyDescent="0.35">
      <c r="C17" s="102" t="s">
        <v>168</v>
      </c>
      <c r="D17" s="102"/>
      <c r="E17" s="102"/>
      <c r="F17" s="102"/>
      <c r="G17" s="102"/>
      <c r="H17" s="102"/>
      <c r="I17" s="102"/>
      <c r="J17" s="45" t="s">
        <v>169</v>
      </c>
      <c r="K17" s="45"/>
      <c r="L17" s="45" t="s">
        <v>170</v>
      </c>
      <c r="M17" s="45"/>
      <c r="N17" s="45" t="s">
        <v>171</v>
      </c>
      <c r="O17" s="38"/>
      <c r="P17" s="38"/>
      <c r="Q17" s="38"/>
      <c r="R17" s="38"/>
      <c r="S17" s="38"/>
    </row>
    <row r="18" spans="3:19" s="35" customFormat="1" ht="130.4" customHeight="1" x14ac:dyDescent="0.35">
      <c r="C18" s="101" t="s">
        <v>172</v>
      </c>
      <c r="D18" s="101"/>
      <c r="E18" s="101"/>
      <c r="F18" s="101"/>
      <c r="G18" s="101"/>
      <c r="H18" s="101"/>
      <c r="I18" s="101"/>
      <c r="J18" s="37" t="s">
        <v>173</v>
      </c>
      <c r="K18" s="37"/>
      <c r="L18" s="37" t="s">
        <v>174</v>
      </c>
      <c r="M18" s="37"/>
      <c r="N18" s="37" t="s">
        <v>175</v>
      </c>
      <c r="O18" s="38"/>
      <c r="P18" s="38"/>
      <c r="Q18" s="38"/>
      <c r="R18" s="38"/>
      <c r="S18" s="38"/>
    </row>
    <row r="19" spans="3:19" s="35" customFormat="1" ht="130.4" customHeight="1" x14ac:dyDescent="0.35">
      <c r="C19" s="102" t="s">
        <v>176</v>
      </c>
      <c r="D19" s="102"/>
      <c r="E19" s="102"/>
      <c r="F19" s="102"/>
      <c r="G19" s="102"/>
      <c r="H19" s="102"/>
      <c r="I19" s="102"/>
      <c r="J19" s="45" t="s">
        <v>177</v>
      </c>
      <c r="K19" s="45"/>
      <c r="L19" s="45" t="s">
        <v>178</v>
      </c>
      <c r="M19" s="45"/>
      <c r="N19" s="45" t="s">
        <v>179</v>
      </c>
    </row>
    <row r="20" spans="3:19" s="35" customFormat="1" ht="130.4" customHeight="1" x14ac:dyDescent="0.35">
      <c r="C20" s="101" t="s">
        <v>180</v>
      </c>
      <c r="D20" s="101"/>
      <c r="E20" s="101"/>
      <c r="F20" s="101"/>
      <c r="G20" s="101"/>
      <c r="H20" s="101"/>
      <c r="I20" s="101"/>
      <c r="J20" s="37" t="s">
        <v>181</v>
      </c>
      <c r="K20" s="37"/>
      <c r="L20" s="37" t="s">
        <v>182</v>
      </c>
      <c r="M20" s="37"/>
      <c r="N20" s="37" t="s">
        <v>183</v>
      </c>
    </row>
    <row r="21" spans="3:19" s="35" customFormat="1" ht="130.4" customHeight="1" x14ac:dyDescent="0.35">
      <c r="C21" s="102" t="s">
        <v>184</v>
      </c>
      <c r="D21" s="102"/>
      <c r="E21" s="102"/>
      <c r="F21" s="102"/>
      <c r="G21" s="102"/>
      <c r="H21" s="102"/>
      <c r="I21" s="102"/>
      <c r="J21" s="45" t="s">
        <v>185</v>
      </c>
      <c r="K21" s="45"/>
      <c r="L21" s="45" t="s">
        <v>186</v>
      </c>
      <c r="M21" s="45"/>
      <c r="N21" s="45" t="s">
        <v>187</v>
      </c>
    </row>
    <row r="22" spans="3:19" s="35" customFormat="1" ht="130.4" customHeight="1" x14ac:dyDescent="0.35">
      <c r="C22" s="101" t="s">
        <v>188</v>
      </c>
      <c r="D22" s="101"/>
      <c r="E22" s="101"/>
      <c r="F22" s="101"/>
      <c r="G22" s="101"/>
      <c r="H22" s="101"/>
      <c r="I22" s="101"/>
      <c r="J22" s="37" t="s">
        <v>189</v>
      </c>
      <c r="K22" s="37"/>
      <c r="L22" s="37" t="s">
        <v>190</v>
      </c>
      <c r="M22" s="37"/>
      <c r="N22" s="37" t="s">
        <v>191</v>
      </c>
    </row>
    <row r="23" spans="3:19" s="35" customFormat="1" ht="130.4" customHeight="1" x14ac:dyDescent="0.35">
      <c r="C23" s="102" t="s">
        <v>192</v>
      </c>
      <c r="D23" s="102"/>
      <c r="E23" s="102"/>
      <c r="F23" s="102"/>
      <c r="G23" s="102"/>
      <c r="H23" s="102"/>
      <c r="I23" s="102"/>
      <c r="J23" s="45" t="s">
        <v>193</v>
      </c>
      <c r="K23" s="45"/>
      <c r="L23" s="45" t="s">
        <v>194</v>
      </c>
      <c r="M23" s="45"/>
      <c r="N23" s="45" t="s">
        <v>195</v>
      </c>
    </row>
    <row r="24" spans="3:19" s="35" customFormat="1" ht="130.4" customHeight="1" x14ac:dyDescent="0.35">
      <c r="C24" s="101" t="s">
        <v>196</v>
      </c>
      <c r="D24" s="101"/>
      <c r="E24" s="101"/>
      <c r="F24" s="101"/>
      <c r="G24" s="101"/>
      <c r="H24" s="101"/>
      <c r="I24" s="101"/>
      <c r="J24" s="37" t="s">
        <v>197</v>
      </c>
      <c r="K24" s="37"/>
      <c r="L24" s="37" t="s">
        <v>198</v>
      </c>
      <c r="M24" s="37"/>
      <c r="N24" s="37" t="s">
        <v>199</v>
      </c>
    </row>
    <row r="25" spans="3:19" s="35" customFormat="1" ht="130.4" customHeight="1" x14ac:dyDescent="0.35">
      <c r="C25" s="102" t="s">
        <v>200</v>
      </c>
      <c r="D25" s="102"/>
      <c r="E25" s="102"/>
      <c r="F25" s="102"/>
      <c r="G25" s="102"/>
      <c r="H25" s="102"/>
      <c r="I25" s="102"/>
      <c r="J25" s="45" t="s">
        <v>201</v>
      </c>
      <c r="K25" s="45"/>
      <c r="L25" s="45" t="s">
        <v>202</v>
      </c>
      <c r="M25" s="45"/>
      <c r="N25" s="45" t="s">
        <v>199</v>
      </c>
    </row>
    <row r="26" spans="3:19" s="35" customFormat="1" ht="130.4" customHeight="1" x14ac:dyDescent="0.35">
      <c r="C26" s="101" t="s">
        <v>203</v>
      </c>
      <c r="D26" s="101"/>
      <c r="E26" s="101"/>
      <c r="F26" s="101"/>
      <c r="G26" s="101"/>
      <c r="H26" s="101"/>
      <c r="I26" s="101"/>
      <c r="J26" s="37" t="s">
        <v>204</v>
      </c>
      <c r="K26" s="37"/>
      <c r="L26" s="37" t="s">
        <v>205</v>
      </c>
      <c r="M26" s="37"/>
      <c r="N26" s="37" t="s">
        <v>199</v>
      </c>
    </row>
    <row r="27" spans="3:19" s="35" customFormat="1" ht="130.4" customHeight="1" x14ac:dyDescent="0.35">
      <c r="C27" s="102" t="s">
        <v>206</v>
      </c>
      <c r="D27" s="102"/>
      <c r="E27" s="102"/>
      <c r="F27" s="102"/>
      <c r="G27" s="102"/>
      <c r="H27" s="102"/>
      <c r="I27" s="102"/>
      <c r="J27" s="45" t="s">
        <v>207</v>
      </c>
      <c r="K27" s="45"/>
      <c r="L27" s="45" t="s">
        <v>208</v>
      </c>
      <c r="M27" s="45"/>
      <c r="N27" s="45" t="s">
        <v>199</v>
      </c>
    </row>
    <row r="28" spans="3:19" ht="130.4" customHeight="1" x14ac:dyDescent="0.3">
      <c r="C28" s="101" t="s">
        <v>209</v>
      </c>
      <c r="D28" s="101"/>
      <c r="E28" s="101"/>
      <c r="F28" s="101"/>
      <c r="G28" s="101"/>
      <c r="H28" s="101"/>
      <c r="I28" s="101"/>
      <c r="J28" s="37" t="s">
        <v>210</v>
      </c>
      <c r="K28" s="37"/>
      <c r="L28" s="37" t="s">
        <v>211</v>
      </c>
      <c r="M28" s="37"/>
      <c r="N28" s="37" t="s">
        <v>199</v>
      </c>
    </row>
    <row r="29" spans="3:19" ht="130.4" customHeight="1" x14ac:dyDescent="0.3">
      <c r="C29" s="102" t="s">
        <v>212</v>
      </c>
      <c r="D29" s="102"/>
      <c r="E29" s="102"/>
      <c r="F29" s="102"/>
      <c r="G29" s="102"/>
      <c r="H29" s="102"/>
      <c r="I29" s="102"/>
      <c r="J29" s="45" t="s">
        <v>213</v>
      </c>
      <c r="K29" s="45"/>
      <c r="L29" s="45" t="s">
        <v>214</v>
      </c>
      <c r="M29" s="45"/>
      <c r="N29" s="45" t="s">
        <v>199</v>
      </c>
    </row>
    <row r="30" spans="3:19" ht="130.4" customHeight="1" x14ac:dyDescent="0.3">
      <c r="C30" s="101" t="s">
        <v>215</v>
      </c>
      <c r="D30" s="101"/>
      <c r="E30" s="101"/>
      <c r="F30" s="101"/>
      <c r="G30" s="101"/>
      <c r="H30" s="101"/>
      <c r="I30" s="101"/>
      <c r="J30" s="37" t="s">
        <v>216</v>
      </c>
      <c r="K30" s="37"/>
      <c r="L30" s="37" t="s">
        <v>217</v>
      </c>
      <c r="M30" s="37"/>
      <c r="N30" s="37" t="s">
        <v>199</v>
      </c>
    </row>
    <row r="31" spans="3:19" ht="130.4" customHeight="1" x14ac:dyDescent="0.3">
      <c r="C31" s="102" t="s">
        <v>218</v>
      </c>
      <c r="D31" s="102"/>
      <c r="E31" s="102"/>
      <c r="F31" s="102"/>
      <c r="G31" s="102"/>
      <c r="H31" s="102"/>
      <c r="I31" s="102"/>
      <c r="J31" s="45" t="s">
        <v>219</v>
      </c>
      <c r="K31" s="45"/>
      <c r="L31" s="45" t="s">
        <v>220</v>
      </c>
      <c r="M31" s="45"/>
      <c r="N31" s="45" t="s">
        <v>199</v>
      </c>
    </row>
    <row r="32" spans="3:19" ht="130.4" customHeight="1" x14ac:dyDescent="0.3">
      <c r="C32" s="101" t="s">
        <v>221</v>
      </c>
      <c r="D32" s="101"/>
      <c r="E32" s="101"/>
      <c r="F32" s="101"/>
      <c r="G32" s="101"/>
      <c r="H32" s="101"/>
      <c r="I32" s="101"/>
      <c r="J32" s="37" t="s">
        <v>222</v>
      </c>
      <c r="K32" s="37"/>
      <c r="L32" s="37" t="s">
        <v>223</v>
      </c>
      <c r="M32" s="37"/>
      <c r="N32" s="37" t="s">
        <v>224</v>
      </c>
    </row>
    <row r="33" spans="3:14" ht="130.4" customHeight="1" x14ac:dyDescent="0.3">
      <c r="C33" s="102" t="s">
        <v>225</v>
      </c>
      <c r="D33" s="102"/>
      <c r="E33" s="102"/>
      <c r="F33" s="102"/>
      <c r="G33" s="102"/>
      <c r="H33" s="102"/>
      <c r="I33" s="102"/>
      <c r="J33" s="45" t="s">
        <v>226</v>
      </c>
      <c r="K33" s="45"/>
      <c r="L33" s="45" t="s">
        <v>227</v>
      </c>
      <c r="M33" s="45"/>
      <c r="N33" s="45" t="s">
        <v>228</v>
      </c>
    </row>
    <row r="34" spans="3:14" ht="130.4" customHeight="1" x14ac:dyDescent="0.3">
      <c r="C34" s="101" t="s">
        <v>229</v>
      </c>
      <c r="D34" s="101"/>
      <c r="E34" s="101"/>
      <c r="F34" s="101"/>
      <c r="G34" s="101"/>
      <c r="H34" s="101"/>
      <c r="I34" s="101"/>
      <c r="J34" s="37" t="s">
        <v>230</v>
      </c>
      <c r="K34" s="37"/>
      <c r="L34" s="37" t="s">
        <v>231</v>
      </c>
      <c r="M34" s="37"/>
      <c r="N34" s="37" t="s">
        <v>232</v>
      </c>
    </row>
    <row r="35" spans="3:14" ht="130.4" customHeight="1" x14ac:dyDescent="0.3">
      <c r="C35" s="102" t="s">
        <v>233</v>
      </c>
      <c r="D35" s="102"/>
      <c r="E35" s="102"/>
      <c r="F35" s="102"/>
      <c r="G35" s="102"/>
      <c r="H35" s="102"/>
      <c r="I35" s="102"/>
      <c r="J35" s="45" t="s">
        <v>234</v>
      </c>
      <c r="K35" s="45"/>
      <c r="L35" s="45" t="s">
        <v>235</v>
      </c>
      <c r="M35" s="45"/>
      <c r="N35" s="45" t="s">
        <v>236</v>
      </c>
    </row>
    <row r="36" spans="3:14" ht="130.4" customHeight="1" x14ac:dyDescent="0.3">
      <c r="C36" s="101" t="s">
        <v>237</v>
      </c>
      <c r="D36" s="101"/>
      <c r="E36" s="101"/>
      <c r="F36" s="101"/>
      <c r="G36" s="101"/>
      <c r="H36" s="101"/>
      <c r="I36" s="101"/>
      <c r="J36" s="37" t="s">
        <v>238</v>
      </c>
      <c r="K36" s="37"/>
      <c r="L36" s="37" t="s">
        <v>239</v>
      </c>
      <c r="M36" s="37"/>
      <c r="N36" s="37" t="s">
        <v>240</v>
      </c>
    </row>
    <row r="37" spans="3:14" ht="130.4" customHeight="1" x14ac:dyDescent="0.3">
      <c r="C37" s="102" t="s">
        <v>241</v>
      </c>
      <c r="D37" s="102"/>
      <c r="E37" s="102"/>
      <c r="F37" s="102"/>
      <c r="G37" s="102"/>
      <c r="H37" s="102"/>
      <c r="I37" s="102"/>
      <c r="J37" s="45" t="s">
        <v>242</v>
      </c>
      <c r="K37" s="45"/>
      <c r="L37" s="45" t="s">
        <v>243</v>
      </c>
      <c r="M37" s="45"/>
      <c r="N37" s="45" t="s">
        <v>244</v>
      </c>
    </row>
    <row r="38" spans="3:14" ht="130.4" customHeight="1" x14ac:dyDescent="0.3">
      <c r="C38" s="101" t="s">
        <v>245</v>
      </c>
      <c r="D38" s="101"/>
      <c r="E38" s="101"/>
      <c r="F38" s="101"/>
      <c r="G38" s="101"/>
      <c r="H38" s="101"/>
      <c r="I38" s="101"/>
      <c r="J38" s="37" t="s">
        <v>246</v>
      </c>
      <c r="K38" s="37"/>
      <c r="L38" s="37" t="s">
        <v>247</v>
      </c>
      <c r="M38" s="37"/>
      <c r="N38" s="37" t="s">
        <v>248</v>
      </c>
    </row>
    <row r="39" spans="3:14" x14ac:dyDescent="0.3"/>
  </sheetData>
  <sheetProtection algorithmName="SHA-512" hashValue="5CvwUVx9ACLFEXQZANzW3AYvhlW5gYIM+wLdFvhie6hWym5Ay6OKqYYlDxOWIm33QDZv2EIs5LSHGXN43sd1JA==" saltValue="0NWCFjCvA69ZI0cKTauTsQ==" spinCount="100000" sheet="1" objects="1" scenarios="1"/>
  <mergeCells count="31">
    <mergeCell ref="C15:I15"/>
    <mergeCell ref="C30:I30"/>
    <mergeCell ref="C27:I27"/>
    <mergeCell ref="C16:I16"/>
    <mergeCell ref="C17:I17"/>
    <mergeCell ref="C18:I18"/>
    <mergeCell ref="C19:I19"/>
    <mergeCell ref="C20:I20"/>
    <mergeCell ref="C21:I21"/>
    <mergeCell ref="C22:I22"/>
    <mergeCell ref="C23:I23"/>
    <mergeCell ref="C24:I24"/>
    <mergeCell ref="C25:I25"/>
    <mergeCell ref="C26:I26"/>
    <mergeCell ref="C28:I28"/>
    <mergeCell ref="C29:I29"/>
    <mergeCell ref="C8:I8"/>
    <mergeCell ref="C11:I11"/>
    <mergeCell ref="C12:I12"/>
    <mergeCell ref="C13:I13"/>
    <mergeCell ref="C14:I14"/>
    <mergeCell ref="C10:I10"/>
    <mergeCell ref="C9:I9"/>
    <mergeCell ref="C36:I36"/>
    <mergeCell ref="C37:I37"/>
    <mergeCell ref="C38:I38"/>
    <mergeCell ref="C31:I31"/>
    <mergeCell ref="C32:I32"/>
    <mergeCell ref="C33:I33"/>
    <mergeCell ref="C34:I34"/>
    <mergeCell ref="C35:I35"/>
  </mergeCells>
  <pageMargins left="0.25" right="0.25" top="0.5" bottom="0.5" header="0.3" footer="0.3"/>
  <pageSetup scale="50" fitToWidth="0"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
  <sheetViews>
    <sheetView tabSelected="1" zoomScale="60" zoomScaleNormal="60" workbookViewId="0">
      <selection activeCell="G20" sqref="G20"/>
    </sheetView>
  </sheetViews>
  <sheetFormatPr defaultColWidth="9.1796875" defaultRowHeight="15" customHeight="1" x14ac:dyDescent="0.3"/>
  <cols>
    <col min="1" max="1" width="3.81640625" style="50" customWidth="1"/>
    <col min="2" max="2" width="30.453125" style="50" customWidth="1"/>
    <col min="3" max="3" width="19.453125" style="50" customWidth="1"/>
    <col min="4" max="4" width="44.453125" style="50" customWidth="1"/>
    <col min="5" max="6" width="23.453125" style="50" customWidth="1"/>
    <col min="7" max="7" width="33.81640625" style="50" customWidth="1"/>
    <col min="8" max="8" width="37" style="50" customWidth="1"/>
    <col min="9" max="9" width="23.453125" style="50" customWidth="1"/>
    <col min="10" max="10" width="18.453125" style="50" customWidth="1"/>
    <col min="11" max="11" width="40.81640625" style="50" customWidth="1"/>
    <col min="12" max="16384" width="9.1796875" style="50"/>
  </cols>
  <sheetData>
    <row r="1" spans="1:11" ht="60" customHeight="1" x14ac:dyDescent="0.45">
      <c r="B1" s="104" t="s">
        <v>249</v>
      </c>
      <c r="C1" s="104"/>
      <c r="D1" s="104"/>
      <c r="E1" s="104"/>
      <c r="F1" s="104"/>
      <c r="G1" s="104"/>
      <c r="H1" s="104"/>
      <c r="I1" s="104"/>
      <c r="J1" s="104"/>
      <c r="K1" s="104"/>
    </row>
    <row r="2" spans="1:11" ht="18.5" x14ac:dyDescent="0.45">
      <c r="A2" s="59"/>
      <c r="B2" s="114"/>
      <c r="C2" s="114"/>
      <c r="D2" s="114"/>
      <c r="E2" s="114"/>
      <c r="F2" s="114"/>
      <c r="G2" s="114"/>
      <c r="H2" s="114"/>
      <c r="I2" s="114"/>
      <c r="J2" s="70"/>
      <c r="K2" s="70"/>
    </row>
    <row r="3" spans="1:11" ht="74" x14ac:dyDescent="0.45">
      <c r="A3" s="59"/>
      <c r="B3" s="71" t="s">
        <v>250</v>
      </c>
      <c r="C3" s="72" t="s">
        <v>251</v>
      </c>
      <c r="D3" s="73" t="s">
        <v>252</v>
      </c>
      <c r="E3" s="73" t="s">
        <v>253</v>
      </c>
      <c r="F3" s="73" t="s">
        <v>254</v>
      </c>
      <c r="G3" s="73" t="s">
        <v>255</v>
      </c>
      <c r="H3" s="73" t="s">
        <v>256</v>
      </c>
      <c r="I3" s="74" t="s">
        <v>257</v>
      </c>
      <c r="J3" s="73" t="s">
        <v>258</v>
      </c>
      <c r="K3" s="73" t="s">
        <v>35</v>
      </c>
    </row>
    <row r="4" spans="1:11" ht="33.75" customHeight="1" x14ac:dyDescent="0.45">
      <c r="A4" s="59"/>
      <c r="B4" s="118" t="s">
        <v>259</v>
      </c>
      <c r="C4" s="119"/>
      <c r="D4" s="119"/>
      <c r="E4" s="119"/>
      <c r="F4" s="119"/>
      <c r="G4" s="119"/>
      <c r="H4" s="119"/>
      <c r="I4" s="119"/>
      <c r="J4" s="119"/>
      <c r="K4" s="120"/>
    </row>
    <row r="5" spans="1:11" ht="29.5" customHeight="1" x14ac:dyDescent="0.3">
      <c r="A5" s="61"/>
      <c r="B5" s="115" t="s">
        <v>260</v>
      </c>
      <c r="C5" s="116"/>
      <c r="D5" s="116"/>
      <c r="E5" s="116"/>
      <c r="F5" s="116"/>
      <c r="G5" s="116"/>
      <c r="H5" s="116"/>
      <c r="I5" s="116"/>
      <c r="J5" s="116"/>
      <c r="K5" s="117"/>
    </row>
    <row r="6" spans="1:11" ht="24" customHeight="1" x14ac:dyDescent="0.45">
      <c r="A6" s="60"/>
      <c r="B6" s="75" t="s">
        <v>261</v>
      </c>
      <c r="C6" s="106" t="s">
        <v>262</v>
      </c>
      <c r="D6" s="107"/>
      <c r="E6" s="107"/>
      <c r="F6" s="107"/>
      <c r="G6" s="107"/>
      <c r="H6" s="107"/>
      <c r="I6" s="107"/>
      <c r="J6" s="107"/>
      <c r="K6" s="108"/>
    </row>
    <row r="7" spans="1:11" ht="81" customHeight="1" x14ac:dyDescent="0.45">
      <c r="A7" s="60"/>
      <c r="B7" s="62" t="s">
        <v>263</v>
      </c>
      <c r="C7" s="109" t="s">
        <v>264</v>
      </c>
      <c r="D7" s="110" t="s">
        <v>265</v>
      </c>
      <c r="E7" s="112"/>
      <c r="F7" s="112"/>
      <c r="G7" s="112"/>
      <c r="H7" s="112"/>
      <c r="I7" s="112"/>
      <c r="J7" s="112"/>
      <c r="K7" s="112"/>
    </row>
    <row r="8" spans="1:11" ht="128.15" customHeight="1" x14ac:dyDescent="0.45">
      <c r="A8" s="60"/>
      <c r="B8" s="76" t="s">
        <v>266</v>
      </c>
      <c r="C8" s="109"/>
      <c r="D8" s="111"/>
      <c r="E8" s="113"/>
      <c r="F8" s="113"/>
      <c r="G8" s="113"/>
      <c r="H8" s="113"/>
      <c r="I8" s="113"/>
      <c r="J8" s="113"/>
      <c r="K8" s="113"/>
    </row>
    <row r="9" spans="1:11" ht="257.14999999999998" customHeight="1" x14ac:dyDescent="0.45">
      <c r="A9" s="60"/>
      <c r="B9" s="64" t="s">
        <v>267</v>
      </c>
      <c r="C9" s="77" t="s">
        <v>268</v>
      </c>
      <c r="D9" s="63" t="s">
        <v>269</v>
      </c>
      <c r="E9" s="78" t="s">
        <v>270</v>
      </c>
      <c r="F9" s="63" t="s">
        <v>271</v>
      </c>
      <c r="G9" s="63" t="s">
        <v>272</v>
      </c>
      <c r="H9" s="63" t="s">
        <v>273</v>
      </c>
      <c r="I9" s="63" t="s">
        <v>274</v>
      </c>
      <c r="J9" s="87" t="s">
        <v>275</v>
      </c>
      <c r="K9" s="79" t="s">
        <v>276</v>
      </c>
    </row>
    <row r="10" spans="1:11" ht="192.75" customHeight="1" x14ac:dyDescent="0.45">
      <c r="A10" s="60"/>
      <c r="B10" s="80" t="s">
        <v>277</v>
      </c>
      <c r="C10" s="81" t="s">
        <v>278</v>
      </c>
      <c r="D10" s="63" t="s">
        <v>279</v>
      </c>
      <c r="E10" s="82"/>
      <c r="F10" s="82"/>
      <c r="G10" s="82"/>
      <c r="H10" s="82"/>
      <c r="I10" s="82"/>
      <c r="J10" s="82"/>
      <c r="K10" s="82"/>
    </row>
    <row r="11" spans="1:11" ht="275.14999999999998" customHeight="1" x14ac:dyDescent="0.45">
      <c r="A11" s="60"/>
      <c r="B11" s="83" t="s">
        <v>280</v>
      </c>
      <c r="C11" s="81" t="s">
        <v>281</v>
      </c>
      <c r="D11" s="63" t="s">
        <v>282</v>
      </c>
      <c r="E11" s="78" t="s">
        <v>283</v>
      </c>
      <c r="F11" s="64" t="s">
        <v>343</v>
      </c>
      <c r="G11" s="64" t="s">
        <v>284</v>
      </c>
      <c r="H11" s="64" t="s">
        <v>285</v>
      </c>
      <c r="I11" s="63" t="s">
        <v>286</v>
      </c>
      <c r="J11" s="87" t="s">
        <v>287</v>
      </c>
      <c r="K11" s="79" t="s">
        <v>288</v>
      </c>
    </row>
    <row r="12" spans="1:11" ht="24" customHeight="1" x14ac:dyDescent="0.45">
      <c r="A12" s="60"/>
      <c r="B12" s="84" t="s">
        <v>289</v>
      </c>
      <c r="C12" s="105" t="s">
        <v>290</v>
      </c>
      <c r="D12" s="105"/>
      <c r="E12" s="105"/>
      <c r="F12" s="105"/>
      <c r="G12" s="105"/>
      <c r="H12" s="105"/>
      <c r="I12" s="105"/>
      <c r="J12" s="105"/>
      <c r="K12" s="105"/>
    </row>
    <row r="13" spans="1:11" ht="249" customHeight="1" x14ac:dyDescent="0.45">
      <c r="A13" s="60"/>
      <c r="B13" s="83" t="s">
        <v>291</v>
      </c>
      <c r="C13" s="77" t="s">
        <v>292</v>
      </c>
      <c r="D13" s="64" t="s">
        <v>293</v>
      </c>
      <c r="E13" s="85" t="s">
        <v>294</v>
      </c>
      <c r="F13" s="64" t="s">
        <v>295</v>
      </c>
      <c r="G13" s="64" t="s">
        <v>272</v>
      </c>
      <c r="H13" s="64" t="s">
        <v>296</v>
      </c>
      <c r="I13" s="64" t="s">
        <v>297</v>
      </c>
      <c r="J13" s="66" t="s">
        <v>275</v>
      </c>
      <c r="K13" s="65" t="s">
        <v>298</v>
      </c>
    </row>
    <row r="14" spans="1:11" ht="309" customHeight="1" x14ac:dyDescent="0.45">
      <c r="A14" s="60"/>
      <c r="B14" s="86" t="s">
        <v>299</v>
      </c>
      <c r="C14" s="85" t="s">
        <v>300</v>
      </c>
      <c r="D14" s="64" t="s">
        <v>301</v>
      </c>
      <c r="E14" s="85" t="s">
        <v>302</v>
      </c>
      <c r="F14" s="66" t="s">
        <v>303</v>
      </c>
      <c r="G14" s="64" t="s">
        <v>304</v>
      </c>
      <c r="H14" s="64" t="s">
        <v>305</v>
      </c>
      <c r="I14" s="64" t="s">
        <v>306</v>
      </c>
      <c r="J14" s="66" t="s">
        <v>275</v>
      </c>
      <c r="K14" s="65" t="s">
        <v>307</v>
      </c>
    </row>
    <row r="15" spans="1:11" ht="24" customHeight="1" x14ac:dyDescent="0.45">
      <c r="A15" s="60"/>
      <c r="B15" s="84" t="s">
        <v>308</v>
      </c>
      <c r="C15" s="106" t="s">
        <v>309</v>
      </c>
      <c r="D15" s="107"/>
      <c r="E15" s="107"/>
      <c r="F15" s="107"/>
      <c r="G15" s="107"/>
      <c r="H15" s="107"/>
      <c r="I15" s="107"/>
      <c r="J15" s="107"/>
      <c r="K15" s="108"/>
    </row>
    <row r="16" spans="1:11" ht="69" customHeight="1" x14ac:dyDescent="0.45">
      <c r="A16" s="60"/>
      <c r="B16" s="64" t="s">
        <v>310</v>
      </c>
      <c r="C16" s="126" t="s">
        <v>311</v>
      </c>
      <c r="D16" s="110" t="s">
        <v>312</v>
      </c>
      <c r="E16" s="128" t="s">
        <v>313</v>
      </c>
      <c r="F16" s="110" t="s">
        <v>314</v>
      </c>
      <c r="G16" s="110" t="s">
        <v>315</v>
      </c>
      <c r="H16" s="110" t="s">
        <v>316</v>
      </c>
      <c r="I16" s="110" t="s">
        <v>317</v>
      </c>
      <c r="J16" s="122" t="s">
        <v>287</v>
      </c>
      <c r="K16" s="124" t="s">
        <v>318</v>
      </c>
    </row>
    <row r="17" spans="1:11" ht="222.75" customHeight="1" x14ac:dyDescent="0.45">
      <c r="A17" s="60"/>
      <c r="B17" s="80" t="s">
        <v>319</v>
      </c>
      <c r="C17" s="127"/>
      <c r="D17" s="111"/>
      <c r="E17" s="129"/>
      <c r="F17" s="111"/>
      <c r="G17" s="121"/>
      <c r="H17" s="121"/>
      <c r="I17" s="111"/>
      <c r="J17" s="123"/>
      <c r="K17" s="125"/>
    </row>
    <row r="18" spans="1:11" ht="273" customHeight="1" x14ac:dyDescent="0.3">
      <c r="B18" s="64" t="s">
        <v>320</v>
      </c>
      <c r="C18" s="85" t="s">
        <v>321</v>
      </c>
      <c r="D18" s="64" t="s">
        <v>322</v>
      </c>
      <c r="E18" s="85" t="s">
        <v>283</v>
      </c>
      <c r="F18" s="66" t="s">
        <v>344</v>
      </c>
      <c r="G18" s="80" t="s">
        <v>323</v>
      </c>
      <c r="H18" s="64" t="s">
        <v>285</v>
      </c>
      <c r="I18" s="66" t="s">
        <v>324</v>
      </c>
      <c r="J18" s="66" t="s">
        <v>287</v>
      </c>
      <c r="K18" s="65" t="s">
        <v>325</v>
      </c>
    </row>
    <row r="19" spans="1:11" ht="236.15" customHeight="1" x14ac:dyDescent="0.3">
      <c r="B19" s="80" t="s">
        <v>326</v>
      </c>
      <c r="C19" s="85" t="s">
        <v>327</v>
      </c>
      <c r="D19" s="64" t="s">
        <v>328</v>
      </c>
      <c r="E19" s="85" t="s">
        <v>329</v>
      </c>
      <c r="F19" s="64" t="s">
        <v>330</v>
      </c>
      <c r="G19" s="80" t="s">
        <v>331</v>
      </c>
      <c r="H19" s="64" t="s">
        <v>316</v>
      </c>
      <c r="I19" s="66" t="s">
        <v>332</v>
      </c>
      <c r="J19" s="66" t="s">
        <v>287</v>
      </c>
      <c r="K19" s="65" t="s">
        <v>333</v>
      </c>
    </row>
    <row r="20" spans="1:11" ht="140.15" customHeight="1" x14ac:dyDescent="0.3">
      <c r="B20" s="67"/>
      <c r="C20" s="68"/>
      <c r="D20" s="67"/>
      <c r="E20" s="68"/>
      <c r="F20" s="67"/>
      <c r="G20" s="67"/>
      <c r="H20" s="67"/>
      <c r="I20" s="67"/>
      <c r="J20" s="67"/>
      <c r="K20" s="69"/>
    </row>
    <row r="21" spans="1:11" ht="142" customHeight="1" x14ac:dyDescent="0.3">
      <c r="B21" s="51"/>
      <c r="C21" s="52"/>
      <c r="D21" s="51"/>
      <c r="E21" s="53"/>
      <c r="F21" s="51"/>
      <c r="G21" s="51"/>
      <c r="H21" s="51"/>
      <c r="I21" s="51"/>
      <c r="J21" s="51"/>
      <c r="K21" s="55"/>
    </row>
    <row r="22" spans="1:11" ht="132" customHeight="1" x14ac:dyDescent="0.3">
      <c r="B22" s="51"/>
      <c r="C22" s="52"/>
      <c r="D22" s="51"/>
      <c r="E22" s="53"/>
      <c r="F22" s="51"/>
      <c r="G22" s="51"/>
      <c r="H22" s="54"/>
      <c r="I22" s="51"/>
      <c r="J22" s="51"/>
      <c r="K22" s="55"/>
    </row>
    <row r="23" spans="1:11" ht="129" customHeight="1" x14ac:dyDescent="0.3">
      <c r="B23" s="51"/>
      <c r="C23" s="52"/>
      <c r="D23" s="51"/>
      <c r="E23" s="53"/>
      <c r="F23" s="51"/>
      <c r="G23" s="51"/>
      <c r="H23" s="54"/>
      <c r="I23" s="51"/>
      <c r="J23" s="51"/>
      <c r="K23" s="55"/>
    </row>
    <row r="24" spans="1:11" ht="14" x14ac:dyDescent="0.3"/>
    <row r="25" spans="1:11" ht="14" x14ac:dyDescent="0.3"/>
    <row r="26" spans="1:11" ht="14" x14ac:dyDescent="0.3"/>
    <row r="27" spans="1:11" ht="14" x14ac:dyDescent="0.3"/>
    <row r="28" spans="1:11" ht="14" x14ac:dyDescent="0.3"/>
    <row r="29" spans="1:11" ht="14" x14ac:dyDescent="0.3"/>
    <row r="30" spans="1:11" ht="14" x14ac:dyDescent="0.3"/>
    <row r="31" spans="1:11" ht="14" x14ac:dyDescent="0.3"/>
    <row r="32" spans="1:11" ht="14" x14ac:dyDescent="0.3"/>
    <row r="33" ht="14" x14ac:dyDescent="0.3"/>
  </sheetData>
  <mergeCells count="25">
    <mergeCell ref="H16:H17"/>
    <mergeCell ref="I16:I17"/>
    <mergeCell ref="J16:J17"/>
    <mergeCell ref="K16:K17"/>
    <mergeCell ref="C16:C17"/>
    <mergeCell ref="D16:D17"/>
    <mergeCell ref="E16:E17"/>
    <mergeCell ref="F16:F17"/>
    <mergeCell ref="G16:G17"/>
    <mergeCell ref="B1:K1"/>
    <mergeCell ref="C12:K12"/>
    <mergeCell ref="C15:K15"/>
    <mergeCell ref="C7:C8"/>
    <mergeCell ref="D7:D8"/>
    <mergeCell ref="E7:E8"/>
    <mergeCell ref="F7:F8"/>
    <mergeCell ref="G7:G8"/>
    <mergeCell ref="H7:H8"/>
    <mergeCell ref="I7:I8"/>
    <mergeCell ref="J7:J8"/>
    <mergeCell ref="K7:K8"/>
    <mergeCell ref="B2:I2"/>
    <mergeCell ref="B5:K5"/>
    <mergeCell ref="B4:K4"/>
    <mergeCell ref="C6:K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K11"/>
  <sheetViews>
    <sheetView workbookViewId="0">
      <selection activeCell="E11" sqref="E11"/>
    </sheetView>
  </sheetViews>
  <sheetFormatPr defaultColWidth="8.81640625" defaultRowHeight="14.5" x14ac:dyDescent="0.35"/>
  <sheetData>
    <row r="1" spans="1:11" x14ac:dyDescent="0.35">
      <c r="A1" t="s">
        <v>334</v>
      </c>
      <c r="B1" t="s">
        <v>335</v>
      </c>
      <c r="J1" t="s">
        <v>336</v>
      </c>
      <c r="K1" t="s">
        <v>337</v>
      </c>
    </row>
    <row r="2" spans="1:11" x14ac:dyDescent="0.35">
      <c r="A2" t="s">
        <v>0</v>
      </c>
      <c r="B2" s="48" t="s">
        <v>338</v>
      </c>
      <c r="J2">
        <v>2017</v>
      </c>
      <c r="K2" t="s">
        <v>339</v>
      </c>
    </row>
    <row r="3" spans="1:11" x14ac:dyDescent="0.35">
      <c r="J3">
        <v>2018</v>
      </c>
      <c r="K3" t="s">
        <v>340</v>
      </c>
    </row>
    <row r="4" spans="1:11" x14ac:dyDescent="0.35">
      <c r="J4">
        <v>2019</v>
      </c>
      <c r="K4" t="s">
        <v>341</v>
      </c>
    </row>
    <row r="5" spans="1:11" x14ac:dyDescent="0.35">
      <c r="J5">
        <v>2020</v>
      </c>
      <c r="K5" t="s">
        <v>342</v>
      </c>
    </row>
    <row r="6" spans="1:11" x14ac:dyDescent="0.35">
      <c r="J6">
        <v>2021</v>
      </c>
    </row>
    <row r="7" spans="1:11" x14ac:dyDescent="0.35">
      <c r="J7">
        <v>2022</v>
      </c>
    </row>
    <row r="8" spans="1:11" x14ac:dyDescent="0.35">
      <c r="J8">
        <v>2023</v>
      </c>
    </row>
    <row r="9" spans="1:11" x14ac:dyDescent="0.35">
      <c r="J9">
        <v>2024</v>
      </c>
    </row>
    <row r="10" spans="1:11" x14ac:dyDescent="0.35">
      <c r="J10">
        <v>2025</v>
      </c>
    </row>
    <row r="11" spans="1:11" x14ac:dyDescent="0.35">
      <c r="J11">
        <v>2026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680700-A0B6-450D-AA11-86AC66327979}">
  <ds:schemaRefs>
    <ds:schemaRef ds:uri="http://schemas.microsoft.com/sharepoint/v3/contenttype/forms"/>
  </ds:schemaRefs>
</ds:datastoreItem>
</file>

<file path=customXml/itemProps2.xml><?xml version="1.0" encoding="utf-8"?>
<ds:datastoreItem xmlns:ds="http://schemas.openxmlformats.org/officeDocument/2006/customXml" ds:itemID="{E70AF38A-4389-41B5-8A2D-FA5F0029A2C8}"/>
</file>

<file path=customXml/itemProps3.xml><?xml version="1.0" encoding="utf-8"?>
<ds:datastoreItem xmlns:ds="http://schemas.openxmlformats.org/officeDocument/2006/customXml" ds:itemID="{43A79145-4529-4372-AD29-A18307D8CF36}">
  <ds:schemaRefs>
    <ds:schemaRef ds:uri="http://schemas.microsoft.com/office/2006/metadata/properties"/>
    <ds:schemaRef ds:uri="http://schemas.microsoft.com/office/infopath/2007/PartnerControls"/>
    <ds:schemaRef ds:uri="ca6f1b8b-2efb-4515-a316-20593799dcdd"/>
    <ds:schemaRef ds:uri="dc808d36-874f-4b27-aec2-2fd6498179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CPI</vt:lpstr>
      <vt:lpstr>JTIP Definitions</vt:lpstr>
      <vt:lpstr>RMP</vt:lpstr>
      <vt:lpstr>Config</vt:lpstr>
      <vt:lpstr>'JTIP Definitions'!Print_Area</vt:lpstr>
      <vt:lpstr>QuarterList</vt:lpstr>
      <vt:lpstr>YearList</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Gordon, Joe</dc:creator>
  <cp:keywords/>
  <dc:description/>
  <cp:lastModifiedBy>Macarena Jimenez Granda</cp:lastModifiedBy>
  <cp:revision/>
  <dcterms:created xsi:type="dcterms:W3CDTF">2017-03-28T13:10:01Z</dcterms:created>
  <dcterms:modified xsi:type="dcterms:W3CDTF">2025-11-14T19:02:14Z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SIP_Label_1665d9ee-429a-4d5f-97cc-cfb56e044a6e_Enabled">
    <vt:lpwstr>true</vt:lpwstr>
  </property>
  <property fmtid="{D5CDD505-2E9C-101B-9397-08002B2CF9AE}" pid="4" name="MSIP_Label_1665d9ee-429a-4d5f-97cc-cfb56e044a6e_SetDate">
    <vt:lpwstr>2022-08-29T21:21:58Z</vt:lpwstr>
  </property>
  <property fmtid="{D5CDD505-2E9C-101B-9397-08002B2CF9AE}" pid="5" name="MSIP_Label_1665d9ee-429a-4d5f-97cc-cfb56e044a6e_Method">
    <vt:lpwstr>Privileged</vt:lpwstr>
  </property>
  <property fmtid="{D5CDD505-2E9C-101B-9397-08002B2CF9AE}" pid="6" name="MSIP_Label_1665d9ee-429a-4d5f-97cc-cfb56e044a6e_Name">
    <vt:lpwstr>1665d9ee-429a-4d5f-97cc-cfb56e044a6e</vt:lpwstr>
  </property>
  <property fmtid="{D5CDD505-2E9C-101B-9397-08002B2CF9AE}" pid="7" name="MSIP_Label_1665d9ee-429a-4d5f-97cc-cfb56e044a6e_SiteId">
    <vt:lpwstr>66cf5074-5afe-48d1-a691-a12b2121f44b</vt:lpwstr>
  </property>
  <property fmtid="{D5CDD505-2E9C-101B-9397-08002B2CF9AE}" pid="8" name="MSIP_Label_1665d9ee-429a-4d5f-97cc-cfb56e044a6e_ActionId">
    <vt:lpwstr>ec88b76d-c352-4086-80e7-b518c22e89c3</vt:lpwstr>
  </property>
  <property fmtid="{D5CDD505-2E9C-101B-9397-08002B2CF9AE}" pid="9" name="MSIP_Label_1665d9ee-429a-4d5f-97cc-cfb56e044a6e_ContentBits">
    <vt:lpwstr>0</vt:lpwstr>
  </property>
  <property fmtid="{D5CDD505-2E9C-101B-9397-08002B2CF9AE}" pid="10" name="MediaServiceImageTags">
    <vt:lpwstr/>
  </property>
</Properties>
</file>