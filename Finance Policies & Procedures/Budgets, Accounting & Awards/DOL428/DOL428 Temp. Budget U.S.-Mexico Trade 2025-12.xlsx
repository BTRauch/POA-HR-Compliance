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DOL428/"/>
    </mc:Choice>
  </mc:AlternateContent>
  <xr:revisionPtr revIDLastSave="6262" documentId="13_ncr:1_{7D21D2A2-9F1B-47EB-B0AD-400103986469}" xr6:coauthVersionLast="47" xr6:coauthVersionMax="47" xr10:uidLastSave="{924F8CAF-068A-40B5-AD7B-5D29DB36442C}"/>
  <bookViews>
    <workbookView xWindow="-96" yWindow="-96" windowWidth="23232" windowHeight="12552" tabRatio="757" firstSheet="1" activeTab="1" xr2:uid="{00000000-000D-0000-FFFF-FFFF00000000}"/>
  </bookViews>
  <sheets>
    <sheet name="Budget Summary" sheetId="160" r:id="rId1"/>
    <sheet name="POA General Budget" sheetId="161" r:id="rId2"/>
    <sheet name="M&amp;E Budget" sheetId="178" r:id="rId3"/>
    <sheet name="ITAM Sub Budget Summary" sheetId="176" r:id="rId4"/>
    <sheet name="ITAM Sub Budget" sheetId="173" r:id="rId5"/>
    <sheet name="FES Sub Budget Summary" sheetId="175" r:id="rId6"/>
    <sheet name="FES Sub Budget" sheetId="172" r:id="rId7"/>
    <sheet name="Travel" sheetId="171" r:id="rId8"/>
    <sheet name="Expenses - Unit Costs" sheetId="177" r:id="rId9"/>
  </sheets>
  <definedNames>
    <definedName name="_xlnm._FilterDatabase" localSheetId="2" hidden="1">'M&amp;E Budget'!$A$9:$R$36</definedName>
    <definedName name="_xlnm._FilterDatabase" localSheetId="1" hidden="1">'POA General Budget'!$D$9:$U$167</definedName>
    <definedName name="agentfee">#REF!</definedName>
    <definedName name="avrent">#REF!</definedName>
    <definedName name="Category">#REF!</definedName>
    <definedName name="coffee">#REF!</definedName>
    <definedName name="consairfare">#REF!</definedName>
    <definedName name="consground">#REF!</definedName>
    <definedName name="conslodg">#REF!</definedName>
    <definedName name="consmeals">#REF!</definedName>
    <definedName name="consmisc">#REF!</definedName>
    <definedName name="DL_Country">#REF!</definedName>
    <definedName name="DL_TotalDOL">#REF!</definedName>
    <definedName name="EQ_Country">#REF!</definedName>
    <definedName name="EQ_TotalDOL">#REF!</definedName>
    <definedName name="er">#REF!</definedName>
    <definedName name="ground">#REF!</definedName>
    <definedName name="guideprint">#REF!</definedName>
    <definedName name="inmuniz">#REF!</definedName>
    <definedName name="intairfare">#REF!</definedName>
    <definedName name="intcalls">#REF!</definedName>
    <definedName name="intcons">#REF!</definedName>
    <definedName name="intmisc">#REF!</definedName>
    <definedName name="livingq">#REF!</definedName>
    <definedName name="Local_transport_part">#REF!</definedName>
    <definedName name="localairfare">#REF!</definedName>
    <definedName name="localcons">#REF!</definedName>
    <definedName name="locallodg">#REF!</definedName>
    <definedName name="localmeals">#REF!</definedName>
    <definedName name="localmisc">#REF!</definedName>
    <definedName name="lunch">#REF!</definedName>
    <definedName name="mats">#REF!</definedName>
    <definedName name="ME_TotalDOL">#REF!</definedName>
    <definedName name="medex">#REF!</definedName>
    <definedName name="meetcost">#REF!+#REF!</definedName>
    <definedName name="mileage">#REF!</definedName>
    <definedName name="natcalls">#REF!</definedName>
    <definedName name="O1_Country">#REF!</definedName>
    <definedName name="O1_TotalDOL">#REF!</definedName>
    <definedName name="O2_Country">#REF!</definedName>
    <definedName name="O2_TotalDOL">#REF!</definedName>
    <definedName name="partairfare">#REF!</definedName>
    <definedName name="partground">#REF!</definedName>
    <definedName name="partlodg">#REF!</definedName>
    <definedName name="partmats">#REF!</definedName>
    <definedName name="partmeals">#REF!</definedName>
    <definedName name="partmisc">#REF!</definedName>
    <definedName name="partprint">#REF!</definedName>
    <definedName name="parttransp">#REF!</definedName>
    <definedName name="print">#REF!</definedName>
    <definedName name="regcons">#REF!</definedName>
    <definedName name="roomrent">#REF!</definedName>
    <definedName name="SU_Country">#REF!</definedName>
    <definedName name="SU_TotalDOL">#REF!</definedName>
    <definedName name="surveyor">#REF!</definedName>
    <definedName name="tdlunch">#REF!</definedName>
    <definedName name="TotalDOL">#REF!</definedName>
    <definedName name="TR_Country">#REF!</definedName>
    <definedName name="TR_TotalDOL">#REF!</definedName>
    <definedName name="travmisc">#REF!+#REF!+#REF!</definedName>
    <definedName name="usaidlodg">#REF!</definedName>
    <definedName name="usaidmeal">#REF!</definedName>
    <definedName name="usaidperd">#REF!+#REF!</definedName>
    <definedName name="uspost">#REF!</definedName>
    <definedName name="visa">#REF!</definedName>
    <definedName name="worksho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2" i="161" l="1"/>
  <c r="H151" i="161"/>
  <c r="E31" i="178" s="1"/>
  <c r="J110" i="161"/>
  <c r="L110" i="161"/>
  <c r="N110" i="161"/>
  <c r="P110" i="161"/>
  <c r="R110" i="161"/>
  <c r="J111" i="161"/>
  <c r="L111" i="161"/>
  <c r="N111" i="161"/>
  <c r="P111" i="161"/>
  <c r="R111" i="161"/>
  <c r="J112" i="161"/>
  <c r="L112" i="161"/>
  <c r="N112" i="161"/>
  <c r="P112" i="161"/>
  <c r="R112" i="161"/>
  <c r="J113" i="161"/>
  <c r="L113" i="161"/>
  <c r="N113" i="161"/>
  <c r="P113" i="161"/>
  <c r="R113" i="161"/>
  <c r="J114" i="161"/>
  <c r="L114" i="161"/>
  <c r="N114" i="161"/>
  <c r="P114" i="161"/>
  <c r="R114" i="161"/>
  <c r="P40" i="172"/>
  <c r="R40" i="172" s="1"/>
  <c r="G32" i="172"/>
  <c r="I32" i="172"/>
  <c r="P32" i="172" s="1"/>
  <c r="R32" i="172" s="1"/>
  <c r="K32" i="172"/>
  <c r="M32" i="172"/>
  <c r="O32" i="172"/>
  <c r="P29" i="172"/>
  <c r="R29" i="172" s="1"/>
  <c r="Q104" i="173"/>
  <c r="Q106" i="173" s="1"/>
  <c r="P66" i="173"/>
  <c r="R66" i="173" s="1"/>
  <c r="J94" i="161"/>
  <c r="L94" i="161"/>
  <c r="I22" i="178" s="1"/>
  <c r="N94" i="161"/>
  <c r="K22" i="178" s="1"/>
  <c r="P94" i="161"/>
  <c r="M22" i="178" s="1"/>
  <c r="R94" i="161"/>
  <c r="J95" i="161"/>
  <c r="L95" i="161"/>
  <c r="I23" i="178" s="1"/>
  <c r="N95" i="161"/>
  <c r="P95" i="161"/>
  <c r="M23" i="178" s="1"/>
  <c r="R95" i="161"/>
  <c r="O23" i="178" s="1"/>
  <c r="H154" i="161"/>
  <c r="J154" i="161" s="1"/>
  <c r="K154" i="161"/>
  <c r="H34" i="178" s="1"/>
  <c r="M154" i="161"/>
  <c r="N154" i="161" s="1"/>
  <c r="K34" i="178" s="1"/>
  <c r="O154" i="161"/>
  <c r="P154" i="161" s="1"/>
  <c r="R154" i="161"/>
  <c r="H155" i="161"/>
  <c r="J155" i="161" s="1"/>
  <c r="L155" i="161"/>
  <c r="N155" i="161"/>
  <c r="P155" i="161"/>
  <c r="R155" i="161"/>
  <c r="O61" i="161"/>
  <c r="O62" i="161"/>
  <c r="O63" i="161"/>
  <c r="M61" i="161"/>
  <c r="M62" i="161"/>
  <c r="M63" i="161"/>
  <c r="N63" i="161" s="1"/>
  <c r="Q41" i="161"/>
  <c r="Q42" i="161"/>
  <c r="O41" i="161"/>
  <c r="O42" i="161"/>
  <c r="M41" i="161"/>
  <c r="M42" i="161"/>
  <c r="K41" i="161"/>
  <c r="K42" i="161"/>
  <c r="H42" i="161"/>
  <c r="B18" i="171"/>
  <c r="B19" i="171"/>
  <c r="B20" i="171"/>
  <c r="B22" i="171"/>
  <c r="Q37" i="161"/>
  <c r="Q38" i="161"/>
  <c r="O37" i="161"/>
  <c r="O38" i="161"/>
  <c r="M37" i="161"/>
  <c r="M38" i="161"/>
  <c r="I37" i="161"/>
  <c r="I32" i="161"/>
  <c r="H69" i="161"/>
  <c r="E13" i="178" s="1"/>
  <c r="K69" i="161"/>
  <c r="K72" i="161" s="1"/>
  <c r="H16" i="178" s="1"/>
  <c r="M69" i="161"/>
  <c r="M72" i="161" s="1"/>
  <c r="J16" i="178" s="1"/>
  <c r="O69" i="161"/>
  <c r="O72" i="161" s="1"/>
  <c r="L16" i="178" s="1"/>
  <c r="K17" i="177"/>
  <c r="K15" i="177"/>
  <c r="K13" i="177"/>
  <c r="K12" i="177"/>
  <c r="K11" i="177"/>
  <c r="K10" i="177"/>
  <c r="K9" i="177"/>
  <c r="K8" i="177"/>
  <c r="K7" i="177"/>
  <c r="K6" i="177"/>
  <c r="K5" i="177"/>
  <c r="F51" i="172" s="1"/>
  <c r="K4" i="177"/>
  <c r="H76" i="161"/>
  <c r="E20" i="178" s="1"/>
  <c r="H75" i="161"/>
  <c r="E19" i="178" s="1"/>
  <c r="H74" i="161"/>
  <c r="E18" i="178" s="1"/>
  <c r="Q69" i="178"/>
  <c r="N69" i="178"/>
  <c r="L69" i="178"/>
  <c r="F69" i="178"/>
  <c r="E69" i="178"/>
  <c r="Q68" i="178"/>
  <c r="N68" i="178"/>
  <c r="L68" i="178"/>
  <c r="J68" i="178"/>
  <c r="H68" i="178"/>
  <c r="F68" i="178"/>
  <c r="E68" i="178"/>
  <c r="Q67" i="178"/>
  <c r="N67" i="178"/>
  <c r="L67" i="178"/>
  <c r="J67" i="178"/>
  <c r="H67" i="178"/>
  <c r="F67" i="178"/>
  <c r="E67" i="178"/>
  <c r="Q66" i="178"/>
  <c r="N66" i="178"/>
  <c r="L66" i="178"/>
  <c r="J66" i="178"/>
  <c r="H66" i="178"/>
  <c r="F66" i="178"/>
  <c r="E66" i="178"/>
  <c r="Q64" i="178"/>
  <c r="N64" i="178"/>
  <c r="H64" i="178"/>
  <c r="G64" i="178"/>
  <c r="F64" i="178"/>
  <c r="E64" i="178"/>
  <c r="Q63" i="178"/>
  <c r="N63" i="178"/>
  <c r="H63" i="178"/>
  <c r="F63" i="178"/>
  <c r="E63" i="178"/>
  <c r="Q62" i="178"/>
  <c r="N62" i="178"/>
  <c r="H62" i="178"/>
  <c r="F62" i="178"/>
  <c r="E62" i="178"/>
  <c r="Q61" i="178"/>
  <c r="N61" i="178"/>
  <c r="H61" i="178"/>
  <c r="F61" i="178"/>
  <c r="E61" i="178"/>
  <c r="Q59" i="178"/>
  <c r="N59" i="178"/>
  <c r="H59" i="178"/>
  <c r="F59" i="178"/>
  <c r="E59" i="178"/>
  <c r="Q58" i="178"/>
  <c r="N58" i="178"/>
  <c r="H58" i="178"/>
  <c r="F58" i="178"/>
  <c r="E58" i="178"/>
  <c r="Q57" i="178"/>
  <c r="N57" i="178"/>
  <c r="H57" i="178"/>
  <c r="G57" i="178"/>
  <c r="F57" i="178"/>
  <c r="E57" i="178"/>
  <c r="Q56" i="178"/>
  <c r="N56" i="178"/>
  <c r="H56" i="178"/>
  <c r="F56" i="178"/>
  <c r="E56" i="178"/>
  <c r="Q54" i="178"/>
  <c r="N54" i="178"/>
  <c r="H54" i="178"/>
  <c r="F54" i="178"/>
  <c r="E54" i="178"/>
  <c r="Q53" i="178"/>
  <c r="N53" i="178"/>
  <c r="H53" i="178"/>
  <c r="F53" i="178"/>
  <c r="E53" i="178"/>
  <c r="Q52" i="178"/>
  <c r="N52" i="178"/>
  <c r="H52" i="178"/>
  <c r="F52" i="178"/>
  <c r="E52" i="178"/>
  <c r="Q51" i="178"/>
  <c r="N51" i="178"/>
  <c r="I51" i="178"/>
  <c r="H51" i="178"/>
  <c r="F51" i="178"/>
  <c r="E51" i="178"/>
  <c r="Q49" i="178"/>
  <c r="N49" i="178"/>
  <c r="H49" i="178"/>
  <c r="F49" i="178"/>
  <c r="E49" i="178"/>
  <c r="Q48" i="178"/>
  <c r="N48" i="178"/>
  <c r="H48" i="178"/>
  <c r="F48" i="178"/>
  <c r="E48" i="178"/>
  <c r="Q47" i="178"/>
  <c r="N47" i="178"/>
  <c r="I47" i="178"/>
  <c r="H47" i="178"/>
  <c r="F47" i="178"/>
  <c r="E47" i="178"/>
  <c r="Q46" i="178"/>
  <c r="N46" i="178"/>
  <c r="H46" i="178"/>
  <c r="F46" i="178"/>
  <c r="E46" i="178"/>
  <c r="Q41" i="178"/>
  <c r="N41" i="178"/>
  <c r="L41" i="178"/>
  <c r="F41" i="178"/>
  <c r="E41" i="178"/>
  <c r="Q40" i="178"/>
  <c r="N40" i="178"/>
  <c r="L40" i="178"/>
  <c r="E40" i="178"/>
  <c r="Q39" i="178"/>
  <c r="N39" i="178"/>
  <c r="L39" i="178"/>
  <c r="E39" i="178"/>
  <c r="O60" i="173"/>
  <c r="O64" i="178" s="1"/>
  <c r="L60" i="173"/>
  <c r="M60" i="173" s="1"/>
  <c r="M64" i="178" s="1"/>
  <c r="J60" i="173"/>
  <c r="K60" i="173" s="1"/>
  <c r="K64" i="178" s="1"/>
  <c r="I60" i="173"/>
  <c r="I64" i="178" s="1"/>
  <c r="G60" i="173"/>
  <c r="O59" i="173"/>
  <c r="O63" i="178" s="1"/>
  <c r="L59" i="173"/>
  <c r="M59" i="173" s="1"/>
  <c r="M63" i="178" s="1"/>
  <c r="J59" i="173"/>
  <c r="K59" i="173" s="1"/>
  <c r="K63" i="178" s="1"/>
  <c r="I59" i="173"/>
  <c r="I63" i="178" s="1"/>
  <c r="G59" i="173"/>
  <c r="G63" i="178" s="1"/>
  <c r="O58" i="173"/>
  <c r="O62" i="178" s="1"/>
  <c r="L58" i="173"/>
  <c r="M58" i="173" s="1"/>
  <c r="M62" i="178" s="1"/>
  <c r="J58" i="173"/>
  <c r="K58" i="173" s="1"/>
  <c r="K62" i="178" s="1"/>
  <c r="I58" i="173"/>
  <c r="I62" i="178" s="1"/>
  <c r="G58" i="173"/>
  <c r="G62" i="178" s="1"/>
  <c r="O57" i="173"/>
  <c r="O61" i="178" s="1"/>
  <c r="L57" i="173"/>
  <c r="M57" i="173" s="1"/>
  <c r="M61" i="178" s="1"/>
  <c r="J57" i="173"/>
  <c r="K57" i="173" s="1"/>
  <c r="K61" i="178" s="1"/>
  <c r="I57" i="173"/>
  <c r="I61" i="178" s="1"/>
  <c r="G57" i="173"/>
  <c r="G61" i="178" s="1"/>
  <c r="R56" i="173"/>
  <c r="O55" i="173"/>
  <c r="O59" i="178" s="1"/>
  <c r="L55" i="173"/>
  <c r="M55" i="173" s="1"/>
  <c r="M59" i="178" s="1"/>
  <c r="J55" i="173"/>
  <c r="K55" i="173" s="1"/>
  <c r="K59" i="178" s="1"/>
  <c r="I55" i="173"/>
  <c r="I59" i="178" s="1"/>
  <c r="G55" i="173"/>
  <c r="G59" i="178" s="1"/>
  <c r="O54" i="173"/>
  <c r="O58" i="178" s="1"/>
  <c r="L54" i="173"/>
  <c r="M54" i="173" s="1"/>
  <c r="M58" i="178" s="1"/>
  <c r="J54" i="173"/>
  <c r="K54" i="173" s="1"/>
  <c r="K58" i="178" s="1"/>
  <c r="I54" i="173"/>
  <c r="I58" i="178" s="1"/>
  <c r="G54" i="173"/>
  <c r="G58" i="178" s="1"/>
  <c r="O53" i="173"/>
  <c r="O57" i="178" s="1"/>
  <c r="L53" i="173"/>
  <c r="M53" i="173" s="1"/>
  <c r="M57" i="178" s="1"/>
  <c r="J53" i="173"/>
  <c r="K53" i="173" s="1"/>
  <c r="K57" i="178" s="1"/>
  <c r="I53" i="173"/>
  <c r="I57" i="178" s="1"/>
  <c r="G53" i="173"/>
  <c r="O52" i="173"/>
  <c r="O56" i="178" s="1"/>
  <c r="L52" i="173"/>
  <c r="M52" i="173" s="1"/>
  <c r="M56" i="178" s="1"/>
  <c r="J52" i="173"/>
  <c r="K52" i="173" s="1"/>
  <c r="K56" i="178" s="1"/>
  <c r="I52" i="173"/>
  <c r="I56" i="178" s="1"/>
  <c r="G52" i="173"/>
  <c r="G56" i="178" s="1"/>
  <c r="R51" i="173"/>
  <c r="O50" i="173"/>
  <c r="O54" i="178" s="1"/>
  <c r="L50" i="173"/>
  <c r="M50" i="173" s="1"/>
  <c r="M54" i="178" s="1"/>
  <c r="J50" i="173"/>
  <c r="K50" i="173" s="1"/>
  <c r="K54" i="178" s="1"/>
  <c r="I50" i="173"/>
  <c r="I54" i="178" s="1"/>
  <c r="G50" i="173"/>
  <c r="G54" i="178" s="1"/>
  <c r="O49" i="173"/>
  <c r="O53" i="178" s="1"/>
  <c r="L49" i="173"/>
  <c r="M49" i="173" s="1"/>
  <c r="M53" i="178" s="1"/>
  <c r="J49" i="173"/>
  <c r="K49" i="173" s="1"/>
  <c r="K53" i="178" s="1"/>
  <c r="I49" i="173"/>
  <c r="I53" i="178" s="1"/>
  <c r="G49" i="173"/>
  <c r="G53" i="178" s="1"/>
  <c r="O48" i="173"/>
  <c r="O52" i="178" s="1"/>
  <c r="L48" i="173"/>
  <c r="M48" i="173" s="1"/>
  <c r="M52" i="178" s="1"/>
  <c r="J48" i="173"/>
  <c r="K48" i="173" s="1"/>
  <c r="K52" i="178" s="1"/>
  <c r="I48" i="173"/>
  <c r="I52" i="178" s="1"/>
  <c r="G48" i="173"/>
  <c r="G52" i="178" s="1"/>
  <c r="O47" i="173"/>
  <c r="O51" i="178" s="1"/>
  <c r="L47" i="173"/>
  <c r="M47" i="173" s="1"/>
  <c r="M51" i="178" s="1"/>
  <c r="J47" i="173"/>
  <c r="K47" i="173" s="1"/>
  <c r="K51" i="178" s="1"/>
  <c r="I47" i="173"/>
  <c r="G47" i="173"/>
  <c r="G51" i="178" s="1"/>
  <c r="R46" i="173"/>
  <c r="O45" i="173"/>
  <c r="O49" i="178" s="1"/>
  <c r="L45" i="173"/>
  <c r="M45" i="173" s="1"/>
  <c r="M49" i="178" s="1"/>
  <c r="J45" i="173"/>
  <c r="K45" i="173" s="1"/>
  <c r="K49" i="178" s="1"/>
  <c r="I45" i="173"/>
  <c r="I49" i="178" s="1"/>
  <c r="G45" i="173"/>
  <c r="G49" i="178" s="1"/>
  <c r="O44" i="173"/>
  <c r="O48" i="178" s="1"/>
  <c r="L44" i="173"/>
  <c r="M44" i="173" s="1"/>
  <c r="M48" i="178" s="1"/>
  <c r="J44" i="173"/>
  <c r="K44" i="173" s="1"/>
  <c r="K48" i="178" s="1"/>
  <c r="I44" i="173"/>
  <c r="I48" i="178" s="1"/>
  <c r="G44" i="173"/>
  <c r="O43" i="173"/>
  <c r="O47" i="178" s="1"/>
  <c r="L43" i="173"/>
  <c r="M43" i="173" s="1"/>
  <c r="M47" i="178" s="1"/>
  <c r="J43" i="173"/>
  <c r="K43" i="173" s="1"/>
  <c r="K47" i="178" s="1"/>
  <c r="I43" i="173"/>
  <c r="G43" i="173"/>
  <c r="G47" i="178" s="1"/>
  <c r="O42" i="173"/>
  <c r="O46" i="178" s="1"/>
  <c r="L42" i="173"/>
  <c r="M42" i="173" s="1"/>
  <c r="M46" i="178" s="1"/>
  <c r="J42" i="173"/>
  <c r="K42" i="173" s="1"/>
  <c r="K46" i="178" s="1"/>
  <c r="I42" i="173"/>
  <c r="I46" i="178" s="1"/>
  <c r="G42" i="173"/>
  <c r="G46" i="178" s="1"/>
  <c r="Q35" i="178"/>
  <c r="N35" i="178"/>
  <c r="L35" i="178"/>
  <c r="J35" i="178"/>
  <c r="H35" i="178"/>
  <c r="F35" i="178"/>
  <c r="E35" i="178"/>
  <c r="Q34" i="178"/>
  <c r="N34" i="178"/>
  <c r="F34" i="178"/>
  <c r="Q32" i="178"/>
  <c r="N32" i="178"/>
  <c r="L32" i="178"/>
  <c r="J32" i="178"/>
  <c r="H32" i="178"/>
  <c r="F32" i="178"/>
  <c r="Q31" i="178"/>
  <c r="N31" i="178"/>
  <c r="L31" i="178"/>
  <c r="J31" i="178"/>
  <c r="H31" i="178"/>
  <c r="Q29" i="178"/>
  <c r="N29" i="178"/>
  <c r="L29" i="178"/>
  <c r="J29" i="178"/>
  <c r="H29" i="178"/>
  <c r="F29" i="178"/>
  <c r="E29" i="178"/>
  <c r="Q27" i="178"/>
  <c r="N27" i="178"/>
  <c r="Q23" i="178"/>
  <c r="N23" i="178"/>
  <c r="L23" i="178"/>
  <c r="J23" i="178"/>
  <c r="H23" i="178"/>
  <c r="F23" i="178"/>
  <c r="E23" i="178"/>
  <c r="Q22" i="178"/>
  <c r="N22" i="178"/>
  <c r="F22" i="178"/>
  <c r="E22" i="178"/>
  <c r="Q20" i="178"/>
  <c r="N20" i="178"/>
  <c r="L20" i="178"/>
  <c r="J20" i="178"/>
  <c r="H20" i="178"/>
  <c r="F20" i="178"/>
  <c r="Q19" i="178"/>
  <c r="N19" i="178"/>
  <c r="L19" i="178"/>
  <c r="J19" i="178"/>
  <c r="H19" i="178"/>
  <c r="Q18" i="178"/>
  <c r="N18" i="178"/>
  <c r="L18" i="178"/>
  <c r="J18" i="178"/>
  <c r="H18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Q16" i="178"/>
  <c r="N16" i="178"/>
  <c r="F16" i="178"/>
  <c r="Q15" i="178"/>
  <c r="N15" i="178"/>
  <c r="F15" i="178"/>
  <c r="Q14" i="178"/>
  <c r="N14" i="178"/>
  <c r="Q13" i="178"/>
  <c r="N13" i="178"/>
  <c r="K23" i="178"/>
  <c r="T77" i="161"/>
  <c r="O22" i="178"/>
  <c r="G22" i="178"/>
  <c r="J115" i="161"/>
  <c r="L115" i="161"/>
  <c r="N115" i="161"/>
  <c r="P115" i="161"/>
  <c r="R115" i="161"/>
  <c r="H41" i="161"/>
  <c r="K38" i="161"/>
  <c r="K37" i="161"/>
  <c r="H33" i="161"/>
  <c r="H32" i="161"/>
  <c r="P63" i="161"/>
  <c r="K63" i="161"/>
  <c r="L63" i="161" s="1"/>
  <c r="K62" i="161"/>
  <c r="K61" i="161"/>
  <c r="B28" i="171"/>
  <c r="B29" i="171"/>
  <c r="B30" i="171"/>
  <c r="B31" i="171"/>
  <c r="B32" i="171"/>
  <c r="B33" i="171"/>
  <c r="J152" i="161"/>
  <c r="G32" i="178" s="1"/>
  <c r="I151" i="161"/>
  <c r="N151" i="161" s="1"/>
  <c r="K31" i="178" s="1"/>
  <c r="K16" i="177"/>
  <c r="L76" i="161"/>
  <c r="I20" i="178" s="1"/>
  <c r="N76" i="161"/>
  <c r="K20" i="178" s="1"/>
  <c r="P76" i="161"/>
  <c r="M20" i="178" s="1"/>
  <c r="R76" i="161"/>
  <c r="O20" i="178" s="1"/>
  <c r="L152" i="161"/>
  <c r="I32" i="178" s="1"/>
  <c r="N152" i="161"/>
  <c r="K32" i="178" s="1"/>
  <c r="P152" i="161"/>
  <c r="M32" i="178" s="1"/>
  <c r="R152" i="161"/>
  <c r="O32" i="178" s="1"/>
  <c r="S155" i="161" l="1"/>
  <c r="U155" i="161" s="1"/>
  <c r="L13" i="178"/>
  <c r="S94" i="161"/>
  <c r="U94" i="161" s="1"/>
  <c r="J13" i="178"/>
  <c r="S113" i="161"/>
  <c r="U113" i="161" s="1"/>
  <c r="L34" i="178"/>
  <c r="L154" i="161"/>
  <c r="S154" i="161" s="1"/>
  <c r="U154" i="161" s="1"/>
  <c r="L63" i="178"/>
  <c r="J48" i="178"/>
  <c r="L58" i="178"/>
  <c r="J47" i="178"/>
  <c r="J52" i="178"/>
  <c r="S111" i="161"/>
  <c r="U111" i="161" s="1"/>
  <c r="S112" i="161"/>
  <c r="U112" i="161" s="1"/>
  <c r="S110" i="161"/>
  <c r="U110" i="161" s="1"/>
  <c r="H72" i="161"/>
  <c r="E16" i="178" s="1"/>
  <c r="S95" i="161"/>
  <c r="U95" i="161" s="1"/>
  <c r="E34" i="178"/>
  <c r="S114" i="161"/>
  <c r="U114" i="161" s="1"/>
  <c r="B35" i="171"/>
  <c r="B36" i="171" s="1"/>
  <c r="I61" i="161" s="1"/>
  <c r="L61" i="161" s="1"/>
  <c r="J57" i="178"/>
  <c r="L53" i="178"/>
  <c r="J56" i="178"/>
  <c r="J62" i="178"/>
  <c r="L59" i="178"/>
  <c r="J63" i="178"/>
  <c r="P44" i="173"/>
  <c r="L47" i="178"/>
  <c r="L52" i="178"/>
  <c r="J61" i="178"/>
  <c r="L62" i="178"/>
  <c r="G48" i="178"/>
  <c r="J46" i="178"/>
  <c r="J51" i="178"/>
  <c r="L57" i="178"/>
  <c r="J34" i="178"/>
  <c r="P54" i="173"/>
  <c r="L46" i="178"/>
  <c r="J49" i="178"/>
  <c r="L51" i="178"/>
  <c r="J54" i="178"/>
  <c r="L56" i="178"/>
  <c r="J59" i="178"/>
  <c r="L61" i="178"/>
  <c r="J64" i="178"/>
  <c r="L49" i="178"/>
  <c r="J53" i="178"/>
  <c r="L54" i="178"/>
  <c r="J58" i="178"/>
  <c r="L64" i="178"/>
  <c r="P45" i="173"/>
  <c r="P49" i="173"/>
  <c r="Q70" i="178"/>
  <c r="L48" i="178"/>
  <c r="J22" i="178"/>
  <c r="J76" i="161"/>
  <c r="G20" i="178" s="1"/>
  <c r="L22" i="178"/>
  <c r="F31" i="178"/>
  <c r="E32" i="178"/>
  <c r="H22" i="178"/>
  <c r="G23" i="178"/>
  <c r="H13" i="178"/>
  <c r="Q42" i="178"/>
  <c r="P50" i="173"/>
  <c r="P60" i="173"/>
  <c r="P47" i="173"/>
  <c r="P52" i="173"/>
  <c r="P53" i="173"/>
  <c r="P58" i="173"/>
  <c r="P42" i="173"/>
  <c r="P59" i="173"/>
  <c r="P55" i="173"/>
  <c r="P43" i="173"/>
  <c r="P57" i="173"/>
  <c r="P48" i="173"/>
  <c r="Q36" i="178"/>
  <c r="S115" i="161"/>
  <c r="U115" i="161" s="1"/>
  <c r="J151" i="161"/>
  <c r="G31" i="178" s="1"/>
  <c r="R151" i="161"/>
  <c r="O31" i="178" s="1"/>
  <c r="P151" i="161"/>
  <c r="M31" i="178" s="1"/>
  <c r="L151" i="161"/>
  <c r="I31" i="178" s="1"/>
  <c r="S152" i="161"/>
  <c r="O147" i="161"/>
  <c r="L27" i="178" s="1"/>
  <c r="M147" i="161"/>
  <c r="J27" i="178" s="1"/>
  <c r="K147" i="161"/>
  <c r="H27" i="178" s="1"/>
  <c r="H147" i="161"/>
  <c r="E27" i="178" s="1"/>
  <c r="I147" i="161"/>
  <c r="F27" i="178" s="1"/>
  <c r="T116" i="161"/>
  <c r="F58" i="172"/>
  <c r="F49" i="172"/>
  <c r="B10" i="171"/>
  <c r="B9" i="171"/>
  <c r="B8" i="171"/>
  <c r="B7" i="171"/>
  <c r="F11" i="171"/>
  <c r="D10" i="171"/>
  <c r="D9" i="171"/>
  <c r="D8" i="171"/>
  <c r="D7" i="171"/>
  <c r="I104" i="161"/>
  <c r="I106" i="161"/>
  <c r="R106" i="161" s="1"/>
  <c r="I109" i="161"/>
  <c r="L12" i="161"/>
  <c r="S76" i="161" l="1"/>
  <c r="U76" i="161" s="1"/>
  <c r="R20" i="178" s="1"/>
  <c r="P61" i="161"/>
  <c r="N61" i="161"/>
  <c r="R52" i="173"/>
  <c r="R56" i="178" s="1"/>
  <c r="P56" i="178"/>
  <c r="R44" i="173"/>
  <c r="R48" i="178" s="1"/>
  <c r="P48" i="178"/>
  <c r="R47" i="173"/>
  <c r="R51" i="178" s="1"/>
  <c r="P51" i="178"/>
  <c r="R43" i="173"/>
  <c r="R47" i="178" s="1"/>
  <c r="P47" i="178"/>
  <c r="R60" i="173"/>
  <c r="R64" i="178" s="1"/>
  <c r="P64" i="178"/>
  <c r="R55" i="173"/>
  <c r="R59" i="178" s="1"/>
  <c r="P59" i="178"/>
  <c r="R50" i="173"/>
  <c r="R54" i="178" s="1"/>
  <c r="P54" i="178"/>
  <c r="R48" i="173"/>
  <c r="R52" i="178" s="1"/>
  <c r="P52" i="178"/>
  <c r="R57" i="173"/>
  <c r="R61" i="178" s="1"/>
  <c r="P61" i="178"/>
  <c r="R58" i="173"/>
  <c r="R62" i="178" s="1"/>
  <c r="P62" i="178"/>
  <c r="R54" i="173"/>
  <c r="R58" i="178" s="1"/>
  <c r="P58" i="178"/>
  <c r="R45" i="173"/>
  <c r="R49" i="178" s="1"/>
  <c r="P49" i="178"/>
  <c r="R59" i="173"/>
  <c r="R63" i="178" s="1"/>
  <c r="P63" i="178"/>
  <c r="R42" i="173"/>
  <c r="R46" i="178" s="1"/>
  <c r="P46" i="178"/>
  <c r="R53" i="173"/>
  <c r="R57" i="178" s="1"/>
  <c r="P57" i="178"/>
  <c r="R49" i="173"/>
  <c r="R53" i="178" s="1"/>
  <c r="P53" i="178"/>
  <c r="U152" i="161"/>
  <c r="R32" i="178" s="1"/>
  <c r="P32" i="178"/>
  <c r="R23" i="178"/>
  <c r="P23" i="178"/>
  <c r="R22" i="178"/>
  <c r="P22" i="178"/>
  <c r="P20" i="178"/>
  <c r="Q72" i="178"/>
  <c r="I62" i="161"/>
  <c r="I41" i="161"/>
  <c r="S151" i="161"/>
  <c r="R104" i="161"/>
  <c r="L104" i="161"/>
  <c r="J104" i="161"/>
  <c r="P104" i="161"/>
  <c r="N104" i="161"/>
  <c r="J106" i="161"/>
  <c r="L106" i="161"/>
  <c r="N106" i="161"/>
  <c r="P106" i="161"/>
  <c r="I143" i="161"/>
  <c r="I142" i="161"/>
  <c r="I139" i="161"/>
  <c r="I136" i="161"/>
  <c r="I132" i="161"/>
  <c r="I131" i="161"/>
  <c r="I129" i="161"/>
  <c r="I125" i="161"/>
  <c r="I123" i="161"/>
  <c r="I121" i="161"/>
  <c r="I119" i="161"/>
  <c r="U151" i="161" l="1"/>
  <c r="R31" i="178" s="1"/>
  <c r="P31" i="178"/>
  <c r="P62" i="161"/>
  <c r="L62" i="161"/>
  <c r="N62" i="161"/>
  <c r="S106" i="161"/>
  <c r="U106" i="161" s="1"/>
  <c r="S104" i="161"/>
  <c r="U104" i="161" s="1"/>
  <c r="K14" i="177"/>
  <c r="I140" i="161" l="1"/>
  <c r="F53" i="172"/>
  <c r="I137" i="161"/>
  <c r="I18" i="161"/>
  <c r="I17" i="161"/>
  <c r="I16" i="161"/>
  <c r="I13" i="161"/>
  <c r="E79" i="173"/>
  <c r="E72" i="173"/>
  <c r="R13" i="161" l="1"/>
  <c r="P13" i="161"/>
  <c r="N13" i="161"/>
  <c r="R91" i="161"/>
  <c r="P91" i="161"/>
  <c r="N91" i="161"/>
  <c r="L91" i="161"/>
  <c r="J91" i="161"/>
  <c r="O35" i="178"/>
  <c r="O92" i="173"/>
  <c r="O69" i="178" s="1"/>
  <c r="M92" i="173"/>
  <c r="M69" i="178" s="1"/>
  <c r="J92" i="173"/>
  <c r="H92" i="173"/>
  <c r="G92" i="173"/>
  <c r="G69" i="178" s="1"/>
  <c r="O91" i="173"/>
  <c r="O68" i="178" s="1"/>
  <c r="M91" i="173"/>
  <c r="M68" i="178" s="1"/>
  <c r="K91" i="173"/>
  <c r="K68" i="178" s="1"/>
  <c r="I91" i="173"/>
  <c r="I68" i="178" s="1"/>
  <c r="G91" i="173"/>
  <c r="G68" i="178" s="1"/>
  <c r="O90" i="173"/>
  <c r="O67" i="178" s="1"/>
  <c r="M90" i="173"/>
  <c r="M67" i="178" s="1"/>
  <c r="K90" i="173"/>
  <c r="K67" i="178" s="1"/>
  <c r="I90" i="173"/>
  <c r="I67" i="178" s="1"/>
  <c r="G90" i="173"/>
  <c r="G67" i="178" s="1"/>
  <c r="O89" i="173"/>
  <c r="O66" i="178" s="1"/>
  <c r="M89" i="173"/>
  <c r="M66" i="178" s="1"/>
  <c r="K89" i="173"/>
  <c r="K66" i="178" s="1"/>
  <c r="I89" i="173"/>
  <c r="I66" i="178" s="1"/>
  <c r="G89" i="173"/>
  <c r="R88" i="173"/>
  <c r="O87" i="173"/>
  <c r="M87" i="173"/>
  <c r="K87" i="173"/>
  <c r="I87" i="173"/>
  <c r="G87" i="173"/>
  <c r="O86" i="173"/>
  <c r="M86" i="173"/>
  <c r="K86" i="173"/>
  <c r="I86" i="173"/>
  <c r="G86" i="173"/>
  <c r="O85" i="173"/>
  <c r="M85" i="173"/>
  <c r="J85" i="173"/>
  <c r="K85" i="173" s="1"/>
  <c r="H85" i="173"/>
  <c r="I85" i="173" s="1"/>
  <c r="E85" i="173"/>
  <c r="G85" i="173" s="1"/>
  <c r="O84" i="173"/>
  <c r="M84" i="173"/>
  <c r="K84" i="173"/>
  <c r="I84" i="173"/>
  <c r="G84" i="173"/>
  <c r="O83" i="173"/>
  <c r="M83" i="173"/>
  <c r="K83" i="173"/>
  <c r="I83" i="173"/>
  <c r="G83" i="173"/>
  <c r="O82" i="173"/>
  <c r="M82" i="173"/>
  <c r="K82" i="173"/>
  <c r="H82" i="173"/>
  <c r="I82" i="173" s="1"/>
  <c r="E82" i="173"/>
  <c r="G82" i="173" s="1"/>
  <c r="O81" i="173"/>
  <c r="M81" i="173"/>
  <c r="K81" i="173"/>
  <c r="I81" i="173"/>
  <c r="G81" i="173"/>
  <c r="O80" i="173"/>
  <c r="M80" i="173"/>
  <c r="K80" i="173"/>
  <c r="I80" i="173"/>
  <c r="G80" i="173"/>
  <c r="O79" i="173"/>
  <c r="L79" i="173"/>
  <c r="M79" i="173" s="1"/>
  <c r="J79" i="173"/>
  <c r="K79" i="173" s="1"/>
  <c r="H79" i="173"/>
  <c r="I79" i="173" s="1"/>
  <c r="G79" i="173"/>
  <c r="O78" i="173"/>
  <c r="M78" i="173"/>
  <c r="K78" i="173"/>
  <c r="I78" i="173"/>
  <c r="G78" i="173"/>
  <c r="O77" i="173"/>
  <c r="M77" i="173"/>
  <c r="J77" i="173"/>
  <c r="K77" i="173" s="1"/>
  <c r="H77" i="173"/>
  <c r="I77" i="173" s="1"/>
  <c r="G77" i="173"/>
  <c r="O76" i="173"/>
  <c r="L76" i="173"/>
  <c r="M76" i="173" s="1"/>
  <c r="J76" i="173"/>
  <c r="K76" i="173" s="1"/>
  <c r="H76" i="173"/>
  <c r="I76" i="173" s="1"/>
  <c r="G76" i="173"/>
  <c r="O75" i="173"/>
  <c r="M75" i="173"/>
  <c r="K75" i="173"/>
  <c r="I75" i="173"/>
  <c r="G75" i="173"/>
  <c r="O74" i="173"/>
  <c r="M74" i="173"/>
  <c r="K74" i="173"/>
  <c r="I74" i="173"/>
  <c r="G74" i="173"/>
  <c r="O73" i="173"/>
  <c r="M73" i="173"/>
  <c r="J73" i="173"/>
  <c r="K73" i="173" s="1"/>
  <c r="H73" i="173"/>
  <c r="I73" i="173" s="1"/>
  <c r="G73" i="173"/>
  <c r="O72" i="173"/>
  <c r="L72" i="173"/>
  <c r="M72" i="173" s="1"/>
  <c r="J72" i="173"/>
  <c r="K72" i="173" s="1"/>
  <c r="H72" i="173"/>
  <c r="I72" i="173" s="1"/>
  <c r="G72" i="173"/>
  <c r="O71" i="173"/>
  <c r="M71" i="173"/>
  <c r="K71" i="173"/>
  <c r="I71" i="173"/>
  <c r="G71" i="173"/>
  <c r="O70" i="173"/>
  <c r="M70" i="173"/>
  <c r="K70" i="173"/>
  <c r="I70" i="173"/>
  <c r="G70" i="173"/>
  <c r="O39" i="173"/>
  <c r="M39" i="173"/>
  <c r="K39" i="173"/>
  <c r="H39" i="173"/>
  <c r="I39" i="173" s="1"/>
  <c r="G39" i="173"/>
  <c r="O38" i="173"/>
  <c r="M38" i="173"/>
  <c r="K38" i="173"/>
  <c r="H38" i="173"/>
  <c r="I38" i="173" s="1"/>
  <c r="G38" i="173"/>
  <c r="O37" i="173"/>
  <c r="M37" i="173"/>
  <c r="K37" i="173"/>
  <c r="H37" i="173"/>
  <c r="I37" i="173" s="1"/>
  <c r="G37" i="173"/>
  <c r="O36" i="173"/>
  <c r="M36" i="173"/>
  <c r="K36" i="173"/>
  <c r="H36" i="173"/>
  <c r="I36" i="173" s="1"/>
  <c r="G36" i="173"/>
  <c r="O34" i="173"/>
  <c r="M34" i="173"/>
  <c r="K34" i="173"/>
  <c r="H34" i="173"/>
  <c r="I34" i="173" s="1"/>
  <c r="G34" i="173"/>
  <c r="O33" i="173"/>
  <c r="M33" i="173"/>
  <c r="K33" i="173"/>
  <c r="H33" i="173"/>
  <c r="I33" i="173" s="1"/>
  <c r="G33" i="173"/>
  <c r="O32" i="173"/>
  <c r="M32" i="173"/>
  <c r="K32" i="173"/>
  <c r="H32" i="173"/>
  <c r="I32" i="173" s="1"/>
  <c r="G32" i="173"/>
  <c r="O31" i="173"/>
  <c r="M31" i="173"/>
  <c r="K31" i="173"/>
  <c r="H31" i="173"/>
  <c r="I31" i="173" s="1"/>
  <c r="G31" i="173"/>
  <c r="O29" i="173"/>
  <c r="M29" i="173"/>
  <c r="K29" i="173"/>
  <c r="H29" i="173"/>
  <c r="I29" i="173" s="1"/>
  <c r="G29" i="173"/>
  <c r="O28" i="173"/>
  <c r="M28" i="173"/>
  <c r="K28" i="173"/>
  <c r="H28" i="173"/>
  <c r="I28" i="173" s="1"/>
  <c r="G28" i="173"/>
  <c r="O27" i="173"/>
  <c r="M27" i="173"/>
  <c r="K27" i="173"/>
  <c r="H27" i="173"/>
  <c r="I27" i="173" s="1"/>
  <c r="G27" i="173"/>
  <c r="O26" i="173"/>
  <c r="M26" i="173"/>
  <c r="K26" i="173"/>
  <c r="H26" i="173"/>
  <c r="I26" i="173" s="1"/>
  <c r="G26" i="173"/>
  <c r="O24" i="173"/>
  <c r="M24" i="173"/>
  <c r="K24" i="173"/>
  <c r="H24" i="173"/>
  <c r="I24" i="173" s="1"/>
  <c r="G24" i="173"/>
  <c r="O23" i="173"/>
  <c r="M23" i="173"/>
  <c r="K23" i="173"/>
  <c r="H23" i="173"/>
  <c r="I23" i="173" s="1"/>
  <c r="G23" i="173"/>
  <c r="O22" i="173"/>
  <c r="M22" i="173"/>
  <c r="K22" i="173"/>
  <c r="H22" i="173"/>
  <c r="I22" i="173" s="1"/>
  <c r="G22" i="173"/>
  <c r="O21" i="173"/>
  <c r="M21" i="173"/>
  <c r="K21" i="173"/>
  <c r="H21" i="173"/>
  <c r="I21" i="173" s="1"/>
  <c r="G21" i="173"/>
  <c r="O13" i="173"/>
  <c r="M13" i="173"/>
  <c r="K13" i="173"/>
  <c r="I13" i="173"/>
  <c r="G13" i="173"/>
  <c r="O12" i="173"/>
  <c r="M12" i="173"/>
  <c r="K12" i="173"/>
  <c r="I12" i="173"/>
  <c r="G12" i="173"/>
  <c r="O11" i="173"/>
  <c r="M11" i="173"/>
  <c r="K11" i="173"/>
  <c r="I11" i="173"/>
  <c r="G11" i="173"/>
  <c r="I92" i="173" l="1"/>
  <c r="I69" i="178" s="1"/>
  <c r="I70" i="178" s="1"/>
  <c r="H69" i="178"/>
  <c r="G61" i="173"/>
  <c r="K92" i="173"/>
  <c r="K69" i="178" s="1"/>
  <c r="K70" i="178" s="1"/>
  <c r="J69" i="178"/>
  <c r="M70" i="178"/>
  <c r="O70" i="178"/>
  <c r="P89" i="173"/>
  <c r="P66" i="178" s="1"/>
  <c r="G66" i="178"/>
  <c r="P90" i="173"/>
  <c r="P91" i="173"/>
  <c r="G16" i="173"/>
  <c r="S91" i="161"/>
  <c r="U91" i="161" s="1"/>
  <c r="P11" i="173"/>
  <c r="P75" i="173"/>
  <c r="P29" i="173"/>
  <c r="P87" i="173"/>
  <c r="P33" i="173"/>
  <c r="P86" i="173"/>
  <c r="P13" i="173"/>
  <c r="P79" i="173"/>
  <c r="P39" i="173"/>
  <c r="P27" i="173"/>
  <c r="P37" i="173"/>
  <c r="P12" i="173"/>
  <c r="P22" i="173"/>
  <c r="P38" i="173"/>
  <c r="P21" i="173"/>
  <c r="P36" i="173"/>
  <c r="P34" i="173"/>
  <c r="P84" i="173"/>
  <c r="P24" i="173"/>
  <c r="P71" i="173"/>
  <c r="P80" i="173"/>
  <c r="P77" i="173"/>
  <c r="P23" i="173"/>
  <c r="P32" i="173"/>
  <c r="P28" i="173"/>
  <c r="P31" i="173"/>
  <c r="P74" i="173"/>
  <c r="P73" i="173"/>
  <c r="P82" i="173"/>
  <c r="P78" i="173"/>
  <c r="P83" i="173"/>
  <c r="P70" i="173"/>
  <c r="P81" i="173"/>
  <c r="P76" i="173"/>
  <c r="P85" i="173"/>
  <c r="P72" i="173"/>
  <c r="P26" i="173"/>
  <c r="P92" i="173" l="1"/>
  <c r="P69" i="178" s="1"/>
  <c r="R89" i="173"/>
  <c r="R66" i="178" s="1"/>
  <c r="R91" i="173"/>
  <c r="R68" i="178" s="1"/>
  <c r="P68" i="178"/>
  <c r="R90" i="173"/>
  <c r="R67" i="178" s="1"/>
  <c r="P67" i="178"/>
  <c r="G70" i="178"/>
  <c r="O34" i="178"/>
  <c r="R149" i="161"/>
  <c r="O29" i="178" s="1"/>
  <c r="R72" i="161"/>
  <c r="O16" i="178" s="1"/>
  <c r="R71" i="161"/>
  <c r="O15" i="178" s="1"/>
  <c r="R147" i="161"/>
  <c r="O27" i="178" s="1"/>
  <c r="M35" i="178"/>
  <c r="M34" i="178"/>
  <c r="P149" i="161"/>
  <c r="M29" i="178" s="1"/>
  <c r="P72" i="161"/>
  <c r="M16" i="178" s="1"/>
  <c r="P147" i="161"/>
  <c r="M27" i="178" s="1"/>
  <c r="K35" i="178"/>
  <c r="N149" i="161"/>
  <c r="K29" i="178" s="1"/>
  <c r="N72" i="161"/>
  <c r="K16" i="178" s="1"/>
  <c r="N147" i="161"/>
  <c r="K27" i="178" s="1"/>
  <c r="I34" i="178"/>
  <c r="I35" i="178"/>
  <c r="L149" i="161"/>
  <c r="I29" i="178" s="1"/>
  <c r="L72" i="161"/>
  <c r="I16" i="178" s="1"/>
  <c r="L147" i="161"/>
  <c r="I27" i="178" s="1"/>
  <c r="G35" i="178"/>
  <c r="G34" i="178"/>
  <c r="J149" i="161"/>
  <c r="G29" i="178" s="1"/>
  <c r="J72" i="161"/>
  <c r="G16" i="178" s="1"/>
  <c r="J147" i="161"/>
  <c r="G27" i="178" s="1"/>
  <c r="R143" i="161"/>
  <c r="R142" i="161"/>
  <c r="R140" i="161"/>
  <c r="R139" i="161"/>
  <c r="R137" i="161"/>
  <c r="R136" i="161"/>
  <c r="P143" i="161"/>
  <c r="P142" i="161"/>
  <c r="P140" i="161"/>
  <c r="P139" i="161"/>
  <c r="P137" i="161"/>
  <c r="P136" i="161"/>
  <c r="N143" i="161"/>
  <c r="N142" i="161"/>
  <c r="N140" i="161"/>
  <c r="N139" i="161"/>
  <c r="N137" i="161"/>
  <c r="N136" i="161"/>
  <c r="L140" i="161"/>
  <c r="L139" i="161"/>
  <c r="L137" i="161"/>
  <c r="L136" i="161"/>
  <c r="J143" i="161"/>
  <c r="J142" i="161"/>
  <c r="J140" i="161"/>
  <c r="J139" i="161"/>
  <c r="J137" i="161"/>
  <c r="J136" i="161"/>
  <c r="R132" i="161"/>
  <c r="R131" i="161"/>
  <c r="R129" i="161"/>
  <c r="P132" i="161"/>
  <c r="P131" i="161"/>
  <c r="P129" i="161"/>
  <c r="N132" i="161"/>
  <c r="N131" i="161"/>
  <c r="N129" i="161"/>
  <c r="L132" i="161"/>
  <c r="L131" i="161"/>
  <c r="L129" i="161"/>
  <c r="J132" i="161"/>
  <c r="J131" i="161"/>
  <c r="J129" i="161"/>
  <c r="L143" i="161"/>
  <c r="L142" i="161"/>
  <c r="R125" i="161"/>
  <c r="R123" i="161"/>
  <c r="R121" i="161"/>
  <c r="R119" i="161"/>
  <c r="P125" i="161"/>
  <c r="P121" i="161"/>
  <c r="P123" i="161"/>
  <c r="P119" i="161"/>
  <c r="N125" i="161"/>
  <c r="N121" i="161"/>
  <c r="N123" i="161"/>
  <c r="N119" i="161"/>
  <c r="L125" i="161"/>
  <c r="L123" i="161"/>
  <c r="L121" i="161"/>
  <c r="L119" i="161"/>
  <c r="J125" i="161"/>
  <c r="J123" i="161"/>
  <c r="J121" i="161"/>
  <c r="J119" i="161"/>
  <c r="R109" i="161"/>
  <c r="R108" i="161"/>
  <c r="R107" i="161"/>
  <c r="R105" i="161"/>
  <c r="R103" i="161"/>
  <c r="R102" i="161"/>
  <c r="P109" i="161"/>
  <c r="P108" i="161"/>
  <c r="P107" i="161"/>
  <c r="P105" i="161"/>
  <c r="P103" i="161"/>
  <c r="P102" i="161"/>
  <c r="N109" i="161"/>
  <c r="N108" i="161"/>
  <c r="N107" i="161"/>
  <c r="N105" i="161"/>
  <c r="N103" i="161"/>
  <c r="N102" i="161"/>
  <c r="L109" i="161"/>
  <c r="L108" i="161"/>
  <c r="L107" i="161"/>
  <c r="L105" i="161"/>
  <c r="L103" i="161"/>
  <c r="L102" i="161"/>
  <c r="J109" i="161"/>
  <c r="J108" i="161"/>
  <c r="J107" i="161"/>
  <c r="J105" i="161"/>
  <c r="J103" i="161"/>
  <c r="J102" i="161"/>
  <c r="J116" i="161" s="1"/>
  <c r="R98" i="161"/>
  <c r="P98" i="161"/>
  <c r="N98" i="161"/>
  <c r="L98" i="161"/>
  <c r="J98" i="161"/>
  <c r="R93" i="161"/>
  <c r="R92" i="161"/>
  <c r="P93" i="161"/>
  <c r="P92" i="161"/>
  <c r="N93" i="161"/>
  <c r="N92" i="161"/>
  <c r="L93" i="161"/>
  <c r="L92" i="161"/>
  <c r="J93" i="161"/>
  <c r="J92" i="161"/>
  <c r="R84" i="161"/>
  <c r="R83" i="161"/>
  <c r="R82" i="161"/>
  <c r="P84" i="161"/>
  <c r="P83" i="161"/>
  <c r="P82" i="161"/>
  <c r="N84" i="161"/>
  <c r="N83" i="161"/>
  <c r="N82" i="161"/>
  <c r="L84" i="161"/>
  <c r="L83" i="161"/>
  <c r="L82" i="161"/>
  <c r="J84" i="161"/>
  <c r="J83" i="161"/>
  <c r="J82" i="161"/>
  <c r="R79" i="161"/>
  <c r="P79" i="161"/>
  <c r="N79" i="161"/>
  <c r="L79" i="161"/>
  <c r="J79" i="161"/>
  <c r="R51" i="161"/>
  <c r="R47" i="161"/>
  <c r="R67" i="161"/>
  <c r="R63" i="161"/>
  <c r="R62" i="161"/>
  <c r="R61" i="161"/>
  <c r="R59" i="161"/>
  <c r="R55" i="161"/>
  <c r="R40" i="161"/>
  <c r="R42" i="161"/>
  <c r="R38" i="161"/>
  <c r="R36" i="161"/>
  <c r="R34" i="161"/>
  <c r="R33" i="161"/>
  <c r="R31" i="161"/>
  <c r="P59" i="161"/>
  <c r="P55" i="161"/>
  <c r="P42" i="161"/>
  <c r="P40" i="161"/>
  <c r="P38" i="161"/>
  <c r="P36" i="161"/>
  <c r="P34" i="161"/>
  <c r="P33" i="161"/>
  <c r="P31" i="161"/>
  <c r="N59" i="161"/>
  <c r="N42" i="161"/>
  <c r="N40" i="161"/>
  <c r="N38" i="161"/>
  <c r="N36" i="161"/>
  <c r="N34" i="161"/>
  <c r="N33" i="161"/>
  <c r="N31" i="161"/>
  <c r="L42" i="161"/>
  <c r="L40" i="161"/>
  <c r="L38" i="161"/>
  <c r="L36" i="161"/>
  <c r="L34" i="161"/>
  <c r="L33" i="161"/>
  <c r="L31" i="161"/>
  <c r="J67" i="161"/>
  <c r="J63" i="161"/>
  <c r="J62" i="161"/>
  <c r="J61" i="161"/>
  <c r="J42" i="161"/>
  <c r="J40" i="161"/>
  <c r="J38" i="161"/>
  <c r="J36" i="161"/>
  <c r="J33" i="161"/>
  <c r="J34" i="161"/>
  <c r="J31" i="161"/>
  <c r="K66" i="161"/>
  <c r="K67" i="161"/>
  <c r="L67" i="161" s="1"/>
  <c r="M66" i="161"/>
  <c r="M67" i="161"/>
  <c r="N67" i="161" s="1"/>
  <c r="O66" i="161"/>
  <c r="O67" i="161"/>
  <c r="P67" i="161" s="1"/>
  <c r="O51" i="161"/>
  <c r="P51" i="161" s="1"/>
  <c r="O50" i="161"/>
  <c r="M51" i="161"/>
  <c r="N51" i="161" s="1"/>
  <c r="M50" i="161"/>
  <c r="K51" i="161"/>
  <c r="L51" i="161" s="1"/>
  <c r="K50" i="161"/>
  <c r="H51" i="161"/>
  <c r="J51" i="161" s="1"/>
  <c r="H50" i="161"/>
  <c r="T133" i="161"/>
  <c r="O47" i="161"/>
  <c r="O71" i="161" s="1"/>
  <c r="L15" i="178" s="1"/>
  <c r="M47" i="161"/>
  <c r="M71" i="161" s="1"/>
  <c r="J15" i="178" s="1"/>
  <c r="K47" i="161"/>
  <c r="K71" i="161" s="1"/>
  <c r="H15" i="178" s="1"/>
  <c r="H47" i="161"/>
  <c r="H71" i="161" s="1"/>
  <c r="E15" i="178" s="1"/>
  <c r="O46" i="161"/>
  <c r="O70" i="161" s="1"/>
  <c r="L14" i="178" s="1"/>
  <c r="M46" i="161"/>
  <c r="M70" i="161" s="1"/>
  <c r="J14" i="178" s="1"/>
  <c r="K46" i="161"/>
  <c r="K70" i="161" s="1"/>
  <c r="H14" i="178" s="1"/>
  <c r="H46" i="161"/>
  <c r="H70" i="161" s="1"/>
  <c r="E14" i="178" s="1"/>
  <c r="M55" i="161"/>
  <c r="N55" i="161" s="1"/>
  <c r="M54" i="161"/>
  <c r="K55" i="161"/>
  <c r="L55" i="161" s="1"/>
  <c r="K54" i="161"/>
  <c r="H55" i="161"/>
  <c r="J55" i="161" s="1"/>
  <c r="H54" i="161"/>
  <c r="M53" i="161"/>
  <c r="K53" i="161"/>
  <c r="H53" i="161"/>
  <c r="M50" i="172"/>
  <c r="K50" i="172"/>
  <c r="O50" i="172"/>
  <c r="I50" i="172"/>
  <c r="G50" i="172"/>
  <c r="O26" i="172"/>
  <c r="O41" i="178" s="1"/>
  <c r="J22" i="172"/>
  <c r="K22" i="172" s="1"/>
  <c r="J21" i="172"/>
  <c r="H22" i="172"/>
  <c r="H21" i="172"/>
  <c r="M26" i="172"/>
  <c r="M41" i="178" s="1"/>
  <c r="J26" i="172"/>
  <c r="J25" i="172"/>
  <c r="J40" i="178" s="1"/>
  <c r="J24" i="172"/>
  <c r="J39" i="178" s="1"/>
  <c r="H25" i="172"/>
  <c r="H40" i="178" s="1"/>
  <c r="H26" i="172"/>
  <c r="H24" i="172"/>
  <c r="H39" i="178" s="1"/>
  <c r="G26" i="172"/>
  <c r="G41" i="178" s="1"/>
  <c r="M36" i="172"/>
  <c r="M53" i="172"/>
  <c r="M51" i="172"/>
  <c r="K51" i="172"/>
  <c r="K49" i="172"/>
  <c r="I49" i="172"/>
  <c r="M49" i="172"/>
  <c r="I37" i="172"/>
  <c r="M37" i="172"/>
  <c r="K37" i="172"/>
  <c r="I36" i="172"/>
  <c r="K55" i="172"/>
  <c r="I55" i="172"/>
  <c r="M57" i="172"/>
  <c r="M56" i="172"/>
  <c r="M55" i="172"/>
  <c r="K57" i="172"/>
  <c r="K56" i="172"/>
  <c r="I57" i="172"/>
  <c r="I56" i="172"/>
  <c r="R79" i="173"/>
  <c r="L21" i="161"/>
  <c r="L17" i="161"/>
  <c r="O22" i="172"/>
  <c r="R27" i="173"/>
  <c r="M61" i="173"/>
  <c r="E12" i="176" s="1"/>
  <c r="R39" i="173"/>
  <c r="R29" i="173"/>
  <c r="R36" i="173"/>
  <c r="R31" i="173"/>
  <c r="R32" i="173"/>
  <c r="R26" i="173"/>
  <c r="R22" i="173"/>
  <c r="R37" i="173"/>
  <c r="O96" i="173"/>
  <c r="F16" i="176" s="1"/>
  <c r="Q96" i="173"/>
  <c r="M96" i="173"/>
  <c r="E16" i="176" s="1"/>
  <c r="K96" i="173"/>
  <c r="D16" i="176" s="1"/>
  <c r="I96" i="173"/>
  <c r="C16" i="176" s="1"/>
  <c r="G96" i="173"/>
  <c r="B16" i="176" s="1"/>
  <c r="P95" i="173"/>
  <c r="P96" i="173" s="1"/>
  <c r="R82" i="173"/>
  <c r="R84" i="173"/>
  <c r="R73" i="173"/>
  <c r="R81" i="173"/>
  <c r="R71" i="173"/>
  <c r="R78" i="173"/>
  <c r="R86" i="173"/>
  <c r="R77" i="173"/>
  <c r="R76" i="173"/>
  <c r="Q59" i="172"/>
  <c r="Q46" i="172"/>
  <c r="O41" i="172"/>
  <c r="F16" i="175" s="1"/>
  <c r="Q41" i="172"/>
  <c r="M41" i="172"/>
  <c r="E16" i="175" s="1"/>
  <c r="K41" i="172"/>
  <c r="D16" i="175" s="1"/>
  <c r="I41" i="172"/>
  <c r="C16" i="175" s="1"/>
  <c r="G41" i="172"/>
  <c r="B16" i="175" s="1"/>
  <c r="Q93" i="173"/>
  <c r="G99" i="173"/>
  <c r="I99" i="173"/>
  <c r="K99" i="173"/>
  <c r="M99" i="173"/>
  <c r="O99" i="173"/>
  <c r="G100" i="173"/>
  <c r="I100" i="173"/>
  <c r="K100" i="173"/>
  <c r="M100" i="173"/>
  <c r="O100" i="173"/>
  <c r="G101" i="173"/>
  <c r="I101" i="173"/>
  <c r="K101" i="173"/>
  <c r="M101" i="173"/>
  <c r="O101" i="173"/>
  <c r="G102" i="173"/>
  <c r="I102" i="173"/>
  <c r="K102" i="173"/>
  <c r="M102" i="173"/>
  <c r="O102" i="173"/>
  <c r="G103" i="173"/>
  <c r="I103" i="173"/>
  <c r="K103" i="173"/>
  <c r="M103" i="173"/>
  <c r="O103" i="173"/>
  <c r="Q67" i="173"/>
  <c r="G64" i="173"/>
  <c r="B13" i="176" s="1"/>
  <c r="I64" i="173"/>
  <c r="C13" i="176" s="1"/>
  <c r="K64" i="173"/>
  <c r="D13" i="176" s="1"/>
  <c r="M64" i="173"/>
  <c r="E13" i="176" s="1"/>
  <c r="O64" i="173"/>
  <c r="F13" i="176" s="1"/>
  <c r="Q64" i="173"/>
  <c r="Q61" i="173"/>
  <c r="P63" i="173"/>
  <c r="P64" i="173" s="1"/>
  <c r="Q17" i="173"/>
  <c r="Q14" i="173"/>
  <c r="H16" i="173"/>
  <c r="I16" i="173" s="1"/>
  <c r="R12" i="173"/>
  <c r="P70" i="178" l="1"/>
  <c r="R92" i="173"/>
  <c r="R69" i="178" s="1"/>
  <c r="M104" i="173"/>
  <c r="M106" i="173" s="1"/>
  <c r="R70" i="178"/>
  <c r="K104" i="173"/>
  <c r="K106" i="173" s="1"/>
  <c r="I26" i="172"/>
  <c r="I41" i="178" s="1"/>
  <c r="H41" i="178"/>
  <c r="K26" i="172"/>
  <c r="K41" i="178" s="1"/>
  <c r="J41" i="178"/>
  <c r="O104" i="173"/>
  <c r="O106" i="173" s="1"/>
  <c r="I104" i="173"/>
  <c r="I106" i="173" s="1"/>
  <c r="G104" i="173"/>
  <c r="G106" i="173" s="1"/>
  <c r="J16" i="173"/>
  <c r="K16" i="173" s="1"/>
  <c r="J71" i="161"/>
  <c r="G15" i="178" s="1"/>
  <c r="L71" i="161"/>
  <c r="I15" i="178" s="1"/>
  <c r="N71" i="161"/>
  <c r="K15" i="178" s="1"/>
  <c r="P71" i="161"/>
  <c r="M15" i="178" s="1"/>
  <c r="N116" i="161"/>
  <c r="R116" i="161"/>
  <c r="L116" i="161"/>
  <c r="P116" i="161"/>
  <c r="P47" i="161"/>
  <c r="J47" i="161"/>
  <c r="N47" i="161"/>
  <c r="S131" i="161"/>
  <c r="U131" i="161" s="1"/>
  <c r="L47" i="161"/>
  <c r="K67" i="173"/>
  <c r="D14" i="176" s="1"/>
  <c r="R96" i="173"/>
  <c r="Q108" i="173"/>
  <c r="Q113" i="173" s="1"/>
  <c r="P103" i="173"/>
  <c r="R103" i="173" s="1"/>
  <c r="R95" i="173"/>
  <c r="R64" i="173"/>
  <c r="P102" i="173"/>
  <c r="R102" i="173" s="1"/>
  <c r="M67" i="173"/>
  <c r="E14" i="176" s="1"/>
  <c r="O67" i="173"/>
  <c r="F14" i="176" s="1"/>
  <c r="R63" i="173"/>
  <c r="I67" i="173"/>
  <c r="C14" i="176" s="1"/>
  <c r="P100" i="173"/>
  <c r="R100" i="173" s="1"/>
  <c r="O61" i="173"/>
  <c r="F12" i="176" s="1"/>
  <c r="S129" i="161"/>
  <c r="U129" i="161" s="1"/>
  <c r="S132" i="161"/>
  <c r="U132" i="161" s="1"/>
  <c r="S51" i="161"/>
  <c r="U51" i="161" s="1"/>
  <c r="S149" i="161"/>
  <c r="S147" i="161"/>
  <c r="S72" i="161"/>
  <c r="P50" i="172"/>
  <c r="R50" i="172" s="1"/>
  <c r="P41" i="172"/>
  <c r="R41" i="172" s="1"/>
  <c r="P37" i="172"/>
  <c r="R37" i="172" s="1"/>
  <c r="R87" i="173"/>
  <c r="I93" i="173"/>
  <c r="C15" i="176" s="1"/>
  <c r="O14" i="173"/>
  <c r="F10" i="176" s="1"/>
  <c r="M14" i="173"/>
  <c r="E10" i="176" s="1"/>
  <c r="K14" i="173"/>
  <c r="R85" i="173"/>
  <c r="R72" i="173"/>
  <c r="G93" i="173"/>
  <c r="B15" i="176" s="1"/>
  <c r="R80" i="173"/>
  <c r="P99" i="173"/>
  <c r="R38" i="173"/>
  <c r="I61" i="173"/>
  <c r="C12" i="176" s="1"/>
  <c r="K61" i="173"/>
  <c r="D12" i="176" s="1"/>
  <c r="G13" i="176"/>
  <c r="R74" i="173"/>
  <c r="M93" i="173"/>
  <c r="E15" i="176" s="1"/>
  <c r="O93" i="173"/>
  <c r="F15" i="176" s="1"/>
  <c r="R13" i="173"/>
  <c r="I14" i="173"/>
  <c r="G14" i="173"/>
  <c r="P101" i="173"/>
  <c r="R101" i="173" s="1"/>
  <c r="R70" i="173"/>
  <c r="R75" i="173"/>
  <c r="G16" i="176"/>
  <c r="R28" i="173"/>
  <c r="G16" i="175"/>
  <c r="R83" i="173"/>
  <c r="R24" i="173"/>
  <c r="R34" i="173"/>
  <c r="B12" i="176"/>
  <c r="K93" i="173"/>
  <c r="D15" i="176" s="1"/>
  <c r="R33" i="173"/>
  <c r="R23" i="173"/>
  <c r="G67" i="173"/>
  <c r="B14" i="176" s="1"/>
  <c r="M22" i="172"/>
  <c r="I22" i="172"/>
  <c r="G22" i="172"/>
  <c r="K59" i="161"/>
  <c r="L59" i="161" s="1"/>
  <c r="K58" i="161"/>
  <c r="H59" i="161"/>
  <c r="J59" i="161" s="1"/>
  <c r="H58" i="161"/>
  <c r="D10" i="176" l="1"/>
  <c r="P104" i="173"/>
  <c r="P106" i="173" s="1"/>
  <c r="P26" i="172"/>
  <c r="U149" i="161"/>
  <c r="R29" i="178" s="1"/>
  <c r="P29" i="178"/>
  <c r="U147" i="161"/>
  <c r="R27" i="178" s="1"/>
  <c r="P27" i="178"/>
  <c r="U72" i="161"/>
  <c r="R16" i="178" s="1"/>
  <c r="P16" i="178"/>
  <c r="F17" i="176"/>
  <c r="L16" i="173"/>
  <c r="M16" i="173" s="1"/>
  <c r="K17" i="173"/>
  <c r="D11" i="176" s="1"/>
  <c r="S47" i="161"/>
  <c r="U47" i="161" s="1"/>
  <c r="C17" i="176"/>
  <c r="B17" i="176"/>
  <c r="E17" i="176"/>
  <c r="D17" i="176"/>
  <c r="G14" i="176"/>
  <c r="G12" i="176"/>
  <c r="N32" i="161"/>
  <c r="J32" i="161"/>
  <c r="L32" i="161"/>
  <c r="P32" i="161"/>
  <c r="R32" i="161"/>
  <c r="G15" i="176"/>
  <c r="R93" i="173"/>
  <c r="P93" i="173"/>
  <c r="R67" i="173"/>
  <c r="P67" i="173"/>
  <c r="R11" i="173"/>
  <c r="R14" i="173" s="1"/>
  <c r="P14" i="173"/>
  <c r="C10" i="176"/>
  <c r="I17" i="173"/>
  <c r="C11" i="176" s="1"/>
  <c r="R21" i="173"/>
  <c r="R61" i="173" s="1"/>
  <c r="P61" i="173"/>
  <c r="B10" i="176"/>
  <c r="R99" i="173"/>
  <c r="K36" i="172"/>
  <c r="K53" i="172"/>
  <c r="I53" i="172"/>
  <c r="Q27" i="172"/>
  <c r="O57" i="172"/>
  <c r="O56" i="172"/>
  <c r="G57" i="172"/>
  <c r="G56" i="172"/>
  <c r="O55" i="172"/>
  <c r="G55" i="172"/>
  <c r="G49" i="172"/>
  <c r="O49" i="172"/>
  <c r="G51" i="172"/>
  <c r="I51" i="172"/>
  <c r="O51" i="172"/>
  <c r="C10" i="171"/>
  <c r="C9" i="171"/>
  <c r="C8" i="171"/>
  <c r="C7" i="171"/>
  <c r="C11" i="171" s="1"/>
  <c r="O45" i="172"/>
  <c r="O44" i="172"/>
  <c r="M45" i="172"/>
  <c r="M44" i="172"/>
  <c r="K45" i="172"/>
  <c r="K44" i="172"/>
  <c r="I45" i="172"/>
  <c r="I44" i="172"/>
  <c r="G45" i="172"/>
  <c r="G44" i="172"/>
  <c r="K108" i="173" l="1"/>
  <c r="K110" i="173" s="1"/>
  <c r="K113" i="173" s="1"/>
  <c r="N89" i="161" s="1"/>
  <c r="R104" i="173"/>
  <c r="R106" i="173"/>
  <c r="R26" i="172"/>
  <c r="R41" i="178" s="1"/>
  <c r="P41" i="178"/>
  <c r="D19" i="176"/>
  <c r="G17" i="176"/>
  <c r="K46" i="172"/>
  <c r="N16" i="173"/>
  <c r="O16" i="173" s="1"/>
  <c r="O17" i="173" s="1"/>
  <c r="M17" i="173"/>
  <c r="S71" i="161"/>
  <c r="G46" i="172"/>
  <c r="I58" i="172"/>
  <c r="I59" i="172" s="1"/>
  <c r="M58" i="172"/>
  <c r="M59" i="172" s="1"/>
  <c r="K58" i="172"/>
  <c r="K59" i="172" s="1"/>
  <c r="I108" i="173"/>
  <c r="G17" i="173"/>
  <c r="P16" i="173"/>
  <c r="G10" i="176"/>
  <c r="S143" i="161"/>
  <c r="U143" i="161" s="1"/>
  <c r="P53" i="172"/>
  <c r="R53" i="172" s="1"/>
  <c r="O46" i="172"/>
  <c r="I46" i="172"/>
  <c r="D20" i="176"/>
  <c r="D21" i="176" s="1"/>
  <c r="G58" i="172"/>
  <c r="M46" i="172"/>
  <c r="C19" i="176"/>
  <c r="S63" i="161"/>
  <c r="U63" i="161" s="1"/>
  <c r="S61" i="161"/>
  <c r="U61" i="161" s="1"/>
  <c r="S142" i="161"/>
  <c r="U142" i="161" s="1"/>
  <c r="O58" i="172"/>
  <c r="O59" i="172" s="1"/>
  <c r="P22" i="172"/>
  <c r="R22" i="172" s="1"/>
  <c r="P56" i="172"/>
  <c r="R56" i="172" s="1"/>
  <c r="P55" i="172"/>
  <c r="R55" i="172" s="1"/>
  <c r="P57" i="172"/>
  <c r="R57" i="172" s="1"/>
  <c r="P49" i="172"/>
  <c r="P51" i="172"/>
  <c r="R51" i="172" s="1"/>
  <c r="S137" i="161"/>
  <c r="U137" i="161" s="1"/>
  <c r="S139" i="161"/>
  <c r="U139" i="161" s="1"/>
  <c r="S67" i="161"/>
  <c r="U67" i="161" s="1"/>
  <c r="S140" i="161"/>
  <c r="U140" i="161" s="1"/>
  <c r="S119" i="161"/>
  <c r="U119" i="161" s="1"/>
  <c r="S121" i="161"/>
  <c r="U121" i="161" s="1"/>
  <c r="S125" i="161"/>
  <c r="U125" i="161" s="1"/>
  <c r="S123" i="161"/>
  <c r="U123" i="161" s="1"/>
  <c r="S59" i="161"/>
  <c r="U59" i="161" s="1"/>
  <c r="S136" i="161"/>
  <c r="U136" i="161" s="1"/>
  <c r="P45" i="172"/>
  <c r="R45" i="172" s="1"/>
  <c r="P44" i="172"/>
  <c r="U71" i="161" l="1"/>
  <c r="R15" i="178" s="1"/>
  <c r="P15" i="178"/>
  <c r="E11" i="176"/>
  <c r="E19" i="176" s="1"/>
  <c r="E20" i="176" s="1"/>
  <c r="E21" i="176" s="1"/>
  <c r="M108" i="173"/>
  <c r="M110" i="173" s="1"/>
  <c r="F11" i="176"/>
  <c r="F19" i="176" s="1"/>
  <c r="F20" i="176" s="1"/>
  <c r="F21" i="176" s="1"/>
  <c r="O108" i="173"/>
  <c r="O110" i="173" s="1"/>
  <c r="I110" i="173"/>
  <c r="I113" i="173" s="1"/>
  <c r="L89" i="161" s="1"/>
  <c r="P58" i="172"/>
  <c r="R58" i="172" s="1"/>
  <c r="G59" i="172"/>
  <c r="P46" i="172"/>
  <c r="P17" i="173"/>
  <c r="P108" i="173" s="1"/>
  <c r="R16" i="173"/>
  <c r="R17" i="173" s="1"/>
  <c r="C20" i="176"/>
  <c r="C21" i="176" s="1"/>
  <c r="R49" i="172"/>
  <c r="B11" i="176"/>
  <c r="G108" i="173"/>
  <c r="S62" i="161"/>
  <c r="U62" i="161" s="1"/>
  <c r="R44" i="172"/>
  <c r="R46" i="172" s="1"/>
  <c r="M113" i="173" l="1"/>
  <c r="P89" i="161" s="1"/>
  <c r="O113" i="173"/>
  <c r="R89" i="161" s="1"/>
  <c r="P59" i="172"/>
  <c r="R59" i="172"/>
  <c r="R108" i="173"/>
  <c r="G110" i="173"/>
  <c r="G11" i="176"/>
  <c r="G19" i="176" s="1"/>
  <c r="B19" i="176"/>
  <c r="G113" i="173" l="1"/>
  <c r="J89" i="161" s="1"/>
  <c r="P110" i="173"/>
  <c r="P113" i="173" s="1"/>
  <c r="B20" i="176"/>
  <c r="G20" i="176" s="1"/>
  <c r="G21" i="176" s="1"/>
  <c r="O33" i="172"/>
  <c r="M33" i="172"/>
  <c r="K33" i="172"/>
  <c r="I33" i="172"/>
  <c r="G33" i="172"/>
  <c r="P36" i="172"/>
  <c r="R36" i="172" s="1"/>
  <c r="R38" i="172" s="1"/>
  <c r="Q38" i="172"/>
  <c r="O38" i="172"/>
  <c r="F15" i="175" s="1"/>
  <c r="M38" i="172"/>
  <c r="E15" i="175" s="1"/>
  <c r="K38" i="172"/>
  <c r="D15" i="175" s="1"/>
  <c r="I38" i="172"/>
  <c r="C15" i="175" s="1"/>
  <c r="G38" i="172"/>
  <c r="B15" i="175" s="1"/>
  <c r="Q34" i="172"/>
  <c r="T156" i="161"/>
  <c r="T144" i="161"/>
  <c r="H16" i="172"/>
  <c r="J16" i="172" s="1"/>
  <c r="L16" i="172" s="1"/>
  <c r="N16" i="172" s="1"/>
  <c r="Q14" i="172"/>
  <c r="G11" i="172"/>
  <c r="I11" i="172"/>
  <c r="K11" i="172"/>
  <c r="M11" i="172"/>
  <c r="O11" i="172"/>
  <c r="O13" i="172"/>
  <c r="O12" i="172"/>
  <c r="M13" i="172"/>
  <c r="M12" i="172"/>
  <c r="K13" i="172"/>
  <c r="K12" i="172"/>
  <c r="I13" i="172"/>
  <c r="I12" i="172"/>
  <c r="J12" i="161"/>
  <c r="G13" i="172"/>
  <c r="G12" i="172"/>
  <c r="T165" i="161"/>
  <c r="O30" i="172"/>
  <c r="F13" i="175" s="1"/>
  <c r="Q30" i="172"/>
  <c r="M30" i="172"/>
  <c r="E13" i="175" s="1"/>
  <c r="K30" i="172"/>
  <c r="D13" i="175" s="1"/>
  <c r="I30" i="172"/>
  <c r="C13" i="175" s="1"/>
  <c r="G30" i="172"/>
  <c r="B13" i="175" s="1"/>
  <c r="Q17" i="172"/>
  <c r="T99" i="161"/>
  <c r="J99" i="161"/>
  <c r="B16" i="160" s="1"/>
  <c r="R99" i="161"/>
  <c r="F16" i="160" s="1"/>
  <c r="P99" i="161"/>
  <c r="E16" i="160" s="1"/>
  <c r="N99" i="161"/>
  <c r="D16" i="160" s="1"/>
  <c r="L99" i="161"/>
  <c r="C16" i="160" s="1"/>
  <c r="D11" i="171"/>
  <c r="E11" i="171"/>
  <c r="B11" i="171"/>
  <c r="C12" i="171"/>
  <c r="I75" i="161" l="1"/>
  <c r="F19" i="178" s="1"/>
  <c r="F25" i="172"/>
  <c r="F40" i="178" s="1"/>
  <c r="F21" i="172"/>
  <c r="I70" i="161"/>
  <c r="F14" i="178" s="1"/>
  <c r="I50" i="161"/>
  <c r="I46" i="161"/>
  <c r="I66" i="161"/>
  <c r="I58" i="161"/>
  <c r="I54" i="161"/>
  <c r="I74" i="161"/>
  <c r="F18" i="178" s="1"/>
  <c r="F24" i="172"/>
  <c r="F39" i="178" s="1"/>
  <c r="F20" i="172"/>
  <c r="I69" i="161"/>
  <c r="F13" i="178" s="1"/>
  <c r="I49" i="161"/>
  <c r="I45" i="161"/>
  <c r="I65" i="161"/>
  <c r="I57" i="161"/>
  <c r="I53" i="161"/>
  <c r="G16" i="160"/>
  <c r="L41" i="161"/>
  <c r="J41" i="161"/>
  <c r="R41" i="161"/>
  <c r="N41" i="161"/>
  <c r="P41" i="161"/>
  <c r="J37" i="161"/>
  <c r="R37" i="161"/>
  <c r="P37" i="161"/>
  <c r="N37" i="161"/>
  <c r="L37" i="161"/>
  <c r="G15" i="175"/>
  <c r="G13" i="175"/>
  <c r="B21" i="176"/>
  <c r="R110" i="173"/>
  <c r="Q61" i="172"/>
  <c r="Q63" i="172" s="1"/>
  <c r="Q67" i="172" s="1"/>
  <c r="M14" i="172"/>
  <c r="I14" i="172"/>
  <c r="K14" i="172"/>
  <c r="I34" i="172"/>
  <c r="C14" i="175" s="1"/>
  <c r="P38" i="172"/>
  <c r="O34" i="172"/>
  <c r="F14" i="175" s="1"/>
  <c r="P12" i="172"/>
  <c r="R12" i="172" s="1"/>
  <c r="P13" i="172"/>
  <c r="R13" i="172" s="1"/>
  <c r="G34" i="172"/>
  <c r="B14" i="175" s="1"/>
  <c r="M34" i="172"/>
  <c r="E14" i="175" s="1"/>
  <c r="P33" i="172"/>
  <c r="R33" i="172" s="1"/>
  <c r="K34" i="172"/>
  <c r="D14" i="175" s="1"/>
  <c r="G14" i="172"/>
  <c r="O14" i="172"/>
  <c r="P11" i="172"/>
  <c r="S98" i="161"/>
  <c r="S99" i="161" s="1"/>
  <c r="R53" i="161" l="1"/>
  <c r="P53" i="161"/>
  <c r="J53" i="161"/>
  <c r="L53" i="161"/>
  <c r="N53" i="161"/>
  <c r="R57" i="161"/>
  <c r="P57" i="161"/>
  <c r="N57" i="161"/>
  <c r="L57" i="161"/>
  <c r="J57" i="161"/>
  <c r="R65" i="161"/>
  <c r="P65" i="161"/>
  <c r="N65" i="161"/>
  <c r="L65" i="161"/>
  <c r="J65" i="161"/>
  <c r="R45" i="161"/>
  <c r="P45" i="161"/>
  <c r="N45" i="161"/>
  <c r="L45" i="161"/>
  <c r="J45" i="161"/>
  <c r="R49" i="161"/>
  <c r="P49" i="161"/>
  <c r="N49" i="161"/>
  <c r="L49" i="161"/>
  <c r="J49" i="161"/>
  <c r="R69" i="161"/>
  <c r="O13" i="178" s="1"/>
  <c r="P69" i="161"/>
  <c r="M13" i="178" s="1"/>
  <c r="N69" i="161"/>
  <c r="K13" i="178" s="1"/>
  <c r="L69" i="161"/>
  <c r="I13" i="178" s="1"/>
  <c r="J69" i="161"/>
  <c r="G13" i="178" s="1"/>
  <c r="M20" i="172"/>
  <c r="K20" i="172"/>
  <c r="I20" i="172"/>
  <c r="O20" i="172"/>
  <c r="G20" i="172"/>
  <c r="O24" i="172"/>
  <c r="O39" i="178" s="1"/>
  <c r="M24" i="172"/>
  <c r="M39" i="178" s="1"/>
  <c r="G24" i="172"/>
  <c r="G39" i="178" s="1"/>
  <c r="I24" i="172"/>
  <c r="I39" i="178" s="1"/>
  <c r="K24" i="172"/>
  <c r="K39" i="178" s="1"/>
  <c r="R74" i="161"/>
  <c r="O18" i="178" s="1"/>
  <c r="J74" i="161"/>
  <c r="G18" i="178" s="1"/>
  <c r="L74" i="161"/>
  <c r="I18" i="178" s="1"/>
  <c r="N74" i="161"/>
  <c r="K18" i="178" s="1"/>
  <c r="P74" i="161"/>
  <c r="M18" i="178" s="1"/>
  <c r="R54" i="161"/>
  <c r="P54" i="161"/>
  <c r="J54" i="161"/>
  <c r="L54" i="161"/>
  <c r="N54" i="161"/>
  <c r="P58" i="161"/>
  <c r="N58" i="161"/>
  <c r="R58" i="161"/>
  <c r="J58" i="161"/>
  <c r="L58" i="161"/>
  <c r="L66" i="161"/>
  <c r="J66" i="161"/>
  <c r="R66" i="161"/>
  <c r="P66" i="161"/>
  <c r="N66" i="161"/>
  <c r="R46" i="161"/>
  <c r="J46" i="161"/>
  <c r="N46" i="161"/>
  <c r="L46" i="161"/>
  <c r="P46" i="161"/>
  <c r="R50" i="161"/>
  <c r="J50" i="161"/>
  <c r="L50" i="161"/>
  <c r="P50" i="161"/>
  <c r="N50" i="161"/>
  <c r="R70" i="161"/>
  <c r="O14" i="178" s="1"/>
  <c r="J70" i="161"/>
  <c r="G14" i="178" s="1"/>
  <c r="L70" i="161"/>
  <c r="I14" i="178" s="1"/>
  <c r="P70" i="161"/>
  <c r="M14" i="178" s="1"/>
  <c r="N70" i="161"/>
  <c r="K14" i="178" s="1"/>
  <c r="K21" i="172"/>
  <c r="I21" i="172"/>
  <c r="M21" i="172"/>
  <c r="O21" i="172"/>
  <c r="G21" i="172"/>
  <c r="O25" i="172"/>
  <c r="O40" i="178" s="1"/>
  <c r="K25" i="172"/>
  <c r="K40" i="178" s="1"/>
  <c r="M25" i="172"/>
  <c r="M40" i="178" s="1"/>
  <c r="I25" i="172"/>
  <c r="I40" i="178" s="1"/>
  <c r="G25" i="172"/>
  <c r="J75" i="161"/>
  <c r="G19" i="178" s="1"/>
  <c r="L75" i="161"/>
  <c r="I19" i="178" s="1"/>
  <c r="N75" i="161"/>
  <c r="K19" i="178" s="1"/>
  <c r="P75" i="161"/>
  <c r="M19" i="178" s="1"/>
  <c r="R75" i="161"/>
  <c r="O19" i="178" s="1"/>
  <c r="R113" i="173"/>
  <c r="G14" i="175"/>
  <c r="F10" i="175"/>
  <c r="D10" i="175"/>
  <c r="C10" i="175"/>
  <c r="M16" i="172"/>
  <c r="M17" i="172" s="1"/>
  <c r="E10" i="175"/>
  <c r="B10" i="175"/>
  <c r="R34" i="172"/>
  <c r="P34" i="172"/>
  <c r="R11" i="172"/>
  <c r="R14" i="172" s="1"/>
  <c r="P14" i="172"/>
  <c r="K16" i="172"/>
  <c r="K17" i="172" s="1"/>
  <c r="I16" i="172"/>
  <c r="I17" i="172" s="1"/>
  <c r="O16" i="172"/>
  <c r="O17" i="172" s="1"/>
  <c r="P30" i="172"/>
  <c r="R30" i="172" s="1"/>
  <c r="G16" i="172"/>
  <c r="U98" i="161"/>
  <c r="U99" i="161"/>
  <c r="R80" i="161"/>
  <c r="F13" i="160" s="1"/>
  <c r="P80" i="161"/>
  <c r="E13" i="160" s="1"/>
  <c r="N80" i="161"/>
  <c r="D13" i="160" s="1"/>
  <c r="R12" i="161"/>
  <c r="K42" i="178" l="1"/>
  <c r="I42" i="178"/>
  <c r="M42" i="178"/>
  <c r="O42" i="178"/>
  <c r="P25" i="172"/>
  <c r="G40" i="178"/>
  <c r="G42" i="178" s="1"/>
  <c r="I27" i="172"/>
  <c r="P21" i="172"/>
  <c r="R21" i="172" s="1"/>
  <c r="P20" i="172"/>
  <c r="R20" i="172" s="1"/>
  <c r="P77" i="161"/>
  <c r="E12" i="160" s="1"/>
  <c r="L77" i="161"/>
  <c r="R77" i="161"/>
  <c r="F12" i="160" s="1"/>
  <c r="N77" i="161"/>
  <c r="D12" i="160" s="1"/>
  <c r="J77" i="161"/>
  <c r="S45" i="161"/>
  <c r="U45" i="161" s="1"/>
  <c r="S57" i="161"/>
  <c r="U57" i="161" s="1"/>
  <c r="S65" i="161"/>
  <c r="U65" i="161" s="1"/>
  <c r="S49" i="161"/>
  <c r="U49" i="161" s="1"/>
  <c r="S75" i="161"/>
  <c r="S70" i="161"/>
  <c r="S50" i="161"/>
  <c r="U50" i="161" s="1"/>
  <c r="S46" i="161"/>
  <c r="U46" i="161" s="1"/>
  <c r="S66" i="161"/>
  <c r="U66" i="161" s="1"/>
  <c r="S58" i="161"/>
  <c r="U58" i="161" s="1"/>
  <c r="O36" i="178"/>
  <c r="M36" i="178"/>
  <c r="M72" i="178" s="1"/>
  <c r="K36" i="178"/>
  <c r="K72" i="178" s="1"/>
  <c r="I36" i="178"/>
  <c r="I72" i="178" s="1"/>
  <c r="G36" i="178"/>
  <c r="S74" i="161"/>
  <c r="K61" i="172"/>
  <c r="D17" i="175" s="1"/>
  <c r="I61" i="172"/>
  <c r="C17" i="175" s="1"/>
  <c r="P24" i="172"/>
  <c r="P39" i="178" s="1"/>
  <c r="G61" i="172"/>
  <c r="B17" i="175" s="1"/>
  <c r="M61" i="172"/>
  <c r="E17" i="175" s="1"/>
  <c r="O61" i="172"/>
  <c r="F17" i="175" s="1"/>
  <c r="G27" i="172"/>
  <c r="B12" i="175" s="1"/>
  <c r="O27" i="172"/>
  <c r="C12" i="175"/>
  <c r="K27" i="172"/>
  <c r="M27" i="172"/>
  <c r="S69" i="161"/>
  <c r="E11" i="175"/>
  <c r="C11" i="175"/>
  <c r="G10" i="175"/>
  <c r="D11" i="175"/>
  <c r="F11" i="175"/>
  <c r="P85" i="161"/>
  <c r="E14" i="160" s="1"/>
  <c r="L85" i="161"/>
  <c r="C14" i="160" s="1"/>
  <c r="P126" i="161"/>
  <c r="P133" i="161" s="1"/>
  <c r="P144" i="161" s="1"/>
  <c r="R126" i="161"/>
  <c r="R133" i="161" s="1"/>
  <c r="R144" i="161" s="1"/>
  <c r="N126" i="161"/>
  <c r="N133" i="161" s="1"/>
  <c r="N144" i="161" s="1"/>
  <c r="R85" i="161"/>
  <c r="F14" i="160" s="1"/>
  <c r="N156" i="161"/>
  <c r="R156" i="161"/>
  <c r="P156" i="161"/>
  <c r="L156" i="161"/>
  <c r="J156" i="161"/>
  <c r="G17" i="172"/>
  <c r="P16" i="172"/>
  <c r="N85" i="161"/>
  <c r="D14" i="160" s="1"/>
  <c r="L144" i="161"/>
  <c r="L80" i="161"/>
  <c r="L126" i="161"/>
  <c r="L133" i="161" s="1"/>
  <c r="O72" i="178" l="1"/>
  <c r="G72" i="178"/>
  <c r="R25" i="172"/>
  <c r="R40" i="178" s="1"/>
  <c r="P40" i="178"/>
  <c r="P42" i="178" s="1"/>
  <c r="U75" i="161"/>
  <c r="R19" i="178" s="1"/>
  <c r="P19" i="178"/>
  <c r="U74" i="161"/>
  <c r="R18" i="178" s="1"/>
  <c r="P18" i="178"/>
  <c r="U69" i="161"/>
  <c r="R13" i="178" s="1"/>
  <c r="P13" i="178"/>
  <c r="U70" i="161"/>
  <c r="R14" i="178" s="1"/>
  <c r="P14" i="178"/>
  <c r="I63" i="172"/>
  <c r="I65" i="172" s="1"/>
  <c r="C19" i="175"/>
  <c r="C20" i="175" s="1"/>
  <c r="C21" i="175" s="1"/>
  <c r="E12" i="175"/>
  <c r="E19" i="175" s="1"/>
  <c r="E20" i="175" s="1"/>
  <c r="E21" i="175" s="1"/>
  <c r="M63" i="172"/>
  <c r="M65" i="172" s="1"/>
  <c r="D12" i="175"/>
  <c r="D19" i="175" s="1"/>
  <c r="D20" i="175" s="1"/>
  <c r="D21" i="175" s="1"/>
  <c r="K63" i="172"/>
  <c r="F12" i="175"/>
  <c r="F19" i="175" s="1"/>
  <c r="F20" i="175" s="1"/>
  <c r="F21" i="175" s="1"/>
  <c r="O63" i="172"/>
  <c r="P27" i="172"/>
  <c r="R24" i="172"/>
  <c r="R39" i="178" s="1"/>
  <c r="R42" i="178" s="1"/>
  <c r="P61" i="172"/>
  <c r="G17" i="175"/>
  <c r="B11" i="175"/>
  <c r="G63" i="172"/>
  <c r="G65" i="172" s="1"/>
  <c r="N158" i="161"/>
  <c r="R158" i="161"/>
  <c r="F17" i="160" s="1"/>
  <c r="R16" i="172"/>
  <c r="R17" i="172" s="1"/>
  <c r="P17" i="172"/>
  <c r="T28" i="161"/>
  <c r="J126" i="161"/>
  <c r="J133" i="161" s="1"/>
  <c r="T96" i="161"/>
  <c r="T85" i="161"/>
  <c r="T80" i="161"/>
  <c r="S108" i="161"/>
  <c r="U108" i="161" s="1"/>
  <c r="S93" i="161"/>
  <c r="U93" i="161" s="1"/>
  <c r="S92" i="161"/>
  <c r="U92" i="161" s="1"/>
  <c r="S89" i="161"/>
  <c r="U89" i="161" s="1"/>
  <c r="S84" i="161"/>
  <c r="U84" i="161" s="1"/>
  <c r="J23" i="161"/>
  <c r="J22" i="161"/>
  <c r="J21" i="161"/>
  <c r="J20" i="161"/>
  <c r="J18" i="161"/>
  <c r="J17" i="161"/>
  <c r="J16" i="161"/>
  <c r="J14" i="161"/>
  <c r="J13" i="161"/>
  <c r="R23" i="161"/>
  <c r="R22" i="161"/>
  <c r="R21" i="161"/>
  <c r="R20" i="161"/>
  <c r="R18" i="161"/>
  <c r="R17" i="161"/>
  <c r="R16" i="161"/>
  <c r="R14" i="161"/>
  <c r="P23" i="161"/>
  <c r="P22" i="161"/>
  <c r="P21" i="161"/>
  <c r="P18" i="161"/>
  <c r="P17" i="161"/>
  <c r="P16" i="161"/>
  <c r="P14" i="161"/>
  <c r="N23" i="161"/>
  <c r="N22" i="161"/>
  <c r="N21" i="161"/>
  <c r="N20" i="161"/>
  <c r="N18" i="161"/>
  <c r="N17" i="161"/>
  <c r="N16" i="161"/>
  <c r="N14" i="161"/>
  <c r="L23" i="161"/>
  <c r="L22" i="161"/>
  <c r="L20" i="161"/>
  <c r="L18" i="161"/>
  <c r="L16" i="161"/>
  <c r="L14" i="161"/>
  <c r="L13" i="161"/>
  <c r="P12" i="161"/>
  <c r="N12" i="161"/>
  <c r="A5" i="160"/>
  <c r="S109" i="161"/>
  <c r="U109" i="161" s="1"/>
  <c r="P20" i="161"/>
  <c r="J80" i="161"/>
  <c r="B13" i="160" s="1"/>
  <c r="T158" i="161"/>
  <c r="U134" i="161"/>
  <c r="P34" i="178"/>
  <c r="S107" i="161"/>
  <c r="U107" i="161" s="1"/>
  <c r="S105" i="161"/>
  <c r="U105" i="161" s="1"/>
  <c r="S103" i="161"/>
  <c r="U103" i="161" s="1"/>
  <c r="S102" i="161"/>
  <c r="T24" i="161"/>
  <c r="R27" i="172" l="1"/>
  <c r="R35" i="178"/>
  <c r="P35" i="178"/>
  <c r="P36" i="178"/>
  <c r="P72" i="178" s="1"/>
  <c r="G12" i="175"/>
  <c r="M67" i="172"/>
  <c r="P88" i="161" s="1"/>
  <c r="P163" i="161" s="1"/>
  <c r="I67" i="172"/>
  <c r="L88" i="161" s="1"/>
  <c r="L163" i="161" s="1"/>
  <c r="P63" i="172"/>
  <c r="O65" i="172"/>
  <c r="O67" i="172" s="1"/>
  <c r="R88" i="161" s="1"/>
  <c r="K65" i="172"/>
  <c r="P65" i="172" s="1"/>
  <c r="S116" i="161"/>
  <c r="J144" i="161"/>
  <c r="G11" i="175"/>
  <c r="G19" i="175" s="1"/>
  <c r="B19" i="175"/>
  <c r="P24" i="161"/>
  <c r="E10" i="160" s="1"/>
  <c r="L24" i="161"/>
  <c r="C10" i="160" s="1"/>
  <c r="N24" i="161"/>
  <c r="T160" i="161"/>
  <c r="T167" i="161" s="1"/>
  <c r="S126" i="161"/>
  <c r="S133" i="161" s="1"/>
  <c r="R24" i="161"/>
  <c r="G67" i="172"/>
  <c r="J88" i="161" s="1"/>
  <c r="J163" i="161" s="1"/>
  <c r="R34" i="178"/>
  <c r="U102" i="161"/>
  <c r="U116" i="161" s="1"/>
  <c r="S37" i="161"/>
  <c r="U37" i="161" s="1"/>
  <c r="S42" i="161"/>
  <c r="U42" i="161" s="1"/>
  <c r="S55" i="161"/>
  <c r="U55" i="161" s="1"/>
  <c r="S32" i="161"/>
  <c r="U32" i="161" s="1"/>
  <c r="S83" i="161"/>
  <c r="U83" i="161" s="1"/>
  <c r="N26" i="161"/>
  <c r="P26" i="161"/>
  <c r="S23" i="161"/>
  <c r="U23" i="161" s="1"/>
  <c r="S82" i="161"/>
  <c r="S14" i="161"/>
  <c r="U14" i="161" s="1"/>
  <c r="S16" i="161"/>
  <c r="U16" i="161" s="1"/>
  <c r="R26" i="161"/>
  <c r="S17" i="161"/>
  <c r="U17" i="161" s="1"/>
  <c r="S18" i="161"/>
  <c r="U18" i="161" s="1"/>
  <c r="C13" i="160"/>
  <c r="G13" i="160" s="1"/>
  <c r="S79" i="161"/>
  <c r="L26" i="161"/>
  <c r="J24" i="161"/>
  <c r="B10" i="160" s="1"/>
  <c r="C12" i="160"/>
  <c r="S31" i="161"/>
  <c r="J85" i="161"/>
  <c r="S13" i="161"/>
  <c r="U13" i="161" s="1"/>
  <c r="P27" i="161"/>
  <c r="N27" i="161"/>
  <c r="S22" i="161"/>
  <c r="U22" i="161" s="1"/>
  <c r="S53" i="161"/>
  <c r="U53" i="161" s="1"/>
  <c r="B12" i="160"/>
  <c r="R27" i="161"/>
  <c r="S21" i="161"/>
  <c r="U21" i="161" s="1"/>
  <c r="S20" i="161"/>
  <c r="U20" i="161" s="1"/>
  <c r="L27" i="161"/>
  <c r="S12" i="161"/>
  <c r="J27" i="161"/>
  <c r="J26" i="161"/>
  <c r="K67" i="172" l="1"/>
  <c r="N88" i="161" s="1"/>
  <c r="N163" i="161" s="1"/>
  <c r="P96" i="161"/>
  <c r="R36" i="178"/>
  <c r="R72" i="178" s="1"/>
  <c r="R65" i="172"/>
  <c r="L96" i="161"/>
  <c r="C15" i="160" s="1"/>
  <c r="N96" i="161"/>
  <c r="D15" i="160" s="1"/>
  <c r="R163" i="161"/>
  <c r="R96" i="161"/>
  <c r="F15" i="160" s="1"/>
  <c r="R61" i="172"/>
  <c r="G12" i="160"/>
  <c r="J96" i="161"/>
  <c r="B14" i="160"/>
  <c r="G14" i="160" s="1"/>
  <c r="E15" i="160"/>
  <c r="P158" i="161"/>
  <c r="L158" i="161"/>
  <c r="B20" i="175"/>
  <c r="G20" i="175" s="1"/>
  <c r="G21" i="175" s="1"/>
  <c r="P28" i="161"/>
  <c r="U156" i="161"/>
  <c r="S156" i="161"/>
  <c r="S144" i="161"/>
  <c r="F10" i="160"/>
  <c r="U82" i="161"/>
  <c r="U85" i="161" s="1"/>
  <c r="S85" i="161"/>
  <c r="S24" i="161"/>
  <c r="U24" i="161" s="1"/>
  <c r="L28" i="161"/>
  <c r="U79" i="161"/>
  <c r="S80" i="161"/>
  <c r="U80" i="161" s="1"/>
  <c r="N28" i="161"/>
  <c r="D11" i="160" s="1"/>
  <c r="D10" i="160"/>
  <c r="U31" i="161"/>
  <c r="R28" i="161"/>
  <c r="F11" i="160" s="1"/>
  <c r="S36" i="161"/>
  <c r="U36" i="161" s="1"/>
  <c r="S38" i="161"/>
  <c r="U38" i="161" s="1"/>
  <c r="S34" i="161"/>
  <c r="U34" i="161" s="1"/>
  <c r="S26" i="161"/>
  <c r="S41" i="161"/>
  <c r="U41" i="161" s="1"/>
  <c r="S40" i="161"/>
  <c r="U40" i="161" s="1"/>
  <c r="U12" i="161"/>
  <c r="S33" i="161"/>
  <c r="U33" i="161" s="1"/>
  <c r="S54" i="161"/>
  <c r="U54" i="161" s="1"/>
  <c r="S27" i="161"/>
  <c r="U27" i="161" s="1"/>
  <c r="J158" i="161"/>
  <c r="J28" i="161"/>
  <c r="B11" i="160" s="1"/>
  <c r="P67" i="172" l="1"/>
  <c r="R67" i="172" s="1"/>
  <c r="U77" i="161"/>
  <c r="S77" i="161"/>
  <c r="R63" i="172"/>
  <c r="S88" i="161"/>
  <c r="U88" i="161" s="1"/>
  <c r="U96" i="161" s="1"/>
  <c r="G10" i="160"/>
  <c r="S163" i="161"/>
  <c r="U163" i="161" s="1"/>
  <c r="L160" i="161"/>
  <c r="L162" i="161" s="1"/>
  <c r="B15" i="160"/>
  <c r="G15" i="160" s="1"/>
  <c r="C11" i="160"/>
  <c r="B21" i="175"/>
  <c r="N160" i="161"/>
  <c r="N162" i="161" s="1"/>
  <c r="E11" i="160"/>
  <c r="P160" i="161"/>
  <c r="P162" i="161" s="1"/>
  <c r="U26" i="161"/>
  <c r="U28" i="161" s="1"/>
  <c r="S28" i="161"/>
  <c r="R160" i="161"/>
  <c r="R162" i="161" s="1"/>
  <c r="F19" i="160"/>
  <c r="B17" i="160"/>
  <c r="J160" i="161"/>
  <c r="E17" i="160"/>
  <c r="C17" i="160"/>
  <c r="J162" i="161" l="1"/>
  <c r="J165" i="161" s="1"/>
  <c r="J167" i="161" s="1"/>
  <c r="S96" i="161"/>
  <c r="S158" i="161" s="1"/>
  <c r="S160" i="161" s="1"/>
  <c r="G11" i="160"/>
  <c r="B19" i="160"/>
  <c r="R165" i="161"/>
  <c r="L165" i="161"/>
  <c r="P165" i="161"/>
  <c r="E19" i="160"/>
  <c r="E20" i="160" l="1"/>
  <c r="E21" i="160" s="1"/>
  <c r="P167" i="161"/>
  <c r="C20" i="160"/>
  <c r="L167" i="161"/>
  <c r="F20" i="160"/>
  <c r="F21" i="160" s="1"/>
  <c r="R167" i="161"/>
  <c r="B20" i="160"/>
  <c r="B21" i="160" s="1"/>
  <c r="U126" i="161"/>
  <c r="U133" i="161" s="1"/>
  <c r="U144" i="161" s="1"/>
  <c r="N165" i="161"/>
  <c r="C19" i="160"/>
  <c r="D20" i="160" l="1"/>
  <c r="G20" i="160" s="1"/>
  <c r="N167" i="161"/>
  <c r="U158" i="161"/>
  <c r="U160" i="161" s="1"/>
  <c r="S72" i="178" s="1"/>
  <c r="D17" i="160"/>
  <c r="G17" i="160" s="1"/>
  <c r="G19" i="160" s="1"/>
  <c r="S162" i="161"/>
  <c r="D19" i="160" l="1"/>
  <c r="D21" i="160" s="1"/>
  <c r="U162" i="161"/>
  <c r="U165" i="161" s="1"/>
  <c r="U167" i="161" s="1"/>
  <c r="S165" i="161"/>
  <c r="S167" i="161" s="1"/>
  <c r="C21" i="160"/>
  <c r="G21" i="16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tc={805B4E98-04D2-4B52-9168-240B0FFD293D}</author>
  </authors>
  <commentList>
    <comment ref="H15" authorId="0" shapeId="0" xr:uid="{805B4E98-04D2-4B52-9168-240B0FFD293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Translation services</t>
      </text>
    </comment>
  </commentList>
</comments>
</file>

<file path=xl/sharedStrings.xml><?xml version="1.0" encoding="utf-8"?>
<sst xmlns="http://schemas.openxmlformats.org/spreadsheetml/2006/main" count="1270" uniqueCount="460">
  <si>
    <t>Project Budget Summary</t>
  </si>
  <si>
    <t>Partners of the Americas</t>
  </si>
  <si>
    <t>54 Months</t>
  </si>
  <si>
    <t>BUDGET SUMMARY CATEGORIES</t>
  </si>
  <si>
    <t>YEAR 1</t>
  </si>
  <si>
    <t>YEAR 2</t>
  </si>
  <si>
    <t>YEAR 3</t>
  </si>
  <si>
    <t>YEAR 4</t>
  </si>
  <si>
    <t>YEAR 5</t>
  </si>
  <si>
    <t>TOTAL FEDERAL FUNDS REQUESTED</t>
  </si>
  <si>
    <t xml:space="preserve">1. PERSONNEL </t>
  </si>
  <si>
    <t>2. FRINGE BENEFITS</t>
  </si>
  <si>
    <t>3. TRAVEL</t>
  </si>
  <si>
    <t>4. EQUIPMENT</t>
  </si>
  <si>
    <t>5. SUPPLIES</t>
  </si>
  <si>
    <t>6. CONTRACTUAL</t>
  </si>
  <si>
    <t>7. CONSTRUCTION</t>
  </si>
  <si>
    <t>8. OTHER DIRECT COSTS</t>
  </si>
  <si>
    <t>9. TOTAL DIRECT COSTS (Lines 1-8)</t>
  </si>
  <si>
    <t xml:space="preserve">10. INDIRECT COSTS </t>
  </si>
  <si>
    <t>11. TOTAL COSTS (Lines 9-10)</t>
  </si>
  <si>
    <t>Project Line-Item Budget</t>
  </si>
  <si>
    <t>Leveling the Field for American Workers in U.S.-Mexico Trade</t>
  </si>
  <si>
    <t>Cost Assumptions</t>
  </si>
  <si>
    <t>Merit Based Increases for HO &amp; Field Staff</t>
  </si>
  <si>
    <t>BUDGET ITEM</t>
  </si>
  <si>
    <t>CATEGORY</t>
  </si>
  <si>
    <t>LOE</t>
  </si>
  <si>
    <t>UNIT</t>
  </si>
  <si>
    <t># of Units</t>
  </si>
  <si>
    <t>RATE / UNIT</t>
  </si>
  <si>
    <t>Year 1</t>
  </si>
  <si>
    <t>Year 2</t>
  </si>
  <si>
    <t>Year 3</t>
  </si>
  <si>
    <t>Year 4</t>
  </si>
  <si>
    <t>Year 5</t>
  </si>
  <si>
    <t>TOTAL DOL</t>
  </si>
  <si>
    <t>TOTAL COST 
SHARING</t>
  </si>
  <si>
    <t>PROJECT GRAND TOTAL</t>
  </si>
  <si>
    <t>Personnel</t>
  </si>
  <si>
    <t>Key Personnel</t>
  </si>
  <si>
    <t>Project Director: Ingrid Ceballos</t>
  </si>
  <si>
    <t>Salaries</t>
  </si>
  <si>
    <t>Month</t>
  </si>
  <si>
    <t>M&amp;E Officer: Luis Madrid</t>
  </si>
  <si>
    <t>Industrial Relations Specialist: Darlene Rojas</t>
  </si>
  <si>
    <t>Other Professional Personnel</t>
  </si>
  <si>
    <t>F&amp;A Manager</t>
  </si>
  <si>
    <t>Administration &amp; Operations Specialist</t>
  </si>
  <si>
    <t>Technology Project Specialist</t>
  </si>
  <si>
    <t>Home Office Support</t>
  </si>
  <si>
    <t>Project Manager</t>
  </si>
  <si>
    <t>Senior Program Officer</t>
  </si>
  <si>
    <t>Compliance &amp; Contracts Director</t>
  </si>
  <si>
    <t>Finance, HR, &amp; Administration Support</t>
  </si>
  <si>
    <t>Total Personnel</t>
  </si>
  <si>
    <t>Fringe Benefits</t>
  </si>
  <si>
    <t>Fringe Benefits - MX</t>
  </si>
  <si>
    <t>Fringe Benefits - HO</t>
  </si>
  <si>
    <t>Total Fringe Benefits</t>
  </si>
  <si>
    <t>Travel</t>
  </si>
  <si>
    <t>T1: Post-award Meeting with ILAB</t>
  </si>
  <si>
    <t>Airfare - Mexico City-DC</t>
  </si>
  <si>
    <t>Trip</t>
  </si>
  <si>
    <t>Lodging and M&amp;IE in DC</t>
  </si>
  <si>
    <t>Day</t>
  </si>
  <si>
    <t>Local transportation in DC</t>
  </si>
  <si>
    <t xml:space="preserve">U.S. Visa Fees </t>
  </si>
  <si>
    <t>Person</t>
  </si>
  <si>
    <t>T2: Field Personnel Annual Visits with ILAB</t>
  </si>
  <si>
    <t xml:space="preserve">Airfare - Mexico City-DC </t>
  </si>
  <si>
    <t>T3: Program Management Visits to Field</t>
  </si>
  <si>
    <t>Airfare - DC - Mexico City</t>
  </si>
  <si>
    <t>Lodging and M&amp;IE in Mexico City</t>
  </si>
  <si>
    <t>Local transportation in Mexico City</t>
  </si>
  <si>
    <t>T4: Domestic Travel to Field</t>
  </si>
  <si>
    <t>Activity 6: Facilitate Constructive Dialogue between Employers and Local Labor Authorities</t>
  </si>
  <si>
    <t>Airfare</t>
  </si>
  <si>
    <t>Lodging and M&amp;IE</t>
  </si>
  <si>
    <t>Local transportation</t>
  </si>
  <si>
    <t xml:space="preserve">Activity 7: Strengthen SMEs’ Knowledge of and Compliance with Labor Reforms and USMCA Commitments </t>
  </si>
  <si>
    <t xml:space="preserve">Activity 8: Increase Transparency to Strengthen Collective Bargaining </t>
  </si>
  <si>
    <t>Activity 9: Increase Union Capacity to Submit Effective Petitions under the RRM of the USMCA</t>
  </si>
  <si>
    <t>Activity 10: Strengthen Collective Bargaining Capacity through U.S. Union Exchanges</t>
  </si>
  <si>
    <t>Activity 11: Build a New Generation of Union Leadership</t>
  </si>
  <si>
    <t>M&amp;E - Collection of Reliable Data and Processing of Monitoring Data</t>
  </si>
  <si>
    <t>M&amp;E - Airfare - Field verification and data collection visits</t>
  </si>
  <si>
    <t>M&amp;E</t>
  </si>
  <si>
    <t>M&amp;E - Lodging and M&amp;IE - Field verification and data collection visits</t>
  </si>
  <si>
    <t>M&amp;E - Local transportation</t>
  </si>
  <si>
    <t>M&amp;E - Data collection materials and printing</t>
  </si>
  <si>
    <t>Unit</t>
  </si>
  <si>
    <t>M&amp;E - Stakeholder Engagement and Strategy Validation</t>
  </si>
  <si>
    <t>M&amp;E - Airfare</t>
  </si>
  <si>
    <t>Total Travel</t>
  </si>
  <si>
    <t>Equipment</t>
  </si>
  <si>
    <t>None</t>
  </si>
  <si>
    <t>Total Equipment</t>
  </si>
  <si>
    <t>Supplies</t>
  </si>
  <si>
    <t xml:space="preserve">Laptop computers &amp; software  </t>
  </si>
  <si>
    <t>Office supplies</t>
  </si>
  <si>
    <t>Printer</t>
  </si>
  <si>
    <t>Total Supplies</t>
  </si>
  <si>
    <t xml:space="preserve">Contractual </t>
  </si>
  <si>
    <t>Subawards</t>
  </si>
  <si>
    <t>Friedrich-Ebert-Stiftung (FES)</t>
  </si>
  <si>
    <t>Subaward</t>
  </si>
  <si>
    <t>Instituto Tecnológico Autónomo de México (ITAM)</t>
  </si>
  <si>
    <t>Contracts</t>
  </si>
  <si>
    <t>Communications &amp; Creation of Visual Assets Contract</t>
  </si>
  <si>
    <t>Contract</t>
  </si>
  <si>
    <t>Activity 9 - Contract on democratically elected unions and accompanying organizations</t>
  </si>
  <si>
    <t xml:space="preserve">Activity 7 - Contract to digitalize Compliance Checklist to Strengthen Compliance Across Priority Sectors and States </t>
  </si>
  <si>
    <t>M&amp;E - Interim Performance Evaluation</t>
  </si>
  <si>
    <t>Evaluation</t>
  </si>
  <si>
    <t>M&amp;E - Final Performance Evaluation</t>
  </si>
  <si>
    <t xml:space="preserve">Total Contractual </t>
  </si>
  <si>
    <t>Construction</t>
  </si>
  <si>
    <t>Total Construction</t>
  </si>
  <si>
    <t>Other Direct Costs</t>
  </si>
  <si>
    <t>Project Office</t>
  </si>
  <si>
    <t xml:space="preserve">Banking and Cash Handling Fees </t>
  </si>
  <si>
    <t>Office Expenses</t>
  </si>
  <si>
    <t>Courier fees/Services/Postage</t>
  </si>
  <si>
    <t>Year</t>
  </si>
  <si>
    <t>IT &amp; Communications Stipend for Staff</t>
  </si>
  <si>
    <t xml:space="preserve">Recruitment/Procurement Advertising </t>
  </si>
  <si>
    <t xml:space="preserve">Communications Costs (Internet, Phone, Data) </t>
  </si>
  <si>
    <t>Coworking Office Space (includes utilities, Wi-Fi, coffee)</t>
  </si>
  <si>
    <t>Accounting Platform (Sage Intacct &amp; QuickBooks)</t>
  </si>
  <si>
    <t>Licenses &amp; Subscriptions (Microsoft 365, Replicon, PandaDoc, Adobe, DeepL &amp; Visual Compliance)</t>
  </si>
  <si>
    <t>Payroll Processing</t>
  </si>
  <si>
    <t>Legal Fees</t>
  </si>
  <si>
    <t>Security Services, Risk Assessments, &amp; Security Assessment</t>
  </si>
  <si>
    <t xml:space="preserve">Single Audit </t>
  </si>
  <si>
    <t>IT Services &amp; Management</t>
  </si>
  <si>
    <t>508 Compliance</t>
  </si>
  <si>
    <t>Subtotal Project Office, Audit, Communications</t>
  </si>
  <si>
    <t>Outcome 1: –Labor law enforcement strengthened</t>
  </si>
  <si>
    <t>Activity 1. Build Capacity for Early Detection and Enforcement of Systemic Labor Rights Violations</t>
  </si>
  <si>
    <t>State and Local Coordination Meetings to Launch and Monitor the Enforcement Information System</t>
  </si>
  <si>
    <t>Outcome1</t>
  </si>
  <si>
    <t>Meeting</t>
  </si>
  <si>
    <t>Activity 2: Enhance Transparency to Monitor Local Compliance with Labor Reforms and USMCA Commitments</t>
  </si>
  <si>
    <t>National CONACENTROS Meetings to Promote Open Data Adoption</t>
  </si>
  <si>
    <t>Activity 3: Strengthen Collective Conciliation During the Pre-Strike (Bargaining) Period</t>
  </si>
  <si>
    <t>Coordination Meetings with State Labor Courts and Conciliation Centers</t>
  </si>
  <si>
    <t>Activity 4: Enhance Accountability for State-Level STPS Inspectors</t>
  </si>
  <si>
    <t>Graduation Ceremonies for State Labor Authorities</t>
  </si>
  <si>
    <t>Ceremony</t>
  </si>
  <si>
    <t>Subtotal Outcome 1</t>
  </si>
  <si>
    <t xml:space="preserve">Outcome 2: Employers Adapt to the New Labor Justice System and Increase Compliance </t>
  </si>
  <si>
    <t>Summits to Strengthen Dialogue between Employers and Local Labor Authorities</t>
  </si>
  <si>
    <t>Outcome2</t>
  </si>
  <si>
    <t>Summit</t>
  </si>
  <si>
    <t>Workshops to Strengthen SMEs’ Knowledge of Labor Rights and Trade Commitments</t>
  </si>
  <si>
    <t>Training</t>
  </si>
  <si>
    <t>Meetings to pilot Labor Rights Compliance Checklist to Strengthen Compliance Across Priority Sectors and States</t>
  </si>
  <si>
    <t>Meetings</t>
  </si>
  <si>
    <t xml:space="preserve">Subtotal Outcome 2 </t>
  </si>
  <si>
    <t>Outcome 3: Workers' and Workers' Organizations Capacity Improved to Effectively Negotiate Meaningful Improvements in Wages and Working Conditions</t>
  </si>
  <si>
    <t>Meetings with democratically elected unions</t>
  </si>
  <si>
    <t>Outcome3</t>
  </si>
  <si>
    <t>Presentations with democratically elected unions</t>
  </si>
  <si>
    <t>Workshop</t>
  </si>
  <si>
    <t>Workshop expenses to ensure outreach and consultation with stakeholders</t>
  </si>
  <si>
    <t>Printing and dissemination of developed tool</t>
  </si>
  <si>
    <t>Materials</t>
  </si>
  <si>
    <t>International workshops to Strengthen Collective Bargaining Capacity</t>
  </si>
  <si>
    <t>Printing materials</t>
  </si>
  <si>
    <t xml:space="preserve">Subtotal Outcome 3 </t>
  </si>
  <si>
    <t>Monitoring, Evaluation, and Collection of Reliable Data</t>
  </si>
  <si>
    <t>4.1 On-going M&amp;E Training</t>
  </si>
  <si>
    <t>On-going M&amp;E training workshops</t>
  </si>
  <si>
    <t>4.2 Development of Performance Monitoring Plan (PMP)</t>
  </si>
  <si>
    <t>Document translation</t>
  </si>
  <si>
    <t>Document</t>
  </si>
  <si>
    <t>4.3 Stakeholder Engagement and Strategy Validation</t>
  </si>
  <si>
    <t>Workshops with Stakeholders to validate project strategies</t>
  </si>
  <si>
    <t>4.4 Consultants</t>
  </si>
  <si>
    <t>M&amp;E - Consultant fees for Database development</t>
  </si>
  <si>
    <t>Hour</t>
  </si>
  <si>
    <t>M&amp;E - Consultant fees to draft written PMP</t>
  </si>
  <si>
    <t>Subtotal Monitoring, Evaluation, and Collection of Reliable Data</t>
  </si>
  <si>
    <t>Total Other Direct Costs</t>
  </si>
  <si>
    <t>Total Direct Costs</t>
  </si>
  <si>
    <t>NICRA Total Direct Costs Less Subawards</t>
  </si>
  <si>
    <t>Indirect Charges</t>
  </si>
  <si>
    <t>NICRA on Subawards</t>
  </si>
  <si>
    <t>Total Indirect Costs Reduced NICRA</t>
  </si>
  <si>
    <t>TOTAL PROGRAM COSTS</t>
  </si>
  <si>
    <t>Partners of the Americas Monitoring, Evaluation, and Collection of Reliable Data</t>
  </si>
  <si>
    <t>Interim Performance Evaluation</t>
  </si>
  <si>
    <t>Final Performance Evaluation</t>
  </si>
  <si>
    <t>Subtotal Partners of the Americas Monitoring, Evaluation, and Collection of Reliable Data</t>
  </si>
  <si>
    <t>FES Monitoring, Evaluation, and Collection of Reliable Data</t>
  </si>
  <si>
    <t>M&amp;E - Airfare - Field Verification &amp; Data Collection Expenses</t>
  </si>
  <si>
    <t>M&amp;E - Lodging and M&amp;IE - Field Verification &amp; Data Collection Expenses</t>
  </si>
  <si>
    <t>M&amp;E - Transportation - Field Verification &amp; Data Collection Expenses</t>
  </si>
  <si>
    <t>Subtotal FES Monitoring, Evaluation, and Collection of Reliable Data</t>
  </si>
  <si>
    <t>ITAM Monitoring, Evaluation, and Collection of Reliable Data</t>
  </si>
  <si>
    <t>Travel Expenses for M&amp;E Baja California</t>
  </si>
  <si>
    <t>Lodging</t>
  </si>
  <si>
    <t>Night</t>
  </si>
  <si>
    <t>Per Diem</t>
  </si>
  <si>
    <t>Local Transportation</t>
  </si>
  <si>
    <t>Travel Expenses for M&amp;E Jalisco</t>
  </si>
  <si>
    <t>Travel Expenses for M&amp;E Guanajuato</t>
  </si>
  <si>
    <t>Travel Expenses for M&amp;E Querétaro</t>
  </si>
  <si>
    <t>Institutional Liaison Coordinator (M&amp;E Activities)</t>
  </si>
  <si>
    <t>Senior Data Analyst (M&amp;E Activities)</t>
  </si>
  <si>
    <t>Junior Data Analyst (M&amp;E Activities)</t>
  </si>
  <si>
    <t>Senior Legal Analyst (M&amp;E Activities)</t>
  </si>
  <si>
    <t>Subtotal ITAM Monitoring, Evaluation, and Collection of Reliable Data</t>
  </si>
  <si>
    <t>Total Monitoring, Evaluation, and Collection of Reliable Data</t>
  </si>
  <si>
    <t>Friedrich-Ebert-Stiftung (FES) Sub-Recipient / Sub-receptor Friedrich-Ebert-Stiftung (FES)</t>
  </si>
  <si>
    <t>37 Months</t>
  </si>
  <si>
    <t>10. DE MINIMIS RATE</t>
  </si>
  <si>
    <t>Instituto Tecnológico Autónomo de México (ITAM) Sub-Recipient / Sub-receptor Instituto Tecnológico Autónomo de México (ITAM)                 (UEI: DP38M16THBJ6)</t>
  </si>
  <si>
    <t>42 Months</t>
  </si>
  <si>
    <t xml:space="preserve">Project Line-Item Budget </t>
  </si>
  <si>
    <t xml:space="preserve">Cost Assumptions </t>
  </si>
  <si>
    <t xml:space="preserve">Merit Based Increases for HO &amp; Field Staff </t>
  </si>
  <si>
    <t xml:space="preserve">BUDGET ITEM </t>
  </si>
  <si>
    <t xml:space="preserve">LOE </t>
  </si>
  <si>
    <r>
      <rPr>
        <b/>
        <sz val="12"/>
        <color rgb="FF000000"/>
        <rFont val="Times New Roman"/>
        <family val="2"/>
        <scheme val="major"/>
      </rPr>
      <t>UNIT</t>
    </r>
    <r>
      <rPr>
        <b/>
        <sz val="12"/>
        <color rgb="FF7030A0"/>
        <rFont val="Times New Roman"/>
        <family val="2"/>
        <scheme val="major"/>
      </rPr>
      <t xml:space="preserve"> </t>
    </r>
  </si>
  <si>
    <t xml:space="preserve"># of Units </t>
  </si>
  <si>
    <t xml:space="preserve">Year 1 </t>
  </si>
  <si>
    <t xml:space="preserve">Year 2 </t>
  </si>
  <si>
    <r>
      <rPr>
        <b/>
        <sz val="12"/>
        <color rgb="FF000000"/>
        <rFont val="Times New Roman"/>
        <family val="2"/>
        <scheme val="major"/>
      </rPr>
      <t>Year 3</t>
    </r>
    <r>
      <rPr>
        <b/>
        <sz val="12"/>
        <color rgb="FF7030A0"/>
        <rFont val="Times New Roman"/>
        <family val="2"/>
        <scheme val="major"/>
      </rPr>
      <t xml:space="preserve"> </t>
    </r>
  </si>
  <si>
    <t>TOTAL US$</t>
  </si>
  <si>
    <t xml:space="preserve">TOTAL COST 
SHARING </t>
  </si>
  <si>
    <t xml:space="preserve">Professional Personnel </t>
  </si>
  <si>
    <t xml:space="preserve">Project Coordinator </t>
  </si>
  <si>
    <t>Project Specialist and M&amp;E</t>
  </si>
  <si>
    <t>F&amp;A Officer</t>
  </si>
  <si>
    <r>
      <rPr>
        <b/>
        <sz val="12"/>
        <color rgb="FF000000"/>
        <rFont val="Times New Roman"/>
        <family val="2"/>
        <scheme val="major"/>
      </rPr>
      <t>Total Personnel</t>
    </r>
    <r>
      <rPr>
        <b/>
        <sz val="12"/>
        <color rgb="FF7030A0"/>
        <rFont val="Times New Roman"/>
        <family val="2"/>
        <scheme val="major"/>
      </rPr>
      <t xml:space="preserve"> </t>
    </r>
  </si>
  <si>
    <t xml:space="preserve">Fringe Benefits </t>
  </si>
  <si>
    <t>Fringe Benefits - Mexico</t>
  </si>
  <si>
    <t xml:space="preserve">Total Fringe Benefits </t>
  </si>
  <si>
    <r>
      <rPr>
        <b/>
        <sz val="12"/>
        <color rgb="FF000000"/>
        <rFont val="Times New Roman"/>
        <family val="2"/>
        <scheme val="major"/>
      </rPr>
      <t>Total Travel</t>
    </r>
    <r>
      <rPr>
        <b/>
        <sz val="12"/>
        <color rgb="FF7030A0"/>
        <rFont val="Times New Roman"/>
        <family val="2"/>
        <scheme val="major"/>
      </rPr>
      <t xml:space="preserve"> </t>
    </r>
  </si>
  <si>
    <t xml:space="preserve">Equipment </t>
  </si>
  <si>
    <t xml:space="preserve">Total Equipment </t>
  </si>
  <si>
    <t xml:space="preserve">Office supplies </t>
  </si>
  <si>
    <t xml:space="preserve">Supplies </t>
  </si>
  <si>
    <t>Computers</t>
  </si>
  <si>
    <t xml:space="preserve">Total Construction </t>
  </si>
  <si>
    <t xml:space="preserve">Other Direct Costs </t>
  </si>
  <si>
    <t>Banking and cash handling fees</t>
  </si>
  <si>
    <t>Licenses &amp; Subscriptions (Microsoft 365, Azure, GoDaddy, VozLaboral)</t>
  </si>
  <si>
    <t>Subtotal Project Office</t>
  </si>
  <si>
    <t>Meetings to promote CONDATOS</t>
  </si>
  <si>
    <t>Activity</t>
  </si>
  <si>
    <t>Ads campaign to promote CONDATOS</t>
  </si>
  <si>
    <t>Ads</t>
  </si>
  <si>
    <t>Presentations of CONDATOS with democratically elected unions</t>
  </si>
  <si>
    <t>Presentations</t>
  </si>
  <si>
    <t>Workshops designed to strengthen the capacity of unions to submit effective petitions under the Rapid Response Mechanism</t>
  </si>
  <si>
    <t>Miscellaneous expenses for union leaders training</t>
  </si>
  <si>
    <t>Outcome 3</t>
  </si>
  <si>
    <t>Educational materials for participants</t>
  </si>
  <si>
    <t>Equipment for trainings for union leaders</t>
  </si>
  <si>
    <t>Venue and coffee break for participants</t>
  </si>
  <si>
    <t>Subtotal Outcome 3</t>
  </si>
  <si>
    <t xml:space="preserve">Total Other Direct Costs </t>
  </si>
  <si>
    <t xml:space="preserve">Total Direct Costs </t>
  </si>
  <si>
    <t xml:space="preserve">De minimis rate </t>
  </si>
  <si>
    <r>
      <rPr>
        <sz val="12"/>
        <color rgb="FF000000"/>
        <rFont val="Times New Roman"/>
        <family val="2"/>
        <scheme val="major"/>
      </rPr>
      <t>Indirect Charges</t>
    </r>
    <r>
      <rPr>
        <sz val="12"/>
        <color rgb="FF7030A0"/>
        <rFont val="Times New Roman"/>
        <family val="2"/>
        <scheme val="major"/>
      </rPr>
      <t xml:space="preserve"> </t>
    </r>
  </si>
  <si>
    <t xml:space="preserve">TOTAL PROGRAM COSTS </t>
  </si>
  <si>
    <t>Instituto Tecnológico Autónomo de México (ITAM) Sub-Recipient / Sub-receptor Instituto Tecnológico Autónomo de México (ITAM) (UEI: DP38M16THBJ6)</t>
  </si>
  <si>
    <t xml:space="preserve">42 Months </t>
  </si>
  <si>
    <t>Technical Director</t>
  </si>
  <si>
    <t>Product Manager</t>
  </si>
  <si>
    <t>Country travel</t>
  </si>
  <si>
    <t>Travel Expenses Querétaro</t>
  </si>
  <si>
    <t>Institutional Liaison Coordinator</t>
  </si>
  <si>
    <t>Senior Software Architect</t>
  </si>
  <si>
    <t>Senior Full-Stack Developer</t>
  </si>
  <si>
    <t>Junior Full-Stack Developer</t>
  </si>
  <si>
    <t>DevOps/Infrastructure</t>
  </si>
  <si>
    <t>Product Analyst</t>
  </si>
  <si>
    <t>Senior Legal Analyst</t>
  </si>
  <si>
    <t>Support &amp; Training Coordinator</t>
  </si>
  <si>
    <t>Support &amp; Training Assistant</t>
  </si>
  <si>
    <t>Senior Data Analyst</t>
  </si>
  <si>
    <t>Junior Data Analyst</t>
  </si>
  <si>
    <t>Data Entry Specialist</t>
  </si>
  <si>
    <t>Senior Technical Instructor</t>
  </si>
  <si>
    <t>Technical Instructor Coordinator</t>
  </si>
  <si>
    <t>Junior Technical Instructor</t>
  </si>
  <si>
    <t>Materials Designer</t>
  </si>
  <si>
    <t>Moodle Expert</t>
  </si>
  <si>
    <t>Contractual for M&amp;E</t>
  </si>
  <si>
    <t>Infrastructure &amp; Cloud Services</t>
  </si>
  <si>
    <t>Development &amp; Testing Tools</t>
  </si>
  <si>
    <t>Productivity &amp; Collaboration Tools</t>
  </si>
  <si>
    <t>AI &amp; Data Analytics</t>
  </si>
  <si>
    <t>Design &amp; UX Tools</t>
  </si>
  <si>
    <t>TC</t>
  </si>
  <si>
    <t>Domestic travel</t>
  </si>
  <si>
    <t>Ground transportation (round)</t>
  </si>
  <si>
    <t>Max lodging</t>
  </si>
  <si>
    <t>CDMX</t>
  </si>
  <si>
    <t>QRO</t>
  </si>
  <si>
    <t>BC</t>
  </si>
  <si>
    <t>GTO</t>
  </si>
  <si>
    <t>JAL</t>
  </si>
  <si>
    <t>International travel</t>
  </si>
  <si>
    <t>CDMX-DC</t>
  </si>
  <si>
    <t>CDMX lodging</t>
  </si>
  <si>
    <t>CDMX M&amp;IE</t>
  </si>
  <si>
    <t>DC lodging</t>
  </si>
  <si>
    <t>DC M&amp;IE</t>
  </si>
  <si>
    <t>International travel - labor experts</t>
  </si>
  <si>
    <t>Colombia-CDMX</t>
  </si>
  <si>
    <t>Paraguay-CDMX</t>
  </si>
  <si>
    <t>Uruguay-CDMX</t>
  </si>
  <si>
    <t>Argentina-CDMX</t>
  </si>
  <si>
    <t>Chile-CDMX</t>
  </si>
  <si>
    <t>DC-CDMX</t>
  </si>
  <si>
    <t>Unit cost</t>
  </si>
  <si>
    <t>Category</t>
  </si>
  <si>
    <t># of persons</t>
  </si>
  <si>
    <t>Coffee break</t>
  </si>
  <si>
    <t>Lunch</t>
  </si>
  <si>
    <t>Other logistic material</t>
  </si>
  <si>
    <t>Back</t>
  </si>
  <si>
    <t>Total</t>
  </si>
  <si>
    <t>Activity 1.1 - TRACE: Targeted Response and Coordination for Enforcement – ITAM</t>
  </si>
  <si>
    <t>Activity 1.2 - Strengthening SINACOL as a National Data Platform</t>
  </si>
  <si>
    <t>Activity 1.4 - Training Modules for State Labor Authorities</t>
  </si>
  <si>
    <t xml:space="preserve">Activity 2.1 - Improved Dialogue between Employers and Local Labor Authorities </t>
  </si>
  <si>
    <t>Activity 2.2 - Strengthen SMEs’ Knowledge of and Compliance with Labor Reforms and USMCA Commitments</t>
  </si>
  <si>
    <t>Activity 2.3 - Meetings to pilot Labor Rights Compliance Checklist to Strengthen Compliance Across Priority Sectors and States</t>
  </si>
  <si>
    <t>Activity 3.1 - CONDATOS: A Co-Developed Digital Platform to Benchmark Collective Bargaining Agreements, Expand Transparency, and Strengthen Workers’ Negotiating Power</t>
  </si>
  <si>
    <t>Activity 3.2 - Strengthening Union Capacity to Submit Effective Petitions Under the Rapid Response Mechanism</t>
  </si>
  <si>
    <t>Activity 3.3 - Building Union-to-Union Exchanges to Strengthen Collective Bargaining Capacity</t>
  </si>
  <si>
    <t>4.5 Stakeholder Engagement and Strategy Validation</t>
  </si>
  <si>
    <t>Activity 11 — Escuela de Liderazgo Sindical: Annual Leadership Training for a New Generation of Union Leaders</t>
  </si>
  <si>
    <t>Activity 9 - Contract to deliver workshops to strengthen the capacity of unions to submit effective petitions under the Rapid Response Mechanism</t>
  </si>
  <si>
    <t>Activity 11 — Escuela de Liderazgo Sindical: Consultants</t>
  </si>
  <si>
    <t>Venue (A/V Equipment, Materials, etc.)</t>
  </si>
  <si>
    <t>Activity 1.3 - Strengthening Collective Conciliation During the Pre-Strike (Bargaining) Period through Collective platform (Developed in partnership with ITAM)</t>
  </si>
  <si>
    <t>Brazil-CDMX</t>
  </si>
  <si>
    <t>Average</t>
  </si>
  <si>
    <t>Average USD</t>
  </si>
  <si>
    <t>Airfare (round)</t>
  </si>
  <si>
    <t>M&amp;E Budget</t>
  </si>
  <si>
    <t>Inflation - Goods/Services</t>
  </si>
  <si>
    <t>Travel Expenses Jalisco (Guadalajara)</t>
  </si>
  <si>
    <t>Travel Expenses Baja California (Mexicali)</t>
  </si>
  <si>
    <t>Travel Expenses Guanajuato (Other)</t>
  </si>
  <si>
    <t>Travel Expenses for M&amp;E Baja California (Mexicali)</t>
  </si>
  <si>
    <t>Travel Expenses for M&amp;E Jalisco (Guadalajara)</t>
  </si>
  <si>
    <t>Travel Expenses for M&amp;E Guanajuato (Other)</t>
  </si>
  <si>
    <t>Entity:</t>
  </si>
  <si>
    <t>P</t>
  </si>
  <si>
    <t>Program-Dept.:</t>
  </si>
  <si>
    <t>Funder-Grant:</t>
  </si>
  <si>
    <t>DOL427</t>
  </si>
  <si>
    <t>Activity Code</t>
  </si>
  <si>
    <t>Account Code</t>
  </si>
  <si>
    <t>Country Code</t>
  </si>
  <si>
    <t>PERSNL-PD</t>
  </si>
  <si>
    <t>MEX</t>
  </si>
  <si>
    <t>USA</t>
  </si>
  <si>
    <t>PERSNL-PM</t>
  </si>
  <si>
    <t>PERSNL-PO</t>
  </si>
  <si>
    <t>PERSNL</t>
  </si>
  <si>
    <t>PERSNL-F&amp;A</t>
  </si>
  <si>
    <t>PERSNL-OPS</t>
  </si>
  <si>
    <t>PERSNL-M&amp;E</t>
  </si>
  <si>
    <t>PERSNL-IRS</t>
  </si>
  <si>
    <t>PERSNL-TPS</t>
  </si>
  <si>
    <t>FRINGE</t>
  </si>
  <si>
    <t>FRINGE-MX</t>
  </si>
  <si>
    <t>MX.T1.A </t>
  </si>
  <si>
    <t>MX.T1.B </t>
  </si>
  <si>
    <t>MX.T1.C </t>
  </si>
  <si>
    <t>MX.T1.D </t>
  </si>
  <si>
    <t>MX.T2.A </t>
  </si>
  <si>
    <t>MX.T2.B </t>
  </si>
  <si>
    <t>MX.T2.C </t>
  </si>
  <si>
    <t>MX.T3.A </t>
  </si>
  <si>
    <t>MX.T3.B </t>
  </si>
  <si>
    <t>MX.T3.C </t>
  </si>
  <si>
    <t>MX.T4.6A </t>
  </si>
  <si>
    <t>MX.T4.6B </t>
  </si>
  <si>
    <t>MX.T4.6C </t>
  </si>
  <si>
    <t>MX.T4.7A </t>
  </si>
  <si>
    <t>MX.T4.7B </t>
  </si>
  <si>
    <t>MX.T4.7C </t>
  </si>
  <si>
    <t>MX.T4.8A </t>
  </si>
  <si>
    <t>MX.T4.8B </t>
  </si>
  <si>
    <t>MX.T4.8C </t>
  </si>
  <si>
    <t>MX.T4.9A </t>
  </si>
  <si>
    <t>MX.T4.9B </t>
  </si>
  <si>
    <t>MX.T4.9C </t>
  </si>
  <si>
    <t>MX.T4.10A </t>
  </si>
  <si>
    <t>MX.T4.10B </t>
  </si>
  <si>
    <t>MX.T4.10C </t>
  </si>
  <si>
    <t>MX.T4.11A </t>
  </si>
  <si>
    <t>MX.T4.11B </t>
  </si>
  <si>
    <t>MX.T4.11C </t>
  </si>
  <si>
    <t>MX.T5.A </t>
  </si>
  <si>
    <t>MX.T5.B </t>
  </si>
  <si>
    <t>MX.T5.C </t>
  </si>
  <si>
    <t>MX.T5.D </t>
  </si>
  <si>
    <t>86030 (Lodging)/ 86050 (M&amp;IE)</t>
  </si>
  <si>
    <t>82420 (Materials)/ 85300 (Printing)</t>
  </si>
  <si>
    <t>LAPTOP</t>
  </si>
  <si>
    <t>SUPPLIES</t>
  </si>
  <si>
    <t>MEX/USA</t>
  </si>
  <si>
    <t>PRINTER</t>
  </si>
  <si>
    <t>SUBFES</t>
  </si>
  <si>
    <t>SUBITAM</t>
  </si>
  <si>
    <t>COMMCONT</t>
  </si>
  <si>
    <t>81000 (Consultant)/ 81010 (Professional Fees)</t>
  </si>
  <si>
    <t>MIDLINE</t>
  </si>
  <si>
    <t>ENDLINE</t>
  </si>
  <si>
    <t>ELECTCONT</t>
  </si>
  <si>
    <t>DIGITALCON</t>
  </si>
  <si>
    <t>IDC</t>
  </si>
  <si>
    <t>BANK FEES</t>
  </si>
  <si>
    <t>COURIER</t>
  </si>
  <si>
    <t>ITCOMM</t>
  </si>
  <si>
    <t>RECRUIT</t>
  </si>
  <si>
    <t>COMM</t>
  </si>
  <si>
    <t>RENT &amp; UT</t>
  </si>
  <si>
    <t>ACCOUNTING</t>
  </si>
  <si>
    <t>PAYROLL</t>
  </si>
  <si>
    <t>LEGAL</t>
  </si>
  <si>
    <t>SECURITY</t>
  </si>
  <si>
    <t>SUBSCRIPT</t>
  </si>
  <si>
    <t>AUDIT</t>
  </si>
  <si>
    <t>ITSERVICES</t>
  </si>
  <si>
    <t>508COMPLY</t>
  </si>
  <si>
    <t>MX.ACT1.A</t>
  </si>
  <si>
    <t>MX.ACT2.A</t>
  </si>
  <si>
    <t>MX.ACT3.A</t>
  </si>
  <si>
    <t>MX.ACT4.A</t>
  </si>
  <si>
    <t>MX.ACT6.A</t>
  </si>
  <si>
    <t>MX.ACT7.A</t>
  </si>
  <si>
    <t>MX.ACT7.B</t>
  </si>
  <si>
    <t>MX.ACT8.A</t>
  </si>
  <si>
    <t>MX.ACT8.B</t>
  </si>
  <si>
    <t>MX.ACT9.A</t>
  </si>
  <si>
    <t>MX.ACT9.B</t>
  </si>
  <si>
    <t>85300 (Printing)/ 82420 (Program Supplies)</t>
  </si>
  <si>
    <t>MX.ACT10.A</t>
  </si>
  <si>
    <t>MX.ACT10.B</t>
  </si>
  <si>
    <t>MX.M&amp;E.A</t>
  </si>
  <si>
    <t>MX.M&amp;E.B</t>
  </si>
  <si>
    <t>MX.M&amp;E.C</t>
  </si>
  <si>
    <t>MX.M&amp;E.D</t>
  </si>
  <si>
    <t>MX.M&amp;E.E</t>
  </si>
  <si>
    <t>MX.M&amp;E.F</t>
  </si>
  <si>
    <t>MX.T5.E</t>
  </si>
  <si>
    <t>MX.T5.F</t>
  </si>
  <si>
    <t>MX.T5.G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</si>
</sst>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;[Red]\-&quot;$&quot;#,##0"/>
    <numFmt numFmtId="165" formatCode="_-&quot;$&quot;* #,##0_-;\-&quot;$&quot;* #,##0_-;_-&quot;$&quot;* &quot;-&quot;_-;_-@_-"/>
    <numFmt numFmtId="166" formatCode="_-&quot;$&quot;* #,##0.00_-;\-&quot;$&quot;* #,##0.00_-;_-&quot;$&quot;* &quot;-&quot;??_-;_-@_-"/>
    <numFmt numFmtId="167" formatCode="_(&quot;$&quot;* #,##0_);_(&quot;$&quot;* \(#,##0\);_(&quot;$&quot;* &quot;-&quot;??_);_(@_)"/>
    <numFmt numFmtId="168" formatCode=";;;"/>
    <numFmt numFmtId="169" formatCode="_-* #,##0.00\ [$€]_-;\-* #,##0.00\ [$€]_-;_-* &quot;-&quot;??\ [$€]_-;_-@_-"/>
    <numFmt numFmtId="170" formatCode="_-* #,##0.00\ &quot;Bs&quot;_-;\-* #,##0.00\ &quot;Bs&quot;_-;_-* &quot;-&quot;??\ &quot;Bs&quot;_-;_-@_-"/>
    <numFmt numFmtId="171" formatCode="_-* #,##0\ _B_s_-;\-* #,##0\ _B_s_-;_-* &quot;-&quot;??\ _B_s_-;_-@_-"/>
    <numFmt numFmtId="172" formatCode="_([$$-409]* #,##0_);_([$$-409]* \(#,##0\);_([$$-409]* &quot;-&quot;??_);_(@_)"/>
    <numFmt numFmtId="173" formatCode="_-* #,##0.00\ _B_s_-;\-* #,##0.00\ _B_s_-;_-* &quot;-&quot;??\ _B_s_-;_-@_-"/>
    <numFmt numFmtId="174" formatCode="_-* #,##0.00\ _€_-;\-* #,##0.00\ _€_-;_-* &quot;-&quot;??\ _€_-;_-@_-"/>
    <numFmt numFmtId="175" formatCode="#,##0.00;[Red]#,##0.00"/>
    <numFmt numFmtId="176" formatCode="#,##0;#,##0;\-"/>
    <numFmt numFmtId="177" formatCode="#,##0.0;#,##0.0;\-"/>
    <numFmt numFmtId="178" formatCode="#,##0.0000000000"/>
  </numFmts>
  <fonts count="68" x14ac:knownFonts="1">
    <font>
      <sz val="1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Helv"/>
    </font>
    <font>
      <sz val="12"/>
      <name val="Times New Roman"/>
      <family val="1"/>
    </font>
    <font>
      <sz val="10"/>
      <color rgb="FF3F3F76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  <scheme val="major"/>
    </font>
    <font>
      <b/>
      <sz val="12"/>
      <name val="Times New Roman"/>
      <family val="1"/>
      <scheme val="major"/>
    </font>
    <font>
      <sz val="10"/>
      <name val="Times New Roman"/>
      <family val="1"/>
      <scheme val="major"/>
    </font>
    <font>
      <sz val="12"/>
      <color indexed="10"/>
      <name val="Times New Roman"/>
      <family val="1"/>
      <scheme val="major"/>
    </font>
    <font>
      <b/>
      <u/>
      <sz val="12"/>
      <name val="Times New Roman"/>
      <family val="1"/>
      <scheme val="major"/>
    </font>
    <font>
      <b/>
      <sz val="8"/>
      <name val="Times New Roman"/>
      <family val="1"/>
      <scheme val="major"/>
    </font>
    <font>
      <sz val="12"/>
      <color rgb="FFFF0000"/>
      <name val="Times New Roman"/>
      <family val="1"/>
      <scheme val="major"/>
    </font>
    <font>
      <sz val="10"/>
      <color rgb="FF000000"/>
      <name val="Arial"/>
      <family val="2"/>
    </font>
    <font>
      <b/>
      <i/>
      <sz val="12"/>
      <color theme="1"/>
      <name val="Times New Roman"/>
      <family val="1"/>
      <scheme val="major"/>
    </font>
    <font>
      <i/>
      <sz val="12"/>
      <color theme="1"/>
      <name val="Times New Roman"/>
      <family val="1"/>
      <scheme val="major"/>
    </font>
    <font>
      <b/>
      <sz val="10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i/>
      <sz val="12"/>
      <name val="Times New Roman"/>
      <family val="1"/>
      <scheme val="major"/>
    </font>
    <font>
      <u/>
      <sz val="12"/>
      <name val="Times New Roman"/>
      <family val="1"/>
      <scheme val="major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b/>
      <i/>
      <sz val="12"/>
      <name val="Times New Roman"/>
      <family val="1"/>
      <scheme val="major"/>
    </font>
    <font>
      <sz val="12"/>
      <color rgb="FF000000"/>
      <name val="Times New Roman"/>
      <family val="1"/>
      <scheme val="major"/>
    </font>
    <font>
      <b/>
      <u/>
      <sz val="12"/>
      <name val="Times New Roman"/>
      <family val="1"/>
    </font>
    <font>
      <sz val="12"/>
      <name val="Times New Roman"/>
      <family val="1"/>
      <scheme val="major"/>
    </font>
    <font>
      <b/>
      <sz val="12"/>
      <name val="Times New Roman"/>
      <family val="1"/>
      <scheme val="major"/>
    </font>
    <font>
      <b/>
      <sz val="12"/>
      <name val="Times New Roman"/>
      <family val="2"/>
      <scheme val="major"/>
    </font>
    <font>
      <sz val="12"/>
      <color rgb="FF7030A0"/>
      <name val="Times New Roman"/>
      <family val="1"/>
      <scheme val="major"/>
    </font>
    <font>
      <sz val="12"/>
      <name val="Times New Roman"/>
      <family val="2"/>
      <scheme val="major"/>
    </font>
    <font>
      <sz val="12"/>
      <color rgb="FFFF0000"/>
      <name val="Times New Roman"/>
      <family val="1"/>
      <scheme val="major"/>
    </font>
    <font>
      <b/>
      <sz val="12"/>
      <color rgb="FF000000"/>
      <name val="Times New Roman"/>
      <family val="2"/>
      <scheme val="major"/>
    </font>
    <font>
      <b/>
      <sz val="12"/>
      <color rgb="FF7030A0"/>
      <name val="Times New Roman"/>
      <family val="2"/>
      <scheme val="major"/>
    </font>
    <font>
      <sz val="12"/>
      <color rgb="FF000000"/>
      <name val="Times New Roman"/>
      <family val="2"/>
      <scheme val="major"/>
    </font>
    <font>
      <u/>
      <sz val="12"/>
      <name val="Times New Roman"/>
      <family val="2"/>
      <scheme val="major"/>
    </font>
    <font>
      <u/>
      <sz val="12"/>
      <color rgb="FF000000"/>
      <name val="Times New Roman"/>
      <family val="2"/>
      <scheme val="major"/>
    </font>
    <font>
      <b/>
      <u/>
      <sz val="12"/>
      <color rgb="FF000000"/>
      <name val="Times New Roman"/>
      <family val="2"/>
      <scheme val="major"/>
    </font>
    <font>
      <sz val="12"/>
      <color rgb="FF7030A0"/>
      <name val="Times New Roman"/>
      <family val="2"/>
      <scheme val="major"/>
    </font>
    <font>
      <i/>
      <sz val="12"/>
      <color rgb="FF7030A0"/>
      <name val="Times New Roman"/>
      <family val="1"/>
      <scheme val="major"/>
    </font>
    <font>
      <b/>
      <i/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0"/>
      <name val="Arial"/>
    </font>
    <font>
      <b/>
      <sz val="14"/>
      <name val="Arial"/>
      <family val="2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CECE"/>
        <bgColor rgb="FFD0CEC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2">
    <xf numFmtId="0" fontId="0" fillId="0" borderId="0">
      <alignment vertical="top"/>
    </xf>
    <xf numFmtId="0" fontId="3" fillId="2" borderId="0" applyNumberFormat="0" applyBorder="0" applyAlignment="0" applyProtection="0"/>
    <xf numFmtId="3" fontId="8" fillId="0" borderId="1" applyFont="0" applyFill="0" applyBorder="0" applyAlignment="0">
      <alignment vertical="top"/>
      <protection hidden="1"/>
    </xf>
    <xf numFmtId="168" fontId="7" fillId="0" borderId="1" applyFill="0" applyBorder="0" applyAlignment="0">
      <alignment vertical="top"/>
      <protection hidden="1"/>
    </xf>
    <xf numFmtId="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4" fillId="0" borderId="0" applyNumberFormat="0" applyFont="0" applyFill="0" applyAlignment="0" applyProtection="0"/>
    <xf numFmtId="0" fontId="5" fillId="0" borderId="0" applyNumberFormat="0" applyFont="0" applyFill="0" applyAlignment="0" applyProtection="0"/>
    <xf numFmtId="0" fontId="11" fillId="0" borderId="0"/>
    <xf numFmtId="10" fontId="9" fillId="0" borderId="0" applyFont="0" applyFill="0" applyBorder="0" applyAlignment="0"/>
    <xf numFmtId="9" fontId="11" fillId="0" borderId="0" applyFont="0" applyFill="0" applyBorder="0" applyAlignment="0" applyProtection="0"/>
    <xf numFmtId="0" fontId="10" fillId="0" borderId="0"/>
    <xf numFmtId="0" fontId="9" fillId="0" borderId="2" applyNumberFormat="0" applyFont="0" applyBorder="0" applyAlignment="0" applyProtection="0"/>
    <xf numFmtId="0" fontId="12" fillId="3" borderId="27" applyNumberFormat="0" applyAlignment="0" applyProtection="0"/>
    <xf numFmtId="7" fontId="13" fillId="0" borderId="0" applyFont="0" applyFill="0" applyBorder="0" applyAlignment="0" applyProtection="0"/>
    <xf numFmtId="10" fontId="13" fillId="0" borderId="0" applyFont="0" applyFill="0" applyBorder="0" applyAlignment="0"/>
    <xf numFmtId="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14" fillId="0" borderId="0"/>
    <xf numFmtId="0" fontId="7" fillId="0" borderId="0"/>
    <xf numFmtId="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7" fillId="0" borderId="0"/>
    <xf numFmtId="173" fontId="7" fillId="0" borderId="0" applyFont="0" applyFill="0" applyBorder="0" applyAlignment="0" applyProtection="0"/>
    <xf numFmtId="0" fontId="22" fillId="0" borderId="0"/>
    <xf numFmtId="0" fontId="2" fillId="0" borderId="0"/>
    <xf numFmtId="44" fontId="2" fillId="0" borderId="0" applyFont="0" applyFill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" borderId="0" applyNumberFormat="0" applyBorder="0" applyAlignment="0" applyProtection="0"/>
    <xf numFmtId="0" fontId="34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16" borderId="0" applyNumberFormat="0" applyBorder="0" applyAlignment="0" applyProtection="0"/>
    <xf numFmtId="0" fontId="35" fillId="26" borderId="0" applyNumberFormat="0" applyBorder="0" applyAlignment="0" applyProtection="0"/>
    <xf numFmtId="0" fontId="35" fillId="25" borderId="0" applyNumberFormat="0" applyBorder="0" applyAlignment="0" applyProtection="0"/>
    <xf numFmtId="0" fontId="35" fillId="19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35" fillId="17" borderId="0" applyNumberFormat="0" applyBorder="0" applyAlignment="0" applyProtection="0"/>
    <xf numFmtId="0" fontId="35" fillId="20" borderId="0" applyNumberFormat="0" applyBorder="0" applyAlignment="0" applyProtection="0"/>
    <xf numFmtId="0" fontId="32" fillId="11" borderId="0" applyNumberFormat="0" applyBorder="0" applyAlignment="0" applyProtection="0"/>
    <xf numFmtId="0" fontId="36" fillId="22" borderId="27" applyNumberFormat="0" applyAlignment="0" applyProtection="0"/>
    <xf numFmtId="0" fontId="37" fillId="13" borderId="40" applyNumberFormat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4" fontId="30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42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170" fontId="7" fillId="0" borderId="0" applyFont="0" applyFill="0" applyBorder="0" applyAlignment="0" applyProtection="0"/>
    <xf numFmtId="44" fontId="31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170" fontId="7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31" fillId="0" borderId="0" applyFont="0" applyFill="0" applyBorder="0" applyAlignment="0" applyProtection="0"/>
    <xf numFmtId="170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6" fontId="22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10" borderId="0" applyNumberFormat="0" applyBorder="0" applyAlignment="0" applyProtection="0"/>
    <xf numFmtId="0" fontId="33" fillId="0" borderId="42" applyNumberFormat="0" applyFill="0" applyAlignment="0" applyProtection="0"/>
    <xf numFmtId="0" fontId="33" fillId="0" borderId="45" applyNumberFormat="0" applyFill="0" applyAlignment="0" applyProtection="0"/>
    <xf numFmtId="0" fontId="33" fillId="0" borderId="43" applyNumberFormat="0" applyFill="0" applyAlignment="0" applyProtection="0"/>
    <xf numFmtId="0" fontId="33" fillId="0" borderId="0" applyNumberFormat="0" applyFill="0" applyBorder="0" applyAlignment="0" applyProtection="0"/>
    <xf numFmtId="0" fontId="40" fillId="3" borderId="27" applyNumberFormat="0" applyAlignment="0" applyProtection="0"/>
    <xf numFmtId="0" fontId="41" fillId="0" borderId="39" applyNumberFormat="0" applyFill="0" applyAlignment="0" applyProtection="0"/>
    <xf numFmtId="175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42" fillId="12" borderId="0" applyNumberFormat="0" applyBorder="0" applyAlignment="0" applyProtection="0"/>
    <xf numFmtId="0" fontId="7" fillId="0" borderId="0"/>
    <xf numFmtId="0" fontId="7" fillId="0" borderId="0"/>
    <xf numFmtId="0" fontId="34" fillId="0" borderId="0"/>
    <xf numFmtId="3" fontId="22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22" fillId="0" borderId="0"/>
    <xf numFmtId="0" fontId="31" fillId="14" borderId="41" applyNumberFormat="0" applyFont="0" applyAlignment="0" applyProtection="0"/>
    <xf numFmtId="0" fontId="43" fillId="22" borderId="38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44" fillId="0" borderId="44" applyNumberFormat="0" applyFill="0" applyAlignment="0" applyProtection="0"/>
    <xf numFmtId="0" fontId="45" fillId="0" borderId="0" applyNumberFormat="0" applyFill="0" applyBorder="0" applyAlignment="0" applyProtection="0"/>
    <xf numFmtId="17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7" fillId="0" borderId="0"/>
    <xf numFmtId="173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44" fontId="67" fillId="0" borderId="0" applyFont="0" applyFill="0" applyBorder="0" applyAlignment="0" applyProtection="0"/>
  </cellStyleXfs>
  <cellXfs count="432">
    <xf numFmtId="0" fontId="0" fillId="0" borderId="0" xfId="0">
      <alignment vertical="top"/>
    </xf>
    <xf numFmtId="0" fontId="7" fillId="0" borderId="0" xfId="0" applyFont="1">
      <alignment vertical="top"/>
    </xf>
    <xf numFmtId="0" fontId="6" fillId="0" borderId="0" xfId="0" applyFont="1">
      <alignment vertical="top"/>
    </xf>
    <xf numFmtId="0" fontId="17" fillId="0" borderId="0" xfId="26" applyFont="1"/>
    <xf numFmtId="3" fontId="25" fillId="0" borderId="0" xfId="26" applyNumberFormat="1" applyFont="1" applyAlignment="1">
      <alignment horizontal="center" vertical="center" wrapText="1"/>
    </xf>
    <xf numFmtId="3" fontId="20" fillId="0" borderId="0" xfId="26" applyNumberFormat="1" applyFont="1" applyAlignment="1">
      <alignment vertical="center" wrapText="1"/>
    </xf>
    <xf numFmtId="0" fontId="26" fillId="9" borderId="21" xfId="26" applyFont="1" applyFill="1" applyBorder="1" applyAlignment="1">
      <alignment horizontal="center"/>
    </xf>
    <xf numFmtId="0" fontId="26" fillId="9" borderId="31" xfId="26" applyFont="1" applyFill="1" applyBorder="1" applyAlignment="1">
      <alignment horizontal="center"/>
    </xf>
    <xf numFmtId="0" fontId="23" fillId="0" borderId="33" xfId="26" applyFont="1" applyBorder="1"/>
    <xf numFmtId="0" fontId="26" fillId="0" borderId="34" xfId="26" applyFont="1" applyBorder="1" applyAlignment="1">
      <alignment horizontal="center"/>
    </xf>
    <xf numFmtId="0" fontId="26" fillId="0" borderId="35" xfId="26" applyFont="1" applyBorder="1" applyAlignment="1">
      <alignment horizontal="center"/>
    </xf>
    <xf numFmtId="0" fontId="26" fillId="0" borderId="36" xfId="26" applyFont="1" applyBorder="1" applyAlignment="1">
      <alignment horizontal="center"/>
    </xf>
    <xf numFmtId="0" fontId="26" fillId="0" borderId="33" xfId="26" applyFont="1" applyBorder="1"/>
    <xf numFmtId="0" fontId="26" fillId="6" borderId="24" xfId="26" applyFont="1" applyFill="1" applyBorder="1"/>
    <xf numFmtId="0" fontId="26" fillId="9" borderId="37" xfId="26" applyFont="1" applyFill="1" applyBorder="1" applyAlignment="1">
      <alignment horizontal="left"/>
    </xf>
    <xf numFmtId="172" fontId="17" fillId="0" borderId="0" xfId="26" applyNumberFormat="1" applyFont="1"/>
    <xf numFmtId="0" fontId="16" fillId="7" borderId="0" xfId="26" applyFont="1" applyFill="1" applyAlignment="1">
      <alignment vertical="center" wrapText="1"/>
    </xf>
    <xf numFmtId="0" fontId="15" fillId="7" borderId="4" xfId="26" applyFont="1" applyFill="1" applyBorder="1" applyAlignment="1">
      <alignment vertical="center" wrapText="1"/>
    </xf>
    <xf numFmtId="10" fontId="15" fillId="7" borderId="4" xfId="16" applyFont="1" applyFill="1" applyBorder="1" applyAlignment="1">
      <alignment vertical="center" wrapText="1"/>
    </xf>
    <xf numFmtId="0" fontId="26" fillId="9" borderId="32" xfId="26" applyFont="1" applyFill="1" applyBorder="1" applyAlignment="1">
      <alignment horizontal="center" wrapText="1"/>
    </xf>
    <xf numFmtId="171" fontId="15" fillId="32" borderId="16" xfId="26" applyNumberFormat="1" applyFont="1" applyFill="1" applyBorder="1" applyAlignment="1">
      <alignment horizontal="right" vertical="center" wrapText="1"/>
    </xf>
    <xf numFmtId="0" fontId="15" fillId="32" borderId="0" xfId="26" applyFont="1" applyFill="1" applyAlignment="1">
      <alignment vertical="center" wrapText="1"/>
    </xf>
    <xf numFmtId="0" fontId="15" fillId="32" borderId="0" xfId="26" applyFont="1" applyFill="1" applyAlignment="1">
      <alignment horizontal="left" vertical="center" wrapText="1"/>
    </xf>
    <xf numFmtId="171" fontId="15" fillId="32" borderId="8" xfId="26" applyNumberFormat="1" applyFont="1" applyFill="1" applyBorder="1" applyAlignment="1">
      <alignment horizontal="right" vertical="center" wrapText="1"/>
    </xf>
    <xf numFmtId="171" fontId="15" fillId="32" borderId="0" xfId="26" applyNumberFormat="1" applyFont="1" applyFill="1" applyAlignment="1">
      <alignment horizontal="right" vertical="center" wrapText="1"/>
    </xf>
    <xf numFmtId="171" fontId="15" fillId="32" borderId="3" xfId="26" applyNumberFormat="1" applyFont="1" applyFill="1" applyBorder="1" applyAlignment="1">
      <alignment horizontal="right" vertical="center" wrapText="1"/>
    </xf>
    <xf numFmtId="171" fontId="15" fillId="32" borderId="6" xfId="26" applyNumberFormat="1" applyFont="1" applyFill="1" applyBorder="1" applyAlignment="1">
      <alignment horizontal="right" vertical="center" wrapText="1"/>
    </xf>
    <xf numFmtId="0" fontId="15" fillId="32" borderId="0" xfId="26" applyFont="1" applyFill="1" applyAlignment="1">
      <alignment horizontal="left" vertical="center"/>
    </xf>
    <xf numFmtId="9" fontId="15" fillId="32" borderId="0" xfId="27" applyFont="1" applyFill="1" applyBorder="1" applyAlignment="1">
      <alignment horizontal="left" vertical="center" wrapText="1"/>
    </xf>
    <xf numFmtId="37" fontId="15" fillId="32" borderId="0" xfId="26" applyNumberFormat="1" applyFont="1" applyFill="1" applyAlignment="1">
      <alignment horizontal="right" vertical="center" wrapText="1"/>
    </xf>
    <xf numFmtId="0" fontId="29" fillId="32" borderId="0" xfId="26" applyFont="1" applyFill="1" applyAlignment="1">
      <alignment vertical="center" wrapText="1"/>
    </xf>
    <xf numFmtId="0" fontId="55" fillId="7" borderId="5" xfId="26" applyFont="1" applyFill="1" applyBorder="1" applyAlignment="1">
      <alignment vertical="center" wrapText="1"/>
    </xf>
    <xf numFmtId="0" fontId="16" fillId="7" borderId="5" xfId="26" applyFont="1" applyFill="1" applyBorder="1" applyAlignment="1">
      <alignment vertical="center" wrapText="1"/>
    </xf>
    <xf numFmtId="0" fontId="15" fillId="32" borderId="0" xfId="26" applyFont="1" applyFill="1" applyAlignment="1">
      <alignment vertical="center"/>
    </xf>
    <xf numFmtId="0" fontId="29" fillId="32" borderId="5" xfId="26" applyFont="1" applyFill="1" applyBorder="1" applyAlignment="1">
      <alignment vertical="center" wrapText="1"/>
    </xf>
    <xf numFmtId="0" fontId="16" fillId="32" borderId="0" xfId="26" applyFont="1" applyFill="1" applyAlignment="1">
      <alignment vertical="center" wrapText="1"/>
    </xf>
    <xf numFmtId="10" fontId="15" fillId="32" borderId="0" xfId="26" applyNumberFormat="1" applyFont="1" applyFill="1" applyAlignment="1">
      <alignment horizontal="right" vertical="center" wrapText="1"/>
    </xf>
    <xf numFmtId="0" fontId="24" fillId="32" borderId="0" xfId="26" applyFont="1" applyFill="1" applyAlignment="1">
      <alignment horizontal="center" vertical="center"/>
    </xf>
    <xf numFmtId="172" fontId="24" fillId="32" borderId="0" xfId="26" applyNumberFormat="1" applyFont="1" applyFill="1" applyAlignment="1">
      <alignment horizontal="center" vertical="center"/>
    </xf>
    <xf numFmtId="37" fontId="24" fillId="32" borderId="0" xfId="26" applyNumberFormat="1" applyFont="1" applyFill="1" applyAlignment="1">
      <alignment horizontal="center" vertical="center"/>
    </xf>
    <xf numFmtId="1" fontId="24" fillId="32" borderId="0" xfId="26" applyNumberFormat="1" applyFont="1" applyFill="1" applyAlignment="1">
      <alignment horizontal="center" vertical="center"/>
    </xf>
    <xf numFmtId="43" fontId="24" fillId="32" borderId="0" xfId="26" applyNumberFormat="1" applyFont="1" applyFill="1" applyAlignment="1">
      <alignment horizontal="center" vertical="center"/>
    </xf>
    <xf numFmtId="0" fontId="16" fillId="32" borderId="21" xfId="26" applyFont="1" applyFill="1" applyBorder="1" applyAlignment="1">
      <alignment horizontal="center" vertical="center" wrapText="1"/>
    </xf>
    <xf numFmtId="0" fontId="16" fillId="32" borderId="17" xfId="26" applyFont="1" applyFill="1" applyBorder="1" applyAlignment="1">
      <alignment horizontal="center" vertical="center" wrapText="1"/>
    </xf>
    <xf numFmtId="0" fontId="16" fillId="32" borderId="9" xfId="26" applyFont="1" applyFill="1" applyBorder="1" applyAlignment="1">
      <alignment horizontal="center" vertical="center" wrapText="1"/>
    </xf>
    <xf numFmtId="3" fontId="16" fillId="32" borderId="17" xfId="26" applyNumberFormat="1" applyFont="1" applyFill="1" applyBorder="1" applyAlignment="1">
      <alignment horizontal="center" vertical="center"/>
    </xf>
    <xf numFmtId="3" fontId="16" fillId="32" borderId="29" xfId="29" applyNumberFormat="1" applyFont="1" applyFill="1" applyBorder="1" applyAlignment="1">
      <alignment horizontal="center" vertical="center" wrapText="1"/>
    </xf>
    <xf numFmtId="0" fontId="16" fillId="32" borderId="17" xfId="29" applyFont="1" applyFill="1" applyBorder="1" applyAlignment="1">
      <alignment horizontal="center" vertical="center" wrapText="1"/>
    </xf>
    <xf numFmtId="3" fontId="16" fillId="32" borderId="17" xfId="29" applyNumberFormat="1" applyFont="1" applyFill="1" applyBorder="1" applyAlignment="1">
      <alignment horizontal="center" vertical="center" wrapText="1"/>
    </xf>
    <xf numFmtId="0" fontId="16" fillId="32" borderId="9" xfId="29" applyFont="1" applyFill="1" applyBorder="1" applyAlignment="1">
      <alignment horizontal="center" vertical="center" wrapText="1"/>
    </xf>
    <xf numFmtId="3" fontId="16" fillId="32" borderId="23" xfId="26" applyNumberFormat="1" applyFont="1" applyFill="1" applyBorder="1" applyAlignment="1">
      <alignment horizontal="center" vertical="center" wrapText="1"/>
    </xf>
    <xf numFmtId="3" fontId="16" fillId="32" borderId="17" xfId="26" applyNumberFormat="1" applyFont="1" applyFill="1" applyBorder="1" applyAlignment="1">
      <alignment horizontal="center" vertical="center" wrapText="1"/>
    </xf>
    <xf numFmtId="3" fontId="16" fillId="32" borderId="46" xfId="26" applyNumberFormat="1" applyFont="1" applyFill="1" applyBorder="1" applyAlignment="1">
      <alignment horizontal="center" vertical="center" wrapText="1"/>
    </xf>
    <xf numFmtId="172" fontId="15" fillId="32" borderId="0" xfId="26" applyNumberFormat="1" applyFont="1" applyFill="1" applyAlignment="1">
      <alignment vertical="center" wrapText="1"/>
    </xf>
    <xf numFmtId="9" fontId="15" fillId="32" borderId="0" xfId="27" applyFont="1" applyFill="1" applyBorder="1" applyAlignment="1">
      <alignment horizontal="center" vertical="center" wrapText="1"/>
    </xf>
    <xf numFmtId="3" fontId="15" fillId="32" borderId="0" xfId="26" applyNumberFormat="1" applyFont="1" applyFill="1" applyAlignment="1">
      <alignment vertical="center" wrapText="1"/>
    </xf>
    <xf numFmtId="3" fontId="15" fillId="32" borderId="0" xfId="26" applyNumberFormat="1" applyFont="1" applyFill="1" applyAlignment="1">
      <alignment vertical="center"/>
    </xf>
    <xf numFmtId="3" fontId="15" fillId="32" borderId="0" xfId="26" applyNumberFormat="1" applyFont="1" applyFill="1" applyAlignment="1">
      <alignment horizontal="center" vertical="center"/>
    </xf>
    <xf numFmtId="0" fontId="16" fillId="7" borderId="8" xfId="26" applyFont="1" applyFill="1" applyBorder="1" applyAlignment="1">
      <alignment vertical="center" wrapText="1"/>
    </xf>
    <xf numFmtId="3" fontId="16" fillId="7" borderId="0" xfId="26" applyNumberFormat="1" applyFont="1" applyFill="1" applyAlignment="1">
      <alignment vertical="center" wrapText="1"/>
    </xf>
    <xf numFmtId="3" fontId="15" fillId="7" borderId="16" xfId="26" applyNumberFormat="1" applyFont="1" applyFill="1" applyBorder="1" applyAlignment="1">
      <alignment vertical="center"/>
    </xf>
    <xf numFmtId="3" fontId="15" fillId="7" borderId="0" xfId="26" applyNumberFormat="1" applyFont="1" applyFill="1" applyAlignment="1">
      <alignment vertical="center"/>
    </xf>
    <xf numFmtId="3" fontId="15" fillId="7" borderId="8" xfId="26" applyNumberFormat="1" applyFont="1" applyFill="1" applyBorder="1" applyAlignment="1">
      <alignment vertical="center"/>
    </xf>
    <xf numFmtId="3" fontId="15" fillId="7" borderId="3" xfId="26" applyNumberFormat="1" applyFont="1" applyFill="1" applyBorder="1" applyAlignment="1">
      <alignment horizontal="right" vertical="center" wrapText="1"/>
    </xf>
    <xf numFmtId="3" fontId="15" fillId="7" borderId="6" xfId="26" applyNumberFormat="1" applyFont="1" applyFill="1" applyBorder="1" applyAlignment="1">
      <alignment horizontal="right" vertical="center" wrapText="1"/>
    </xf>
    <xf numFmtId="0" fontId="16" fillId="31" borderId="0" xfId="26" applyFont="1" applyFill="1" applyAlignment="1">
      <alignment horizontal="left" vertical="center" wrapText="1"/>
    </xf>
    <xf numFmtId="0" fontId="16" fillId="31" borderId="0" xfId="26" applyFont="1" applyFill="1" applyAlignment="1">
      <alignment horizontal="left" vertical="center"/>
    </xf>
    <xf numFmtId="0" fontId="16" fillId="31" borderId="8" xfId="26" applyFont="1" applyFill="1" applyBorder="1" applyAlignment="1">
      <alignment horizontal="right" vertical="center" wrapText="1"/>
    </xf>
    <xf numFmtId="3" fontId="15" fillId="31" borderId="16" xfId="26" applyNumberFormat="1" applyFont="1" applyFill="1" applyBorder="1" applyAlignment="1">
      <alignment horizontal="right" vertical="center" wrapText="1"/>
    </xf>
    <xf numFmtId="3" fontId="15" fillId="31" borderId="0" xfId="26" applyNumberFormat="1" applyFont="1" applyFill="1" applyAlignment="1">
      <alignment horizontal="right" vertical="center" wrapText="1"/>
    </xf>
    <xf numFmtId="3" fontId="15" fillId="31" borderId="8" xfId="26" applyNumberFormat="1" applyFont="1" applyFill="1" applyBorder="1" applyAlignment="1">
      <alignment horizontal="right" vertical="center" wrapText="1"/>
    </xf>
    <xf numFmtId="3" fontId="15" fillId="31" borderId="3" xfId="26" applyNumberFormat="1" applyFont="1" applyFill="1" applyBorder="1" applyAlignment="1">
      <alignment horizontal="right" vertical="center" wrapText="1"/>
    </xf>
    <xf numFmtId="3" fontId="15" fillId="31" borderId="6" xfId="26" applyNumberFormat="1" applyFont="1" applyFill="1" applyBorder="1" applyAlignment="1">
      <alignment horizontal="right" vertical="center" wrapText="1"/>
    </xf>
    <xf numFmtId="0" fontId="15" fillId="31" borderId="0" xfId="26" applyFont="1" applyFill="1" applyAlignment="1">
      <alignment horizontal="left" vertical="center"/>
    </xf>
    <xf numFmtId="0" fontId="47" fillId="32" borderId="0" xfId="26" applyFont="1" applyFill="1" applyAlignment="1">
      <alignment horizontal="left" vertical="center" wrapText="1"/>
    </xf>
    <xf numFmtId="171" fontId="15" fillId="32" borderId="0" xfId="26" applyNumberFormat="1" applyFont="1" applyFill="1" applyAlignment="1">
      <alignment vertical="center" wrapText="1"/>
    </xf>
    <xf numFmtId="0" fontId="15" fillId="31" borderId="0" xfId="26" applyFont="1" applyFill="1" applyAlignment="1">
      <alignment horizontal="left" vertical="center" wrapText="1"/>
    </xf>
    <xf numFmtId="10" fontId="15" fillId="32" borderId="0" xfId="27" applyNumberFormat="1" applyFont="1" applyFill="1" applyBorder="1" applyAlignment="1">
      <alignment horizontal="right" vertical="center" wrapText="1"/>
    </xf>
    <xf numFmtId="3" fontId="15" fillId="32" borderId="0" xfId="26" applyNumberFormat="1" applyFont="1" applyFill="1" applyAlignment="1">
      <alignment horizontal="right" vertical="center" wrapText="1"/>
    </xf>
    <xf numFmtId="0" fontId="16" fillId="30" borderId="11" xfId="26" applyFont="1" applyFill="1" applyBorder="1" applyAlignment="1">
      <alignment vertical="center" wrapText="1"/>
    </xf>
    <xf numFmtId="0" fontId="19" fillId="7" borderId="15" xfId="26" applyFont="1" applyFill="1" applyBorder="1" applyAlignment="1">
      <alignment vertical="center"/>
    </xf>
    <xf numFmtId="0" fontId="16" fillId="7" borderId="15" xfId="26" applyFont="1" applyFill="1" applyBorder="1" applyAlignment="1">
      <alignment vertical="center"/>
    </xf>
    <xf numFmtId="0" fontId="19" fillId="30" borderId="0" xfId="26" applyFont="1" applyFill="1" applyAlignment="1">
      <alignment vertical="center" wrapText="1"/>
    </xf>
    <xf numFmtId="0" fontId="16" fillId="30" borderId="0" xfId="26" applyFont="1" applyFill="1" applyAlignment="1">
      <alignment vertical="center" wrapText="1"/>
    </xf>
    <xf numFmtId="0" fontId="19" fillId="30" borderId="0" xfId="26" applyFont="1" applyFill="1" applyAlignment="1">
      <alignment horizontal="left" vertical="center" wrapText="1"/>
    </xf>
    <xf numFmtId="0" fontId="15" fillId="30" borderId="0" xfId="26" applyFont="1" applyFill="1" applyAlignment="1">
      <alignment horizontal="left" vertical="center" wrapText="1"/>
    </xf>
    <xf numFmtId="0" fontId="21" fillId="32" borderId="0" xfId="26" applyFont="1" applyFill="1" applyAlignment="1">
      <alignment vertical="center"/>
    </xf>
    <xf numFmtId="0" fontId="16" fillId="32" borderId="0" xfId="26" applyFont="1" applyFill="1" applyAlignment="1">
      <alignment vertical="center"/>
    </xf>
    <xf numFmtId="3" fontId="16" fillId="32" borderId="0" xfId="26" applyNumberFormat="1" applyFont="1" applyFill="1" applyAlignment="1">
      <alignment vertical="center"/>
    </xf>
    <xf numFmtId="0" fontId="16" fillId="30" borderId="0" xfId="26" applyFont="1" applyFill="1" applyAlignment="1">
      <alignment vertical="center"/>
    </xf>
    <xf numFmtId="0" fontId="15" fillId="30" borderId="0" xfId="26" applyFont="1" applyFill="1" applyAlignment="1">
      <alignment vertical="center"/>
    </xf>
    <xf numFmtId="0" fontId="28" fillId="32" borderId="0" xfId="26" applyFont="1" applyFill="1" applyAlignment="1">
      <alignment vertical="center"/>
    </xf>
    <xf numFmtId="0" fontId="15" fillId="32" borderId="5" xfId="26" applyFont="1" applyFill="1" applyBorder="1" applyAlignment="1">
      <alignment vertical="center" wrapText="1"/>
    </xf>
    <xf numFmtId="0" fontId="16" fillId="7" borderId="7" xfId="26" applyFont="1" applyFill="1" applyBorder="1" applyAlignment="1">
      <alignment vertical="center" wrapText="1"/>
    </xf>
    <xf numFmtId="0" fontId="16" fillId="7" borderId="11" xfId="26" applyFont="1" applyFill="1" applyBorder="1" applyAlignment="1">
      <alignment vertical="center" wrapText="1"/>
    </xf>
    <xf numFmtId="0" fontId="21" fillId="32" borderId="5" xfId="26" applyFont="1" applyFill="1" applyBorder="1" applyAlignment="1">
      <alignment vertical="center"/>
    </xf>
    <xf numFmtId="10" fontId="16" fillId="32" borderId="0" xfId="26" applyNumberFormat="1" applyFont="1" applyFill="1" applyAlignment="1">
      <alignment vertical="center"/>
    </xf>
    <xf numFmtId="3" fontId="16" fillId="32" borderId="0" xfId="26" applyNumberFormat="1" applyFont="1" applyFill="1" applyAlignment="1">
      <alignment horizontal="right" vertical="center" wrapText="1"/>
    </xf>
    <xf numFmtId="172" fontId="15" fillId="32" borderId="0" xfId="26" applyNumberFormat="1" applyFont="1" applyFill="1" applyAlignment="1">
      <alignment vertical="center"/>
    </xf>
    <xf numFmtId="0" fontId="18" fillId="32" borderId="0" xfId="26" applyFont="1" applyFill="1" applyAlignment="1">
      <alignment vertical="center" wrapText="1"/>
    </xf>
    <xf numFmtId="171" fontId="15" fillId="32" borderId="0" xfId="30" applyNumberFormat="1" applyFont="1" applyFill="1" applyAlignment="1">
      <alignment vertical="center" wrapText="1"/>
    </xf>
    <xf numFmtId="9" fontId="15" fillId="32" borderId="0" xfId="26" applyNumberFormat="1" applyFont="1" applyFill="1" applyAlignment="1">
      <alignment horizontal="left" vertical="center" wrapText="1"/>
    </xf>
    <xf numFmtId="165" fontId="27" fillId="0" borderId="34" xfId="26" applyNumberFormat="1" applyFont="1" applyBorder="1"/>
    <xf numFmtId="165" fontId="26" fillId="0" borderId="36" xfId="26" applyNumberFormat="1" applyFont="1" applyBorder="1"/>
    <xf numFmtId="165" fontId="27" fillId="0" borderId="36" xfId="26" applyNumberFormat="1" applyFont="1" applyBorder="1"/>
    <xf numFmtId="165" fontId="26" fillId="6" borderId="23" xfId="26" applyNumberFormat="1" applyFont="1" applyFill="1" applyBorder="1"/>
    <xf numFmtId="165" fontId="26" fillId="6" borderId="25" xfId="26" applyNumberFormat="1" applyFont="1" applyFill="1" applyBorder="1"/>
    <xf numFmtId="165" fontId="26" fillId="9" borderId="31" xfId="26" applyNumberFormat="1" applyFont="1" applyFill="1" applyBorder="1"/>
    <xf numFmtId="165" fontId="26" fillId="9" borderId="32" xfId="26" applyNumberFormat="1" applyFont="1" applyFill="1" applyBorder="1"/>
    <xf numFmtId="0" fontId="16" fillId="7" borderId="0" xfId="26" applyFont="1" applyFill="1" applyAlignment="1">
      <alignment horizontal="right" vertical="center" wrapText="1"/>
    </xf>
    <xf numFmtId="0" fontId="16" fillId="7" borderId="8" xfId="26" applyFont="1" applyFill="1" applyBorder="1" applyAlignment="1">
      <alignment horizontal="right" vertical="center" wrapText="1"/>
    </xf>
    <xf numFmtId="3" fontId="16" fillId="7" borderId="0" xfId="26" applyNumberFormat="1" applyFont="1" applyFill="1" applyAlignment="1">
      <alignment horizontal="right" vertical="center" wrapText="1"/>
    </xf>
    <xf numFmtId="172" fontId="16" fillId="7" borderId="16" xfId="26" applyNumberFormat="1" applyFont="1" applyFill="1" applyBorder="1" applyAlignment="1">
      <alignment horizontal="right" vertical="center" wrapText="1"/>
    </xf>
    <xf numFmtId="172" fontId="16" fillId="7" borderId="0" xfId="26" applyNumberFormat="1" applyFont="1" applyFill="1" applyAlignment="1">
      <alignment horizontal="right" vertical="center" wrapText="1"/>
    </xf>
    <xf numFmtId="172" fontId="16" fillId="7" borderId="8" xfId="26" applyNumberFormat="1" applyFont="1" applyFill="1" applyBorder="1" applyAlignment="1">
      <alignment horizontal="right" vertical="center" wrapText="1"/>
    </xf>
    <xf numFmtId="172" fontId="16" fillId="7" borderId="3" xfId="26" applyNumberFormat="1" applyFont="1" applyFill="1" applyBorder="1" applyAlignment="1">
      <alignment horizontal="right" vertical="center" wrapText="1"/>
    </xf>
    <xf numFmtId="167" fontId="16" fillId="7" borderId="6" xfId="26" applyNumberFormat="1" applyFont="1" applyFill="1" applyBorder="1" applyAlignment="1">
      <alignment horizontal="right" vertical="center" wrapText="1"/>
    </xf>
    <xf numFmtId="0" fontId="16" fillId="8" borderId="0" xfId="26" applyFont="1" applyFill="1" applyAlignment="1">
      <alignment horizontal="left" vertical="center" wrapText="1"/>
    </xf>
    <xf numFmtId="0" fontId="19" fillId="7" borderId="18" xfId="26" applyFont="1" applyFill="1" applyBorder="1" applyAlignment="1">
      <alignment vertical="center"/>
    </xf>
    <xf numFmtId="0" fontId="15" fillId="30" borderId="0" xfId="26" applyFont="1" applyFill="1" applyAlignment="1">
      <alignment vertical="center" wrapText="1"/>
    </xf>
    <xf numFmtId="0" fontId="60" fillId="30" borderId="5" xfId="26" applyFont="1" applyFill="1" applyBorder="1" applyAlignment="1">
      <alignment horizontal="left" vertical="center" wrapText="1"/>
    </xf>
    <xf numFmtId="0" fontId="49" fillId="32" borderId="0" xfId="26" applyFont="1" applyFill="1" applyAlignment="1">
      <alignment vertical="center"/>
    </xf>
    <xf numFmtId="0" fontId="54" fillId="32" borderId="0" xfId="26" applyFont="1" applyFill="1" applyAlignment="1">
      <alignment vertical="center"/>
    </xf>
    <xf numFmtId="0" fontId="50" fillId="32" borderId="0" xfId="26" applyFont="1" applyFill="1" applyAlignment="1">
      <alignment vertical="center"/>
    </xf>
    <xf numFmtId="9" fontId="15" fillId="32" borderId="0" xfId="27" applyFont="1" applyFill="1" applyBorder="1" applyAlignment="1">
      <alignment vertical="center" wrapText="1"/>
    </xf>
    <xf numFmtId="0" fontId="55" fillId="32" borderId="21" xfId="26" applyFont="1" applyFill="1" applyBorder="1" applyAlignment="1">
      <alignment horizontal="center" vertical="center" wrapText="1"/>
    </xf>
    <xf numFmtId="0" fontId="55" fillId="32" borderId="17" xfId="26" applyFont="1" applyFill="1" applyBorder="1" applyAlignment="1">
      <alignment vertical="center" wrapText="1"/>
    </xf>
    <xf numFmtId="0" fontId="51" fillId="32" borderId="17" xfId="26" applyFont="1" applyFill="1" applyBorder="1" applyAlignment="1">
      <alignment horizontal="center" vertical="center" wrapText="1"/>
    </xf>
    <xf numFmtId="3" fontId="51" fillId="32" borderId="17" xfId="29" applyNumberFormat="1" applyFont="1" applyFill="1" applyBorder="1" applyAlignment="1">
      <alignment horizontal="center" vertical="center" wrapText="1"/>
    </xf>
    <xf numFmtId="3" fontId="16" fillId="32" borderId="22" xfId="26" applyNumberFormat="1" applyFont="1" applyFill="1" applyBorder="1" applyAlignment="1">
      <alignment horizontal="right" vertical="center" wrapText="1"/>
    </xf>
    <xf numFmtId="0" fontId="15" fillId="32" borderId="5" xfId="26" applyFont="1" applyFill="1" applyBorder="1" applyAlignment="1">
      <alignment horizontal="left" vertical="center" wrapText="1"/>
    </xf>
    <xf numFmtId="0" fontId="57" fillId="32" borderId="5" xfId="26" applyFont="1" applyFill="1" applyBorder="1" applyAlignment="1">
      <alignment horizontal="left" vertical="center" wrapText="1"/>
    </xf>
    <xf numFmtId="0" fontId="16" fillId="32" borderId="5" xfId="26" applyFont="1" applyFill="1" applyBorder="1" applyAlignment="1">
      <alignment vertical="center" wrapText="1"/>
    </xf>
    <xf numFmtId="0" fontId="59" fillId="32" borderId="5" xfId="26" applyFont="1" applyFill="1" applyBorder="1" applyAlignment="1">
      <alignment vertical="center" wrapText="1"/>
    </xf>
    <xf numFmtId="0" fontId="49" fillId="32" borderId="0" xfId="26" applyFont="1" applyFill="1" applyAlignment="1">
      <alignment vertical="center" wrapText="1"/>
    </xf>
    <xf numFmtId="3" fontId="49" fillId="32" borderId="0" xfId="26" applyNumberFormat="1" applyFont="1" applyFill="1" applyAlignment="1">
      <alignment vertical="center" wrapText="1"/>
    </xf>
    <xf numFmtId="3" fontId="49" fillId="32" borderId="0" xfId="26" applyNumberFormat="1" applyFont="1" applyFill="1" applyAlignment="1">
      <alignment vertical="center"/>
    </xf>
    <xf numFmtId="3" fontId="49" fillId="32" borderId="0" xfId="26" applyNumberFormat="1" applyFont="1" applyFill="1" applyAlignment="1">
      <alignment horizontal="right" vertical="center" wrapText="1"/>
    </xf>
    <xf numFmtId="0" fontId="55" fillId="7" borderId="7" xfId="26" applyFont="1" applyFill="1" applyBorder="1" applyAlignment="1">
      <alignment vertical="center" wrapText="1"/>
    </xf>
    <xf numFmtId="0" fontId="55" fillId="31" borderId="5" xfId="26" applyFont="1" applyFill="1" applyBorder="1" applyAlignment="1">
      <alignment horizontal="left" vertical="center" wrapText="1"/>
    </xf>
    <xf numFmtId="0" fontId="19" fillId="30" borderId="5" xfId="26" applyFont="1" applyFill="1" applyBorder="1" applyAlignment="1">
      <alignment vertical="center" wrapText="1"/>
    </xf>
    <xf numFmtId="0" fontId="16" fillId="8" borderId="5" xfId="26" applyFont="1" applyFill="1" applyBorder="1" applyAlignment="1">
      <alignment horizontal="left" vertical="center" wrapText="1"/>
    </xf>
    <xf numFmtId="0" fontId="15" fillId="8" borderId="0" xfId="26" applyFont="1" applyFill="1" applyAlignment="1">
      <alignment vertical="center"/>
    </xf>
    <xf numFmtId="0" fontId="46" fillId="32" borderId="18" xfId="26" applyFont="1" applyFill="1" applyBorder="1" applyAlignment="1">
      <alignment horizontal="left" vertical="center" wrapText="1"/>
    </xf>
    <xf numFmtId="0" fontId="52" fillId="32" borderId="15" xfId="26" applyFont="1" applyFill="1" applyBorder="1" applyAlignment="1">
      <alignment vertical="center"/>
    </xf>
    <xf numFmtId="0" fontId="15" fillId="32" borderId="15" xfId="26" applyFont="1" applyFill="1" applyBorder="1" applyAlignment="1">
      <alignment vertical="center"/>
    </xf>
    <xf numFmtId="0" fontId="16" fillId="31" borderId="0" xfId="26" applyFont="1" applyFill="1" applyAlignment="1">
      <alignment vertical="center" wrapText="1"/>
    </xf>
    <xf numFmtId="0" fontId="53" fillId="32" borderId="0" xfId="26" applyFont="1" applyFill="1" applyAlignment="1">
      <alignment vertical="center" wrapText="1"/>
    </xf>
    <xf numFmtId="0" fontId="55" fillId="30" borderId="7" xfId="26" applyFont="1" applyFill="1" applyBorder="1" applyAlignment="1">
      <alignment vertical="center" wrapText="1"/>
    </xf>
    <xf numFmtId="0" fontId="58" fillId="30" borderId="5" xfId="26" applyFont="1" applyFill="1" applyBorder="1" applyAlignment="1">
      <alignment vertical="center" wrapText="1"/>
    </xf>
    <xf numFmtId="0" fontId="29" fillId="30" borderId="0" xfId="26" applyFont="1" applyFill="1" applyAlignment="1">
      <alignment vertical="center" wrapText="1"/>
    </xf>
    <xf numFmtId="9" fontId="15" fillId="8" borderId="0" xfId="26" applyNumberFormat="1" applyFont="1" applyFill="1" applyAlignment="1">
      <alignment horizontal="left" vertical="center" wrapText="1"/>
    </xf>
    <xf numFmtId="0" fontId="16" fillId="30" borderId="0" xfId="26" applyFont="1" applyFill="1" applyAlignment="1">
      <alignment horizontal="right" vertical="center" wrapText="1"/>
    </xf>
    <xf numFmtId="0" fontId="16" fillId="33" borderId="11" xfId="26" applyFont="1" applyFill="1" applyBorder="1" applyAlignment="1">
      <alignment vertical="center" wrapText="1"/>
    </xf>
    <xf numFmtId="0" fontId="16" fillId="33" borderId="11" xfId="26" applyFont="1" applyFill="1" applyBorder="1" applyAlignment="1">
      <alignment horizontal="right" vertical="center" wrapText="1"/>
    </xf>
    <xf numFmtId="0" fontId="16" fillId="33" borderId="11" xfId="26" applyFont="1" applyFill="1" applyBorder="1" applyAlignment="1">
      <alignment horizontal="left" vertical="center" wrapText="1"/>
    </xf>
    <xf numFmtId="0" fontId="16" fillId="33" borderId="7" xfId="26" applyFont="1" applyFill="1" applyBorder="1" applyAlignment="1">
      <alignment vertical="center" wrapText="1"/>
    </xf>
    <xf numFmtId="0" fontId="46" fillId="34" borderId="0" xfId="26" applyFont="1" applyFill="1" applyAlignment="1">
      <alignment horizontal="left" vertical="center" wrapText="1"/>
    </xf>
    <xf numFmtId="171" fontId="46" fillId="34" borderId="8" xfId="26" applyNumberFormat="1" applyFont="1" applyFill="1" applyBorder="1" applyAlignment="1">
      <alignment horizontal="right" vertical="center" wrapText="1"/>
    </xf>
    <xf numFmtId="171" fontId="46" fillId="34" borderId="0" xfId="26" applyNumberFormat="1" applyFont="1" applyFill="1" applyAlignment="1">
      <alignment horizontal="right" vertical="center" wrapText="1"/>
    </xf>
    <xf numFmtId="171" fontId="46" fillId="34" borderId="16" xfId="26" applyNumberFormat="1" applyFont="1" applyFill="1" applyBorder="1" applyAlignment="1">
      <alignment horizontal="right" vertical="center" wrapText="1"/>
    </xf>
    <xf numFmtId="171" fontId="46" fillId="34" borderId="6" xfId="26" applyNumberFormat="1" applyFont="1" applyFill="1" applyBorder="1" applyAlignment="1">
      <alignment horizontal="right" vertical="center" wrapText="1"/>
    </xf>
    <xf numFmtId="0" fontId="46" fillId="34" borderId="0" xfId="26" applyFont="1" applyFill="1" applyAlignment="1">
      <alignment vertical="center"/>
    </xf>
    <xf numFmtId="0" fontId="46" fillId="34" borderId="11" xfId="0" applyFont="1" applyFill="1" applyBorder="1" applyAlignment="1">
      <alignment vertical="center" wrapText="1"/>
    </xf>
    <xf numFmtId="171" fontId="46" fillId="34" borderId="26" xfId="0" applyNumberFormat="1" applyFont="1" applyFill="1" applyBorder="1" applyAlignment="1">
      <alignment horizontal="right" vertical="center" wrapText="1"/>
    </xf>
    <xf numFmtId="9" fontId="15" fillId="30" borderId="0" xfId="27" applyFont="1" applyFill="1" applyBorder="1" applyAlignment="1">
      <alignment horizontal="left" vertical="center" wrapText="1"/>
    </xf>
    <xf numFmtId="0" fontId="51" fillId="33" borderId="7" xfId="26" applyFont="1" applyFill="1" applyBorder="1" applyAlignment="1">
      <alignment vertical="center" wrapText="1"/>
    </xf>
    <xf numFmtId="0" fontId="16" fillId="33" borderId="7" xfId="26" applyFont="1" applyFill="1" applyBorder="1" applyAlignment="1">
      <alignment horizontal="left" vertical="center" wrapText="1"/>
    </xf>
    <xf numFmtId="0" fontId="46" fillId="34" borderId="5" xfId="26" applyFont="1" applyFill="1" applyBorder="1" applyAlignment="1">
      <alignment horizontal="left" vertical="center" wrapText="1"/>
    </xf>
    <xf numFmtId="0" fontId="62" fillId="34" borderId="0" xfId="26" applyFont="1" applyFill="1" applyAlignment="1">
      <alignment vertical="center"/>
    </xf>
    <xf numFmtId="0" fontId="28" fillId="34" borderId="0" xfId="26" applyFont="1" applyFill="1" applyAlignment="1">
      <alignment vertical="center"/>
    </xf>
    <xf numFmtId="0" fontId="28" fillId="34" borderId="0" xfId="26" applyFont="1" applyFill="1" applyAlignment="1">
      <alignment vertical="center" wrapText="1"/>
    </xf>
    <xf numFmtId="0" fontId="28" fillId="34" borderId="0" xfId="26" applyFont="1" applyFill="1" applyAlignment="1">
      <alignment horizontal="left" vertical="center" wrapText="1"/>
    </xf>
    <xf numFmtId="0" fontId="16" fillId="8" borderId="0" xfId="26" applyFont="1" applyFill="1" applyAlignment="1">
      <alignment vertical="center"/>
    </xf>
    <xf numFmtId="9" fontId="16" fillId="8" borderId="0" xfId="27" applyFont="1" applyFill="1" applyBorder="1" applyAlignment="1">
      <alignment horizontal="left" vertical="center" wrapText="1"/>
    </xf>
    <xf numFmtId="0" fontId="48" fillId="35" borderId="5" xfId="0" applyFont="1" applyFill="1" applyBorder="1" applyAlignment="1">
      <alignment vertical="center" wrapText="1"/>
    </xf>
    <xf numFmtId="176" fontId="15" fillId="32" borderId="8" xfId="26" applyNumberFormat="1" applyFont="1" applyFill="1" applyBorder="1" applyAlignment="1">
      <alignment horizontal="right" vertical="center" wrapText="1"/>
    </xf>
    <xf numFmtId="176" fontId="15" fillId="32" borderId="0" xfId="26" applyNumberFormat="1" applyFont="1" applyFill="1" applyAlignment="1">
      <alignment horizontal="right" vertical="center" wrapText="1"/>
    </xf>
    <xf numFmtId="176" fontId="15" fillId="32" borderId="16" xfId="26" applyNumberFormat="1" applyFont="1" applyFill="1" applyBorder="1" applyAlignment="1">
      <alignment horizontal="right" vertical="center" wrapText="1"/>
    </xf>
    <xf numFmtId="176" fontId="15" fillId="32" borderId="3" xfId="26" applyNumberFormat="1" applyFont="1" applyFill="1" applyBorder="1" applyAlignment="1">
      <alignment horizontal="right" vertical="center" wrapText="1"/>
    </xf>
    <xf numFmtId="176" fontId="15" fillId="32" borderId="6" xfId="26" applyNumberFormat="1" applyFont="1" applyFill="1" applyBorder="1" applyAlignment="1">
      <alignment horizontal="right" vertical="center" wrapText="1"/>
    </xf>
    <xf numFmtId="176" fontId="15" fillId="31" borderId="8" xfId="26" applyNumberFormat="1" applyFont="1" applyFill="1" applyBorder="1" applyAlignment="1">
      <alignment horizontal="right" vertical="center" wrapText="1"/>
    </xf>
    <xf numFmtId="176" fontId="16" fillId="31" borderId="0" xfId="26" applyNumberFormat="1" applyFont="1" applyFill="1" applyAlignment="1">
      <alignment horizontal="left" vertical="center" wrapText="1"/>
    </xf>
    <xf numFmtId="176" fontId="15" fillId="31" borderId="16" xfId="26" applyNumberFormat="1" applyFont="1" applyFill="1" applyBorder="1" applyAlignment="1">
      <alignment horizontal="right" vertical="center" wrapText="1"/>
    </xf>
    <xf numFmtId="176" fontId="15" fillId="31" borderId="0" xfId="26" applyNumberFormat="1" applyFont="1" applyFill="1" applyAlignment="1">
      <alignment horizontal="right" vertical="center" wrapText="1"/>
    </xf>
    <xf numFmtId="176" fontId="15" fillId="31" borderId="3" xfId="26" applyNumberFormat="1" applyFont="1" applyFill="1" applyBorder="1" applyAlignment="1">
      <alignment horizontal="right" vertical="center" wrapText="1"/>
    </xf>
    <xf numFmtId="176" fontId="15" fillId="31" borderId="6" xfId="26" applyNumberFormat="1" applyFont="1" applyFill="1" applyBorder="1" applyAlignment="1">
      <alignment horizontal="right" vertical="center" wrapText="1"/>
    </xf>
    <xf numFmtId="176" fontId="15" fillId="31" borderId="0" xfId="26" applyNumberFormat="1" applyFont="1" applyFill="1" applyAlignment="1">
      <alignment horizontal="left" vertical="center" wrapText="1"/>
    </xf>
    <xf numFmtId="176" fontId="16" fillId="7" borderId="8" xfId="26" applyNumberFormat="1" applyFont="1" applyFill="1" applyBorder="1" applyAlignment="1">
      <alignment vertical="center" wrapText="1"/>
    </xf>
    <xf numFmtId="176" fontId="16" fillId="7" borderId="0" xfId="26" applyNumberFormat="1" applyFont="1" applyFill="1" applyAlignment="1">
      <alignment vertical="center" wrapText="1"/>
    </xf>
    <xf numFmtId="176" fontId="15" fillId="7" borderId="16" xfId="26" applyNumberFormat="1" applyFont="1" applyFill="1" applyBorder="1" applyAlignment="1">
      <alignment vertical="center"/>
    </xf>
    <xf numFmtId="176" fontId="15" fillId="7" borderId="0" xfId="26" applyNumberFormat="1" applyFont="1" applyFill="1" applyAlignment="1">
      <alignment vertical="center"/>
    </xf>
    <xf numFmtId="176" fontId="15" fillId="7" borderId="8" xfId="26" applyNumberFormat="1" applyFont="1" applyFill="1" applyBorder="1" applyAlignment="1">
      <alignment vertical="center"/>
    </xf>
    <xf numFmtId="176" fontId="15" fillId="7" borderId="3" xfId="26" applyNumberFormat="1" applyFont="1" applyFill="1" applyBorder="1" applyAlignment="1">
      <alignment horizontal="right" vertical="center" wrapText="1"/>
    </xf>
    <xf numFmtId="176" fontId="15" fillId="7" borderId="6" xfId="26" applyNumberFormat="1" applyFont="1" applyFill="1" applyBorder="1" applyAlignment="1">
      <alignment horizontal="right" vertical="center" wrapText="1"/>
    </xf>
    <xf numFmtId="176" fontId="16" fillId="32" borderId="8" xfId="26" applyNumberFormat="1" applyFont="1" applyFill="1" applyBorder="1" applyAlignment="1">
      <alignment vertical="center"/>
    </xf>
    <xf numFmtId="176" fontId="16" fillId="32" borderId="0" xfId="26" applyNumberFormat="1" applyFont="1" applyFill="1" applyAlignment="1">
      <alignment horizontal="right" vertical="center" wrapText="1"/>
    </xf>
    <xf numFmtId="176" fontId="16" fillId="33" borderId="10" xfId="26" applyNumberFormat="1" applyFont="1" applyFill="1" applyBorder="1" applyAlignment="1">
      <alignment horizontal="right" vertical="center" wrapText="1"/>
    </xf>
    <xf numFmtId="176" fontId="16" fillId="33" borderId="11" xfId="26" applyNumberFormat="1" applyFont="1" applyFill="1" applyBorder="1" applyAlignment="1">
      <alignment horizontal="right" vertical="center" wrapText="1"/>
    </xf>
    <xf numFmtId="176" fontId="16" fillId="33" borderId="26" xfId="26" applyNumberFormat="1" applyFont="1" applyFill="1" applyBorder="1" applyAlignment="1">
      <alignment horizontal="right" vertical="center" wrapText="1"/>
    </xf>
    <xf numFmtId="176" fontId="16" fillId="33" borderId="13" xfId="26" applyNumberFormat="1" applyFont="1" applyFill="1" applyBorder="1" applyAlignment="1">
      <alignment horizontal="right" vertical="center" wrapText="1"/>
    </xf>
    <xf numFmtId="176" fontId="16" fillId="7" borderId="10" xfId="26" applyNumberFormat="1" applyFont="1" applyFill="1" applyBorder="1" applyAlignment="1">
      <alignment vertical="center" wrapText="1"/>
    </xf>
    <xf numFmtId="176" fontId="16" fillId="7" borderId="11" xfId="26" applyNumberFormat="1" applyFont="1" applyFill="1" applyBorder="1" applyAlignment="1">
      <alignment horizontal="right" vertical="center" wrapText="1"/>
    </xf>
    <xf numFmtId="176" fontId="16" fillId="7" borderId="26" xfId="28" applyNumberFormat="1" applyFont="1" applyFill="1" applyBorder="1" applyAlignment="1">
      <alignment horizontal="right" vertical="center" wrapText="1"/>
    </xf>
    <xf numFmtId="176" fontId="16" fillId="7" borderId="11" xfId="28" applyNumberFormat="1" applyFont="1" applyFill="1" applyBorder="1" applyAlignment="1">
      <alignment horizontal="right" vertical="center" wrapText="1"/>
    </xf>
    <xf numFmtId="176" fontId="16" fillId="7" borderId="10" xfId="28" applyNumberFormat="1" applyFont="1" applyFill="1" applyBorder="1" applyAlignment="1">
      <alignment horizontal="right" vertical="center" wrapText="1"/>
    </xf>
    <xf numFmtId="176" fontId="16" fillId="32" borderId="8" xfId="26" applyNumberFormat="1" applyFont="1" applyFill="1" applyBorder="1" applyAlignment="1">
      <alignment vertical="center" wrapText="1"/>
    </xf>
    <xf numFmtId="176" fontId="16" fillId="7" borderId="8" xfId="26" applyNumberFormat="1" applyFont="1" applyFill="1" applyBorder="1" applyAlignment="1">
      <alignment horizontal="right" vertical="center" wrapText="1"/>
    </xf>
    <xf numFmtId="176" fontId="16" fillId="7" borderId="0" xfId="26" applyNumberFormat="1" applyFont="1" applyFill="1" applyAlignment="1">
      <alignment horizontal="right" vertical="center" wrapText="1"/>
    </xf>
    <xf numFmtId="176" fontId="16" fillId="7" borderId="16" xfId="26" applyNumberFormat="1" applyFont="1" applyFill="1" applyBorder="1" applyAlignment="1">
      <alignment horizontal="right" vertical="center" wrapText="1"/>
    </xf>
    <xf numFmtId="176" fontId="16" fillId="7" borderId="3" xfId="26" applyNumberFormat="1" applyFont="1" applyFill="1" applyBorder="1" applyAlignment="1">
      <alignment horizontal="right" vertical="center" wrapText="1"/>
    </xf>
    <xf numFmtId="176" fontId="16" fillId="7" borderId="6" xfId="26" applyNumberFormat="1" applyFont="1" applyFill="1" applyBorder="1" applyAlignment="1">
      <alignment horizontal="right" vertical="center" wrapText="1"/>
    </xf>
    <xf numFmtId="176" fontId="16" fillId="30" borderId="8" xfId="26" applyNumberFormat="1" applyFont="1" applyFill="1" applyBorder="1" applyAlignment="1">
      <alignment horizontal="right" vertical="center" wrapText="1"/>
    </xf>
    <xf numFmtId="176" fontId="16" fillId="30" borderId="0" xfId="26" applyNumberFormat="1" applyFont="1" applyFill="1" applyAlignment="1">
      <alignment horizontal="right" vertical="center" wrapText="1"/>
    </xf>
    <xf numFmtId="176" fontId="16" fillId="30" borderId="16" xfId="26" applyNumberFormat="1" applyFont="1" applyFill="1" applyBorder="1" applyAlignment="1">
      <alignment horizontal="right" vertical="center" wrapText="1"/>
    </xf>
    <xf numFmtId="176" fontId="16" fillId="30" borderId="3" xfId="26" applyNumberFormat="1" applyFont="1" applyFill="1" applyBorder="1" applyAlignment="1">
      <alignment horizontal="right" vertical="center" wrapText="1"/>
    </xf>
    <xf numFmtId="176" fontId="16" fillId="30" borderId="6" xfId="26" applyNumberFormat="1" applyFont="1" applyFill="1" applyBorder="1" applyAlignment="1">
      <alignment horizontal="right" vertical="center" wrapText="1"/>
    </xf>
    <xf numFmtId="176" fontId="15" fillId="30" borderId="8" xfId="26" applyNumberFormat="1" applyFont="1" applyFill="1" applyBorder="1" applyAlignment="1">
      <alignment horizontal="right" vertical="center" wrapText="1"/>
    </xf>
    <xf numFmtId="176" fontId="15" fillId="30" borderId="0" xfId="26" applyNumberFormat="1" applyFont="1" applyFill="1" applyAlignment="1">
      <alignment horizontal="right" vertical="center" wrapText="1"/>
    </xf>
    <xf numFmtId="176" fontId="15" fillId="30" borderId="16" xfId="26" applyNumberFormat="1" applyFont="1" applyFill="1" applyBorder="1" applyAlignment="1">
      <alignment horizontal="right" vertical="center" wrapText="1"/>
    </xf>
    <xf numFmtId="176" fontId="15" fillId="30" borderId="3" xfId="26" applyNumberFormat="1" applyFont="1" applyFill="1" applyBorder="1" applyAlignment="1">
      <alignment horizontal="right" vertical="center" wrapText="1"/>
    </xf>
    <xf numFmtId="176" fontId="15" fillId="30" borderId="6" xfId="26" applyNumberFormat="1" applyFont="1" applyFill="1" applyBorder="1" applyAlignment="1">
      <alignment horizontal="right" vertical="center" wrapText="1"/>
    </xf>
    <xf numFmtId="176" fontId="15" fillId="32" borderId="0" xfId="30" applyNumberFormat="1" applyFont="1" applyFill="1" applyBorder="1" applyAlignment="1">
      <alignment vertical="center"/>
    </xf>
    <xf numFmtId="176" fontId="15" fillId="32" borderId="8" xfId="26" applyNumberFormat="1" applyFont="1" applyFill="1" applyBorder="1" applyAlignment="1">
      <alignment vertical="center" wrapText="1"/>
    </xf>
    <xf numFmtId="176" fontId="15" fillId="32" borderId="8" xfId="26" applyNumberFormat="1" applyFont="1" applyFill="1" applyBorder="1" applyAlignment="1">
      <alignment vertical="center"/>
    </xf>
    <xf numFmtId="176" fontId="16" fillId="33" borderId="10" xfId="26" applyNumberFormat="1" applyFont="1" applyFill="1" applyBorder="1" applyAlignment="1">
      <alignment vertical="center" wrapText="1"/>
    </xf>
    <xf numFmtId="176" fontId="16" fillId="33" borderId="11" xfId="26" applyNumberFormat="1" applyFont="1" applyFill="1" applyBorder="1" applyAlignment="1">
      <alignment vertical="center" wrapText="1"/>
    </xf>
    <xf numFmtId="176" fontId="16" fillId="33" borderId="26" xfId="28" applyNumberFormat="1" applyFont="1" applyFill="1" applyBorder="1" applyAlignment="1">
      <alignment horizontal="right" vertical="center" wrapText="1"/>
    </xf>
    <xf numFmtId="176" fontId="16" fillId="33" borderId="11" xfId="28" applyNumberFormat="1" applyFont="1" applyFill="1" applyBorder="1" applyAlignment="1">
      <alignment horizontal="right" vertical="center" wrapText="1"/>
    </xf>
    <xf numFmtId="176" fontId="16" fillId="33" borderId="10" xfId="28" applyNumberFormat="1" applyFont="1" applyFill="1" applyBorder="1" applyAlignment="1">
      <alignment horizontal="right" vertical="center" wrapText="1"/>
    </xf>
    <xf numFmtId="176" fontId="16" fillId="33" borderId="13" xfId="28" applyNumberFormat="1" applyFont="1" applyFill="1" applyBorder="1" applyAlignment="1">
      <alignment horizontal="right" vertical="center" wrapText="1"/>
    </xf>
    <xf numFmtId="176" fontId="16" fillId="7" borderId="14" xfId="26" applyNumberFormat="1" applyFont="1" applyFill="1" applyBorder="1" applyAlignment="1">
      <alignment vertical="center"/>
    </xf>
    <xf numFmtId="176" fontId="16" fillId="7" borderId="15" xfId="26" applyNumberFormat="1" applyFont="1" applyFill="1" applyBorder="1" applyAlignment="1">
      <alignment vertical="center"/>
    </xf>
    <xf numFmtId="176" fontId="16" fillId="7" borderId="30" xfId="26" applyNumberFormat="1" applyFont="1" applyFill="1" applyBorder="1" applyAlignment="1">
      <alignment vertical="center"/>
    </xf>
    <xf numFmtId="176" fontId="16" fillId="7" borderId="28" xfId="26" applyNumberFormat="1" applyFont="1" applyFill="1" applyBorder="1" applyAlignment="1">
      <alignment horizontal="right" vertical="center" wrapText="1"/>
    </xf>
    <xf numFmtId="176" fontId="16" fillId="7" borderId="19" xfId="26" applyNumberFormat="1" applyFont="1" applyFill="1" applyBorder="1" applyAlignment="1">
      <alignment horizontal="right" vertical="center" wrapText="1"/>
    </xf>
    <xf numFmtId="176" fontId="16" fillId="30" borderId="8" xfId="26" applyNumberFormat="1" applyFont="1" applyFill="1" applyBorder="1" applyAlignment="1">
      <alignment vertical="center" wrapText="1"/>
    </xf>
    <xf numFmtId="176" fontId="16" fillId="30" borderId="0" xfId="26" applyNumberFormat="1" applyFont="1" applyFill="1" applyAlignment="1">
      <alignment vertical="center" wrapText="1"/>
    </xf>
    <xf numFmtId="176" fontId="15" fillId="30" borderId="16" xfId="26" applyNumberFormat="1" applyFont="1" applyFill="1" applyBorder="1" applyAlignment="1">
      <alignment vertical="center"/>
    </xf>
    <xf numFmtId="176" fontId="15" fillId="30" borderId="0" xfId="26" applyNumberFormat="1" applyFont="1" applyFill="1" applyAlignment="1">
      <alignment vertical="center"/>
    </xf>
    <xf numFmtId="176" fontId="15" fillId="30" borderId="8" xfId="26" applyNumberFormat="1" applyFont="1" applyFill="1" applyBorder="1" applyAlignment="1">
      <alignment vertical="center"/>
    </xf>
    <xf numFmtId="176" fontId="46" fillId="34" borderId="8" xfId="26" applyNumberFormat="1" applyFont="1" applyFill="1" applyBorder="1" applyAlignment="1">
      <alignment horizontal="right" vertical="center" wrapText="1"/>
    </xf>
    <xf numFmtId="176" fontId="46" fillId="34" borderId="0" xfId="26" applyNumberFormat="1" applyFont="1" applyFill="1" applyAlignment="1">
      <alignment horizontal="right" vertical="center" wrapText="1"/>
    </xf>
    <xf numFmtId="176" fontId="46" fillId="34" borderId="16" xfId="26" applyNumberFormat="1" applyFont="1" applyFill="1" applyBorder="1" applyAlignment="1">
      <alignment horizontal="right" vertical="center" wrapText="1"/>
    </xf>
    <xf numFmtId="176" fontId="46" fillId="34" borderId="6" xfId="26" applyNumberFormat="1" applyFont="1" applyFill="1" applyBorder="1" applyAlignment="1">
      <alignment horizontal="right" vertical="center" wrapText="1"/>
    </xf>
    <xf numFmtId="176" fontId="15" fillId="8" borderId="8" xfId="26" applyNumberFormat="1" applyFont="1" applyFill="1" applyBorder="1" applyAlignment="1">
      <alignment horizontal="right" vertical="center" wrapText="1"/>
    </xf>
    <xf numFmtId="176" fontId="15" fillId="8" borderId="0" xfId="26" applyNumberFormat="1" applyFont="1" applyFill="1" applyAlignment="1">
      <alignment horizontal="right" vertical="center" wrapText="1"/>
    </xf>
    <xf numFmtId="176" fontId="15" fillId="8" borderId="16" xfId="26" applyNumberFormat="1" applyFont="1" applyFill="1" applyBorder="1" applyAlignment="1">
      <alignment horizontal="right" vertical="center" wrapText="1"/>
    </xf>
    <xf numFmtId="176" fontId="15" fillId="8" borderId="3" xfId="26" applyNumberFormat="1" applyFont="1" applyFill="1" applyBorder="1" applyAlignment="1">
      <alignment horizontal="right" vertical="center" wrapText="1"/>
    </xf>
    <xf numFmtId="176" fontId="15" fillId="8" borderId="6" xfId="26" applyNumberFormat="1" applyFont="1" applyFill="1" applyBorder="1" applyAlignment="1">
      <alignment horizontal="right" vertical="center" wrapText="1"/>
    </xf>
    <xf numFmtId="176" fontId="46" fillId="34" borderId="11" xfId="0" applyNumberFormat="1" applyFont="1" applyFill="1" applyBorder="1" applyAlignment="1">
      <alignment horizontal="right" vertical="center" wrapText="1"/>
    </xf>
    <xf numFmtId="176" fontId="46" fillId="34" borderId="26" xfId="0" applyNumberFormat="1" applyFont="1" applyFill="1" applyBorder="1" applyAlignment="1">
      <alignment horizontal="right" vertical="center" wrapText="1"/>
    </xf>
    <xf numFmtId="176" fontId="46" fillId="34" borderId="13" xfId="0" applyNumberFormat="1" applyFont="1" applyFill="1" applyBorder="1" applyAlignment="1">
      <alignment horizontal="right" vertical="center" wrapText="1"/>
    </xf>
    <xf numFmtId="176" fontId="16" fillId="7" borderId="26" xfId="26" applyNumberFormat="1" applyFont="1" applyFill="1" applyBorder="1" applyAlignment="1">
      <alignment horizontal="right" vertical="center" wrapText="1"/>
    </xf>
    <xf numFmtId="176" fontId="16" fillId="7" borderId="10" xfId="26" applyNumberFormat="1" applyFont="1" applyFill="1" applyBorder="1" applyAlignment="1">
      <alignment horizontal="right" vertical="center" wrapText="1"/>
    </xf>
    <xf numFmtId="176" fontId="16" fillId="7" borderId="13" xfId="26" applyNumberFormat="1" applyFont="1" applyFill="1" applyBorder="1" applyAlignment="1">
      <alignment horizontal="right" vertical="center" wrapText="1"/>
    </xf>
    <xf numFmtId="9" fontId="15" fillId="32" borderId="0" xfId="27" applyFont="1" applyFill="1" applyAlignment="1">
      <alignment vertical="center" wrapText="1"/>
    </xf>
    <xf numFmtId="9" fontId="15" fillId="32" borderId="0" xfId="27" applyFont="1" applyFill="1" applyAlignment="1">
      <alignment horizontal="center" vertical="center" wrapText="1"/>
    </xf>
    <xf numFmtId="9" fontId="15" fillId="32" borderId="0" xfId="27" applyFont="1" applyFill="1" applyAlignment="1">
      <alignment horizontal="left" vertical="center" wrapText="1"/>
    </xf>
    <xf numFmtId="10" fontId="15" fillId="32" borderId="0" xfId="27" applyNumberFormat="1" applyFont="1" applyFill="1" applyAlignment="1">
      <alignment horizontal="right" vertical="center" wrapText="1"/>
    </xf>
    <xf numFmtId="0" fontId="16" fillId="33" borderId="11" xfId="26" applyFont="1" applyFill="1" applyBorder="1" applyAlignment="1">
      <alignment horizontal="left" vertical="center"/>
    </xf>
    <xf numFmtId="176" fontId="16" fillId="33" borderId="26" xfId="4" applyNumberFormat="1" applyFont="1" applyFill="1" applyBorder="1" applyAlignment="1">
      <alignment horizontal="right" vertical="center" wrapText="1"/>
    </xf>
    <xf numFmtId="0" fontId="51" fillId="33" borderId="7" xfId="26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9" fontId="15" fillId="30" borderId="0" xfId="27" applyFont="1" applyFill="1" applyAlignment="1">
      <alignment horizontal="left" vertical="center" wrapText="1"/>
    </xf>
    <xf numFmtId="0" fontId="7" fillId="0" borderId="4" xfId="0" applyFont="1" applyBorder="1">
      <alignment vertical="top"/>
    </xf>
    <xf numFmtId="3" fontId="0" fillId="0" borderId="4" xfId="0" applyNumberFormat="1" applyBorder="1">
      <alignment vertical="top"/>
    </xf>
    <xf numFmtId="0" fontId="0" fillId="0" borderId="4" xfId="0" applyBorder="1">
      <alignment vertical="top"/>
    </xf>
    <xf numFmtId="3" fontId="0" fillId="5" borderId="4" xfId="0" applyNumberFormat="1" applyFill="1" applyBorder="1">
      <alignment vertical="top"/>
    </xf>
    <xf numFmtId="9" fontId="0" fillId="0" borderId="4" xfId="0" applyNumberFormat="1" applyBorder="1">
      <alignment vertical="top"/>
    </xf>
    <xf numFmtId="0" fontId="6" fillId="30" borderId="4" xfId="0" applyFont="1" applyFill="1" applyBorder="1" applyAlignment="1">
      <alignment vertical="top" wrapText="1"/>
    </xf>
    <xf numFmtId="0" fontId="0" fillId="0" borderId="4" xfId="0" applyBorder="1" applyAlignment="1">
      <alignment vertical="center" wrapText="1"/>
    </xf>
    <xf numFmtId="3" fontId="0" fillId="0" borderId="4" xfId="0" applyNumberFormat="1" applyBorder="1" applyAlignment="1">
      <alignment vertical="center" wrapText="1"/>
    </xf>
    <xf numFmtId="0" fontId="6" fillId="30" borderId="4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4" fontId="15" fillId="32" borderId="0" xfId="4" applyFont="1" applyFill="1" applyAlignment="1">
      <alignment vertical="center"/>
    </xf>
    <xf numFmtId="0" fontId="57" fillId="0" borderId="5" xfId="26" applyFont="1" applyBorder="1" applyAlignment="1">
      <alignment horizontal="left" vertical="center" wrapText="1"/>
    </xf>
    <xf numFmtId="177" fontId="15" fillId="32" borderId="8" xfId="26" applyNumberFormat="1" applyFont="1" applyFill="1" applyBorder="1" applyAlignment="1">
      <alignment horizontal="right" vertical="center" wrapText="1"/>
    </xf>
    <xf numFmtId="1" fontId="0" fillId="0" borderId="0" xfId="0" applyNumberFormat="1">
      <alignment vertical="top"/>
    </xf>
    <xf numFmtId="0" fontId="48" fillId="35" borderId="18" xfId="0" applyFont="1" applyFill="1" applyBorder="1" applyAlignment="1">
      <alignment vertical="center" wrapText="1"/>
    </xf>
    <xf numFmtId="0" fontId="15" fillId="30" borderId="15" xfId="26" applyFont="1" applyFill="1" applyBorder="1" applyAlignment="1">
      <alignment vertical="center"/>
    </xf>
    <xf numFmtId="0" fontId="15" fillId="30" borderId="15" xfId="26" applyFont="1" applyFill="1" applyBorder="1" applyAlignment="1">
      <alignment vertical="center" wrapText="1"/>
    </xf>
    <xf numFmtId="171" fontId="15" fillId="30" borderId="14" xfId="26" applyNumberFormat="1" applyFont="1" applyFill="1" applyBorder="1" applyAlignment="1">
      <alignment horizontal="right" vertical="center" wrapText="1"/>
    </xf>
    <xf numFmtId="171" fontId="15" fillId="30" borderId="15" xfId="26" applyNumberFormat="1" applyFont="1" applyFill="1" applyBorder="1" applyAlignment="1">
      <alignment horizontal="right" vertical="center" wrapText="1"/>
    </xf>
    <xf numFmtId="171" fontId="15" fillId="30" borderId="30" xfId="26" applyNumberFormat="1" applyFont="1" applyFill="1" applyBorder="1" applyAlignment="1">
      <alignment horizontal="right" vertical="center" wrapText="1"/>
    </xf>
    <xf numFmtId="171" fontId="15" fillId="30" borderId="28" xfId="26" applyNumberFormat="1" applyFont="1" applyFill="1" applyBorder="1" applyAlignment="1">
      <alignment horizontal="right" vertical="center" wrapText="1"/>
    </xf>
    <xf numFmtId="171" fontId="15" fillId="30" borderId="19" xfId="26" applyNumberFormat="1" applyFont="1" applyFill="1" applyBorder="1" applyAlignment="1">
      <alignment horizontal="right" vertical="center" wrapText="1"/>
    </xf>
    <xf numFmtId="0" fontId="46" fillId="34" borderId="7" xfId="26" applyFont="1" applyFill="1" applyBorder="1" applyAlignment="1">
      <alignment horizontal="left" vertical="center" wrapText="1"/>
    </xf>
    <xf numFmtId="0" fontId="62" fillId="34" borderId="11" xfId="26" applyFont="1" applyFill="1" applyBorder="1" applyAlignment="1">
      <alignment vertical="center"/>
    </xf>
    <xf numFmtId="0" fontId="28" fillId="34" borderId="11" xfId="26" applyFont="1" applyFill="1" applyBorder="1" applyAlignment="1">
      <alignment vertical="center"/>
    </xf>
    <xf numFmtId="171" fontId="46" fillId="34" borderId="10" xfId="26" applyNumberFormat="1" applyFont="1" applyFill="1" applyBorder="1" applyAlignment="1">
      <alignment horizontal="right" vertical="center" wrapText="1"/>
    </xf>
    <xf numFmtId="171" fontId="46" fillId="34" borderId="11" xfId="26" applyNumberFormat="1" applyFont="1" applyFill="1" applyBorder="1" applyAlignment="1">
      <alignment horizontal="right" vertical="center" wrapText="1"/>
    </xf>
    <xf numFmtId="171" fontId="46" fillId="34" borderId="26" xfId="26" applyNumberFormat="1" applyFont="1" applyFill="1" applyBorder="1" applyAlignment="1">
      <alignment horizontal="right" vertical="center" wrapText="1"/>
    </xf>
    <xf numFmtId="171" fontId="46" fillId="34" borderId="13" xfId="26" applyNumberFormat="1" applyFont="1" applyFill="1" applyBorder="1" applyAlignment="1">
      <alignment horizontal="right" vertical="center" wrapText="1"/>
    </xf>
    <xf numFmtId="0" fontId="46" fillId="34" borderId="0" xfId="0" applyFont="1" applyFill="1" applyAlignment="1">
      <alignment vertical="center" wrapText="1"/>
    </xf>
    <xf numFmtId="171" fontId="46" fillId="34" borderId="16" xfId="0" applyNumberFormat="1" applyFont="1" applyFill="1" applyBorder="1" applyAlignment="1">
      <alignment horizontal="right" vertical="center" wrapText="1"/>
    </xf>
    <xf numFmtId="176" fontId="46" fillId="34" borderId="0" xfId="0" applyNumberFormat="1" applyFont="1" applyFill="1" applyAlignment="1">
      <alignment horizontal="right" vertical="center" wrapText="1"/>
    </xf>
    <xf numFmtId="176" fontId="46" fillId="34" borderId="16" xfId="0" applyNumberFormat="1" applyFont="1" applyFill="1" applyBorder="1" applyAlignment="1">
      <alignment horizontal="right" vertical="center" wrapText="1"/>
    </xf>
    <xf numFmtId="176" fontId="46" fillId="34" borderId="6" xfId="0" applyNumberFormat="1" applyFont="1" applyFill="1" applyBorder="1" applyAlignment="1">
      <alignment horizontal="right" vertical="center" wrapText="1"/>
    </xf>
    <xf numFmtId="171" fontId="46" fillId="34" borderId="12" xfId="26" applyNumberFormat="1" applyFont="1" applyFill="1" applyBorder="1" applyAlignment="1">
      <alignment horizontal="right" vertical="center" wrapText="1"/>
    </xf>
    <xf numFmtId="3" fontId="0" fillId="0" borderId="0" xfId="0" applyNumberFormat="1">
      <alignment vertical="top"/>
    </xf>
    <xf numFmtId="3" fontId="65" fillId="0" borderId="0" xfId="0" applyNumberFormat="1" applyFont="1">
      <alignment vertical="top"/>
    </xf>
    <xf numFmtId="4" fontId="15" fillId="32" borderId="0" xfId="26" applyNumberFormat="1" applyFont="1" applyFill="1" applyAlignment="1">
      <alignment vertical="center"/>
    </xf>
    <xf numFmtId="176" fontId="16" fillId="32" borderId="8" xfId="26" applyNumberFormat="1" applyFont="1" applyFill="1" applyBorder="1" applyAlignment="1">
      <alignment horizontal="right" vertical="center" wrapText="1"/>
    </xf>
    <xf numFmtId="176" fontId="16" fillId="32" borderId="16" xfId="26" applyNumberFormat="1" applyFont="1" applyFill="1" applyBorder="1" applyAlignment="1">
      <alignment horizontal="right" vertical="center" wrapText="1"/>
    </xf>
    <xf numFmtId="176" fontId="16" fillId="32" borderId="3" xfId="26" applyNumberFormat="1" applyFont="1" applyFill="1" applyBorder="1" applyAlignment="1">
      <alignment horizontal="right" vertical="center" wrapText="1"/>
    </xf>
    <xf numFmtId="176" fontId="16" fillId="32" borderId="6" xfId="26" applyNumberFormat="1" applyFont="1" applyFill="1" applyBorder="1" applyAlignment="1">
      <alignment horizontal="right" vertical="center" wrapText="1"/>
    </xf>
    <xf numFmtId="176" fontId="16" fillId="7" borderId="13" xfId="28" applyNumberFormat="1" applyFont="1" applyFill="1" applyBorder="1" applyAlignment="1">
      <alignment horizontal="right" vertical="center" wrapText="1"/>
    </xf>
    <xf numFmtId="176" fontId="16" fillId="33" borderId="12" xfId="26" applyNumberFormat="1" applyFont="1" applyFill="1" applyBorder="1" applyAlignment="1">
      <alignment horizontal="right" vertical="center" wrapText="1"/>
    </xf>
    <xf numFmtId="176" fontId="16" fillId="7" borderId="16" xfId="26" applyNumberFormat="1" applyFont="1" applyFill="1" applyBorder="1" applyAlignment="1">
      <alignment vertical="center"/>
    </xf>
    <xf numFmtId="176" fontId="16" fillId="7" borderId="0" xfId="26" applyNumberFormat="1" applyFont="1" applyFill="1" applyAlignment="1">
      <alignment vertical="center"/>
    </xf>
    <xf numFmtId="176" fontId="16" fillId="7" borderId="8" xfId="26" applyNumberFormat="1" applyFont="1" applyFill="1" applyBorder="1" applyAlignment="1">
      <alignment vertical="center"/>
    </xf>
    <xf numFmtId="176" fontId="16" fillId="33" borderId="12" xfId="28" applyNumberFormat="1" applyFont="1" applyFill="1" applyBorder="1" applyAlignment="1">
      <alignment horizontal="right" vertical="center" wrapText="1"/>
    </xf>
    <xf numFmtId="176" fontId="16" fillId="30" borderId="16" xfId="26" applyNumberFormat="1" applyFont="1" applyFill="1" applyBorder="1" applyAlignment="1">
      <alignment vertical="center"/>
    </xf>
    <xf numFmtId="176" fontId="16" fillId="30" borderId="0" xfId="26" applyNumberFormat="1" applyFont="1" applyFill="1" applyAlignment="1">
      <alignment vertical="center"/>
    </xf>
    <xf numFmtId="176" fontId="16" fillId="30" borderId="8" xfId="26" applyNumberFormat="1" applyFont="1" applyFill="1" applyBorder="1" applyAlignment="1">
      <alignment vertical="center"/>
    </xf>
    <xf numFmtId="176" fontId="46" fillId="34" borderId="3" xfId="26" applyNumberFormat="1" applyFont="1" applyFill="1" applyBorder="1" applyAlignment="1">
      <alignment horizontal="right" vertical="center" wrapText="1"/>
    </xf>
    <xf numFmtId="176" fontId="16" fillId="8" borderId="8" xfId="26" applyNumberFormat="1" applyFont="1" applyFill="1" applyBorder="1" applyAlignment="1">
      <alignment horizontal="right" vertical="center" wrapText="1"/>
    </xf>
    <xf numFmtId="176" fontId="16" fillId="8" borderId="0" xfId="26" applyNumberFormat="1" applyFont="1" applyFill="1" applyAlignment="1">
      <alignment horizontal="right" vertical="center" wrapText="1"/>
    </xf>
    <xf numFmtId="176" fontId="16" fillId="8" borderId="16" xfId="26" applyNumberFormat="1" applyFont="1" applyFill="1" applyBorder="1" applyAlignment="1">
      <alignment horizontal="right" vertical="center" wrapText="1"/>
    </xf>
    <xf numFmtId="176" fontId="16" fillId="8" borderId="3" xfId="26" applyNumberFormat="1" applyFont="1" applyFill="1" applyBorder="1" applyAlignment="1">
      <alignment horizontal="right" vertical="center" wrapText="1"/>
    </xf>
    <xf numFmtId="176" fontId="16" fillId="8" borderId="6" xfId="26" applyNumberFormat="1" applyFont="1" applyFill="1" applyBorder="1" applyAlignment="1">
      <alignment horizontal="right" vertical="center" wrapText="1"/>
    </xf>
    <xf numFmtId="176" fontId="16" fillId="32" borderId="14" xfId="26" applyNumberFormat="1" applyFont="1" applyFill="1" applyBorder="1" applyAlignment="1">
      <alignment horizontal="right" vertical="center" wrapText="1"/>
    </xf>
    <xf numFmtId="176" fontId="16" fillId="32" borderId="15" xfId="26" applyNumberFormat="1" applyFont="1" applyFill="1" applyBorder="1" applyAlignment="1">
      <alignment horizontal="right" vertical="center" wrapText="1"/>
    </xf>
    <xf numFmtId="176" fontId="16" fillId="32" borderId="30" xfId="26" applyNumberFormat="1" applyFont="1" applyFill="1" applyBorder="1" applyAlignment="1">
      <alignment horizontal="right" vertical="center" wrapText="1"/>
    </xf>
    <xf numFmtId="176" fontId="16" fillId="32" borderId="28" xfId="26" applyNumberFormat="1" applyFont="1" applyFill="1" applyBorder="1" applyAlignment="1">
      <alignment horizontal="right" vertical="center" wrapText="1"/>
    </xf>
    <xf numFmtId="176" fontId="16" fillId="32" borderId="19" xfId="26" applyNumberFormat="1" applyFont="1" applyFill="1" applyBorder="1" applyAlignment="1">
      <alignment horizontal="right" vertical="center" wrapText="1"/>
    </xf>
    <xf numFmtId="176" fontId="16" fillId="30" borderId="10" xfId="26" applyNumberFormat="1" applyFont="1" applyFill="1" applyBorder="1" applyAlignment="1">
      <alignment horizontal="right" vertical="center" wrapText="1"/>
    </xf>
    <xf numFmtId="176" fontId="16" fillId="30" borderId="11" xfId="26" applyNumberFormat="1" applyFont="1" applyFill="1" applyBorder="1" applyAlignment="1">
      <alignment horizontal="right" vertical="center" wrapText="1"/>
    </xf>
    <xf numFmtId="176" fontId="16" fillId="30" borderId="26" xfId="26" applyNumberFormat="1" applyFont="1" applyFill="1" applyBorder="1" applyAlignment="1">
      <alignment horizontal="right" vertical="center" wrapText="1"/>
    </xf>
    <xf numFmtId="176" fontId="16" fillId="30" borderId="12" xfId="26" applyNumberFormat="1" applyFont="1" applyFill="1" applyBorder="1" applyAlignment="1">
      <alignment horizontal="right" vertical="center" wrapText="1"/>
    </xf>
    <xf numFmtId="176" fontId="16" fillId="30" borderId="13" xfId="26" applyNumberFormat="1" applyFont="1" applyFill="1" applyBorder="1" applyAlignment="1">
      <alignment horizontal="right" vertical="center" wrapText="1"/>
    </xf>
    <xf numFmtId="176" fontId="16" fillId="7" borderId="12" xfId="26" applyNumberFormat="1" applyFont="1" applyFill="1" applyBorder="1" applyAlignment="1">
      <alignment horizontal="right" vertical="center" wrapText="1"/>
    </xf>
    <xf numFmtId="176" fontId="16" fillId="31" borderId="8" xfId="26" applyNumberFormat="1" applyFont="1" applyFill="1" applyBorder="1" applyAlignment="1">
      <alignment horizontal="right" vertical="center" wrapText="1"/>
    </xf>
    <xf numFmtId="176" fontId="16" fillId="31" borderId="16" xfId="26" applyNumberFormat="1" applyFont="1" applyFill="1" applyBorder="1" applyAlignment="1">
      <alignment horizontal="right" vertical="center" wrapText="1"/>
    </xf>
    <xf numFmtId="176" fontId="16" fillId="31" borderId="0" xfId="26" applyNumberFormat="1" applyFont="1" applyFill="1" applyAlignment="1">
      <alignment horizontal="right" vertical="center" wrapText="1"/>
    </xf>
    <xf numFmtId="176" fontId="16" fillId="31" borderId="3" xfId="26" applyNumberFormat="1" applyFont="1" applyFill="1" applyBorder="1" applyAlignment="1">
      <alignment horizontal="right" vertical="center" wrapText="1"/>
    </xf>
    <xf numFmtId="176" fontId="16" fillId="31" borderId="6" xfId="26" applyNumberFormat="1" applyFont="1" applyFill="1" applyBorder="1" applyAlignment="1">
      <alignment horizontal="right" vertical="center" wrapText="1"/>
    </xf>
    <xf numFmtId="0" fontId="7" fillId="0" borderId="4" xfId="0" applyFont="1" applyBorder="1" applyAlignment="1">
      <alignment vertical="center" wrapText="1"/>
    </xf>
    <xf numFmtId="0" fontId="15" fillId="0" borderId="0" xfId="26" applyFont="1" applyAlignment="1">
      <alignment vertical="center"/>
    </xf>
    <xf numFmtId="0" fontId="15" fillId="8" borderId="0" xfId="26" applyFont="1" applyFill="1" applyAlignment="1">
      <alignment horizontal="left" vertical="center" wrapText="1"/>
    </xf>
    <xf numFmtId="164" fontId="0" fillId="0" borderId="0" xfId="0" applyNumberFormat="1">
      <alignment vertical="top"/>
    </xf>
    <xf numFmtId="0" fontId="16" fillId="31" borderId="18" xfId="26" applyFont="1" applyFill="1" applyBorder="1" applyAlignment="1">
      <alignment horizontal="left" vertical="center" wrapText="1"/>
    </xf>
    <xf numFmtId="0" fontId="16" fillId="31" borderId="15" xfId="26" applyFont="1" applyFill="1" applyBorder="1" applyAlignment="1">
      <alignment horizontal="left" vertical="center" wrapText="1"/>
    </xf>
    <xf numFmtId="0" fontId="16" fillId="31" borderId="15" xfId="26" applyFont="1" applyFill="1" applyBorder="1" applyAlignment="1">
      <alignment horizontal="left" vertical="center"/>
    </xf>
    <xf numFmtId="0" fontId="16" fillId="31" borderId="14" xfId="26" applyFont="1" applyFill="1" applyBorder="1" applyAlignment="1">
      <alignment horizontal="right" vertical="center" wrapText="1"/>
    </xf>
    <xf numFmtId="3" fontId="15" fillId="31" borderId="30" xfId="26" applyNumberFormat="1" applyFont="1" applyFill="1" applyBorder="1" applyAlignment="1">
      <alignment horizontal="right" vertical="center" wrapText="1"/>
    </xf>
    <xf numFmtId="3" fontId="15" fillId="31" borderId="15" xfId="26" applyNumberFormat="1" applyFont="1" applyFill="1" applyBorder="1" applyAlignment="1">
      <alignment horizontal="right" vertical="center" wrapText="1"/>
    </xf>
    <xf numFmtId="3" fontId="15" fillId="31" borderId="14" xfId="26" applyNumberFormat="1" applyFont="1" applyFill="1" applyBorder="1" applyAlignment="1">
      <alignment horizontal="right" vertical="center" wrapText="1"/>
    </xf>
    <xf numFmtId="3" fontId="15" fillId="31" borderId="28" xfId="26" applyNumberFormat="1" applyFont="1" applyFill="1" applyBorder="1" applyAlignment="1">
      <alignment horizontal="right" vertical="center" wrapText="1"/>
    </xf>
    <xf numFmtId="3" fontId="15" fillId="31" borderId="19" xfId="26" applyNumberFormat="1" applyFont="1" applyFill="1" applyBorder="1" applyAlignment="1">
      <alignment horizontal="right" vertical="center" wrapText="1"/>
    </xf>
    <xf numFmtId="0" fontId="19" fillId="30" borderId="18" xfId="26" applyFont="1" applyFill="1" applyBorder="1" applyAlignment="1">
      <alignment vertical="center" wrapText="1"/>
    </xf>
    <xf numFmtId="0" fontId="19" fillId="30" borderId="15" xfId="26" applyFont="1" applyFill="1" applyBorder="1" applyAlignment="1">
      <alignment vertical="center" wrapText="1"/>
    </xf>
    <xf numFmtId="0" fontId="16" fillId="30" borderId="15" xfId="26" applyFont="1" applyFill="1" applyBorder="1" applyAlignment="1">
      <alignment vertical="center" wrapText="1"/>
    </xf>
    <xf numFmtId="176" fontId="16" fillId="30" borderId="14" xfId="26" applyNumberFormat="1" applyFont="1" applyFill="1" applyBorder="1" applyAlignment="1">
      <alignment horizontal="right" vertical="center" wrapText="1"/>
    </xf>
    <xf numFmtId="176" fontId="16" fillId="30" borderId="15" xfId="26" applyNumberFormat="1" applyFont="1" applyFill="1" applyBorder="1" applyAlignment="1">
      <alignment horizontal="right" vertical="center" wrapText="1"/>
    </xf>
    <xf numFmtId="176" fontId="16" fillId="30" borderId="30" xfId="26" applyNumberFormat="1" applyFont="1" applyFill="1" applyBorder="1" applyAlignment="1">
      <alignment horizontal="right" vertical="center" wrapText="1"/>
    </xf>
    <xf numFmtId="176" fontId="15" fillId="30" borderId="28" xfId="26" applyNumberFormat="1" applyFont="1" applyFill="1" applyBorder="1" applyAlignment="1">
      <alignment horizontal="right" vertical="center" wrapText="1"/>
    </xf>
    <xf numFmtId="176" fontId="15" fillId="30" borderId="15" xfId="26" applyNumberFormat="1" applyFont="1" applyFill="1" applyBorder="1" applyAlignment="1">
      <alignment horizontal="right" vertical="center" wrapText="1"/>
    </xf>
    <xf numFmtId="176" fontId="15" fillId="30" borderId="19" xfId="26" applyNumberFormat="1" applyFont="1" applyFill="1" applyBorder="1" applyAlignment="1">
      <alignment horizontal="right" vertical="center" wrapText="1"/>
    </xf>
    <xf numFmtId="0" fontId="15" fillId="30" borderId="5" xfId="26" applyFont="1" applyFill="1" applyBorder="1" applyAlignment="1">
      <alignment horizontal="left" vertical="center" wrapText="1"/>
    </xf>
    <xf numFmtId="0" fontId="58" fillId="8" borderId="5" xfId="26" applyFont="1" applyFill="1" applyBorder="1" applyAlignment="1">
      <alignment vertical="center" wrapText="1"/>
    </xf>
    <xf numFmtId="0" fontId="29" fillId="8" borderId="0" xfId="26" applyFont="1" applyFill="1" applyAlignment="1">
      <alignment vertical="center" wrapText="1"/>
    </xf>
    <xf numFmtId="0" fontId="15" fillId="0" borderId="0" xfId="26" applyFont="1" applyAlignment="1">
      <alignment vertical="center" wrapText="1"/>
    </xf>
    <xf numFmtId="9" fontId="15" fillId="0" borderId="0" xfId="26" applyNumberFormat="1" applyFont="1" applyAlignment="1">
      <alignment horizontal="left" vertical="center" wrapText="1"/>
    </xf>
    <xf numFmtId="176" fontId="15" fillId="0" borderId="0" xfId="26" applyNumberFormat="1" applyFont="1" applyAlignment="1">
      <alignment horizontal="right" vertical="center" wrapText="1"/>
    </xf>
    <xf numFmtId="176" fontId="15" fillId="0" borderId="16" xfId="26" applyNumberFormat="1" applyFont="1" applyBorder="1" applyAlignment="1">
      <alignment horizontal="right" vertical="center" wrapText="1"/>
    </xf>
    <xf numFmtId="176" fontId="15" fillId="0" borderId="8" xfId="26" applyNumberFormat="1" applyFont="1" applyBorder="1" applyAlignment="1">
      <alignment horizontal="right" vertical="center" wrapText="1"/>
    </xf>
    <xf numFmtId="176" fontId="15" fillId="0" borderId="3" xfId="26" applyNumberFormat="1" applyFont="1" applyBorder="1" applyAlignment="1">
      <alignment horizontal="right" vertical="center" wrapText="1"/>
    </xf>
    <xf numFmtId="176" fontId="15" fillId="0" borderId="6" xfId="26" applyNumberFormat="1" applyFont="1" applyBorder="1" applyAlignment="1">
      <alignment horizontal="right" vertical="center" wrapText="1"/>
    </xf>
    <xf numFmtId="0" fontId="15" fillId="0" borderId="0" xfId="26" applyFont="1" applyAlignment="1">
      <alignment horizontal="left" vertical="center" wrapText="1"/>
    </xf>
    <xf numFmtId="0" fontId="21" fillId="0" borderId="0" xfId="26" applyFont="1" applyAlignment="1">
      <alignment vertical="center"/>
    </xf>
    <xf numFmtId="0" fontId="16" fillId="0" borderId="0" xfId="26" applyFont="1" applyAlignment="1">
      <alignment vertical="center"/>
    </xf>
    <xf numFmtId="0" fontId="47" fillId="0" borderId="0" xfId="26" applyFont="1" applyAlignment="1">
      <alignment horizontal="left" vertical="center" wrapText="1"/>
    </xf>
    <xf numFmtId="9" fontId="15" fillId="0" borderId="0" xfId="27" applyFont="1" applyFill="1" applyBorder="1" applyAlignment="1">
      <alignment horizontal="left" vertical="center" wrapText="1"/>
    </xf>
    <xf numFmtId="0" fontId="15" fillId="0" borderId="16" xfId="26" applyFont="1" applyBorder="1" applyAlignment="1">
      <alignment horizontal="left" vertical="center" wrapText="1"/>
    </xf>
    <xf numFmtId="0" fontId="15" fillId="0" borderId="5" xfId="26" applyFont="1" applyBorder="1" applyAlignment="1">
      <alignment vertical="center" wrapText="1"/>
    </xf>
    <xf numFmtId="0" fontId="49" fillId="0" borderId="0" xfId="26" applyFont="1" applyAlignment="1">
      <alignment vertical="center"/>
    </xf>
    <xf numFmtId="0" fontId="15" fillId="0" borderId="5" xfId="26" applyFont="1" applyBorder="1" applyAlignment="1">
      <alignment horizontal="left" vertical="center" wrapText="1"/>
    </xf>
    <xf numFmtId="0" fontId="50" fillId="0" borderId="0" xfId="26" applyFont="1" applyAlignment="1">
      <alignment vertical="center"/>
    </xf>
    <xf numFmtId="0" fontId="54" fillId="0" borderId="0" xfId="26" applyFont="1" applyAlignment="1">
      <alignment vertical="center"/>
    </xf>
    <xf numFmtId="10" fontId="16" fillId="4" borderId="0" xfId="16" applyFont="1" applyFill="1" applyAlignment="1">
      <alignment vertical="center"/>
    </xf>
    <xf numFmtId="176" fontId="16" fillId="7" borderId="12" xfId="28" applyNumberFormat="1" applyFont="1" applyFill="1" applyBorder="1" applyAlignment="1">
      <alignment horizontal="right" vertical="center" wrapText="1"/>
    </xf>
    <xf numFmtId="171" fontId="21" fillId="32" borderId="0" xfId="26" applyNumberFormat="1" applyFont="1" applyFill="1" applyAlignment="1">
      <alignment vertical="center"/>
    </xf>
    <xf numFmtId="0" fontId="16" fillId="7" borderId="4" xfId="26" applyFont="1" applyFill="1" applyBorder="1" applyAlignment="1">
      <alignment horizontal="left" vertical="center" wrapText="1"/>
    </xf>
    <xf numFmtId="0" fontId="66" fillId="0" borderId="18" xfId="0" applyFont="1" applyBorder="1" applyAlignment="1">
      <alignment horizontal="left" vertical="center"/>
    </xf>
    <xf numFmtId="0" fontId="66" fillId="0" borderId="19" xfId="0" applyFont="1" applyBorder="1" applyAlignment="1">
      <alignment horizontal="left" vertical="center"/>
    </xf>
    <xf numFmtId="0" fontId="66" fillId="0" borderId="5" xfId="0" applyFont="1" applyBorder="1" applyAlignment="1">
      <alignment horizontal="left" vertical="center"/>
    </xf>
    <xf numFmtId="0" fontId="66" fillId="0" borderId="6" xfId="0" applyFont="1" applyBorder="1" applyAlignment="1">
      <alignment horizontal="left" vertical="center"/>
    </xf>
    <xf numFmtId="0" fontId="66" fillId="0" borderId="7" xfId="0" applyFont="1" applyBorder="1" applyAlignment="1">
      <alignment horizontal="left" vertical="center"/>
    </xf>
    <xf numFmtId="0" fontId="66" fillId="0" borderId="13" xfId="0" applyFont="1" applyBorder="1" applyAlignment="1">
      <alignment horizontal="left" vertical="center"/>
    </xf>
    <xf numFmtId="0" fontId="16" fillId="0" borderId="18" xfId="26" applyFont="1" applyBorder="1" applyAlignment="1">
      <alignment horizontal="center" vertical="center" wrapText="1"/>
    </xf>
    <xf numFmtId="0" fontId="16" fillId="7" borderId="4" xfId="26" applyFont="1" applyFill="1" applyBorder="1" applyAlignment="1">
      <alignment vertical="center" wrapText="1"/>
    </xf>
    <xf numFmtId="0" fontId="16" fillId="31" borderId="4" xfId="26" applyFont="1" applyFill="1" applyBorder="1" applyAlignment="1">
      <alignment horizontal="left" vertical="center" wrapText="1"/>
    </xf>
    <xf numFmtId="0" fontId="15" fillId="32" borderId="4" xfId="26" applyFont="1" applyFill="1" applyBorder="1" applyAlignment="1">
      <alignment horizontal="left" vertical="center" wrapText="1"/>
    </xf>
    <xf numFmtId="0" fontId="47" fillId="32" borderId="4" xfId="26" applyFont="1" applyFill="1" applyBorder="1" applyAlignment="1">
      <alignment horizontal="left" vertical="center" wrapText="1"/>
    </xf>
    <xf numFmtId="0" fontId="16" fillId="33" borderId="4" xfId="26" applyFont="1" applyFill="1" applyBorder="1" applyAlignment="1">
      <alignment horizontal="left" vertical="center" wrapText="1"/>
    </xf>
    <xf numFmtId="0" fontId="16" fillId="33" borderId="4" xfId="26" applyFont="1" applyFill="1" applyBorder="1" applyAlignment="1">
      <alignment vertical="center" wrapText="1"/>
    </xf>
    <xf numFmtId="0" fontId="19" fillId="30" borderId="4" xfId="26" applyFont="1" applyFill="1" applyBorder="1" applyAlignment="1">
      <alignment vertical="center" wrapText="1"/>
    </xf>
    <xf numFmtId="0" fontId="15" fillId="32" borderId="4" xfId="26" applyFont="1" applyFill="1" applyBorder="1" applyAlignment="1">
      <alignment vertical="center" wrapText="1"/>
    </xf>
    <xf numFmtId="0" fontId="15" fillId="30" borderId="4" xfId="26" applyFont="1" applyFill="1" applyBorder="1" applyAlignment="1">
      <alignment horizontal="left" vertical="center" wrapText="1"/>
    </xf>
    <xf numFmtId="0" fontId="15" fillId="0" borderId="4" xfId="26" applyFont="1" applyBorder="1" applyAlignment="1">
      <alignment horizontal="left" vertical="center" wrapText="1"/>
    </xf>
    <xf numFmtId="0" fontId="15" fillId="0" borderId="4" xfId="26" applyFont="1" applyBorder="1" applyAlignment="1">
      <alignment vertical="center" wrapText="1"/>
    </xf>
    <xf numFmtId="0" fontId="19" fillId="7" borderId="4" xfId="26" applyFont="1" applyFill="1" applyBorder="1" applyAlignment="1">
      <alignment vertical="center"/>
    </xf>
    <xf numFmtId="0" fontId="46" fillId="34" borderId="4" xfId="26" applyFont="1" applyFill="1" applyBorder="1" applyAlignment="1">
      <alignment horizontal="left" vertical="center" wrapText="1"/>
    </xf>
    <xf numFmtId="0" fontId="19" fillId="30" borderId="4" xfId="26" applyFont="1" applyFill="1" applyBorder="1" applyAlignment="1">
      <alignment horizontal="left" vertical="center" wrapText="1"/>
    </xf>
    <xf numFmtId="0" fontId="16" fillId="8" borderId="4" xfId="26" applyFont="1" applyFill="1" applyBorder="1" applyAlignment="1">
      <alignment horizontal="left" vertical="center" wrapText="1"/>
    </xf>
    <xf numFmtId="0" fontId="47" fillId="0" borderId="4" xfId="26" applyFont="1" applyBorder="1" applyAlignment="1">
      <alignment horizontal="left" vertical="center" wrapText="1"/>
    </xf>
    <xf numFmtId="0" fontId="46" fillId="34" borderId="4" xfId="0" applyFont="1" applyFill="1" applyBorder="1" applyAlignment="1">
      <alignment vertical="center" wrapText="1"/>
    </xf>
    <xf numFmtId="0" fontId="16" fillId="32" borderId="4" xfId="26" applyFont="1" applyFill="1" applyBorder="1" applyAlignment="1">
      <alignment vertical="center" wrapText="1"/>
    </xf>
    <xf numFmtId="0" fontId="29" fillId="32" borderId="4" xfId="26" applyFont="1" applyFill="1" applyBorder="1" applyAlignment="1">
      <alignment vertical="center" wrapText="1"/>
    </xf>
    <xf numFmtId="0" fontId="21" fillId="32" borderId="4" xfId="26" applyFont="1" applyFill="1" applyBorder="1" applyAlignment="1">
      <alignment vertical="center"/>
    </xf>
    <xf numFmtId="0" fontId="15" fillId="0" borderId="5" xfId="26" applyFont="1" applyBorder="1" applyAlignment="1">
      <alignment horizontal="left" wrapText="1"/>
    </xf>
    <xf numFmtId="0" fontId="19" fillId="7" borderId="4" xfId="26" applyFont="1" applyFill="1" applyBorder="1" applyAlignment="1">
      <alignment horizontal="left" vertical="center"/>
    </xf>
    <xf numFmtId="0" fontId="46" fillId="34" borderId="4" xfId="0" applyFont="1" applyFill="1" applyBorder="1" applyAlignment="1">
      <alignment horizontal="left" vertical="center" wrapText="1"/>
    </xf>
    <xf numFmtId="0" fontId="16" fillId="32" borderId="4" xfId="26" applyFont="1" applyFill="1" applyBorder="1" applyAlignment="1">
      <alignment horizontal="left" vertical="center" wrapText="1"/>
    </xf>
    <xf numFmtId="0" fontId="29" fillId="32" borderId="4" xfId="26" applyFont="1" applyFill="1" applyBorder="1" applyAlignment="1">
      <alignment horizontal="left" vertical="center" wrapText="1"/>
    </xf>
    <xf numFmtId="0" fontId="21" fillId="32" borderId="4" xfId="26" applyFont="1" applyFill="1" applyBorder="1" applyAlignment="1">
      <alignment horizontal="left" vertical="center"/>
    </xf>
    <xf numFmtId="0" fontId="16" fillId="7" borderId="7" xfId="26" applyFont="1" applyFill="1" applyBorder="1" applyAlignment="1">
      <alignment horizontal="left" vertical="center" wrapText="1"/>
    </xf>
    <xf numFmtId="0" fontId="16" fillId="7" borderId="20" xfId="26" applyFont="1" applyFill="1" applyBorder="1" applyAlignment="1">
      <alignment horizontal="center" vertical="center" wrapText="1"/>
    </xf>
    <xf numFmtId="0" fontId="63" fillId="0" borderId="0" xfId="26" applyFont="1" applyAlignment="1">
      <alignment horizontal="center" vertical="center"/>
    </xf>
    <xf numFmtId="0" fontId="63" fillId="0" borderId="0" xfId="26" applyFont="1" applyAlignment="1">
      <alignment horizontal="center" vertical="center" wrapText="1"/>
    </xf>
    <xf numFmtId="0" fontId="64" fillId="32" borderId="0" xfId="26" applyFont="1" applyFill="1" applyAlignment="1">
      <alignment horizontal="center" vertical="center"/>
    </xf>
    <xf numFmtId="0" fontId="23" fillId="0" borderId="0" xfId="26" applyFont="1" applyAlignment="1">
      <alignment horizontal="center" vertical="center"/>
    </xf>
    <xf numFmtId="0" fontId="24" fillId="0" borderId="0" xfId="26" applyFont="1" applyAlignment="1">
      <alignment horizontal="center" vertical="center"/>
    </xf>
    <xf numFmtId="0" fontId="24" fillId="0" borderId="0" xfId="26" applyFont="1" applyAlignment="1">
      <alignment horizontal="center" vertical="center" wrapText="1"/>
    </xf>
    <xf numFmtId="0" fontId="24" fillId="32" borderId="0" xfId="26" applyFont="1" applyFill="1" applyAlignment="1">
      <alignment horizontal="center" vertical="center"/>
    </xf>
    <xf numFmtId="0" fontId="16" fillId="7" borderId="4" xfId="26" applyFont="1" applyFill="1" applyBorder="1" applyAlignment="1">
      <alignment horizontal="left" vertical="center" wrapText="1"/>
    </xf>
    <xf numFmtId="176" fontId="15" fillId="32" borderId="0" xfId="26" applyNumberFormat="1" applyFont="1" applyFill="1" applyAlignment="1">
      <alignment vertical="center"/>
    </xf>
    <xf numFmtId="178" fontId="15" fillId="32" borderId="0" xfId="26" applyNumberFormat="1" applyFont="1" applyFill="1" applyAlignment="1">
      <alignment vertical="center"/>
    </xf>
    <xf numFmtId="44" fontId="15" fillId="32" borderId="0" xfId="331" applyFont="1" applyFill="1" applyAlignment="1">
      <alignment vertical="center"/>
    </xf>
    <xf numFmtId="44" fontId="15" fillId="32" borderId="0" xfId="26" applyNumberFormat="1" applyFont="1" applyFill="1" applyAlignment="1">
      <alignment vertical="center"/>
    </xf>
  </cellXfs>
  <cellStyles count="332">
    <cellStyle name="20% - Accent1 2" xfId="34" xr:uid="{00000000-0005-0000-0000-000000000000}"/>
    <cellStyle name="20% - Accent2 2" xfId="35" xr:uid="{00000000-0005-0000-0000-000001000000}"/>
    <cellStyle name="20% - Accent3 2" xfId="36" xr:uid="{00000000-0005-0000-0000-000002000000}"/>
    <cellStyle name="20% - Accent4 2" xfId="37" xr:uid="{00000000-0005-0000-0000-000003000000}"/>
    <cellStyle name="20% - Accent5 2" xfId="38" xr:uid="{00000000-0005-0000-0000-000004000000}"/>
    <cellStyle name="20% - Accent6 2" xfId="39" xr:uid="{00000000-0005-0000-0000-000005000000}"/>
    <cellStyle name="40% - Accent1 2" xfId="40" xr:uid="{00000000-0005-0000-0000-000006000000}"/>
    <cellStyle name="40% - Accent2 2" xfId="41" xr:uid="{00000000-0005-0000-0000-000007000000}"/>
    <cellStyle name="40% - Accent3 2" xfId="42" xr:uid="{00000000-0005-0000-0000-000008000000}"/>
    <cellStyle name="40% - Accent4 2" xfId="43" xr:uid="{00000000-0005-0000-0000-000009000000}"/>
    <cellStyle name="40% - Accent5" xfId="1" builtinId="47" customBuiltin="1"/>
    <cellStyle name="40% - Accent5 2" xfId="44" xr:uid="{00000000-0005-0000-0000-00000A000000}"/>
    <cellStyle name="40% - Accent6 2" xfId="45" xr:uid="{00000000-0005-0000-0000-00000B000000}"/>
    <cellStyle name="60% - Accent1 2" xfId="46" xr:uid="{00000000-0005-0000-0000-00000D000000}"/>
    <cellStyle name="60% - Accent2 2" xfId="47" xr:uid="{00000000-0005-0000-0000-00000E000000}"/>
    <cellStyle name="60% - Accent3 2" xfId="48" xr:uid="{00000000-0005-0000-0000-00000F000000}"/>
    <cellStyle name="60% - Accent4 2" xfId="49" xr:uid="{00000000-0005-0000-0000-000010000000}"/>
    <cellStyle name="60% - Accent5 2" xfId="50" xr:uid="{00000000-0005-0000-0000-000011000000}"/>
    <cellStyle name="60% - Accent6 2" xfId="51" xr:uid="{00000000-0005-0000-0000-000012000000}"/>
    <cellStyle name="AA-Unhidden" xfId="2" xr:uid="{00000000-0005-0000-0000-000013000000}"/>
    <cellStyle name="Accent1 2" xfId="52" xr:uid="{00000000-0005-0000-0000-000014000000}"/>
    <cellStyle name="Accent2 2" xfId="53" xr:uid="{00000000-0005-0000-0000-000015000000}"/>
    <cellStyle name="Accent3 2" xfId="54" xr:uid="{00000000-0005-0000-0000-000016000000}"/>
    <cellStyle name="Accent4 2" xfId="55" xr:uid="{00000000-0005-0000-0000-000017000000}"/>
    <cellStyle name="Accent5 2" xfId="56" xr:uid="{00000000-0005-0000-0000-000018000000}"/>
    <cellStyle name="Accent6 2" xfId="57" xr:uid="{00000000-0005-0000-0000-000019000000}"/>
    <cellStyle name="Bad 2" xfId="58" xr:uid="{00000000-0005-0000-0000-00001A000000}"/>
    <cellStyle name="BB-Hidden" xfId="3" xr:uid="{00000000-0005-0000-0000-00001B000000}"/>
    <cellStyle name="Calculation 2" xfId="59" xr:uid="{00000000-0005-0000-0000-00001C000000}"/>
    <cellStyle name="Check Cell 2" xfId="60" xr:uid="{00000000-0005-0000-0000-00001D000000}"/>
    <cellStyle name="Comma" xfId="4" builtinId="3"/>
    <cellStyle name="Comma [0] 2" xfId="61" xr:uid="{00000000-0005-0000-0000-00001E000000}"/>
    <cellStyle name="Comma 10" xfId="62" xr:uid="{00000000-0005-0000-0000-00001F000000}"/>
    <cellStyle name="Comma 100" xfId="63" xr:uid="{00000000-0005-0000-0000-000020000000}"/>
    <cellStyle name="Comma 101" xfId="64" xr:uid="{00000000-0005-0000-0000-000021000000}"/>
    <cellStyle name="Comma 102" xfId="65" xr:uid="{00000000-0005-0000-0000-000022000000}"/>
    <cellStyle name="Comma 103" xfId="66" xr:uid="{00000000-0005-0000-0000-000023000000}"/>
    <cellStyle name="Comma 104" xfId="323" xr:uid="{00000000-0005-0000-0000-000024000000}"/>
    <cellStyle name="Comma 105" xfId="327" xr:uid="{00000000-0005-0000-0000-000025000000}"/>
    <cellStyle name="Comma 106" xfId="330" xr:uid="{00000000-0005-0000-0000-000026000000}"/>
    <cellStyle name="Comma 11" xfId="67" xr:uid="{00000000-0005-0000-0000-000027000000}"/>
    <cellStyle name="Comma 12" xfId="68" xr:uid="{00000000-0005-0000-0000-000028000000}"/>
    <cellStyle name="Comma 13" xfId="69" xr:uid="{00000000-0005-0000-0000-000029000000}"/>
    <cellStyle name="Comma 14" xfId="70" xr:uid="{00000000-0005-0000-0000-00002A000000}"/>
    <cellStyle name="Comma 15" xfId="71" xr:uid="{00000000-0005-0000-0000-00002B000000}"/>
    <cellStyle name="Comma 16" xfId="72" xr:uid="{00000000-0005-0000-0000-00002C000000}"/>
    <cellStyle name="Comma 17" xfId="73" xr:uid="{00000000-0005-0000-0000-00002D000000}"/>
    <cellStyle name="Comma 18" xfId="74" xr:uid="{00000000-0005-0000-0000-00002E000000}"/>
    <cellStyle name="Comma 19" xfId="75" xr:uid="{00000000-0005-0000-0000-00002F000000}"/>
    <cellStyle name="Comma 2" xfId="5" xr:uid="{00000000-0005-0000-0000-000030000000}"/>
    <cellStyle name="Comma 2 2" xfId="77" xr:uid="{00000000-0005-0000-0000-000031000000}"/>
    <cellStyle name="Comma 2 3" xfId="78" xr:uid="{00000000-0005-0000-0000-000032000000}"/>
    <cellStyle name="Comma 2 4" xfId="76" xr:uid="{00000000-0005-0000-0000-000033000000}"/>
    <cellStyle name="Comma 20" xfId="79" xr:uid="{00000000-0005-0000-0000-000034000000}"/>
    <cellStyle name="Comma 21" xfId="80" xr:uid="{00000000-0005-0000-0000-000035000000}"/>
    <cellStyle name="Comma 22" xfId="81" xr:uid="{00000000-0005-0000-0000-000036000000}"/>
    <cellStyle name="Comma 23" xfId="82" xr:uid="{00000000-0005-0000-0000-000037000000}"/>
    <cellStyle name="Comma 24" xfId="83" xr:uid="{00000000-0005-0000-0000-000038000000}"/>
    <cellStyle name="Comma 25" xfId="84" xr:uid="{00000000-0005-0000-0000-000039000000}"/>
    <cellStyle name="Comma 26" xfId="85" xr:uid="{00000000-0005-0000-0000-00003A000000}"/>
    <cellStyle name="Comma 27" xfId="86" xr:uid="{00000000-0005-0000-0000-00003B000000}"/>
    <cellStyle name="Comma 28" xfId="87" xr:uid="{00000000-0005-0000-0000-00003C000000}"/>
    <cellStyle name="Comma 29" xfId="88" xr:uid="{00000000-0005-0000-0000-00003D000000}"/>
    <cellStyle name="Comma 3" xfId="30" xr:uid="{00000000-0005-0000-0000-00003E000000}"/>
    <cellStyle name="Comma 3 2" xfId="90" xr:uid="{00000000-0005-0000-0000-00003F000000}"/>
    <cellStyle name="Comma 3 3" xfId="91" xr:uid="{00000000-0005-0000-0000-000040000000}"/>
    <cellStyle name="Comma 3 4" xfId="89" xr:uid="{00000000-0005-0000-0000-000041000000}"/>
    <cellStyle name="Comma 30" xfId="92" xr:uid="{00000000-0005-0000-0000-000042000000}"/>
    <cellStyle name="Comma 31" xfId="93" xr:uid="{00000000-0005-0000-0000-000043000000}"/>
    <cellStyle name="Comma 32" xfId="94" xr:uid="{00000000-0005-0000-0000-000044000000}"/>
    <cellStyle name="Comma 33" xfId="95" xr:uid="{00000000-0005-0000-0000-000045000000}"/>
    <cellStyle name="Comma 34" xfId="96" xr:uid="{00000000-0005-0000-0000-000046000000}"/>
    <cellStyle name="Comma 35" xfId="97" xr:uid="{00000000-0005-0000-0000-000047000000}"/>
    <cellStyle name="Comma 36" xfId="98" xr:uid="{00000000-0005-0000-0000-000048000000}"/>
    <cellStyle name="Comma 37" xfId="99" xr:uid="{00000000-0005-0000-0000-000049000000}"/>
    <cellStyle name="Comma 38" xfId="100" xr:uid="{00000000-0005-0000-0000-00004A000000}"/>
    <cellStyle name="Comma 39" xfId="101" xr:uid="{00000000-0005-0000-0000-00004B000000}"/>
    <cellStyle name="Comma 4" xfId="102" xr:uid="{00000000-0005-0000-0000-00004C000000}"/>
    <cellStyle name="Comma 4 2" xfId="103" xr:uid="{00000000-0005-0000-0000-00004D000000}"/>
    <cellStyle name="Comma 40" xfId="104" xr:uid="{00000000-0005-0000-0000-00004E000000}"/>
    <cellStyle name="Comma 41" xfId="105" xr:uid="{00000000-0005-0000-0000-00004F000000}"/>
    <cellStyle name="Comma 42" xfId="106" xr:uid="{00000000-0005-0000-0000-000050000000}"/>
    <cellStyle name="Comma 43" xfId="107" xr:uid="{00000000-0005-0000-0000-000051000000}"/>
    <cellStyle name="Comma 44" xfId="108" xr:uid="{00000000-0005-0000-0000-000052000000}"/>
    <cellStyle name="Comma 45" xfId="109" xr:uid="{00000000-0005-0000-0000-000053000000}"/>
    <cellStyle name="Comma 46" xfId="110" xr:uid="{00000000-0005-0000-0000-000054000000}"/>
    <cellStyle name="Comma 47" xfId="111" xr:uid="{00000000-0005-0000-0000-000055000000}"/>
    <cellStyle name="Comma 48" xfId="112" xr:uid="{00000000-0005-0000-0000-000056000000}"/>
    <cellStyle name="Comma 49" xfId="113" xr:uid="{00000000-0005-0000-0000-000057000000}"/>
    <cellStyle name="Comma 5" xfId="114" xr:uid="{00000000-0005-0000-0000-000058000000}"/>
    <cellStyle name="Comma 5 2" xfId="115" xr:uid="{00000000-0005-0000-0000-000059000000}"/>
    <cellStyle name="Comma 50" xfId="116" xr:uid="{00000000-0005-0000-0000-00005A000000}"/>
    <cellStyle name="Comma 51" xfId="117" xr:uid="{00000000-0005-0000-0000-00005B000000}"/>
    <cellStyle name="Comma 52" xfId="118" xr:uid="{00000000-0005-0000-0000-00005C000000}"/>
    <cellStyle name="Comma 53" xfId="119" xr:uid="{00000000-0005-0000-0000-00005D000000}"/>
    <cellStyle name="Comma 54" xfId="120" xr:uid="{00000000-0005-0000-0000-00005E000000}"/>
    <cellStyle name="Comma 54 2" xfId="121" xr:uid="{00000000-0005-0000-0000-00005F000000}"/>
    <cellStyle name="Comma 55" xfId="122" xr:uid="{00000000-0005-0000-0000-000060000000}"/>
    <cellStyle name="Comma 56" xfId="123" xr:uid="{00000000-0005-0000-0000-000061000000}"/>
    <cellStyle name="Comma 56 2" xfId="124" xr:uid="{00000000-0005-0000-0000-000062000000}"/>
    <cellStyle name="Comma 56 3" xfId="125" xr:uid="{00000000-0005-0000-0000-000063000000}"/>
    <cellStyle name="Comma 57" xfId="126" xr:uid="{00000000-0005-0000-0000-000064000000}"/>
    <cellStyle name="Comma 58" xfId="127" xr:uid="{00000000-0005-0000-0000-000065000000}"/>
    <cellStyle name="Comma 59" xfId="128" xr:uid="{00000000-0005-0000-0000-000066000000}"/>
    <cellStyle name="Comma 6" xfId="129" xr:uid="{00000000-0005-0000-0000-000067000000}"/>
    <cellStyle name="Comma 60" xfId="130" xr:uid="{00000000-0005-0000-0000-000068000000}"/>
    <cellStyle name="Comma 61" xfId="131" xr:uid="{00000000-0005-0000-0000-000069000000}"/>
    <cellStyle name="Comma 62" xfId="132" xr:uid="{00000000-0005-0000-0000-00006A000000}"/>
    <cellStyle name="Comma 63" xfId="133" xr:uid="{00000000-0005-0000-0000-00006B000000}"/>
    <cellStyle name="Comma 64" xfId="134" xr:uid="{00000000-0005-0000-0000-00006C000000}"/>
    <cellStyle name="Comma 65" xfId="135" xr:uid="{00000000-0005-0000-0000-00006D000000}"/>
    <cellStyle name="Comma 66" xfId="136" xr:uid="{00000000-0005-0000-0000-00006E000000}"/>
    <cellStyle name="Comma 67" xfId="137" xr:uid="{00000000-0005-0000-0000-00006F000000}"/>
    <cellStyle name="Comma 68" xfId="138" xr:uid="{00000000-0005-0000-0000-000070000000}"/>
    <cellStyle name="Comma 69" xfId="139" xr:uid="{00000000-0005-0000-0000-000071000000}"/>
    <cellStyle name="Comma 7" xfId="140" xr:uid="{00000000-0005-0000-0000-000072000000}"/>
    <cellStyle name="Comma 70" xfId="141" xr:uid="{00000000-0005-0000-0000-000073000000}"/>
    <cellStyle name="Comma 71" xfId="142" xr:uid="{00000000-0005-0000-0000-000074000000}"/>
    <cellStyle name="Comma 72" xfId="143" xr:uid="{00000000-0005-0000-0000-000075000000}"/>
    <cellStyle name="Comma 73" xfId="144" xr:uid="{00000000-0005-0000-0000-000076000000}"/>
    <cellStyle name="Comma 74" xfId="145" xr:uid="{00000000-0005-0000-0000-000077000000}"/>
    <cellStyle name="Comma 75" xfId="146" xr:uid="{00000000-0005-0000-0000-000078000000}"/>
    <cellStyle name="Comma 76" xfId="147" xr:uid="{00000000-0005-0000-0000-000079000000}"/>
    <cellStyle name="Comma 77" xfId="148" xr:uid="{00000000-0005-0000-0000-00007A000000}"/>
    <cellStyle name="Comma 78" xfId="149" xr:uid="{00000000-0005-0000-0000-00007B000000}"/>
    <cellStyle name="Comma 79" xfId="150" xr:uid="{00000000-0005-0000-0000-00007C000000}"/>
    <cellStyle name="Comma 8" xfId="151" xr:uid="{00000000-0005-0000-0000-00007D000000}"/>
    <cellStyle name="Comma 80" xfId="152" xr:uid="{00000000-0005-0000-0000-00007E000000}"/>
    <cellStyle name="Comma 81" xfId="153" xr:uid="{00000000-0005-0000-0000-00007F000000}"/>
    <cellStyle name="Comma 82" xfId="154" xr:uid="{00000000-0005-0000-0000-000080000000}"/>
    <cellStyle name="Comma 83" xfId="155" xr:uid="{00000000-0005-0000-0000-000081000000}"/>
    <cellStyle name="Comma 84" xfId="156" xr:uid="{00000000-0005-0000-0000-000082000000}"/>
    <cellStyle name="Comma 85" xfId="157" xr:uid="{00000000-0005-0000-0000-000083000000}"/>
    <cellStyle name="Comma 86" xfId="158" xr:uid="{00000000-0005-0000-0000-000084000000}"/>
    <cellStyle name="Comma 87" xfId="159" xr:uid="{00000000-0005-0000-0000-000085000000}"/>
    <cellStyle name="Comma 88" xfId="160" xr:uid="{00000000-0005-0000-0000-000086000000}"/>
    <cellStyle name="Comma 89" xfId="161" xr:uid="{00000000-0005-0000-0000-000087000000}"/>
    <cellStyle name="Comma 9" xfId="162" xr:uid="{00000000-0005-0000-0000-000088000000}"/>
    <cellStyle name="Comma 90" xfId="163" xr:uid="{00000000-0005-0000-0000-000089000000}"/>
    <cellStyle name="Comma 91" xfId="164" xr:uid="{00000000-0005-0000-0000-00008A000000}"/>
    <cellStyle name="Comma 92" xfId="165" xr:uid="{00000000-0005-0000-0000-00008B000000}"/>
    <cellStyle name="Comma 93" xfId="166" xr:uid="{00000000-0005-0000-0000-00008C000000}"/>
    <cellStyle name="Comma 94" xfId="167" xr:uid="{00000000-0005-0000-0000-00008D000000}"/>
    <cellStyle name="Comma 95" xfId="168" xr:uid="{00000000-0005-0000-0000-00008E000000}"/>
    <cellStyle name="Comma 96" xfId="169" xr:uid="{00000000-0005-0000-0000-00008F000000}"/>
    <cellStyle name="Comma 96 2" xfId="170" xr:uid="{00000000-0005-0000-0000-000090000000}"/>
    <cellStyle name="Comma 96 3" xfId="171" xr:uid="{00000000-0005-0000-0000-000091000000}"/>
    <cellStyle name="Comma 97" xfId="172" xr:uid="{00000000-0005-0000-0000-000092000000}"/>
    <cellStyle name="Comma 98" xfId="173" xr:uid="{00000000-0005-0000-0000-000093000000}"/>
    <cellStyle name="Comma 99" xfId="174" xr:uid="{00000000-0005-0000-0000-000094000000}"/>
    <cellStyle name="Comma0" xfId="6" xr:uid="{00000000-0005-0000-0000-000097000000}"/>
    <cellStyle name="Comma0 - Style2" xfId="7" xr:uid="{00000000-0005-0000-0000-000098000000}"/>
    <cellStyle name="Curren - Style1" xfId="8" xr:uid="{00000000-0005-0000-0000-000099000000}"/>
    <cellStyle name="Curren - Style3" xfId="9" xr:uid="{00000000-0005-0000-0000-00009A000000}"/>
    <cellStyle name="Currency" xfId="331" builtinId="4"/>
    <cellStyle name="Currency [0] 2" xfId="175" xr:uid="{00000000-0005-0000-0000-00009B000000}"/>
    <cellStyle name="Currency 10" xfId="176" xr:uid="{00000000-0005-0000-0000-00009C000000}"/>
    <cellStyle name="Currency 100" xfId="177" xr:uid="{00000000-0005-0000-0000-00009D000000}"/>
    <cellStyle name="Currency 101" xfId="178" xr:uid="{00000000-0005-0000-0000-00009E000000}"/>
    <cellStyle name="Currency 102" xfId="179" xr:uid="{00000000-0005-0000-0000-00009F000000}"/>
    <cellStyle name="Currency 103" xfId="325" xr:uid="{00000000-0005-0000-0000-0000A0000000}"/>
    <cellStyle name="Currency 104" xfId="33" xr:uid="{00000000-0005-0000-0000-0000A1000000}"/>
    <cellStyle name="Currency 105" xfId="329" xr:uid="{00000000-0005-0000-0000-0000A2000000}"/>
    <cellStyle name="Currency 106" xfId="328" xr:uid="{00000000-0005-0000-0000-0000A3000000}"/>
    <cellStyle name="Currency 11" xfId="180" xr:uid="{00000000-0005-0000-0000-0000A4000000}"/>
    <cellStyle name="Currency 12" xfId="181" xr:uid="{00000000-0005-0000-0000-0000A5000000}"/>
    <cellStyle name="Currency 13" xfId="182" xr:uid="{00000000-0005-0000-0000-0000A6000000}"/>
    <cellStyle name="Currency 14" xfId="183" xr:uid="{00000000-0005-0000-0000-0000A7000000}"/>
    <cellStyle name="Currency 15" xfId="184" xr:uid="{00000000-0005-0000-0000-0000A8000000}"/>
    <cellStyle name="Currency 16" xfId="185" xr:uid="{00000000-0005-0000-0000-0000A9000000}"/>
    <cellStyle name="Currency 17" xfId="186" xr:uid="{00000000-0005-0000-0000-0000AA000000}"/>
    <cellStyle name="Currency 18" xfId="187" xr:uid="{00000000-0005-0000-0000-0000AB000000}"/>
    <cellStyle name="Currency 19" xfId="188" xr:uid="{00000000-0005-0000-0000-0000AC000000}"/>
    <cellStyle name="Currency 2" xfId="21" xr:uid="{00000000-0005-0000-0000-0000AD000000}"/>
    <cellStyle name="Currency 2 2" xfId="190" xr:uid="{00000000-0005-0000-0000-0000AE000000}"/>
    <cellStyle name="Currency 2 3" xfId="191" xr:uid="{00000000-0005-0000-0000-0000AF000000}"/>
    <cellStyle name="Currency 2 4" xfId="189" xr:uid="{00000000-0005-0000-0000-0000B0000000}"/>
    <cellStyle name="Currency 20" xfId="192" xr:uid="{00000000-0005-0000-0000-0000B1000000}"/>
    <cellStyle name="Currency 21" xfId="193" xr:uid="{00000000-0005-0000-0000-0000B2000000}"/>
    <cellStyle name="Currency 22" xfId="194" xr:uid="{00000000-0005-0000-0000-0000B3000000}"/>
    <cellStyle name="Currency 23" xfId="195" xr:uid="{00000000-0005-0000-0000-0000B4000000}"/>
    <cellStyle name="Currency 24" xfId="196" xr:uid="{00000000-0005-0000-0000-0000B5000000}"/>
    <cellStyle name="Currency 25" xfId="197" xr:uid="{00000000-0005-0000-0000-0000B6000000}"/>
    <cellStyle name="Currency 26" xfId="198" xr:uid="{00000000-0005-0000-0000-0000B7000000}"/>
    <cellStyle name="Currency 27" xfId="199" xr:uid="{00000000-0005-0000-0000-0000B8000000}"/>
    <cellStyle name="Currency 28" xfId="200" xr:uid="{00000000-0005-0000-0000-0000B9000000}"/>
    <cellStyle name="Currency 29" xfId="201" xr:uid="{00000000-0005-0000-0000-0000BA000000}"/>
    <cellStyle name="Currency 3" xfId="28" xr:uid="{00000000-0005-0000-0000-0000BB000000}"/>
    <cellStyle name="Currency 3 2" xfId="202" xr:uid="{00000000-0005-0000-0000-0000BC000000}"/>
    <cellStyle name="Currency 30" xfId="203" xr:uid="{00000000-0005-0000-0000-0000BD000000}"/>
    <cellStyle name="Currency 31" xfId="204" xr:uid="{00000000-0005-0000-0000-0000BE000000}"/>
    <cellStyle name="Currency 32" xfId="205" xr:uid="{00000000-0005-0000-0000-0000BF000000}"/>
    <cellStyle name="Currency 33" xfId="206" xr:uid="{00000000-0005-0000-0000-0000C0000000}"/>
    <cellStyle name="Currency 34" xfId="207" xr:uid="{00000000-0005-0000-0000-0000C1000000}"/>
    <cellStyle name="Currency 35" xfId="208" xr:uid="{00000000-0005-0000-0000-0000C2000000}"/>
    <cellStyle name="Currency 36" xfId="209" xr:uid="{00000000-0005-0000-0000-0000C3000000}"/>
    <cellStyle name="Currency 37" xfId="210" xr:uid="{00000000-0005-0000-0000-0000C4000000}"/>
    <cellStyle name="Currency 38" xfId="211" xr:uid="{00000000-0005-0000-0000-0000C5000000}"/>
    <cellStyle name="Currency 39" xfId="212" xr:uid="{00000000-0005-0000-0000-0000C6000000}"/>
    <cellStyle name="Currency 4" xfId="213" xr:uid="{00000000-0005-0000-0000-0000C7000000}"/>
    <cellStyle name="Currency 4 2" xfId="214" xr:uid="{00000000-0005-0000-0000-0000C8000000}"/>
    <cellStyle name="Currency 4 3" xfId="215" xr:uid="{00000000-0005-0000-0000-0000C9000000}"/>
    <cellStyle name="Currency 4 4" xfId="216" xr:uid="{00000000-0005-0000-0000-0000CA000000}"/>
    <cellStyle name="Currency 40" xfId="217" xr:uid="{00000000-0005-0000-0000-0000CB000000}"/>
    <cellStyle name="Currency 41" xfId="218" xr:uid="{00000000-0005-0000-0000-0000CC000000}"/>
    <cellStyle name="Currency 42" xfId="219" xr:uid="{00000000-0005-0000-0000-0000CD000000}"/>
    <cellStyle name="Currency 43" xfId="220" xr:uid="{00000000-0005-0000-0000-0000CE000000}"/>
    <cellStyle name="Currency 44" xfId="221" xr:uid="{00000000-0005-0000-0000-0000CF000000}"/>
    <cellStyle name="Currency 45" xfId="222" xr:uid="{00000000-0005-0000-0000-0000D0000000}"/>
    <cellStyle name="Currency 46" xfId="223" xr:uid="{00000000-0005-0000-0000-0000D1000000}"/>
    <cellStyle name="Currency 47" xfId="224" xr:uid="{00000000-0005-0000-0000-0000D2000000}"/>
    <cellStyle name="Currency 48" xfId="225" xr:uid="{00000000-0005-0000-0000-0000D3000000}"/>
    <cellStyle name="Currency 49" xfId="226" xr:uid="{00000000-0005-0000-0000-0000D4000000}"/>
    <cellStyle name="Currency 5" xfId="227" xr:uid="{00000000-0005-0000-0000-0000D5000000}"/>
    <cellStyle name="Currency 5 2" xfId="228" xr:uid="{00000000-0005-0000-0000-0000D6000000}"/>
    <cellStyle name="Currency 50" xfId="229" xr:uid="{00000000-0005-0000-0000-0000D7000000}"/>
    <cellStyle name="Currency 51" xfId="230" xr:uid="{00000000-0005-0000-0000-0000D8000000}"/>
    <cellStyle name="Currency 52" xfId="231" xr:uid="{00000000-0005-0000-0000-0000D9000000}"/>
    <cellStyle name="Currency 53" xfId="232" xr:uid="{00000000-0005-0000-0000-0000DA000000}"/>
    <cellStyle name="Currency 54" xfId="233" xr:uid="{00000000-0005-0000-0000-0000DB000000}"/>
    <cellStyle name="Currency 54 2" xfId="234" xr:uid="{00000000-0005-0000-0000-0000DC000000}"/>
    <cellStyle name="Currency 55" xfId="235" xr:uid="{00000000-0005-0000-0000-0000DD000000}"/>
    <cellStyle name="Currency 55 2" xfId="236" xr:uid="{00000000-0005-0000-0000-0000DE000000}"/>
    <cellStyle name="Currency 56" xfId="237" xr:uid="{00000000-0005-0000-0000-0000DF000000}"/>
    <cellStyle name="Currency 57" xfId="238" xr:uid="{00000000-0005-0000-0000-0000E0000000}"/>
    <cellStyle name="Currency 58" xfId="239" xr:uid="{00000000-0005-0000-0000-0000E1000000}"/>
    <cellStyle name="Currency 59" xfId="240" xr:uid="{00000000-0005-0000-0000-0000E2000000}"/>
    <cellStyle name="Currency 6" xfId="241" xr:uid="{00000000-0005-0000-0000-0000E3000000}"/>
    <cellStyle name="Currency 6 2" xfId="242" xr:uid="{00000000-0005-0000-0000-0000E4000000}"/>
    <cellStyle name="Currency 60" xfId="243" xr:uid="{00000000-0005-0000-0000-0000E5000000}"/>
    <cellStyle name="Currency 61" xfId="244" xr:uid="{00000000-0005-0000-0000-0000E6000000}"/>
    <cellStyle name="Currency 62" xfId="245" xr:uid="{00000000-0005-0000-0000-0000E7000000}"/>
    <cellStyle name="Currency 63" xfId="246" xr:uid="{00000000-0005-0000-0000-0000E8000000}"/>
    <cellStyle name="Currency 64" xfId="247" xr:uid="{00000000-0005-0000-0000-0000E9000000}"/>
    <cellStyle name="Currency 65" xfId="248" xr:uid="{00000000-0005-0000-0000-0000EA000000}"/>
    <cellStyle name="Currency 66" xfId="249" xr:uid="{00000000-0005-0000-0000-0000EB000000}"/>
    <cellStyle name="Currency 67" xfId="250" xr:uid="{00000000-0005-0000-0000-0000EC000000}"/>
    <cellStyle name="Currency 68" xfId="251" xr:uid="{00000000-0005-0000-0000-0000ED000000}"/>
    <cellStyle name="Currency 69" xfId="252" xr:uid="{00000000-0005-0000-0000-0000EE000000}"/>
    <cellStyle name="Currency 7" xfId="253" xr:uid="{00000000-0005-0000-0000-0000EF000000}"/>
    <cellStyle name="Currency 70" xfId="254" xr:uid="{00000000-0005-0000-0000-0000F0000000}"/>
    <cellStyle name="Currency 71" xfId="255" xr:uid="{00000000-0005-0000-0000-0000F1000000}"/>
    <cellStyle name="Currency 72" xfId="256" xr:uid="{00000000-0005-0000-0000-0000F2000000}"/>
    <cellStyle name="Currency 73" xfId="257" xr:uid="{00000000-0005-0000-0000-0000F3000000}"/>
    <cellStyle name="Currency 74" xfId="258" xr:uid="{00000000-0005-0000-0000-0000F4000000}"/>
    <cellStyle name="Currency 75" xfId="259" xr:uid="{00000000-0005-0000-0000-0000F5000000}"/>
    <cellStyle name="Currency 76" xfId="260" xr:uid="{00000000-0005-0000-0000-0000F6000000}"/>
    <cellStyle name="Currency 77" xfId="261" xr:uid="{00000000-0005-0000-0000-0000F7000000}"/>
    <cellStyle name="Currency 78" xfId="262" xr:uid="{00000000-0005-0000-0000-0000F8000000}"/>
    <cellStyle name="Currency 79" xfId="263" xr:uid="{00000000-0005-0000-0000-0000F9000000}"/>
    <cellStyle name="Currency 8" xfId="264" xr:uid="{00000000-0005-0000-0000-0000FA000000}"/>
    <cellStyle name="Currency 80" xfId="265" xr:uid="{00000000-0005-0000-0000-0000FB000000}"/>
    <cellStyle name="Currency 81" xfId="266" xr:uid="{00000000-0005-0000-0000-0000FC000000}"/>
    <cellStyle name="Currency 82" xfId="267" xr:uid="{00000000-0005-0000-0000-0000FD000000}"/>
    <cellStyle name="Currency 83" xfId="268" xr:uid="{00000000-0005-0000-0000-0000FE000000}"/>
    <cellStyle name="Currency 84" xfId="269" xr:uid="{00000000-0005-0000-0000-0000FF000000}"/>
    <cellStyle name="Currency 85" xfId="270" xr:uid="{00000000-0005-0000-0000-000000010000}"/>
    <cellStyle name="Currency 86" xfId="271" xr:uid="{00000000-0005-0000-0000-000001010000}"/>
    <cellStyle name="Currency 87" xfId="272" xr:uid="{00000000-0005-0000-0000-000002010000}"/>
    <cellStyle name="Currency 88" xfId="273" xr:uid="{00000000-0005-0000-0000-000003010000}"/>
    <cellStyle name="Currency 89" xfId="274" xr:uid="{00000000-0005-0000-0000-000004010000}"/>
    <cellStyle name="Currency 9" xfId="275" xr:uid="{00000000-0005-0000-0000-000005010000}"/>
    <cellStyle name="Currency 90" xfId="276" xr:uid="{00000000-0005-0000-0000-000006010000}"/>
    <cellStyle name="Currency 91" xfId="277" xr:uid="{00000000-0005-0000-0000-000007010000}"/>
    <cellStyle name="Currency 92" xfId="278" xr:uid="{00000000-0005-0000-0000-000008010000}"/>
    <cellStyle name="Currency 93" xfId="279" xr:uid="{00000000-0005-0000-0000-000009010000}"/>
    <cellStyle name="Currency 94" xfId="280" xr:uid="{00000000-0005-0000-0000-00000A010000}"/>
    <cellStyle name="Currency 95" xfId="281" xr:uid="{00000000-0005-0000-0000-00000B010000}"/>
    <cellStyle name="Currency 95 2" xfId="282" xr:uid="{00000000-0005-0000-0000-00000C010000}"/>
    <cellStyle name="Currency 96" xfId="283" xr:uid="{00000000-0005-0000-0000-00000D010000}"/>
    <cellStyle name="Currency 97" xfId="284" xr:uid="{00000000-0005-0000-0000-00000E010000}"/>
    <cellStyle name="Currency 98" xfId="285" xr:uid="{00000000-0005-0000-0000-00000F010000}"/>
    <cellStyle name="Currency 99" xfId="286" xr:uid="{00000000-0005-0000-0000-000010010000}"/>
    <cellStyle name="Currency0" xfId="10" xr:uid="{00000000-0005-0000-0000-000013010000}"/>
    <cellStyle name="Date" xfId="11" xr:uid="{00000000-0005-0000-0000-000014010000}"/>
    <cellStyle name="Euro" xfId="24" xr:uid="{00000000-0005-0000-0000-000017010000}"/>
    <cellStyle name="Explanatory Text 2" xfId="287" xr:uid="{00000000-0005-0000-0000-000018010000}"/>
    <cellStyle name="Fixed" xfId="12" xr:uid="{00000000-0005-0000-0000-000019010000}"/>
    <cellStyle name="Good 2" xfId="288" xr:uid="{00000000-0005-0000-0000-00001A010000}"/>
    <cellStyle name="Heading 1" xfId="13" builtinId="16" customBuiltin="1"/>
    <cellStyle name="Heading 1 2" xfId="289" xr:uid="{00000000-0005-0000-0000-00001B010000}"/>
    <cellStyle name="Heading 2" xfId="14" builtinId="17" customBuiltin="1"/>
    <cellStyle name="Heading 2 2" xfId="290" xr:uid="{00000000-0005-0000-0000-00001C010000}"/>
    <cellStyle name="Heading 3 2" xfId="291" xr:uid="{00000000-0005-0000-0000-00001D010000}"/>
    <cellStyle name="Heading 4 2" xfId="292" xr:uid="{00000000-0005-0000-0000-00001E010000}"/>
    <cellStyle name="Input" xfId="20" builtinId="20" customBuiltin="1"/>
    <cellStyle name="Input 2" xfId="293" xr:uid="{00000000-0005-0000-0000-000020010000}"/>
    <cellStyle name="Linked Cell 2" xfId="294" xr:uid="{00000000-0005-0000-0000-000021010000}"/>
    <cellStyle name="Millares 2" xfId="295" xr:uid="{00000000-0005-0000-0000-000023010000}"/>
    <cellStyle name="Millares 3" xfId="296" xr:uid="{00000000-0005-0000-0000-000024010000}"/>
    <cellStyle name="Neutral 2" xfId="297" xr:uid="{00000000-0005-0000-0000-000026010000}"/>
    <cellStyle name="Normal" xfId="0" builtinId="0"/>
    <cellStyle name="Normal 2" xfId="15" xr:uid="{00000000-0005-0000-0000-000028010000}"/>
    <cellStyle name="Normal 2 2" xfId="299" xr:uid="{00000000-0005-0000-0000-000029010000}"/>
    <cellStyle name="Normal 2 2 2" xfId="326" xr:uid="{00000000-0005-0000-0000-00002A010000}"/>
    <cellStyle name="Normal 2 3" xfId="300" xr:uid="{00000000-0005-0000-0000-00002B010000}"/>
    <cellStyle name="Normal 2 4" xfId="301" xr:uid="{00000000-0005-0000-0000-00002C010000}"/>
    <cellStyle name="Normal 2 5" xfId="298" xr:uid="{00000000-0005-0000-0000-00002D010000}"/>
    <cellStyle name="Normal 3" xfId="25" xr:uid="{00000000-0005-0000-0000-00002E010000}"/>
    <cellStyle name="Normal 3 2" xfId="303" xr:uid="{00000000-0005-0000-0000-00002F010000}"/>
    <cellStyle name="Normal 3 3" xfId="302" xr:uid="{00000000-0005-0000-0000-000030010000}"/>
    <cellStyle name="Normal 4" xfId="26" xr:uid="{00000000-0005-0000-0000-000031010000}"/>
    <cellStyle name="Normal 4 2" xfId="305" xr:uid="{00000000-0005-0000-0000-000032010000}"/>
    <cellStyle name="Normal 4 3" xfId="304" xr:uid="{00000000-0005-0000-0000-000033010000}"/>
    <cellStyle name="Normal 5" xfId="306" xr:uid="{00000000-0005-0000-0000-000034010000}"/>
    <cellStyle name="Normal 6" xfId="307" xr:uid="{00000000-0005-0000-0000-000035010000}"/>
    <cellStyle name="Normal 7" xfId="31" xr:uid="{00000000-0005-0000-0000-000036010000}"/>
    <cellStyle name="Normal 8" xfId="29" xr:uid="{00000000-0005-0000-0000-000037010000}"/>
    <cellStyle name="Normal 9" xfId="32" xr:uid="{00000000-0005-0000-0000-000038010000}"/>
    <cellStyle name="Note 2" xfId="308" xr:uid="{00000000-0005-0000-0000-00003D010000}"/>
    <cellStyle name="Output 2" xfId="309" xr:uid="{00000000-0005-0000-0000-00003E010000}"/>
    <cellStyle name="Percent" xfId="16" builtinId="5"/>
    <cellStyle name="Percent 2" xfId="17" xr:uid="{00000000-0005-0000-0000-00003F010000}"/>
    <cellStyle name="Percent 2 2" xfId="311" xr:uid="{00000000-0005-0000-0000-000040010000}"/>
    <cellStyle name="Percent 2 3" xfId="312" xr:uid="{00000000-0005-0000-0000-000041010000}"/>
    <cellStyle name="Percent 2 4" xfId="310" xr:uid="{00000000-0005-0000-0000-000042010000}"/>
    <cellStyle name="Percent 3" xfId="22" xr:uid="{00000000-0005-0000-0000-000043010000}"/>
    <cellStyle name="Percent 3 2" xfId="314" xr:uid="{00000000-0005-0000-0000-000044010000}"/>
    <cellStyle name="Percent 3 3" xfId="313" xr:uid="{00000000-0005-0000-0000-000045010000}"/>
    <cellStyle name="Percent 4" xfId="23" xr:uid="{00000000-0005-0000-0000-000046010000}"/>
    <cellStyle name="Percent 4 2" xfId="316" xr:uid="{00000000-0005-0000-0000-000047010000}"/>
    <cellStyle name="Percent 4 3" xfId="315" xr:uid="{00000000-0005-0000-0000-000048010000}"/>
    <cellStyle name="Percent 5" xfId="27" xr:uid="{00000000-0005-0000-0000-000049010000}"/>
    <cellStyle name="Percent 6" xfId="317" xr:uid="{00000000-0005-0000-0000-00004A010000}"/>
    <cellStyle name="Percent 6 2" xfId="318" xr:uid="{00000000-0005-0000-0000-00004B010000}"/>
    <cellStyle name="Percent 6 3" xfId="319" xr:uid="{00000000-0005-0000-0000-00004C010000}"/>
    <cellStyle name="Percent 7" xfId="324" xr:uid="{00000000-0005-0000-0000-00004D010000}"/>
    <cellStyle name="Style 1" xfId="18" xr:uid="{00000000-0005-0000-0000-00004F010000}"/>
    <cellStyle name="Title 2" xfId="320" xr:uid="{00000000-0005-0000-0000-000050010000}"/>
    <cellStyle name="Total" xfId="19" builtinId="25" customBuiltin="1"/>
    <cellStyle name="Total 2" xfId="321" xr:uid="{00000000-0005-0000-0000-000053010000}"/>
    <cellStyle name="Warning Text 2" xfId="322" xr:uid="{00000000-0005-0000-0000-000054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70A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Alejandro Hernández" id="{637D64E2-985E-4E23-BD45-4339DE6B452F}" userId="S::chernandez@partners.net::2382d6fe-7e16-4e4f-8742-e10421c5630a" providerId="AD"/>
</personList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Times New Roman-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5" dT="2025-09-18T21:22:32.15" personId="{637D64E2-985E-4E23-BD45-4339DE6B452F}" id="{805B4E98-04D2-4B52-9168-240B0FFD293D}">
    <text>Translation services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0.59999389629810485"/>
    <pageSetUpPr fitToPage="1"/>
  </sheetPr>
  <dimension ref="A3:G22"/>
  <sheetViews>
    <sheetView topLeftCell="A2" zoomScaleNormal="100" workbookViewId="0">
      <selection activeCell="A12" sqref="A12:G12"/>
    </sheetView>
  </sheetViews>
  <sheetFormatPr defaultColWidth="8.71875" defaultRowHeight="12.6" x14ac:dyDescent="0.45"/>
  <cols>
    <col min="1" max="1" width="41" style="3" bestFit="1" customWidth="1"/>
    <col min="2" max="2" width="13" style="3" bestFit="1" customWidth="1"/>
    <col min="3" max="4" width="12.83203125" style="3" bestFit="1" customWidth="1"/>
    <col min="5" max="5" width="13.71875" style="3" bestFit="1" customWidth="1"/>
    <col min="6" max="6" width="13.5546875" style="3" customWidth="1"/>
    <col min="7" max="7" width="24.44140625" style="3" customWidth="1"/>
    <col min="8" max="16384" width="8.71875" style="3"/>
  </cols>
  <sheetData>
    <row r="3" spans="1:7" ht="15" x14ac:dyDescent="0.45">
      <c r="A3" s="423" t="s">
        <v>0</v>
      </c>
      <c r="B3" s="423"/>
      <c r="C3" s="423"/>
      <c r="D3" s="423"/>
      <c r="E3" s="423"/>
      <c r="F3" s="423"/>
      <c r="G3" s="423"/>
    </row>
    <row r="4" spans="1:7" ht="15.3" x14ac:dyDescent="0.45">
      <c r="A4" s="424" t="s">
        <v>1</v>
      </c>
      <c r="B4" s="424"/>
      <c r="C4" s="424"/>
      <c r="D4" s="424"/>
      <c r="E4" s="424"/>
      <c r="F4" s="424"/>
      <c r="G4" s="424"/>
    </row>
    <row r="5" spans="1:7" ht="15.3" x14ac:dyDescent="0.45">
      <c r="A5" s="425" t="str">
        <f>'POA General Budget'!D3</f>
        <v>Leveling the Field for American Workers in U.S.-Mexico Trade</v>
      </c>
      <c r="B5" s="425"/>
      <c r="C5" s="425"/>
      <c r="D5" s="425"/>
      <c r="E5" s="425"/>
      <c r="F5" s="425"/>
      <c r="G5" s="425"/>
    </row>
    <row r="6" spans="1:7" ht="15.3" x14ac:dyDescent="0.45">
      <c r="A6" s="424" t="s">
        <v>2</v>
      </c>
      <c r="B6" s="424"/>
      <c r="C6" s="424"/>
      <c r="D6" s="424"/>
      <c r="E6" s="424"/>
      <c r="F6" s="424"/>
      <c r="G6" s="424"/>
    </row>
    <row r="7" spans="1:7" ht="12.9" thickBot="1" x14ac:dyDescent="0.5">
      <c r="A7" s="4"/>
      <c r="B7" s="4"/>
      <c r="C7" s="4"/>
      <c r="D7" s="4"/>
      <c r="E7" s="5"/>
      <c r="F7" s="5"/>
    </row>
    <row r="8" spans="1:7" ht="30.3" thickBot="1" x14ac:dyDescent="0.55000000000000004">
      <c r="A8" s="6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19" t="s">
        <v>9</v>
      </c>
    </row>
    <row r="9" spans="1:7" ht="15" x14ac:dyDescent="0.5">
      <c r="A9" s="8"/>
      <c r="B9" s="9"/>
      <c r="C9" s="9"/>
      <c r="D9" s="10"/>
      <c r="E9" s="10"/>
      <c r="F9" s="9"/>
      <c r="G9" s="11"/>
    </row>
    <row r="10" spans="1:7" ht="15.3" x14ac:dyDescent="0.55000000000000004">
      <c r="A10" s="12" t="s">
        <v>10</v>
      </c>
      <c r="B10" s="102">
        <f>+'POA General Budget'!J24</f>
        <v>475499.97200000001</v>
      </c>
      <c r="C10" s="102">
        <f>+'POA General Budget'!L24</f>
        <v>580649.9706</v>
      </c>
      <c r="D10" s="102">
        <f>+'POA General Budget'!N24</f>
        <v>609682.4691300001</v>
      </c>
      <c r="E10" s="102">
        <f>+'POA General Budget'!P24</f>
        <v>640166.59258649999</v>
      </c>
      <c r="F10" s="102">
        <f>+'POA General Budget'!R24</f>
        <v>263157.08610791247</v>
      </c>
      <c r="G10" s="103">
        <f t="shared" ref="G10:G17" si="0">SUM(B10:F10)</f>
        <v>2569156.0904244124</v>
      </c>
    </row>
    <row r="11" spans="1:7" ht="15.3" x14ac:dyDescent="0.55000000000000004">
      <c r="A11" s="12" t="s">
        <v>11</v>
      </c>
      <c r="B11" s="102">
        <f>+'POA General Budget'!J28</f>
        <v>172270.79342840001</v>
      </c>
      <c r="C11" s="102">
        <f>+'POA General Budget'!L28</f>
        <v>214654.95809982001</v>
      </c>
      <c r="D11" s="102">
        <f>+'POA General Budget'!N28</f>
        <v>225387.70600481099</v>
      </c>
      <c r="E11" s="102">
        <f>+'POA General Budget'!P28</f>
        <v>236657.09130505152</v>
      </c>
      <c r="F11" s="102">
        <f>+'POA General Budget'!R28</f>
        <v>93978.867310152069</v>
      </c>
      <c r="G11" s="103">
        <f t="shared" si="0"/>
        <v>942949.41614823451</v>
      </c>
    </row>
    <row r="12" spans="1:7" ht="15.3" x14ac:dyDescent="0.55000000000000004">
      <c r="A12" s="12" t="s">
        <v>12</v>
      </c>
      <c r="B12" s="102">
        <f>+'POA General Budget'!J77</f>
        <v>62289.57287644787</v>
      </c>
      <c r="C12" s="102">
        <f>+'POA General Budget'!L77</f>
        <v>71787.780759330752</v>
      </c>
      <c r="D12" s="102">
        <f>+'POA General Budget'!N77</f>
        <v>64240.729876962672</v>
      </c>
      <c r="E12" s="102">
        <f>+'POA General Budget'!P77</f>
        <v>63348.5727396242</v>
      </c>
      <c r="F12" s="102">
        <f>+'POA General Budget'!R77</f>
        <v>10261.050754352433</v>
      </c>
      <c r="G12" s="103">
        <f t="shared" si="0"/>
        <v>271927.70700671792</v>
      </c>
    </row>
    <row r="13" spans="1:7" ht="15.3" x14ac:dyDescent="0.55000000000000004">
      <c r="A13" s="12" t="s">
        <v>13</v>
      </c>
      <c r="B13" s="102">
        <f>+'POA General Budget'!J80</f>
        <v>0</v>
      </c>
      <c r="C13" s="102">
        <f>+'POA General Budget'!L80</f>
        <v>0</v>
      </c>
      <c r="D13" s="102">
        <f>+'POA General Budget'!N80</f>
        <v>0</v>
      </c>
      <c r="E13" s="102">
        <f>+'POA General Budget'!P80</f>
        <v>0</v>
      </c>
      <c r="F13" s="102">
        <f>+'POA General Budget'!R80</f>
        <v>0</v>
      </c>
      <c r="G13" s="103">
        <f t="shared" si="0"/>
        <v>0</v>
      </c>
    </row>
    <row r="14" spans="1:7" ht="15.3" x14ac:dyDescent="0.55000000000000004">
      <c r="A14" s="12" t="s">
        <v>14</v>
      </c>
      <c r="B14" s="102">
        <f>+'POA General Budget'!J85</f>
        <v>10202</v>
      </c>
      <c r="C14" s="102">
        <f>+'POA General Budget'!L85</f>
        <v>1872</v>
      </c>
      <c r="D14" s="102">
        <f>+'POA General Budget'!N85</f>
        <v>1946.88</v>
      </c>
      <c r="E14" s="102">
        <f>+'POA General Budget'!P85</f>
        <v>2024.7552000000003</v>
      </c>
      <c r="F14" s="102">
        <f>+'POA General Budget'!R85</f>
        <v>1052.8727040000001</v>
      </c>
      <c r="G14" s="103">
        <f t="shared" si="0"/>
        <v>17098.507904000002</v>
      </c>
    </row>
    <row r="15" spans="1:7" ht="15.3" x14ac:dyDescent="0.55000000000000004">
      <c r="A15" s="12" t="s">
        <v>15</v>
      </c>
      <c r="B15" s="102">
        <f>+'POA General Budget'!J96</f>
        <v>415327.55929999996</v>
      </c>
      <c r="C15" s="102">
        <f>+'POA General Budget'!L96</f>
        <v>1345025.8416036293</v>
      </c>
      <c r="D15" s="102">
        <f>+'POA General Budget'!N96</f>
        <v>1211382.7118223747</v>
      </c>
      <c r="E15" s="102">
        <f>+'POA General Budget'!P96</f>
        <v>856735.70250371774</v>
      </c>
      <c r="F15" s="102">
        <f>+'POA General Budget'!R96</f>
        <v>45528.727039999998</v>
      </c>
      <c r="G15" s="103">
        <f t="shared" si="0"/>
        <v>3874000.5422697212</v>
      </c>
    </row>
    <row r="16" spans="1:7" ht="15.3" x14ac:dyDescent="0.55000000000000004">
      <c r="A16" s="12" t="s">
        <v>16</v>
      </c>
      <c r="B16" s="102">
        <f>+'POA General Budget'!J99</f>
        <v>0</v>
      </c>
      <c r="C16" s="102">
        <f>+'POA General Budget'!L99</f>
        <v>0</v>
      </c>
      <c r="D16" s="102">
        <f>+'POA General Budget'!N99</f>
        <v>0</v>
      </c>
      <c r="E16" s="102">
        <f>+'POA General Budget'!P99</f>
        <v>0</v>
      </c>
      <c r="F16" s="102">
        <f>+'POA General Budget'!R99</f>
        <v>0</v>
      </c>
      <c r="G16" s="103">
        <f t="shared" si="0"/>
        <v>0</v>
      </c>
    </row>
    <row r="17" spans="1:7" ht="15.3" x14ac:dyDescent="0.55000000000000004">
      <c r="A17" s="12" t="s">
        <v>17</v>
      </c>
      <c r="B17" s="102">
        <f>+'POA General Budget'!J158</f>
        <v>152676</v>
      </c>
      <c r="C17" s="102">
        <f>+'POA General Budget'!L158</f>
        <v>364098.64000000007</v>
      </c>
      <c r="D17" s="102">
        <f>+'POA General Budget'!N158</f>
        <v>347427.12959999999</v>
      </c>
      <c r="E17" s="102">
        <f>+'POA General Budget'!P158</f>
        <v>352225.46278400003</v>
      </c>
      <c r="F17" s="102">
        <f>+'POA General Budget'!R158</f>
        <v>42603.909038080012</v>
      </c>
      <c r="G17" s="103">
        <f t="shared" si="0"/>
        <v>1259031.1414220799</v>
      </c>
    </row>
    <row r="18" spans="1:7" ht="15.6" thickBot="1" x14ac:dyDescent="0.6">
      <c r="A18" s="12"/>
      <c r="B18" s="102"/>
      <c r="C18" s="102"/>
      <c r="D18" s="102"/>
      <c r="E18" s="102"/>
      <c r="F18" s="102"/>
      <c r="G18" s="104"/>
    </row>
    <row r="19" spans="1:7" ht="15.3" thickBot="1" x14ac:dyDescent="0.55000000000000004">
      <c r="A19" s="13" t="s">
        <v>18</v>
      </c>
      <c r="B19" s="105">
        <f t="shared" ref="B19:F19" si="1">SUM(B10:B17)</f>
        <v>1288265.8976048478</v>
      </c>
      <c r="C19" s="105">
        <f t="shared" si="1"/>
        <v>2578089.1910627801</v>
      </c>
      <c r="D19" s="105">
        <f t="shared" si="1"/>
        <v>2460067.6264341488</v>
      </c>
      <c r="E19" s="105">
        <f t="shared" si="1"/>
        <v>2151158.1771188937</v>
      </c>
      <c r="F19" s="105">
        <f t="shared" si="1"/>
        <v>456582.51295449689</v>
      </c>
      <c r="G19" s="106">
        <f>SUM(G10:G17)</f>
        <v>8934163.4051751662</v>
      </c>
    </row>
    <row r="20" spans="1:7" ht="15.6" thickBot="1" x14ac:dyDescent="0.6">
      <c r="A20" s="12" t="s">
        <v>19</v>
      </c>
      <c r="B20" s="102">
        <f>+'POA General Budget'!J165</f>
        <v>169933.67989672715</v>
      </c>
      <c r="C20" s="102">
        <f>+'POA General Budget'!L165</f>
        <v>292026.51133112668</v>
      </c>
      <c r="D20" s="102">
        <f>+'POA General Budget'!N165</f>
        <v>278014.53501933231</v>
      </c>
      <c r="E20" s="102">
        <f>+'POA General Budget'!P165</f>
        <v>257374.47868753664</v>
      </c>
      <c r="F20" s="102">
        <f>+'POA General Budget'!R165</f>
        <v>68487.376943174531</v>
      </c>
      <c r="G20" s="104">
        <f t="shared" ref="G20" si="2">SUM(B20:F20)</f>
        <v>1065836.5818778973</v>
      </c>
    </row>
    <row r="21" spans="1:7" ht="15.3" thickBot="1" x14ac:dyDescent="0.55000000000000004">
      <c r="A21" s="14" t="s">
        <v>20</v>
      </c>
      <c r="B21" s="107">
        <f t="shared" ref="B21:G21" si="3">SUM(B19:B20)</f>
        <v>1458199.577501575</v>
      </c>
      <c r="C21" s="107">
        <f t="shared" si="3"/>
        <v>2870115.7023939067</v>
      </c>
      <c r="D21" s="107">
        <f t="shared" si="3"/>
        <v>2738082.1614534808</v>
      </c>
      <c r="E21" s="107">
        <f t="shared" si="3"/>
        <v>2408532.6558064301</v>
      </c>
      <c r="F21" s="107">
        <f t="shared" si="3"/>
        <v>525069.88989767141</v>
      </c>
      <c r="G21" s="108">
        <f t="shared" si="3"/>
        <v>9999999.9870530628</v>
      </c>
    </row>
    <row r="22" spans="1:7" x14ac:dyDescent="0.45">
      <c r="B22" s="15"/>
    </row>
  </sheetData>
  <mergeCells count="4">
    <mergeCell ref="A3:G3"/>
    <mergeCell ref="A4:G4"/>
    <mergeCell ref="A5:G5"/>
    <mergeCell ref="A6:G6"/>
  </mergeCells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  <pageSetUpPr fitToPage="1"/>
  </sheetPr>
  <dimension ref="A1:AA172"/>
  <sheetViews>
    <sheetView tabSelected="1" zoomScale="67" zoomScaleNormal="85" zoomScaleSheetLayoutView="90" workbookViewId="0">
      <pane xSplit="4" ySplit="9" topLeftCell="S41" activePane="bottomRight" state="frozen"/>
      <selection pane="topRight" activeCell="B1" sqref="B1"/>
      <selection pane="bottomLeft" activeCell="A11" sqref="A11"/>
      <selection pane="bottomRight" activeCell="W52" sqref="W52"/>
    </sheetView>
  </sheetViews>
  <sheetFormatPr defaultColWidth="11.44140625" defaultRowHeight="15.3" x14ac:dyDescent="0.4"/>
  <cols>
    <col min="1" max="1" width="21.83203125" style="21" customWidth="1"/>
    <col min="2" max="2" width="26.6640625" style="22" customWidth="1"/>
    <col min="3" max="3" width="21.83203125" style="21" customWidth="1"/>
    <col min="4" max="4" width="56.27734375" style="21" customWidth="1"/>
    <col min="5" max="5" width="16" style="21" customWidth="1"/>
    <col min="6" max="6" width="8.71875" style="21" customWidth="1"/>
    <col min="7" max="7" width="15" style="21" customWidth="1"/>
    <col min="8" max="8" width="8.44140625" style="21" customWidth="1"/>
    <col min="9" max="9" width="16.71875" style="55" customWidth="1"/>
    <col min="10" max="10" width="14.1640625" style="56" customWidth="1"/>
    <col min="11" max="11" width="8.5546875" style="56" customWidth="1"/>
    <col min="12" max="12" width="16.5546875" style="56" customWidth="1"/>
    <col min="13" max="13" width="10.27734375" style="56" customWidth="1"/>
    <col min="14" max="14" width="14.5546875" style="56" customWidth="1"/>
    <col min="15" max="15" width="10.71875" style="56" customWidth="1"/>
    <col min="16" max="16" width="14.1640625" style="56" customWidth="1"/>
    <col min="17" max="17" width="10.71875" style="56" customWidth="1"/>
    <col min="18" max="18" width="14.1640625" style="56" customWidth="1"/>
    <col min="19" max="19" width="21.71875" style="78" customWidth="1"/>
    <col min="20" max="20" width="20.71875" style="56" customWidth="1"/>
    <col min="21" max="21" width="21.71875" style="78" customWidth="1"/>
    <col min="22" max="22" width="11.44140625" style="33" customWidth="1"/>
    <col min="23" max="23" width="11.44140625" style="33"/>
    <col min="24" max="24" width="19.609375" style="33" bestFit="1" customWidth="1"/>
    <col min="25" max="25" width="12.71875" style="33" bestFit="1" customWidth="1"/>
    <col min="26" max="26" width="11.44140625" style="33"/>
    <col min="27" max="27" width="12.71875" style="33" bestFit="1" customWidth="1"/>
    <col min="28" max="16384" width="11.44140625" style="33"/>
  </cols>
  <sheetData>
    <row r="1" spans="1:21" ht="17.399999999999999" x14ac:dyDescent="0.4">
      <c r="A1" s="33"/>
      <c r="B1" s="27"/>
      <c r="C1" s="33"/>
      <c r="D1" s="422" t="s">
        <v>21</v>
      </c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</row>
    <row r="2" spans="1:21" ht="17.399999999999999" x14ac:dyDescent="0.4">
      <c r="A2" s="33"/>
      <c r="B2" s="27"/>
      <c r="C2" s="33"/>
      <c r="D2" s="422" t="s">
        <v>1</v>
      </c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</row>
    <row r="3" spans="1:21" ht="17.7" thickBot="1" x14ac:dyDescent="0.45">
      <c r="A3" s="33"/>
      <c r="B3" s="27"/>
      <c r="C3" s="33"/>
      <c r="D3" s="421" t="s">
        <v>22</v>
      </c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</row>
    <row r="4" spans="1:21" ht="17.7" x14ac:dyDescent="0.4">
      <c r="A4" s="385" t="s">
        <v>355</v>
      </c>
      <c r="B4" s="386" t="s">
        <v>356</v>
      </c>
      <c r="C4" s="33"/>
      <c r="D4" s="420" t="s">
        <v>2</v>
      </c>
      <c r="E4" s="420"/>
      <c r="F4" s="420"/>
      <c r="G4" s="420"/>
      <c r="H4" s="420"/>
      <c r="I4" s="420"/>
      <c r="J4" s="420"/>
      <c r="K4" s="420"/>
      <c r="L4" s="420"/>
      <c r="M4" s="420"/>
      <c r="N4" s="420"/>
      <c r="O4" s="420"/>
      <c r="P4" s="420"/>
      <c r="Q4" s="420"/>
      <c r="R4" s="420"/>
      <c r="S4" s="420"/>
      <c r="T4" s="420"/>
      <c r="U4" s="420"/>
    </row>
    <row r="5" spans="1:21" ht="17.7" x14ac:dyDescent="0.4">
      <c r="A5" s="387" t="s">
        <v>357</v>
      </c>
      <c r="B5" s="388">
        <v>20200</v>
      </c>
      <c r="C5" s="33"/>
      <c r="D5" s="419" t="s">
        <v>23</v>
      </c>
      <c r="E5" s="419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</row>
    <row r="6" spans="1:21" ht="18" thickBot="1" x14ac:dyDescent="0.45">
      <c r="A6" s="389" t="s">
        <v>358</v>
      </c>
      <c r="B6" s="390" t="s">
        <v>359</v>
      </c>
      <c r="C6" s="33"/>
      <c r="D6" s="17" t="s">
        <v>348</v>
      </c>
      <c r="E6" s="18">
        <v>1.04</v>
      </c>
      <c r="F6" s="37"/>
      <c r="G6" s="38"/>
      <c r="H6" s="37"/>
      <c r="I6" s="39"/>
      <c r="J6" s="40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</row>
    <row r="7" spans="1:21" x14ac:dyDescent="0.4">
      <c r="D7" s="17" t="s">
        <v>24</v>
      </c>
      <c r="E7" s="18">
        <v>1.05</v>
      </c>
      <c r="F7" s="37"/>
      <c r="G7" s="53"/>
      <c r="H7" s="37"/>
      <c r="I7" s="41"/>
      <c r="J7" s="41"/>
      <c r="K7" s="37"/>
      <c r="L7" s="41"/>
      <c r="M7" s="37"/>
      <c r="N7" s="37"/>
      <c r="O7" s="37"/>
      <c r="P7" s="37"/>
      <c r="Q7" s="37"/>
      <c r="R7" s="37"/>
      <c r="S7" s="37"/>
      <c r="T7" s="37"/>
      <c r="U7" s="37"/>
    </row>
    <row r="8" spans="1:21" ht="15.6" thickBot="1" x14ac:dyDescent="0.45">
      <c r="E8" s="54"/>
      <c r="F8" s="54"/>
      <c r="G8" s="53"/>
      <c r="K8" s="57"/>
      <c r="S8" s="56"/>
      <c r="T8" s="57"/>
      <c r="U8" s="56"/>
    </row>
    <row r="9" spans="1:21" ht="30.3" thickBot="1" x14ac:dyDescent="0.45">
      <c r="A9" s="391" t="s">
        <v>360</v>
      </c>
      <c r="B9" s="391" t="s">
        <v>361</v>
      </c>
      <c r="C9" s="391" t="s">
        <v>362</v>
      </c>
      <c r="D9" s="42" t="s">
        <v>25</v>
      </c>
      <c r="E9" s="43" t="s">
        <v>26</v>
      </c>
      <c r="F9" s="43" t="s">
        <v>27</v>
      </c>
      <c r="G9" s="43" t="s">
        <v>28</v>
      </c>
      <c r="H9" s="44" t="s">
        <v>29</v>
      </c>
      <c r="I9" s="45" t="s">
        <v>30</v>
      </c>
      <c r="J9" s="46" t="s">
        <v>31</v>
      </c>
      <c r="K9" s="47" t="s">
        <v>29</v>
      </c>
      <c r="L9" s="48" t="s">
        <v>32</v>
      </c>
      <c r="M9" s="49" t="s">
        <v>29</v>
      </c>
      <c r="N9" s="48" t="s">
        <v>33</v>
      </c>
      <c r="O9" s="49" t="s">
        <v>29</v>
      </c>
      <c r="P9" s="48" t="s">
        <v>34</v>
      </c>
      <c r="Q9" s="49" t="s">
        <v>29</v>
      </c>
      <c r="R9" s="48" t="s">
        <v>35</v>
      </c>
      <c r="S9" s="50" t="s">
        <v>36</v>
      </c>
      <c r="T9" s="51" t="s">
        <v>37</v>
      </c>
      <c r="U9" s="52" t="s">
        <v>38</v>
      </c>
    </row>
    <row r="10" spans="1:21" x14ac:dyDescent="0.4">
      <c r="A10" s="392"/>
      <c r="B10" s="384"/>
      <c r="C10" s="392"/>
      <c r="D10" s="16" t="s">
        <v>39</v>
      </c>
      <c r="E10" s="16"/>
      <c r="F10" s="16"/>
      <c r="G10" s="16"/>
      <c r="H10" s="58"/>
      <c r="I10" s="59"/>
      <c r="J10" s="60"/>
      <c r="K10" s="61"/>
      <c r="L10" s="61"/>
      <c r="M10" s="62"/>
      <c r="N10" s="61"/>
      <c r="O10" s="62"/>
      <c r="P10" s="61"/>
      <c r="Q10" s="62"/>
      <c r="R10" s="61"/>
      <c r="S10" s="63"/>
      <c r="T10" s="61"/>
      <c r="U10" s="64"/>
    </row>
    <row r="11" spans="1:21" x14ac:dyDescent="0.4">
      <c r="A11" s="393"/>
      <c r="B11" s="393"/>
      <c r="C11" s="393"/>
      <c r="D11" s="65" t="s">
        <v>40</v>
      </c>
      <c r="E11" s="65"/>
      <c r="F11" s="65"/>
      <c r="G11" s="66"/>
      <c r="H11" s="67"/>
      <c r="I11" s="65"/>
      <c r="J11" s="68"/>
      <c r="K11" s="69"/>
      <c r="L11" s="69"/>
      <c r="M11" s="70"/>
      <c r="N11" s="69"/>
      <c r="O11" s="70"/>
      <c r="P11" s="69"/>
      <c r="Q11" s="70"/>
      <c r="R11" s="69"/>
      <c r="S11" s="71"/>
      <c r="T11" s="69"/>
      <c r="U11" s="72"/>
    </row>
    <row r="12" spans="1:21" x14ac:dyDescent="0.4">
      <c r="A12" s="394" t="s">
        <v>363</v>
      </c>
      <c r="B12" s="394">
        <v>70000</v>
      </c>
      <c r="C12" s="394" t="s">
        <v>364</v>
      </c>
      <c r="D12" s="22" t="s">
        <v>41</v>
      </c>
      <c r="E12" s="22" t="s">
        <v>42</v>
      </c>
      <c r="F12" s="28">
        <v>1</v>
      </c>
      <c r="G12" s="27" t="s">
        <v>43</v>
      </c>
      <c r="H12" s="176">
        <v>12</v>
      </c>
      <c r="I12" s="177">
        <v>10000</v>
      </c>
      <c r="J12" s="178">
        <f>H12*I12*F12</f>
        <v>120000</v>
      </c>
      <c r="K12" s="177">
        <v>12</v>
      </c>
      <c r="L12" s="177">
        <f>K12*$I12*$E$7*$F12</f>
        <v>126000</v>
      </c>
      <c r="M12" s="176">
        <v>12</v>
      </c>
      <c r="N12" s="177">
        <f>M12*$I12*$E$7*$F12*$E$7</f>
        <v>132300</v>
      </c>
      <c r="O12" s="176">
        <v>12</v>
      </c>
      <c r="P12" s="177">
        <f>O12*$I12*$E$7*$F12*$E$7*$E$7</f>
        <v>138915</v>
      </c>
      <c r="Q12" s="176">
        <v>6</v>
      </c>
      <c r="R12" s="177">
        <f>Q12*$I12*$E$7*$F12*$E$7*$E$7*$E$7</f>
        <v>72930.375</v>
      </c>
      <c r="S12" s="179">
        <f>SUM(J12+L12+N12+P12+R12)</f>
        <v>590145.375</v>
      </c>
      <c r="T12" s="177">
        <v>0</v>
      </c>
      <c r="U12" s="180">
        <f>SUM(S12:T12)</f>
        <v>590145.375</v>
      </c>
    </row>
    <row r="13" spans="1:21" x14ac:dyDescent="0.4">
      <c r="A13" s="394" t="s">
        <v>371</v>
      </c>
      <c r="B13" s="394">
        <v>70000</v>
      </c>
      <c r="C13" s="394" t="s">
        <v>364</v>
      </c>
      <c r="D13" s="22" t="s">
        <v>44</v>
      </c>
      <c r="E13" s="22" t="s">
        <v>42</v>
      </c>
      <c r="F13" s="28">
        <v>1</v>
      </c>
      <c r="G13" s="27" t="s">
        <v>43</v>
      </c>
      <c r="H13" s="176">
        <v>11</v>
      </c>
      <c r="I13" s="177">
        <f>4500</f>
        <v>4500</v>
      </c>
      <c r="J13" s="178">
        <f>H13*I13*F13</f>
        <v>49500</v>
      </c>
      <c r="K13" s="177">
        <v>12</v>
      </c>
      <c r="L13" s="177">
        <f>K13*$I13*$E$7*$F13</f>
        <v>56700</v>
      </c>
      <c r="M13" s="176">
        <v>12</v>
      </c>
      <c r="N13" s="177">
        <f>M13*$I13*$E$7*$F13*$E$7</f>
        <v>59535</v>
      </c>
      <c r="O13" s="176">
        <v>12</v>
      </c>
      <c r="P13" s="177">
        <f>O13*$I13*$E$7*$F13*$E$7*$E$7</f>
        <v>62511.75</v>
      </c>
      <c r="Q13" s="176">
        <v>6</v>
      </c>
      <c r="R13" s="177">
        <f>Q13*$I13*$E$7*$F13*$E$7*$E$7*$E$7</f>
        <v>32818.668750000004</v>
      </c>
      <c r="S13" s="179">
        <f>SUM(J13+L13+N13+P13+R13)</f>
        <v>261065.41875000001</v>
      </c>
      <c r="T13" s="177">
        <v>0</v>
      </c>
      <c r="U13" s="180">
        <f>SUM(S13:T13)</f>
        <v>261065.41875000001</v>
      </c>
    </row>
    <row r="14" spans="1:21" x14ac:dyDescent="0.4">
      <c r="A14" s="394" t="s">
        <v>372</v>
      </c>
      <c r="B14" s="394">
        <v>70000</v>
      </c>
      <c r="C14" s="394" t="s">
        <v>364</v>
      </c>
      <c r="D14" s="22" t="s">
        <v>45</v>
      </c>
      <c r="E14" s="22" t="s">
        <v>42</v>
      </c>
      <c r="F14" s="28">
        <v>1</v>
      </c>
      <c r="G14" s="27" t="s">
        <v>43</v>
      </c>
      <c r="H14" s="176">
        <v>11</v>
      </c>
      <c r="I14" s="177">
        <v>7000</v>
      </c>
      <c r="J14" s="178">
        <f>H14*I14*F14</f>
        <v>77000</v>
      </c>
      <c r="K14" s="177">
        <v>12</v>
      </c>
      <c r="L14" s="177">
        <f>K14*$I14*$E$7*$F14</f>
        <v>88200</v>
      </c>
      <c r="M14" s="176">
        <v>12</v>
      </c>
      <c r="N14" s="177">
        <f>M14*$I14*$E$7*$F14*$E$7</f>
        <v>92610</v>
      </c>
      <c r="O14" s="176">
        <v>12</v>
      </c>
      <c r="P14" s="177">
        <f>O14*$I14*$E$7*$F14*$E$7*$E$7</f>
        <v>97240.5</v>
      </c>
      <c r="Q14" s="176">
        <v>2</v>
      </c>
      <c r="R14" s="177">
        <f>Q14*$I14*$E$7*$F14*$E$7*$E$7*$E$7</f>
        <v>17017.087500000001</v>
      </c>
      <c r="S14" s="179">
        <f>SUM(J14+L14+N14+P14+R14)</f>
        <v>372067.58750000002</v>
      </c>
      <c r="T14" s="177">
        <v>0</v>
      </c>
      <c r="U14" s="180">
        <f>SUM(S14:T14)</f>
        <v>372067.58750000002</v>
      </c>
    </row>
    <row r="15" spans="1:21" x14ac:dyDescent="0.4">
      <c r="A15" s="393"/>
      <c r="B15" s="393"/>
      <c r="C15" s="393"/>
      <c r="D15" s="65" t="s">
        <v>46</v>
      </c>
      <c r="E15" s="65"/>
      <c r="F15" s="65"/>
      <c r="G15" s="73"/>
      <c r="H15" s="181"/>
      <c r="I15" s="182"/>
      <c r="J15" s="183"/>
      <c r="K15" s="184"/>
      <c r="L15" s="184"/>
      <c r="M15" s="181"/>
      <c r="N15" s="184"/>
      <c r="O15" s="181"/>
      <c r="P15" s="184"/>
      <c r="Q15" s="181"/>
      <c r="R15" s="184"/>
      <c r="S15" s="185"/>
      <c r="T15" s="184"/>
      <c r="U15" s="186"/>
    </row>
    <row r="16" spans="1:21" x14ac:dyDescent="0.4">
      <c r="A16" s="394" t="s">
        <v>369</v>
      </c>
      <c r="B16" s="394">
        <v>70000</v>
      </c>
      <c r="C16" s="394" t="s">
        <v>364</v>
      </c>
      <c r="D16" s="22" t="s">
        <v>47</v>
      </c>
      <c r="E16" s="22" t="s">
        <v>42</v>
      </c>
      <c r="F16" s="28">
        <v>1</v>
      </c>
      <c r="G16" s="27" t="s">
        <v>43</v>
      </c>
      <c r="H16" s="176">
        <v>10</v>
      </c>
      <c r="I16" s="177">
        <f>5000</f>
        <v>5000</v>
      </c>
      <c r="J16" s="178">
        <f>H16*I16*F16</f>
        <v>50000</v>
      </c>
      <c r="K16" s="177">
        <v>12</v>
      </c>
      <c r="L16" s="177">
        <f>K16*$I16*$E$7*$F16</f>
        <v>63000</v>
      </c>
      <c r="M16" s="176">
        <v>12</v>
      </c>
      <c r="N16" s="177">
        <f>M16*$I16*$E$7*$F16*$E$7</f>
        <v>66150</v>
      </c>
      <c r="O16" s="176">
        <v>12</v>
      </c>
      <c r="P16" s="177">
        <f>O16*$I16*$E$7*$F16*$E$7*$E$7</f>
        <v>69457.5</v>
      </c>
      <c r="Q16" s="176">
        <v>6</v>
      </c>
      <c r="R16" s="177">
        <f>Q16*$I16*$E$7*$F16*$E$7*$E$7*$E$7</f>
        <v>36465.1875</v>
      </c>
      <c r="S16" s="179">
        <f>SUM(J16+L16+N16+P16+R16)</f>
        <v>285072.6875</v>
      </c>
      <c r="T16" s="177">
        <v>0</v>
      </c>
      <c r="U16" s="180">
        <f>SUM(S16:T16)</f>
        <v>285072.6875</v>
      </c>
    </row>
    <row r="17" spans="1:24" x14ac:dyDescent="0.4">
      <c r="A17" s="394" t="s">
        <v>370</v>
      </c>
      <c r="B17" s="394">
        <v>70000</v>
      </c>
      <c r="C17" s="394" t="s">
        <v>364</v>
      </c>
      <c r="D17" s="22" t="s">
        <v>48</v>
      </c>
      <c r="E17" s="22" t="s">
        <v>42</v>
      </c>
      <c r="F17" s="28">
        <v>1</v>
      </c>
      <c r="G17" s="27" t="s">
        <v>43</v>
      </c>
      <c r="H17" s="176">
        <v>8</v>
      </c>
      <c r="I17" s="177">
        <f>4000</f>
        <v>4000</v>
      </c>
      <c r="J17" s="178">
        <f>H17*I17*F17</f>
        <v>32000</v>
      </c>
      <c r="K17" s="177">
        <v>12</v>
      </c>
      <c r="L17" s="177">
        <f>K17*$I17*$E$7*$F17</f>
        <v>50400</v>
      </c>
      <c r="M17" s="176">
        <v>12</v>
      </c>
      <c r="N17" s="177">
        <f>M17*$I17*$E$7*$F17*$E$7</f>
        <v>52920</v>
      </c>
      <c r="O17" s="176">
        <v>12</v>
      </c>
      <c r="P17" s="177">
        <f>O17*$I17*$E$7*$F17*$E$7*$E$7</f>
        <v>55566</v>
      </c>
      <c r="Q17" s="176">
        <v>2</v>
      </c>
      <c r="R17" s="177">
        <f>Q17*$I17*$E$7*$F17*$E$7*$E$7*$E$7</f>
        <v>9724.0500000000011</v>
      </c>
      <c r="S17" s="179">
        <f>SUM(J17+L17+N17+P17+R17)</f>
        <v>200610.05</v>
      </c>
      <c r="T17" s="177">
        <v>0</v>
      </c>
      <c r="U17" s="180">
        <f>SUM(S17:T17)</f>
        <v>200610.05</v>
      </c>
    </row>
    <row r="18" spans="1:24" x14ac:dyDescent="0.4">
      <c r="A18" s="395" t="s">
        <v>373</v>
      </c>
      <c r="B18" s="394">
        <v>70000</v>
      </c>
      <c r="C18" s="395" t="s">
        <v>364</v>
      </c>
      <c r="D18" s="74" t="s">
        <v>49</v>
      </c>
      <c r="E18" s="22" t="s">
        <v>42</v>
      </c>
      <c r="F18" s="28">
        <v>1</v>
      </c>
      <c r="G18" s="27" t="s">
        <v>43</v>
      </c>
      <c r="H18" s="176">
        <v>2</v>
      </c>
      <c r="I18" s="177">
        <f>4000</f>
        <v>4000</v>
      </c>
      <c r="J18" s="178">
        <f>H18*I18*F18</f>
        <v>8000</v>
      </c>
      <c r="K18" s="177">
        <v>12</v>
      </c>
      <c r="L18" s="177">
        <f>K18*$I18*$E$7*$F18</f>
        <v>50400</v>
      </c>
      <c r="M18" s="176">
        <v>12</v>
      </c>
      <c r="N18" s="177">
        <f>M18*$I18*$E$7*$F18*$E$7</f>
        <v>52920</v>
      </c>
      <c r="O18" s="176">
        <v>12</v>
      </c>
      <c r="P18" s="177">
        <f>O18*$I18*$E$7*$F18*$E$7*$E$7</f>
        <v>55566</v>
      </c>
      <c r="Q18" s="176">
        <v>2</v>
      </c>
      <c r="R18" s="177">
        <f>Q18*$I18*$E$7*$F18*$E$7*$E$7*$E$7</f>
        <v>9724.0500000000011</v>
      </c>
      <c r="S18" s="179">
        <f>SUM(J18+L18+N18+P18+R18)</f>
        <v>176610.05</v>
      </c>
      <c r="T18" s="177">
        <v>0</v>
      </c>
      <c r="U18" s="180">
        <f>SUM(S18:T18)</f>
        <v>176610.05</v>
      </c>
    </row>
    <row r="19" spans="1:24" x14ac:dyDescent="0.4">
      <c r="A19" s="393"/>
      <c r="B19" s="393"/>
      <c r="C19" s="393"/>
      <c r="D19" s="65" t="s">
        <v>50</v>
      </c>
      <c r="E19" s="76"/>
      <c r="F19" s="76"/>
      <c r="G19" s="73"/>
      <c r="H19" s="181"/>
      <c r="I19" s="187"/>
      <c r="J19" s="183"/>
      <c r="K19" s="184"/>
      <c r="L19" s="184"/>
      <c r="M19" s="181"/>
      <c r="N19" s="184"/>
      <c r="O19" s="181"/>
      <c r="P19" s="184"/>
      <c r="Q19" s="181"/>
      <c r="R19" s="184"/>
      <c r="S19" s="185"/>
      <c r="T19" s="184"/>
      <c r="U19" s="186"/>
    </row>
    <row r="20" spans="1:24" x14ac:dyDescent="0.4">
      <c r="A20" s="394" t="s">
        <v>366</v>
      </c>
      <c r="B20" s="394">
        <v>50000</v>
      </c>
      <c r="C20" s="394" t="s">
        <v>365</v>
      </c>
      <c r="D20" s="22" t="s">
        <v>51</v>
      </c>
      <c r="E20" s="22" t="s">
        <v>42</v>
      </c>
      <c r="F20" s="28">
        <v>0.3</v>
      </c>
      <c r="G20" s="27" t="s">
        <v>43</v>
      </c>
      <c r="H20" s="176">
        <v>12</v>
      </c>
      <c r="I20" s="177">
        <v>12500</v>
      </c>
      <c r="J20" s="178">
        <f>H20*I20*F20</f>
        <v>45000</v>
      </c>
      <c r="K20" s="177">
        <v>12</v>
      </c>
      <c r="L20" s="177">
        <f>K20*$I20*$E$7*$F20</f>
        <v>47250</v>
      </c>
      <c r="M20" s="176">
        <v>12</v>
      </c>
      <c r="N20" s="177">
        <f>M20*$I20*$E$7*$F20*$E$7</f>
        <v>49612.5</v>
      </c>
      <c r="O20" s="176">
        <v>12</v>
      </c>
      <c r="P20" s="177">
        <f>(O20*I20*$E$7*$E$7*$E$7)*F20</f>
        <v>52093.125</v>
      </c>
      <c r="Q20" s="176">
        <v>6</v>
      </c>
      <c r="R20" s="177">
        <f>Q20*$I20*$E$7*$F20*$E$7*$E$7*$E$7</f>
        <v>27348.890625</v>
      </c>
      <c r="S20" s="179">
        <f>SUM(J20+L20+N20+P20+R20)</f>
        <v>221304.515625</v>
      </c>
      <c r="T20" s="177">
        <v>0</v>
      </c>
      <c r="U20" s="180">
        <f>SUM(S20:T20)</f>
        <v>221304.515625</v>
      </c>
    </row>
    <row r="21" spans="1:24" x14ac:dyDescent="0.4">
      <c r="A21" s="394" t="s">
        <v>367</v>
      </c>
      <c r="B21" s="394">
        <v>50000</v>
      </c>
      <c r="C21" s="394" t="s">
        <v>365</v>
      </c>
      <c r="D21" s="22" t="s">
        <v>52</v>
      </c>
      <c r="E21" s="22" t="s">
        <v>42</v>
      </c>
      <c r="F21" s="28">
        <v>0.8</v>
      </c>
      <c r="G21" s="27" t="s">
        <v>43</v>
      </c>
      <c r="H21" s="176">
        <v>12</v>
      </c>
      <c r="I21" s="177">
        <v>5833.33</v>
      </c>
      <c r="J21" s="178">
        <f>H21*I21*F21</f>
        <v>55999.967999999993</v>
      </c>
      <c r="K21" s="177">
        <v>12</v>
      </c>
      <c r="L21" s="177">
        <f>K21*$I21*$E$7*$F21</f>
        <v>58799.966400000005</v>
      </c>
      <c r="M21" s="176">
        <v>12</v>
      </c>
      <c r="N21" s="177">
        <f>M21*$I21*$E$7*$F21*$E$7</f>
        <v>61739.964720000011</v>
      </c>
      <c r="O21" s="176">
        <v>12</v>
      </c>
      <c r="P21" s="177">
        <f>(O21*I21*$E$7*$E$7*$E$7)*F21</f>
        <v>64826.962956000003</v>
      </c>
      <c r="Q21" s="176">
        <v>6</v>
      </c>
      <c r="R21" s="177">
        <f>Q21*$I21*$E$7*$F21*$E$7*$E$7*$E$7</f>
        <v>34034.15555190001</v>
      </c>
      <c r="S21" s="179">
        <f>SUM(J21+L21+N21+P21+R21)</f>
        <v>275401.0176279</v>
      </c>
      <c r="T21" s="177">
        <v>0</v>
      </c>
      <c r="U21" s="180">
        <f>SUM(S21:T21)</f>
        <v>275401.0176279</v>
      </c>
    </row>
    <row r="22" spans="1:24" x14ac:dyDescent="0.4">
      <c r="A22" s="394" t="s">
        <v>368</v>
      </c>
      <c r="B22" s="394">
        <v>50000</v>
      </c>
      <c r="C22" s="394" t="s">
        <v>365</v>
      </c>
      <c r="D22" s="22" t="s">
        <v>53</v>
      </c>
      <c r="E22" s="22" t="s">
        <v>42</v>
      </c>
      <c r="F22" s="28">
        <v>0.1</v>
      </c>
      <c r="G22" s="27" t="s">
        <v>43</v>
      </c>
      <c r="H22" s="176">
        <v>12</v>
      </c>
      <c r="I22" s="177">
        <v>9166.67</v>
      </c>
      <c r="J22" s="178">
        <f>H22*I22*F22</f>
        <v>11000.004000000001</v>
      </c>
      <c r="K22" s="177">
        <v>12</v>
      </c>
      <c r="L22" s="177">
        <f>K22*$I22*$E$7*$F22</f>
        <v>11550.004200000003</v>
      </c>
      <c r="M22" s="176">
        <v>12</v>
      </c>
      <c r="N22" s="177">
        <f>M22*$I22*$E$7*$F22*$E$7</f>
        <v>12127.504410000003</v>
      </c>
      <c r="O22" s="176">
        <v>12</v>
      </c>
      <c r="P22" s="177">
        <f>(O22*I22*$E$7*$E$7*$E$7)*F22</f>
        <v>12733.879630500005</v>
      </c>
      <c r="Q22" s="176">
        <v>6</v>
      </c>
      <c r="R22" s="177">
        <f>Q22*$I22*$E$7*$F22*$E$7*$E$7*$E$7</f>
        <v>6685.286806012502</v>
      </c>
      <c r="S22" s="179">
        <f>SUM(J22+L22+N22+P22+R22)</f>
        <v>54096.679046512516</v>
      </c>
      <c r="T22" s="177">
        <v>0</v>
      </c>
      <c r="U22" s="180">
        <f>SUM(S22:T22)</f>
        <v>54096.679046512516</v>
      </c>
    </row>
    <row r="23" spans="1:24" x14ac:dyDescent="0.4">
      <c r="A23" s="394" t="s">
        <v>368</v>
      </c>
      <c r="B23" s="394">
        <v>50000</v>
      </c>
      <c r="C23" s="394" t="s">
        <v>365</v>
      </c>
      <c r="D23" s="22" t="s">
        <v>54</v>
      </c>
      <c r="E23" s="22" t="s">
        <v>42</v>
      </c>
      <c r="F23" s="28">
        <v>0.3</v>
      </c>
      <c r="G23" s="27" t="s">
        <v>43</v>
      </c>
      <c r="H23" s="176">
        <v>12</v>
      </c>
      <c r="I23" s="177">
        <v>7500</v>
      </c>
      <c r="J23" s="178">
        <f>H23*I23*F23</f>
        <v>27000</v>
      </c>
      <c r="K23" s="177">
        <v>12</v>
      </c>
      <c r="L23" s="177">
        <f>K23*$I23*$E$7*$F23</f>
        <v>28350</v>
      </c>
      <c r="M23" s="176">
        <v>12</v>
      </c>
      <c r="N23" s="177">
        <f>M23*$I23*$E$7*$F23*$E$7</f>
        <v>29767.5</v>
      </c>
      <c r="O23" s="176">
        <v>12</v>
      </c>
      <c r="P23" s="177">
        <f>(O23*I23*$E$7*$E$7*$E$7)*F23</f>
        <v>31255.875</v>
      </c>
      <c r="Q23" s="176">
        <v>6</v>
      </c>
      <c r="R23" s="177">
        <f>Q23*$I23*$E$7*$F23*$E$7*$E$7*$E$7</f>
        <v>16409.334375000002</v>
      </c>
      <c r="S23" s="179">
        <f>SUM(J23+L23+N23+P23+R23)</f>
        <v>132782.70937500001</v>
      </c>
      <c r="T23" s="177">
        <v>0</v>
      </c>
      <c r="U23" s="180">
        <f>SUM(S23:T23)</f>
        <v>132782.70937500001</v>
      </c>
    </row>
    <row r="24" spans="1:24" ht="15.6" thickBot="1" x14ac:dyDescent="0.45">
      <c r="A24" s="396"/>
      <c r="B24" s="396"/>
      <c r="C24" s="396"/>
      <c r="D24" s="155" t="s">
        <v>55</v>
      </c>
      <c r="E24" s="155"/>
      <c r="F24" s="155"/>
      <c r="G24" s="260"/>
      <c r="H24" s="197"/>
      <c r="I24" s="198"/>
      <c r="J24" s="261">
        <f>SUM(J12:J23)</f>
        <v>475499.97200000001</v>
      </c>
      <c r="K24" s="198"/>
      <c r="L24" s="261">
        <f>SUM(L12:L23)</f>
        <v>580649.9706</v>
      </c>
      <c r="M24" s="197"/>
      <c r="N24" s="261">
        <f>SUM(N12:N23)</f>
        <v>609682.4691300001</v>
      </c>
      <c r="O24" s="197"/>
      <c r="P24" s="261">
        <f>SUM(P12:P23)</f>
        <v>640166.59258649999</v>
      </c>
      <c r="Q24" s="197"/>
      <c r="R24" s="261">
        <f>SUM(R12:R23)</f>
        <v>263157.08610791247</v>
      </c>
      <c r="S24" s="261">
        <f>SUM(S12:S23)</f>
        <v>2569156.0904244129</v>
      </c>
      <c r="T24" s="198">
        <f>SUM(T12:T23)</f>
        <v>0</v>
      </c>
      <c r="U24" s="200">
        <f>SUM(S24:T24)</f>
        <v>2569156.0904244129</v>
      </c>
    </row>
    <row r="25" spans="1:24" x14ac:dyDescent="0.4">
      <c r="A25" s="392"/>
      <c r="B25" s="384"/>
      <c r="C25" s="392"/>
      <c r="D25" s="16" t="s">
        <v>56</v>
      </c>
      <c r="E25" s="16"/>
      <c r="F25" s="16"/>
      <c r="G25" s="16"/>
      <c r="H25" s="188"/>
      <c r="I25" s="189"/>
      <c r="J25" s="190"/>
      <c r="K25" s="191"/>
      <c r="L25" s="191"/>
      <c r="M25" s="192"/>
      <c r="N25" s="191"/>
      <c r="O25" s="192"/>
      <c r="P25" s="191"/>
      <c r="Q25" s="192"/>
      <c r="R25" s="191"/>
      <c r="S25" s="193"/>
      <c r="T25" s="191"/>
      <c r="U25" s="194"/>
    </row>
    <row r="26" spans="1:24" x14ac:dyDescent="0.4">
      <c r="A26" s="394" t="s">
        <v>375</v>
      </c>
      <c r="B26" s="394">
        <v>70015</v>
      </c>
      <c r="C26" s="394" t="s">
        <v>364</v>
      </c>
      <c r="D26" s="22" t="s">
        <v>57</v>
      </c>
      <c r="E26" s="22" t="s">
        <v>56</v>
      </c>
      <c r="F26" s="22"/>
      <c r="G26" s="27" t="s">
        <v>43</v>
      </c>
      <c r="H26" s="176"/>
      <c r="I26" s="77">
        <v>0.41499999999999998</v>
      </c>
      <c r="J26" s="178">
        <f>SUM(J12:J18)*$I26</f>
        <v>139647.5</v>
      </c>
      <c r="K26" s="24"/>
      <c r="L26" s="178">
        <f>SUM(L12:L18)*$I26</f>
        <v>180400.5</v>
      </c>
      <c r="M26" s="23"/>
      <c r="N26" s="178">
        <f>SUM(N12:N18)*$I26</f>
        <v>189420.52499999999</v>
      </c>
      <c r="O26" s="23"/>
      <c r="P26" s="178">
        <f>SUM(P12:P18)*$I26</f>
        <v>198891.55124999999</v>
      </c>
      <c r="Q26" s="23"/>
      <c r="R26" s="178">
        <f>SUM(R12:R18)*$I26</f>
        <v>74151.958781249996</v>
      </c>
      <c r="S26" s="179">
        <f>SUM(J26+L26+N26+P26+R26)</f>
        <v>782512.03503124998</v>
      </c>
      <c r="T26" s="177">
        <v>0</v>
      </c>
      <c r="U26" s="180">
        <f>SUM(S26:T26)</f>
        <v>782512.03503124998</v>
      </c>
    </row>
    <row r="27" spans="1:24" x14ac:dyDescent="0.4">
      <c r="A27" s="394" t="s">
        <v>374</v>
      </c>
      <c r="B27" s="394">
        <v>50900</v>
      </c>
      <c r="C27" s="394" t="s">
        <v>365</v>
      </c>
      <c r="D27" s="22" t="s">
        <v>58</v>
      </c>
      <c r="E27" s="22" t="s">
        <v>56</v>
      </c>
      <c r="F27" s="22"/>
      <c r="G27" s="27" t="s">
        <v>43</v>
      </c>
      <c r="H27" s="176"/>
      <c r="I27" s="36">
        <v>0.23469999999999999</v>
      </c>
      <c r="J27" s="178">
        <f>SUM(J20:J23)*$I$27</f>
        <v>32623.2934284</v>
      </c>
      <c r="K27" s="24"/>
      <c r="L27" s="178">
        <f>SUM(L20:L23)*$I$27</f>
        <v>34254.458099819996</v>
      </c>
      <c r="M27" s="23"/>
      <c r="N27" s="178">
        <f>SUM(N20:N23)*$I$27</f>
        <v>35967.181004811006</v>
      </c>
      <c r="O27" s="23"/>
      <c r="P27" s="178">
        <f>SUM(P20:P23)*$I$27</f>
        <v>37765.540055051548</v>
      </c>
      <c r="Q27" s="23"/>
      <c r="R27" s="178">
        <f>SUM(R20:R23)*$I$27</f>
        <v>19826.90852890207</v>
      </c>
      <c r="S27" s="179">
        <f>SUM(J27+L27+N27+P27+R27)</f>
        <v>160437.38111698462</v>
      </c>
      <c r="T27" s="177">
        <v>0</v>
      </c>
      <c r="U27" s="180">
        <f>SUM(S27:T27)</f>
        <v>160437.38111698462</v>
      </c>
    </row>
    <row r="28" spans="1:24" ht="15.6" thickBot="1" x14ac:dyDescent="0.45">
      <c r="A28" s="397"/>
      <c r="B28" s="396"/>
      <c r="C28" s="397"/>
      <c r="D28" s="153" t="s">
        <v>59</v>
      </c>
      <c r="E28" s="153"/>
      <c r="F28" s="153"/>
      <c r="G28" s="154"/>
      <c r="H28" s="197"/>
      <c r="I28" s="198"/>
      <c r="J28" s="199">
        <f>SUM(J26:J27)</f>
        <v>172270.79342840001</v>
      </c>
      <c r="K28" s="198"/>
      <c r="L28" s="199">
        <f>SUM(L26:L27)</f>
        <v>214654.95809982001</v>
      </c>
      <c r="M28" s="197"/>
      <c r="N28" s="199">
        <f>SUM(N26:N27)</f>
        <v>225387.70600481099</v>
      </c>
      <c r="O28" s="197"/>
      <c r="P28" s="199">
        <f>SUM(P26:P27)</f>
        <v>236657.09130505152</v>
      </c>
      <c r="Q28" s="197"/>
      <c r="R28" s="199">
        <f>SUM(R26:R27)</f>
        <v>93978.867310152069</v>
      </c>
      <c r="S28" s="199">
        <f>SUM(S26:S27)</f>
        <v>942949.41614823462</v>
      </c>
      <c r="T28" s="198">
        <f>SUM(T26:T27)</f>
        <v>0</v>
      </c>
      <c r="U28" s="200">
        <f>SUM(U26:U27)</f>
        <v>942949.41614823462</v>
      </c>
    </row>
    <row r="29" spans="1:24" x14ac:dyDescent="0.4">
      <c r="A29" s="392"/>
      <c r="B29" s="384"/>
      <c r="C29" s="392"/>
      <c r="D29" s="16" t="s">
        <v>60</v>
      </c>
      <c r="E29" s="16"/>
      <c r="F29" s="16"/>
      <c r="G29" s="109"/>
      <c r="H29" s="207"/>
      <c r="I29" s="208"/>
      <c r="J29" s="209"/>
      <c r="K29" s="208"/>
      <c r="L29" s="208"/>
      <c r="M29" s="207"/>
      <c r="N29" s="208"/>
      <c r="O29" s="207"/>
      <c r="P29" s="208"/>
      <c r="Q29" s="207"/>
      <c r="R29" s="208"/>
      <c r="S29" s="210"/>
      <c r="T29" s="208"/>
      <c r="U29" s="211"/>
    </row>
    <row r="30" spans="1:24" x14ac:dyDescent="0.4">
      <c r="A30" s="398"/>
      <c r="B30" s="405"/>
      <c r="C30" s="398"/>
      <c r="D30" s="82" t="s">
        <v>61</v>
      </c>
      <c r="E30" s="150"/>
      <c r="F30" s="150"/>
      <c r="G30" s="152"/>
      <c r="H30" s="212"/>
      <c r="I30" s="213"/>
      <c r="J30" s="214"/>
      <c r="K30" s="213"/>
      <c r="L30" s="213"/>
      <c r="M30" s="212"/>
      <c r="N30" s="213"/>
      <c r="O30" s="212"/>
      <c r="P30" s="213"/>
      <c r="Q30" s="212"/>
      <c r="R30" s="213"/>
      <c r="S30" s="215"/>
      <c r="T30" s="213"/>
      <c r="U30" s="216"/>
    </row>
    <row r="31" spans="1:24" x14ac:dyDescent="0.4">
      <c r="A31" s="399" t="s">
        <v>376</v>
      </c>
      <c r="B31" s="394">
        <v>86040</v>
      </c>
      <c r="C31" s="399" t="s">
        <v>365</v>
      </c>
      <c r="D31" s="21" t="s">
        <v>62</v>
      </c>
      <c r="E31" s="21" t="s">
        <v>60</v>
      </c>
      <c r="F31" s="28">
        <v>1</v>
      </c>
      <c r="G31" s="22" t="s">
        <v>63</v>
      </c>
      <c r="H31" s="176">
        <v>2</v>
      </c>
      <c r="I31" s="177">
        <v>700</v>
      </c>
      <c r="J31" s="178">
        <f>H31*$I31*$F31</f>
        <v>1400</v>
      </c>
      <c r="K31" s="176">
        <v>0</v>
      </c>
      <c r="L31" s="178">
        <f>+K31*$I31*$F31*$E$6</f>
        <v>0</v>
      </c>
      <c r="M31" s="176">
        <v>0</v>
      </c>
      <c r="N31" s="178">
        <f>+M31*$I31*$F31*$E$6*$E$6</f>
        <v>0</v>
      </c>
      <c r="O31" s="176">
        <v>0</v>
      </c>
      <c r="P31" s="178">
        <f>+O31*$I31*$F31*$E$6*$E$6*$E$6</f>
        <v>0</v>
      </c>
      <c r="Q31" s="176">
        <v>0</v>
      </c>
      <c r="R31" s="178">
        <f>+Q31*$I31*$F31*$E$6*$E$6*$E$6*$E$6</f>
        <v>0</v>
      </c>
      <c r="S31" s="179">
        <f>SUM(J31+L31+N31+P31+R31)</f>
        <v>1400</v>
      </c>
      <c r="T31" s="177">
        <v>0</v>
      </c>
      <c r="U31" s="180">
        <f>SUM(S31:T31)</f>
        <v>1400</v>
      </c>
    </row>
    <row r="32" spans="1:24" ht="30.6" x14ac:dyDescent="0.4">
      <c r="A32" s="399" t="s">
        <v>377</v>
      </c>
      <c r="B32" s="394" t="s">
        <v>408</v>
      </c>
      <c r="C32" s="399" t="s">
        <v>365</v>
      </c>
      <c r="D32" s="21" t="s">
        <v>64</v>
      </c>
      <c r="E32" s="21" t="s">
        <v>60</v>
      </c>
      <c r="F32" s="28">
        <v>1</v>
      </c>
      <c r="G32" s="22" t="s">
        <v>65</v>
      </c>
      <c r="H32" s="176">
        <f>5*2</f>
        <v>10</v>
      </c>
      <c r="I32" s="365">
        <f>(92*0.9)+183</f>
        <v>265.8</v>
      </c>
      <c r="J32" s="178">
        <f>H32*$I32*$F32</f>
        <v>2658</v>
      </c>
      <c r="K32" s="176">
        <v>0</v>
      </c>
      <c r="L32" s="178">
        <f>+K32*$I32*$F32*$E$6</f>
        <v>0</v>
      </c>
      <c r="M32" s="176">
        <v>0</v>
      </c>
      <c r="N32" s="178">
        <f>+M32*$I32*$F32*$E$6*$E$6</f>
        <v>0</v>
      </c>
      <c r="O32" s="176">
        <v>0</v>
      </c>
      <c r="P32" s="178">
        <f>+O32*$I32*$F32*$E$6*$E$6*$E$6</f>
        <v>0</v>
      </c>
      <c r="Q32" s="176">
        <v>0</v>
      </c>
      <c r="R32" s="178">
        <f>+Q32*$I32*$F32*$E$6*$E$6*$E$6*$E$6</f>
        <v>0</v>
      </c>
      <c r="S32" s="179">
        <f>SUM(J32+L32+N32+P32+R32)</f>
        <v>2658</v>
      </c>
      <c r="T32" s="177">
        <v>0</v>
      </c>
      <c r="U32" s="180">
        <f>SUM(S32:T32)</f>
        <v>2658</v>
      </c>
      <c r="X32" s="429"/>
    </row>
    <row r="33" spans="1:27" x14ac:dyDescent="0.4">
      <c r="A33" s="399" t="s">
        <v>378</v>
      </c>
      <c r="B33" s="394">
        <v>86000</v>
      </c>
      <c r="C33" s="399" t="s">
        <v>365</v>
      </c>
      <c r="D33" s="21" t="s">
        <v>66</v>
      </c>
      <c r="E33" s="21" t="s">
        <v>60</v>
      </c>
      <c r="F33" s="28">
        <v>1</v>
      </c>
      <c r="G33" s="22" t="s">
        <v>65</v>
      </c>
      <c r="H33" s="176">
        <f>5*2</f>
        <v>10</v>
      </c>
      <c r="I33" s="177">
        <v>50</v>
      </c>
      <c r="J33" s="178">
        <f>H33*$I33*$F33</f>
        <v>500</v>
      </c>
      <c r="K33" s="176">
        <v>0</v>
      </c>
      <c r="L33" s="178">
        <f>+K33*$I33*$F33*$E$6</f>
        <v>0</v>
      </c>
      <c r="M33" s="176">
        <v>0</v>
      </c>
      <c r="N33" s="178">
        <f>+M33*$I33*$F33*$E$6*$E$6</f>
        <v>0</v>
      </c>
      <c r="O33" s="176">
        <v>0</v>
      </c>
      <c r="P33" s="178">
        <f>+O33*$I33*$F33*$E$6*$E$6*$E$6</f>
        <v>0</v>
      </c>
      <c r="Q33" s="176">
        <v>0</v>
      </c>
      <c r="R33" s="178">
        <f>+Q33*$I33*$F33*$E$6*$E$6*$E$6*$E$6</f>
        <v>0</v>
      </c>
      <c r="S33" s="179">
        <f>SUM(J33+L33+N33+P33+R33)</f>
        <v>500</v>
      </c>
      <c r="T33" s="177">
        <v>0</v>
      </c>
      <c r="U33" s="180">
        <f>SUM(S33:T33)</f>
        <v>500</v>
      </c>
    </row>
    <row r="34" spans="1:27" x14ac:dyDescent="0.4">
      <c r="A34" s="399" t="s">
        <v>379</v>
      </c>
      <c r="B34" s="394">
        <v>86050</v>
      </c>
      <c r="C34" s="399" t="s">
        <v>365</v>
      </c>
      <c r="D34" s="21" t="s">
        <v>67</v>
      </c>
      <c r="E34" s="21" t="s">
        <v>60</v>
      </c>
      <c r="F34" s="28">
        <v>1</v>
      </c>
      <c r="G34" s="22" t="s">
        <v>68</v>
      </c>
      <c r="H34" s="176">
        <v>2</v>
      </c>
      <c r="I34" s="177">
        <v>185</v>
      </c>
      <c r="J34" s="178">
        <f>H34*$I34*$F34</f>
        <v>370</v>
      </c>
      <c r="K34" s="176">
        <v>0</v>
      </c>
      <c r="L34" s="178">
        <f>+K34*$I34*$F34*$E$6</f>
        <v>0</v>
      </c>
      <c r="M34" s="176">
        <v>0</v>
      </c>
      <c r="N34" s="178">
        <f>+M34*$I34*$F34*$E$6*$E$6</f>
        <v>0</v>
      </c>
      <c r="O34" s="176">
        <v>0</v>
      </c>
      <c r="P34" s="178">
        <f>+O34*$I34*$F34*$E$6*$E$6*$E$6</f>
        <v>0</v>
      </c>
      <c r="Q34" s="176">
        <v>0</v>
      </c>
      <c r="R34" s="178">
        <f>+Q34*$I34*$F34*$E$6*$E$6*$E$6*$E$6</f>
        <v>0</v>
      </c>
      <c r="S34" s="179">
        <f>SUM(J34+L34+N34+P34+R34)</f>
        <v>370</v>
      </c>
      <c r="T34" s="177">
        <v>0</v>
      </c>
      <c r="U34" s="180">
        <f>SUM(S34:T34)</f>
        <v>370</v>
      </c>
    </row>
    <row r="35" spans="1:27" x14ac:dyDescent="0.4">
      <c r="A35" s="398"/>
      <c r="B35" s="405"/>
      <c r="C35" s="398"/>
      <c r="D35" s="82" t="s">
        <v>69</v>
      </c>
      <c r="E35" s="150"/>
      <c r="F35" s="150"/>
      <c r="G35" s="85"/>
      <c r="H35" s="217"/>
      <c r="I35" s="218"/>
      <c r="J35" s="219"/>
      <c r="K35" s="218"/>
      <c r="L35" s="218"/>
      <c r="M35" s="217"/>
      <c r="N35" s="218"/>
      <c r="O35" s="217"/>
      <c r="P35" s="218"/>
      <c r="Q35" s="217"/>
      <c r="R35" s="218"/>
      <c r="S35" s="220"/>
      <c r="T35" s="218"/>
      <c r="U35" s="221"/>
    </row>
    <row r="36" spans="1:27" x14ac:dyDescent="0.4">
      <c r="A36" s="399" t="s">
        <v>380</v>
      </c>
      <c r="B36" s="394">
        <v>86040</v>
      </c>
      <c r="C36" s="399" t="s">
        <v>364</v>
      </c>
      <c r="D36" s="21" t="s">
        <v>70</v>
      </c>
      <c r="E36" s="21" t="s">
        <v>60</v>
      </c>
      <c r="F36" s="28">
        <v>1</v>
      </c>
      <c r="G36" s="22" t="s">
        <v>63</v>
      </c>
      <c r="H36" s="176">
        <v>0</v>
      </c>
      <c r="I36" s="177">
        <v>700</v>
      </c>
      <c r="J36" s="178">
        <f>H36*$I36*$F36</f>
        <v>0</v>
      </c>
      <c r="K36" s="176">
        <v>2</v>
      </c>
      <c r="L36" s="178">
        <f>+K36*$I36*$F36*$E$6</f>
        <v>1456</v>
      </c>
      <c r="M36" s="176">
        <v>2</v>
      </c>
      <c r="N36" s="178">
        <f>+M36*$I36*$F36*$E$6*$E$6</f>
        <v>1514.24</v>
      </c>
      <c r="O36" s="176">
        <v>2</v>
      </c>
      <c r="P36" s="178">
        <f>+O36*$I36*$F36*$E$6*$E$6*$E$6</f>
        <v>1574.8096</v>
      </c>
      <c r="Q36" s="176">
        <v>2</v>
      </c>
      <c r="R36" s="178">
        <f>+Q36*$I36*$F36*$E$6*$E$6*$E$6*$E$6</f>
        <v>1637.8019840000002</v>
      </c>
      <c r="S36" s="179">
        <f>SUM(J36+L36+N36+P36+R36)</f>
        <v>6182.851584</v>
      </c>
      <c r="T36" s="177">
        <v>0</v>
      </c>
      <c r="U36" s="180">
        <f>SUM(S36:T36)</f>
        <v>6182.851584</v>
      </c>
    </row>
    <row r="37" spans="1:27" ht="30.6" x14ac:dyDescent="0.4">
      <c r="A37" s="399" t="s">
        <v>381</v>
      </c>
      <c r="B37" s="394" t="s">
        <v>408</v>
      </c>
      <c r="C37" s="399" t="s">
        <v>364</v>
      </c>
      <c r="D37" s="21" t="s">
        <v>64</v>
      </c>
      <c r="E37" s="21" t="s">
        <v>60</v>
      </c>
      <c r="F37" s="28">
        <v>1</v>
      </c>
      <c r="G37" s="22" t="s">
        <v>65</v>
      </c>
      <c r="H37" s="176">
        <v>0</v>
      </c>
      <c r="I37" s="365">
        <f>(92*0.9)+183</f>
        <v>265.8</v>
      </c>
      <c r="J37" s="178">
        <f>H37*$I37*$F37</f>
        <v>0</v>
      </c>
      <c r="K37" s="176">
        <f>5*2</f>
        <v>10</v>
      </c>
      <c r="L37" s="178">
        <f>+K37*$I37*$F37*$E$6</f>
        <v>2764.32</v>
      </c>
      <c r="M37" s="176">
        <f>5*2</f>
        <v>10</v>
      </c>
      <c r="N37" s="178">
        <f>+M37*$I37*$F37*$E$6*$E$6</f>
        <v>2874.8928000000001</v>
      </c>
      <c r="O37" s="176">
        <f>5*2</f>
        <v>10</v>
      </c>
      <c r="P37" s="178">
        <f>+O37*$I37*$F37*$E$6*$E$6*$E$6</f>
        <v>2989.888512</v>
      </c>
      <c r="Q37" s="176">
        <f>5*2</f>
        <v>10</v>
      </c>
      <c r="R37" s="178">
        <f>+Q37*$I37*$F37*$E$6*$E$6*$E$6*$E$6</f>
        <v>3109.4840524800002</v>
      </c>
      <c r="S37" s="179">
        <f>SUM(J37+L37+N37+P37+R37)</f>
        <v>11738.585364480001</v>
      </c>
      <c r="T37" s="177">
        <v>0</v>
      </c>
      <c r="U37" s="180">
        <f>SUM(S37:T37)</f>
        <v>11738.585364480001</v>
      </c>
    </row>
    <row r="38" spans="1:27" x14ac:dyDescent="0.4">
      <c r="A38" s="399" t="s">
        <v>382</v>
      </c>
      <c r="B38" s="394">
        <v>86000</v>
      </c>
      <c r="C38" s="399" t="s">
        <v>364</v>
      </c>
      <c r="D38" s="21" t="s">
        <v>66</v>
      </c>
      <c r="E38" s="21" t="s">
        <v>60</v>
      </c>
      <c r="F38" s="28">
        <v>1</v>
      </c>
      <c r="G38" s="22" t="s">
        <v>65</v>
      </c>
      <c r="H38" s="176">
        <v>0</v>
      </c>
      <c r="I38" s="177">
        <v>50</v>
      </c>
      <c r="J38" s="178">
        <f>H38*$I38*$F38</f>
        <v>0</v>
      </c>
      <c r="K38" s="176">
        <f>5*2</f>
        <v>10</v>
      </c>
      <c r="L38" s="178">
        <f>+K38*$I38*$F38*$E$6</f>
        <v>520</v>
      </c>
      <c r="M38" s="176">
        <f>5*2</f>
        <v>10</v>
      </c>
      <c r="N38" s="178">
        <f>+M38*$I38*$F38*$E$6*$E$6</f>
        <v>540.80000000000007</v>
      </c>
      <c r="O38" s="176">
        <f>5*2</f>
        <v>10</v>
      </c>
      <c r="P38" s="178">
        <f>+O38*$I38*$F38*$E$6*$E$6*$E$6</f>
        <v>562.43200000000013</v>
      </c>
      <c r="Q38" s="176">
        <f>5*2</f>
        <v>10</v>
      </c>
      <c r="R38" s="178">
        <f>+Q38*$I38*$F38*$E$6*$E$6*$E$6*$E$6</f>
        <v>584.92928000000018</v>
      </c>
      <c r="S38" s="179">
        <f>SUM(J38+L38+N38+P38+R38)</f>
        <v>2208.1612800000007</v>
      </c>
      <c r="T38" s="177">
        <v>0</v>
      </c>
      <c r="U38" s="180">
        <f>SUM(S38:T38)</f>
        <v>2208.1612800000007</v>
      </c>
    </row>
    <row r="39" spans="1:27" x14ac:dyDescent="0.4">
      <c r="A39" s="398"/>
      <c r="B39" s="405"/>
      <c r="C39" s="398"/>
      <c r="D39" s="82" t="s">
        <v>71</v>
      </c>
      <c r="E39" s="150"/>
      <c r="F39" s="150"/>
      <c r="G39" s="85"/>
      <c r="H39" s="217"/>
      <c r="I39" s="218"/>
      <c r="J39" s="219"/>
      <c r="K39" s="218"/>
      <c r="L39" s="218"/>
      <c r="M39" s="217"/>
      <c r="N39" s="218"/>
      <c r="O39" s="217"/>
      <c r="P39" s="218"/>
      <c r="Q39" s="217"/>
      <c r="R39" s="218"/>
      <c r="S39" s="220"/>
      <c r="T39" s="218"/>
      <c r="U39" s="221"/>
    </row>
    <row r="40" spans="1:27" x14ac:dyDescent="0.4">
      <c r="A40" s="399" t="s">
        <v>383</v>
      </c>
      <c r="B40" s="394">
        <v>86040</v>
      </c>
      <c r="C40" s="399" t="s">
        <v>364</v>
      </c>
      <c r="D40" s="21" t="s">
        <v>72</v>
      </c>
      <c r="E40" s="21" t="s">
        <v>60</v>
      </c>
      <c r="F40" s="28">
        <v>1</v>
      </c>
      <c r="G40" s="22" t="s">
        <v>63</v>
      </c>
      <c r="H40" s="176">
        <v>2</v>
      </c>
      <c r="I40" s="177">
        <v>700</v>
      </c>
      <c r="J40" s="178">
        <f>H40*$I40*$F40</f>
        <v>1400</v>
      </c>
      <c r="K40" s="176">
        <v>2</v>
      </c>
      <c r="L40" s="178">
        <f>+K40*$I40*$F40*$E$6</f>
        <v>1456</v>
      </c>
      <c r="M40" s="176">
        <v>2</v>
      </c>
      <c r="N40" s="178">
        <f>+M40*$I40*$F40*$E$6*$E$6</f>
        <v>1514.24</v>
      </c>
      <c r="O40" s="176">
        <v>2</v>
      </c>
      <c r="P40" s="178">
        <f>+O40*$I40*$F40*$E$6*$E$6*$E$6</f>
        <v>1574.8096</v>
      </c>
      <c r="Q40" s="176">
        <v>2</v>
      </c>
      <c r="R40" s="178">
        <f>+Q40*$I40*$F40*$E$6*$E$6*$E$6*$E$6</f>
        <v>1637.8019840000002</v>
      </c>
      <c r="S40" s="179">
        <f>SUM(J40+L40+N40+P40+R40)</f>
        <v>7582.851584</v>
      </c>
      <c r="T40" s="177">
        <v>0</v>
      </c>
      <c r="U40" s="180">
        <f>SUM(S40:T40)</f>
        <v>7582.851584</v>
      </c>
    </row>
    <row r="41" spans="1:27" ht="30.6" x14ac:dyDescent="0.4">
      <c r="A41" s="399" t="s">
        <v>384</v>
      </c>
      <c r="B41" s="394" t="s">
        <v>408</v>
      </c>
      <c r="C41" s="399" t="s">
        <v>364</v>
      </c>
      <c r="D41" s="21" t="s">
        <v>73</v>
      </c>
      <c r="E41" s="21" t="s">
        <v>60</v>
      </c>
      <c r="F41" s="28">
        <v>1</v>
      </c>
      <c r="G41" s="22" t="s">
        <v>65</v>
      </c>
      <c r="H41" s="176">
        <f>5*2</f>
        <v>10</v>
      </c>
      <c r="I41" s="177">
        <f>+Travel!B19+Travel!B20</f>
        <v>231.31891891891894</v>
      </c>
      <c r="J41" s="178">
        <f>H41*$I41*$F41</f>
        <v>2313.1891891891892</v>
      </c>
      <c r="K41" s="176">
        <f>5*2</f>
        <v>10</v>
      </c>
      <c r="L41" s="178">
        <f>+K41*$I41*$F41*$E$6</f>
        <v>2405.7167567567567</v>
      </c>
      <c r="M41" s="176">
        <f>5*2</f>
        <v>10</v>
      </c>
      <c r="N41" s="178">
        <f>+M41*$I41*$F41*$E$6*$E$6</f>
        <v>2501.9454270270271</v>
      </c>
      <c r="O41" s="176">
        <f>5*2</f>
        <v>10</v>
      </c>
      <c r="P41" s="178">
        <f>+O41*$I41*$F41*$E$6*$E$6*$E$6</f>
        <v>2602.0232441081084</v>
      </c>
      <c r="Q41" s="176">
        <f>5*2</f>
        <v>10</v>
      </c>
      <c r="R41" s="178">
        <f>+Q41*$I41*$F41*$E$6*$E$6*$E$6*$E$6</f>
        <v>2706.104173872433</v>
      </c>
      <c r="S41" s="179">
        <f>SUM(J41+L41+N41+P41+R41)</f>
        <v>12528.978790953513</v>
      </c>
      <c r="T41" s="177">
        <v>0</v>
      </c>
      <c r="U41" s="180">
        <f>SUM(S41:T41)</f>
        <v>12528.978790953513</v>
      </c>
    </row>
    <row r="42" spans="1:27" x14ac:dyDescent="0.4">
      <c r="A42" s="399" t="s">
        <v>385</v>
      </c>
      <c r="B42" s="394">
        <v>86000</v>
      </c>
      <c r="C42" s="399" t="s">
        <v>364</v>
      </c>
      <c r="D42" s="21" t="s">
        <v>74</v>
      </c>
      <c r="E42" s="21" t="s">
        <v>60</v>
      </c>
      <c r="F42" s="28">
        <v>1</v>
      </c>
      <c r="G42" s="22" t="s">
        <v>65</v>
      </c>
      <c r="H42" s="176">
        <f>5*2</f>
        <v>10</v>
      </c>
      <c r="I42" s="177">
        <v>50</v>
      </c>
      <c r="J42" s="178">
        <f>H42*$I42*$F42</f>
        <v>500</v>
      </c>
      <c r="K42" s="176">
        <f>5*2</f>
        <v>10</v>
      </c>
      <c r="L42" s="178">
        <f>+K42*$I42*$F42*$E$6</f>
        <v>520</v>
      </c>
      <c r="M42" s="176">
        <f>5*2</f>
        <v>10</v>
      </c>
      <c r="N42" s="178">
        <f>+M42*$I42*$F42*$E$6*$E$6</f>
        <v>540.80000000000007</v>
      </c>
      <c r="O42" s="176">
        <f>5*2</f>
        <v>10</v>
      </c>
      <c r="P42" s="178">
        <f>+O42*$I42*$F42*$E$6*$E$6*$E$6</f>
        <v>562.43200000000013</v>
      </c>
      <c r="Q42" s="176">
        <f>5*2</f>
        <v>10</v>
      </c>
      <c r="R42" s="178">
        <f>+Q42*$I42*$F42*$E$6*$E$6*$E$6*$E$6</f>
        <v>584.92928000000018</v>
      </c>
      <c r="S42" s="179">
        <f>SUM(J42+L42+N42+P42+R42)</f>
        <v>2708.1612800000007</v>
      </c>
      <c r="T42" s="177">
        <v>0</v>
      </c>
      <c r="U42" s="180">
        <f>SUM(S42:T42)</f>
        <v>2708.1612800000007</v>
      </c>
    </row>
    <row r="43" spans="1:27" x14ac:dyDescent="0.4">
      <c r="A43" s="398"/>
      <c r="B43" s="405"/>
      <c r="C43" s="398"/>
      <c r="D43" s="82" t="s">
        <v>75</v>
      </c>
      <c r="E43" s="150"/>
      <c r="F43" s="150"/>
      <c r="G43" s="85"/>
      <c r="H43" s="217"/>
      <c r="I43" s="218"/>
      <c r="J43" s="219"/>
      <c r="K43" s="218"/>
      <c r="L43" s="218"/>
      <c r="M43" s="217"/>
      <c r="N43" s="218"/>
      <c r="O43" s="217"/>
      <c r="P43" s="218"/>
      <c r="Q43" s="217"/>
      <c r="R43" s="218"/>
      <c r="S43" s="220"/>
      <c r="T43" s="218"/>
      <c r="U43" s="221"/>
    </row>
    <row r="44" spans="1:27" ht="30.6" x14ac:dyDescent="0.4">
      <c r="A44" s="400"/>
      <c r="B44" s="400"/>
      <c r="C44" s="400"/>
      <c r="D44" s="85" t="s">
        <v>76</v>
      </c>
      <c r="E44" s="119"/>
      <c r="F44" s="165"/>
      <c r="G44" s="85"/>
      <c r="H44" s="217"/>
      <c r="I44" s="218"/>
      <c r="J44" s="219"/>
      <c r="K44" s="218"/>
      <c r="L44" s="219"/>
      <c r="M44" s="217"/>
      <c r="N44" s="219"/>
      <c r="O44" s="217"/>
      <c r="P44" s="219"/>
      <c r="Q44" s="217"/>
      <c r="R44" s="219"/>
      <c r="S44" s="220"/>
      <c r="T44" s="218"/>
      <c r="U44" s="221"/>
    </row>
    <row r="45" spans="1:27" x14ac:dyDescent="0.4">
      <c r="A45" s="394" t="s">
        <v>386</v>
      </c>
      <c r="B45" s="394">
        <v>86040</v>
      </c>
      <c r="C45" s="394" t="s">
        <v>364</v>
      </c>
      <c r="D45" s="22" t="s">
        <v>77</v>
      </c>
      <c r="E45" s="21" t="s">
        <v>60</v>
      </c>
      <c r="F45" s="28">
        <v>1</v>
      </c>
      <c r="G45" s="22" t="s">
        <v>63</v>
      </c>
      <c r="H45" s="176">
        <v>4</v>
      </c>
      <c r="I45" s="177">
        <f>+Travel!$D$11</f>
        <v>363.30878378378378</v>
      </c>
      <c r="J45" s="178">
        <f>H45*$I45*$F45</f>
        <v>1453.2351351351351</v>
      </c>
      <c r="K45" s="177">
        <v>4</v>
      </c>
      <c r="L45" s="178">
        <f>+K45*$I45*$F45*$E$6</f>
        <v>1511.3645405405405</v>
      </c>
      <c r="M45" s="176">
        <v>4</v>
      </c>
      <c r="N45" s="178">
        <f>+M45*$I45*$F45*$E$6*$E$6</f>
        <v>1571.8191221621621</v>
      </c>
      <c r="O45" s="176">
        <v>4</v>
      </c>
      <c r="P45" s="178">
        <f>+O45*$I45*$F45*$E$6*$E$6*$E$6</f>
        <v>1634.6918870486486</v>
      </c>
      <c r="Q45" s="176"/>
      <c r="R45" s="178">
        <f>+Q45*$I45*$F45*$E$6*$E$6*$E$6*$E$6</f>
        <v>0</v>
      </c>
      <c r="S45" s="179">
        <f>SUM(J45+L45+N45+P45+R45)</f>
        <v>6171.1106848864865</v>
      </c>
      <c r="T45" s="177">
        <v>0</v>
      </c>
      <c r="U45" s="180">
        <f>SUM(S45:T45)</f>
        <v>6171.1106848864865</v>
      </c>
    </row>
    <row r="46" spans="1:27" ht="30.6" x14ac:dyDescent="0.4">
      <c r="A46" s="394" t="s">
        <v>387</v>
      </c>
      <c r="B46" s="394" t="s">
        <v>408</v>
      </c>
      <c r="C46" s="394" t="s">
        <v>364</v>
      </c>
      <c r="D46" s="22" t="s">
        <v>78</v>
      </c>
      <c r="E46" s="21" t="s">
        <v>60</v>
      </c>
      <c r="F46" s="28">
        <v>1</v>
      </c>
      <c r="G46" s="22" t="s">
        <v>65</v>
      </c>
      <c r="H46" s="176">
        <f>4*2</f>
        <v>8</v>
      </c>
      <c r="I46" s="177">
        <f>+Travel!$B$11+Travel!$C$12</f>
        <v>153.03503861003861</v>
      </c>
      <c r="J46" s="178">
        <f>H46*$I46*$F46</f>
        <v>1224.2803088803089</v>
      </c>
      <c r="K46" s="176">
        <f>4*2</f>
        <v>8</v>
      </c>
      <c r="L46" s="178">
        <f>+K46*$I46*$F46*$E$6</f>
        <v>1273.2515212355213</v>
      </c>
      <c r="M46" s="176">
        <f>4*2</f>
        <v>8</v>
      </c>
      <c r="N46" s="178">
        <f>+M46*$I46*$F46*$E$6*$E$6</f>
        <v>1324.1815820849422</v>
      </c>
      <c r="O46" s="176">
        <f>4*2</f>
        <v>8</v>
      </c>
      <c r="P46" s="178">
        <f>+O46*$I46*$F46*$E$6*$E$6*$E$6</f>
        <v>1377.1488453683398</v>
      </c>
      <c r="Q46" s="176"/>
      <c r="R46" s="178">
        <f>+Q46*$I46*$F46*$E$6*$E$6*$E$6*$E$6</f>
        <v>0</v>
      </c>
      <c r="S46" s="179">
        <f>SUM(J46+L46+N46+P46+R46)</f>
        <v>5198.8622575691124</v>
      </c>
      <c r="T46" s="177">
        <v>0</v>
      </c>
      <c r="U46" s="180">
        <f>SUM(S46:T46)</f>
        <v>5198.8622575691124</v>
      </c>
      <c r="X46" s="428"/>
      <c r="Y46" s="430"/>
      <c r="Z46" s="431"/>
      <c r="AA46" s="431"/>
    </row>
    <row r="47" spans="1:27" x14ac:dyDescent="0.4">
      <c r="A47" s="394" t="s">
        <v>388</v>
      </c>
      <c r="B47" s="394">
        <v>86000</v>
      </c>
      <c r="C47" s="394" t="s">
        <v>364</v>
      </c>
      <c r="D47" s="22" t="s">
        <v>79</v>
      </c>
      <c r="E47" s="21" t="s">
        <v>60</v>
      </c>
      <c r="F47" s="28">
        <v>1</v>
      </c>
      <c r="G47" s="22" t="s">
        <v>65</v>
      </c>
      <c r="H47" s="176">
        <f>4*2</f>
        <v>8</v>
      </c>
      <c r="I47" s="177">
        <v>50</v>
      </c>
      <c r="J47" s="178">
        <f>H47*$I47*$F47</f>
        <v>400</v>
      </c>
      <c r="K47" s="176">
        <f>4*2</f>
        <v>8</v>
      </c>
      <c r="L47" s="178">
        <f>+K47*$I47*$F47*$E$6</f>
        <v>416</v>
      </c>
      <c r="M47" s="176">
        <f>4*2</f>
        <v>8</v>
      </c>
      <c r="N47" s="178">
        <f>+M47*$I47*$F47*$E$6*$E$6</f>
        <v>432.64</v>
      </c>
      <c r="O47" s="176">
        <f>4*2</f>
        <v>8</v>
      </c>
      <c r="P47" s="178">
        <f>+O47*$I47*$F47*$E$6*$E$6*$E$6</f>
        <v>449.94560000000001</v>
      </c>
      <c r="Q47" s="176"/>
      <c r="R47" s="178">
        <f>+Q47*$I47*$F47*$E$6*$E$6*$E$6*$E$6</f>
        <v>0</v>
      </c>
      <c r="S47" s="179">
        <f>SUM(J47+L47+N47+P47+R47)</f>
        <v>1698.5855999999999</v>
      </c>
      <c r="T47" s="177">
        <v>0</v>
      </c>
      <c r="U47" s="180">
        <f>SUM(S47:T47)</f>
        <v>1698.5855999999999</v>
      </c>
    </row>
    <row r="48" spans="1:27" ht="30.6" x14ac:dyDescent="0.4">
      <c r="A48" s="400"/>
      <c r="B48" s="400"/>
      <c r="C48" s="400"/>
      <c r="D48" s="85" t="s">
        <v>80</v>
      </c>
      <c r="E48" s="119"/>
      <c r="F48" s="165"/>
      <c r="G48" s="85"/>
      <c r="H48" s="217"/>
      <c r="I48" s="218"/>
      <c r="J48" s="219"/>
      <c r="K48" s="218"/>
      <c r="L48" s="219"/>
      <c r="M48" s="217"/>
      <c r="N48" s="219"/>
      <c r="O48" s="217"/>
      <c r="P48" s="219"/>
      <c r="Q48" s="217"/>
      <c r="R48" s="219"/>
      <c r="S48" s="220"/>
      <c r="T48" s="218"/>
      <c r="U48" s="221"/>
    </row>
    <row r="49" spans="1:21" x14ac:dyDescent="0.4">
      <c r="A49" s="394" t="s">
        <v>389</v>
      </c>
      <c r="B49" s="394">
        <v>86040</v>
      </c>
      <c r="C49" s="394" t="s">
        <v>364</v>
      </c>
      <c r="D49" s="22" t="s">
        <v>77</v>
      </c>
      <c r="E49" s="21" t="s">
        <v>60</v>
      </c>
      <c r="F49" s="28">
        <v>1</v>
      </c>
      <c r="G49" s="22" t="s">
        <v>63</v>
      </c>
      <c r="H49" s="176">
        <v>3</v>
      </c>
      <c r="I49" s="177">
        <f>+Travel!$D$11</f>
        <v>363.30878378378378</v>
      </c>
      <c r="J49" s="178">
        <f>H49*$I49*$F49</f>
        <v>1089.9263513513513</v>
      </c>
      <c r="K49" s="176">
        <v>3</v>
      </c>
      <c r="L49" s="178">
        <f>+K49*$I49*$F49*$E$6</f>
        <v>1133.5234054054054</v>
      </c>
      <c r="M49" s="176">
        <v>3</v>
      </c>
      <c r="N49" s="178">
        <f>+M49*$I49*$F49*$E$6*$E$6</f>
        <v>1178.8643416216216</v>
      </c>
      <c r="O49" s="176">
        <v>3</v>
      </c>
      <c r="P49" s="178">
        <f>+O49*$I49*$F49*$E$6*$E$6*$E$6</f>
        <v>1226.0189152864866</v>
      </c>
      <c r="Q49" s="176"/>
      <c r="R49" s="178">
        <f>+Q49*$I49*$F49*$E$6*$E$6*$E$6*$E$6</f>
        <v>0</v>
      </c>
      <c r="S49" s="179">
        <f>SUM(J49+L49+N49+P49+R49)</f>
        <v>4628.3330136648656</v>
      </c>
      <c r="T49" s="177">
        <v>0</v>
      </c>
      <c r="U49" s="180">
        <f>SUM(S49:T49)</f>
        <v>4628.3330136648656</v>
      </c>
    </row>
    <row r="50" spans="1:21" ht="30.6" x14ac:dyDescent="0.4">
      <c r="A50" s="394" t="s">
        <v>390</v>
      </c>
      <c r="B50" s="394" t="s">
        <v>408</v>
      </c>
      <c r="C50" s="394" t="s">
        <v>364</v>
      </c>
      <c r="D50" s="22" t="s">
        <v>78</v>
      </c>
      <c r="E50" s="21" t="s">
        <v>60</v>
      </c>
      <c r="F50" s="28">
        <v>1</v>
      </c>
      <c r="G50" s="22" t="s">
        <v>65</v>
      </c>
      <c r="H50" s="176">
        <f>3*2</f>
        <v>6</v>
      </c>
      <c r="I50" s="177">
        <f>+Travel!$B$11+Travel!$C$12</f>
        <v>153.03503861003861</v>
      </c>
      <c r="J50" s="178">
        <f>H50*$I50*$F50</f>
        <v>918.21023166023167</v>
      </c>
      <c r="K50" s="176">
        <f>3*2</f>
        <v>6</v>
      </c>
      <c r="L50" s="178">
        <f>+K50*$I50*$F50*$E$6</f>
        <v>954.93864092664091</v>
      </c>
      <c r="M50" s="176">
        <f>3*2</f>
        <v>6</v>
      </c>
      <c r="N50" s="178">
        <f>+M50*$I50*$F50*$E$6*$E$6</f>
        <v>993.13618656370659</v>
      </c>
      <c r="O50" s="176">
        <f>3*2</f>
        <v>6</v>
      </c>
      <c r="P50" s="178">
        <f>+O50*$I50*$F50*$E$6*$E$6*$E$6</f>
        <v>1032.8616340262549</v>
      </c>
      <c r="Q50" s="176"/>
      <c r="R50" s="178">
        <f>+Q50*$I50*$F50*$E$6*$E$6*$E$6*$E$6</f>
        <v>0</v>
      </c>
      <c r="S50" s="179">
        <f>SUM(J50+L50+N50+P50+R50)</f>
        <v>3899.1466931768346</v>
      </c>
      <c r="T50" s="177">
        <v>0</v>
      </c>
      <c r="U50" s="180">
        <f>SUM(S50:T50)</f>
        <v>3899.1466931768346</v>
      </c>
    </row>
    <row r="51" spans="1:21" x14ac:dyDescent="0.4">
      <c r="A51" s="394" t="s">
        <v>391</v>
      </c>
      <c r="B51" s="394">
        <v>86000</v>
      </c>
      <c r="C51" s="394" t="s">
        <v>364</v>
      </c>
      <c r="D51" s="22" t="s">
        <v>79</v>
      </c>
      <c r="E51" s="21" t="s">
        <v>60</v>
      </c>
      <c r="F51" s="28">
        <v>1</v>
      </c>
      <c r="G51" s="22" t="s">
        <v>65</v>
      </c>
      <c r="H51" s="176">
        <f>3*2</f>
        <v>6</v>
      </c>
      <c r="I51" s="177">
        <v>50</v>
      </c>
      <c r="J51" s="178">
        <f>H51*$I51*$F51</f>
        <v>300</v>
      </c>
      <c r="K51" s="176">
        <f>3*2</f>
        <v>6</v>
      </c>
      <c r="L51" s="178">
        <f>+K51*$I51*$F51*$E$6</f>
        <v>312</v>
      </c>
      <c r="M51" s="176">
        <f>3*2</f>
        <v>6</v>
      </c>
      <c r="N51" s="178">
        <f>+M51*$I51*$F51*$E$6*$E$6</f>
        <v>324.48</v>
      </c>
      <c r="O51" s="176">
        <f>3*2</f>
        <v>6</v>
      </c>
      <c r="P51" s="178">
        <f>+O51*$I51*$F51*$E$6*$E$6*$E$6</f>
        <v>337.45920000000001</v>
      </c>
      <c r="Q51" s="176"/>
      <c r="R51" s="178">
        <f>+Q51*$I51*$F51*$E$6*$E$6*$E$6*$E$6</f>
        <v>0</v>
      </c>
      <c r="S51" s="179">
        <f>SUM(J51+L51+N51+P51+R51)</f>
        <v>1273.9392</v>
      </c>
      <c r="T51" s="177">
        <v>0</v>
      </c>
      <c r="U51" s="180">
        <f>SUM(S51:T51)</f>
        <v>1273.9392</v>
      </c>
    </row>
    <row r="52" spans="1:21" ht="30.6" x14ac:dyDescent="0.4">
      <c r="A52" s="400"/>
      <c r="B52" s="400"/>
      <c r="C52" s="400"/>
      <c r="D52" s="85" t="s">
        <v>81</v>
      </c>
      <c r="E52" s="119"/>
      <c r="F52" s="165"/>
      <c r="G52" s="85"/>
      <c r="H52" s="217"/>
      <c r="I52" s="218"/>
      <c r="J52" s="219"/>
      <c r="K52" s="218"/>
      <c r="L52" s="219"/>
      <c r="M52" s="217"/>
      <c r="N52" s="219"/>
      <c r="O52" s="217"/>
      <c r="P52" s="219"/>
      <c r="Q52" s="217"/>
      <c r="R52" s="219"/>
      <c r="S52" s="220"/>
      <c r="T52" s="218"/>
      <c r="U52" s="221"/>
    </row>
    <row r="53" spans="1:21" x14ac:dyDescent="0.4">
      <c r="A53" s="394" t="s">
        <v>392</v>
      </c>
      <c r="B53" s="394">
        <v>86040</v>
      </c>
      <c r="C53" s="394" t="s">
        <v>364</v>
      </c>
      <c r="D53" s="22" t="s">
        <v>77</v>
      </c>
      <c r="E53" s="21" t="s">
        <v>60</v>
      </c>
      <c r="F53" s="28">
        <v>1</v>
      </c>
      <c r="G53" s="22" t="s">
        <v>63</v>
      </c>
      <c r="H53" s="176">
        <f>4</f>
        <v>4</v>
      </c>
      <c r="I53" s="177">
        <f>+Travel!$D$11</f>
        <v>363.30878378378378</v>
      </c>
      <c r="J53" s="178">
        <f>H53*$I53*$F53</f>
        <v>1453.2351351351351</v>
      </c>
      <c r="K53" s="176">
        <f>4</f>
        <v>4</v>
      </c>
      <c r="L53" s="178">
        <f>+K53*$I53*$F53*$E$6</f>
        <v>1511.3645405405405</v>
      </c>
      <c r="M53" s="176">
        <f>4</f>
        <v>4</v>
      </c>
      <c r="N53" s="178">
        <f>+M53*$I53*$F53*$E$6*$E$6</f>
        <v>1571.8191221621621</v>
      </c>
      <c r="O53" s="176"/>
      <c r="P53" s="178">
        <f>+O53*$I53*$F53*$E$6*$E$6*$E$6</f>
        <v>0</v>
      </c>
      <c r="Q53" s="176"/>
      <c r="R53" s="178">
        <f>+Q53*$I53*$F53*$E$6*$E$6*$E$6*$E$6</f>
        <v>0</v>
      </c>
      <c r="S53" s="179">
        <f>SUM(J53+L53+N53+P53+R53)</f>
        <v>4536.4187978378377</v>
      </c>
      <c r="T53" s="177">
        <v>0</v>
      </c>
      <c r="U53" s="180">
        <f>SUM(S53:T53)</f>
        <v>4536.4187978378377</v>
      </c>
    </row>
    <row r="54" spans="1:21" ht="30.6" x14ac:dyDescent="0.4">
      <c r="A54" s="394" t="s">
        <v>393</v>
      </c>
      <c r="B54" s="394" t="s">
        <v>408</v>
      </c>
      <c r="C54" s="394" t="s">
        <v>364</v>
      </c>
      <c r="D54" s="22" t="s">
        <v>78</v>
      </c>
      <c r="E54" s="21" t="s">
        <v>60</v>
      </c>
      <c r="F54" s="28">
        <v>1</v>
      </c>
      <c r="G54" s="22" t="s">
        <v>65</v>
      </c>
      <c r="H54" s="176">
        <f>4*2</f>
        <v>8</v>
      </c>
      <c r="I54" s="177">
        <f>+Travel!$B$11+Travel!$C$12</f>
        <v>153.03503861003861</v>
      </c>
      <c r="J54" s="178">
        <f>H54*$I54*$F54</f>
        <v>1224.2803088803089</v>
      </c>
      <c r="K54" s="176">
        <f>4*2</f>
        <v>8</v>
      </c>
      <c r="L54" s="178">
        <f>+K54*$I54*$F54*$E$6</f>
        <v>1273.2515212355213</v>
      </c>
      <c r="M54" s="176">
        <f>4*2</f>
        <v>8</v>
      </c>
      <c r="N54" s="178">
        <f>+M54*$I54*$F54*$E$6*$E$6</f>
        <v>1324.1815820849422</v>
      </c>
      <c r="O54" s="176"/>
      <c r="P54" s="178">
        <f>+O54*$I54*$F54*$E$6*$E$6*$E$6</f>
        <v>0</v>
      </c>
      <c r="Q54" s="176"/>
      <c r="R54" s="178">
        <f>+Q54*$I54*$F54*$E$6*$E$6*$E$6*$E$6</f>
        <v>0</v>
      </c>
      <c r="S54" s="179">
        <f>SUM(J54+L54+N54+P54+R54)</f>
        <v>3821.7134122007728</v>
      </c>
      <c r="T54" s="177">
        <v>0</v>
      </c>
      <c r="U54" s="180">
        <f>SUM(S54:T54)</f>
        <v>3821.7134122007728</v>
      </c>
    </row>
    <row r="55" spans="1:21" x14ac:dyDescent="0.4">
      <c r="A55" s="394" t="s">
        <v>394</v>
      </c>
      <c r="B55" s="394">
        <v>86000</v>
      </c>
      <c r="C55" s="394" t="s">
        <v>364</v>
      </c>
      <c r="D55" s="22" t="s">
        <v>79</v>
      </c>
      <c r="E55" s="21" t="s">
        <v>60</v>
      </c>
      <c r="F55" s="28">
        <v>1</v>
      </c>
      <c r="G55" s="22" t="s">
        <v>65</v>
      </c>
      <c r="H55" s="176">
        <f>4*2</f>
        <v>8</v>
      </c>
      <c r="I55" s="177">
        <v>50</v>
      </c>
      <c r="J55" s="178">
        <f>H55*$I55*$F55</f>
        <v>400</v>
      </c>
      <c r="K55" s="176">
        <f>4*2</f>
        <v>8</v>
      </c>
      <c r="L55" s="178">
        <f>+K55*$I55*$F55*$E$6</f>
        <v>416</v>
      </c>
      <c r="M55" s="176">
        <f>4*2</f>
        <v>8</v>
      </c>
      <c r="N55" s="178">
        <f>+M55*$I55*$F55*$E$6*$E$6</f>
        <v>432.64</v>
      </c>
      <c r="O55" s="176"/>
      <c r="P55" s="178">
        <f>+O55*$I55*$F55*$E$6*$E$6*$E$6</f>
        <v>0</v>
      </c>
      <c r="Q55" s="176"/>
      <c r="R55" s="178">
        <f>+Q55*$I55*$F55*$E$6*$E$6*$E$6*$E$6</f>
        <v>0</v>
      </c>
      <c r="S55" s="179">
        <f>SUM(J55+L55+N55+P55+R55)</f>
        <v>1248.6399999999999</v>
      </c>
      <c r="T55" s="177">
        <v>0</v>
      </c>
      <c r="U55" s="180">
        <f>SUM(S55:T55)</f>
        <v>1248.6399999999999</v>
      </c>
    </row>
    <row r="56" spans="1:21" ht="30.6" x14ac:dyDescent="0.4">
      <c r="A56" s="400"/>
      <c r="B56" s="400"/>
      <c r="C56" s="400"/>
      <c r="D56" s="85" t="s">
        <v>82</v>
      </c>
      <c r="E56" s="119"/>
      <c r="F56" s="165"/>
      <c r="G56" s="85"/>
      <c r="H56" s="217"/>
      <c r="I56" s="218"/>
      <c r="J56" s="219"/>
      <c r="K56" s="218"/>
      <c r="L56" s="219"/>
      <c r="M56" s="217"/>
      <c r="N56" s="219"/>
      <c r="O56" s="217"/>
      <c r="P56" s="219"/>
      <c r="Q56" s="217"/>
      <c r="R56" s="219"/>
      <c r="S56" s="220"/>
      <c r="T56" s="218"/>
      <c r="U56" s="221"/>
    </row>
    <row r="57" spans="1:21" x14ac:dyDescent="0.4">
      <c r="A57" s="394" t="s">
        <v>395</v>
      </c>
      <c r="B57" s="394">
        <v>86040</v>
      </c>
      <c r="C57" s="394" t="s">
        <v>364</v>
      </c>
      <c r="D57" s="22" t="s">
        <v>77</v>
      </c>
      <c r="E57" s="21" t="s">
        <v>60</v>
      </c>
      <c r="F57" s="28">
        <v>1</v>
      </c>
      <c r="G57" s="22" t="s">
        <v>63</v>
      </c>
      <c r="H57" s="176">
        <v>4</v>
      </c>
      <c r="I57" s="177">
        <f>+Travel!$D$11</f>
        <v>363.30878378378378</v>
      </c>
      <c r="J57" s="178">
        <f>H57*$I57*$F57</f>
        <v>1453.2351351351351</v>
      </c>
      <c r="K57" s="177">
        <v>4</v>
      </c>
      <c r="L57" s="178">
        <f>+K57*$I57*$F57*$E$6</f>
        <v>1511.3645405405405</v>
      </c>
      <c r="M57" s="176"/>
      <c r="N57" s="178">
        <f>+M57*$I57*$F57*$E$6*$E$6</f>
        <v>0</v>
      </c>
      <c r="O57" s="176"/>
      <c r="P57" s="178">
        <f>+O57*$I57*$F57*$E$6*$E$6*$E$6</f>
        <v>0</v>
      </c>
      <c r="Q57" s="176"/>
      <c r="R57" s="178">
        <f>+Q57*$I57*$F57*$E$6*$E$6*$E$6*$E$6</f>
        <v>0</v>
      </c>
      <c r="S57" s="179">
        <f>SUM(J57+L57+N57+P57+R57)</f>
        <v>2964.5996756756758</v>
      </c>
      <c r="T57" s="177">
        <v>0</v>
      </c>
      <c r="U57" s="180">
        <f>SUM(S57:T57)</f>
        <v>2964.5996756756758</v>
      </c>
    </row>
    <row r="58" spans="1:21" ht="30.6" x14ac:dyDescent="0.4">
      <c r="A58" s="394" t="s">
        <v>396</v>
      </c>
      <c r="B58" s="394" t="s">
        <v>408</v>
      </c>
      <c r="C58" s="394" t="s">
        <v>364</v>
      </c>
      <c r="D58" s="22" t="s">
        <v>78</v>
      </c>
      <c r="E58" s="21" t="s">
        <v>60</v>
      </c>
      <c r="F58" s="28">
        <v>1</v>
      </c>
      <c r="G58" s="22" t="s">
        <v>65</v>
      </c>
      <c r="H58" s="176">
        <f>4*2</f>
        <v>8</v>
      </c>
      <c r="I58" s="177">
        <f>+Travel!$B$11+Travel!$C$12</f>
        <v>153.03503861003861</v>
      </c>
      <c r="J58" s="178">
        <f>H58*$I58*$F58</f>
        <v>1224.2803088803089</v>
      </c>
      <c r="K58" s="176">
        <f>4*2</f>
        <v>8</v>
      </c>
      <c r="L58" s="178">
        <f>+K58*$I58*$F58*$E$6</f>
        <v>1273.2515212355213</v>
      </c>
      <c r="M58" s="176"/>
      <c r="N58" s="178">
        <f>+M58*$I58*$F58*$E$6*$E$6</f>
        <v>0</v>
      </c>
      <c r="O58" s="176"/>
      <c r="P58" s="178">
        <f>+O58*$I58*$F58*$E$6*$E$6*$E$6</f>
        <v>0</v>
      </c>
      <c r="Q58" s="176"/>
      <c r="R58" s="178">
        <f>+Q58*$I58*$F58*$E$6*$E$6*$E$6*$E$6</f>
        <v>0</v>
      </c>
      <c r="S58" s="179">
        <f>SUM(J58+L58+N58+P58+R58)</f>
        <v>2497.5318301158304</v>
      </c>
      <c r="T58" s="177">
        <v>0</v>
      </c>
      <c r="U58" s="180">
        <f>SUM(S58:T58)</f>
        <v>2497.5318301158304</v>
      </c>
    </row>
    <row r="59" spans="1:21" x14ac:dyDescent="0.4">
      <c r="A59" s="394" t="s">
        <v>397</v>
      </c>
      <c r="B59" s="394">
        <v>86000</v>
      </c>
      <c r="C59" s="394" t="s">
        <v>364</v>
      </c>
      <c r="D59" s="22" t="s">
        <v>79</v>
      </c>
      <c r="E59" s="21" t="s">
        <v>60</v>
      </c>
      <c r="F59" s="28">
        <v>1</v>
      </c>
      <c r="G59" s="22" t="s">
        <v>65</v>
      </c>
      <c r="H59" s="176">
        <f>4*2</f>
        <v>8</v>
      </c>
      <c r="I59" s="177">
        <v>50</v>
      </c>
      <c r="J59" s="178">
        <f>H59*$I59*$F59</f>
        <v>400</v>
      </c>
      <c r="K59" s="176">
        <f>4*2</f>
        <v>8</v>
      </c>
      <c r="L59" s="178">
        <f>+K59*$I59*$F59*$E$6</f>
        <v>416</v>
      </c>
      <c r="M59" s="176"/>
      <c r="N59" s="178">
        <f>+M59*$I59*$F59*$E$6*$E$6</f>
        <v>0</v>
      </c>
      <c r="O59" s="176"/>
      <c r="P59" s="178">
        <f>+O59*$I59*$F59*$E$6*$E$6*$E$6</f>
        <v>0</v>
      </c>
      <c r="Q59" s="176"/>
      <c r="R59" s="178">
        <f>+Q59*$I59*$F59*$E$6*$E$6*$E$6*$E$6</f>
        <v>0</v>
      </c>
      <c r="S59" s="179">
        <f>SUM(J59+L59+N59+P59+R59)</f>
        <v>816</v>
      </c>
      <c r="T59" s="177">
        <v>0</v>
      </c>
      <c r="U59" s="180">
        <f>SUM(S59:T59)</f>
        <v>816</v>
      </c>
    </row>
    <row r="60" spans="1:21" ht="30.6" x14ac:dyDescent="0.4">
      <c r="A60" s="400"/>
      <c r="B60" s="400"/>
      <c r="C60" s="400"/>
      <c r="D60" s="85" t="s">
        <v>83</v>
      </c>
      <c r="E60" s="119"/>
      <c r="F60" s="165"/>
      <c r="G60" s="85"/>
      <c r="H60" s="217"/>
      <c r="I60" s="218"/>
      <c r="J60" s="219"/>
      <c r="K60" s="218"/>
      <c r="L60" s="219"/>
      <c r="M60" s="217"/>
      <c r="N60" s="219"/>
      <c r="O60" s="217"/>
      <c r="P60" s="219"/>
      <c r="Q60" s="217"/>
      <c r="R60" s="219"/>
      <c r="S60" s="220"/>
      <c r="T60" s="218"/>
      <c r="U60" s="221"/>
    </row>
    <row r="61" spans="1:21" s="339" customFormat="1" x14ac:dyDescent="0.4">
      <c r="A61" s="401" t="s">
        <v>398</v>
      </c>
      <c r="B61" s="394">
        <v>86040</v>
      </c>
      <c r="C61" s="394" t="s">
        <v>364</v>
      </c>
      <c r="D61" s="370" t="s">
        <v>77</v>
      </c>
      <c r="E61" s="363" t="s">
        <v>60</v>
      </c>
      <c r="F61" s="374">
        <v>1</v>
      </c>
      <c r="G61" s="370" t="s">
        <v>63</v>
      </c>
      <c r="H61" s="367">
        <v>0</v>
      </c>
      <c r="I61" s="365">
        <f>+Travel!B36</f>
        <v>795.89948519948518</v>
      </c>
      <c r="J61" s="366">
        <f>H61*$I61*$F61</f>
        <v>0</v>
      </c>
      <c r="K61" s="367">
        <f>2*2</f>
        <v>4</v>
      </c>
      <c r="L61" s="366">
        <f>+K61*$I61*$F61</f>
        <v>3183.5979407979407</v>
      </c>
      <c r="M61" s="367">
        <f>2*2</f>
        <v>4</v>
      </c>
      <c r="N61" s="366">
        <f>+M61*$I61*$F61*$E$6</f>
        <v>3310.9418584298583</v>
      </c>
      <c r="O61" s="367">
        <f>2*2</f>
        <v>4</v>
      </c>
      <c r="P61" s="366">
        <f>+O61*$I61*$F61*$E$6*$E$6</f>
        <v>3443.3795327670528</v>
      </c>
      <c r="Q61" s="367"/>
      <c r="R61" s="366">
        <f>+Q61*$I61*$F61*$E$6*$E$6*$E$6*$E$6</f>
        <v>0</v>
      </c>
      <c r="S61" s="368">
        <f>SUM(J61+L61+N61+P61+R61)</f>
        <v>9937.9193319948517</v>
      </c>
      <c r="T61" s="365">
        <v>0</v>
      </c>
      <c r="U61" s="369">
        <f>SUM(S61:T61)</f>
        <v>9937.9193319948517</v>
      </c>
    </row>
    <row r="62" spans="1:21" s="339" customFormat="1" ht="30.6" x14ac:dyDescent="0.4">
      <c r="A62" s="401" t="s">
        <v>399</v>
      </c>
      <c r="B62" s="394" t="s">
        <v>408</v>
      </c>
      <c r="C62" s="394" t="s">
        <v>364</v>
      </c>
      <c r="D62" s="370" t="s">
        <v>78</v>
      </c>
      <c r="E62" s="363" t="s">
        <v>60</v>
      </c>
      <c r="F62" s="374">
        <v>1</v>
      </c>
      <c r="G62" s="370" t="s">
        <v>65</v>
      </c>
      <c r="H62" s="367">
        <v>0</v>
      </c>
      <c r="I62" s="365">
        <f>+Travel!B19+Travel!B20</f>
        <v>231.31891891891894</v>
      </c>
      <c r="J62" s="366">
        <f>H62*$I62*$F62</f>
        <v>0</v>
      </c>
      <c r="K62" s="365">
        <f>2*2*3</f>
        <v>12</v>
      </c>
      <c r="L62" s="366">
        <f t="shared" ref="L62:L63" si="0">+K62*$I62*$F62</f>
        <v>2775.8270270270273</v>
      </c>
      <c r="M62" s="365">
        <f>2*2*3</f>
        <v>12</v>
      </c>
      <c r="N62" s="366">
        <f t="shared" ref="N62:N63" si="1">+M62*$I62*$F62*$E$6</f>
        <v>2886.8601081081083</v>
      </c>
      <c r="O62" s="365">
        <f>2*2*3</f>
        <v>12</v>
      </c>
      <c r="P62" s="366">
        <f t="shared" ref="P62:P63" si="2">+O62*$I62*$F62*$E$6*$E$6</f>
        <v>3002.3345124324328</v>
      </c>
      <c r="Q62" s="367"/>
      <c r="R62" s="366">
        <f>+Q62*$I62*$F62*$E$6*$E$6*$E$6*$E$6</f>
        <v>0</v>
      </c>
      <c r="S62" s="368">
        <f>SUM(J62+L62+N62+P62+R62)</f>
        <v>8665.0216475675679</v>
      </c>
      <c r="T62" s="365">
        <v>0</v>
      </c>
      <c r="U62" s="369">
        <f>SUM(S62:T62)</f>
        <v>8665.0216475675679</v>
      </c>
    </row>
    <row r="63" spans="1:21" s="339" customFormat="1" x14ac:dyDescent="0.4">
      <c r="A63" s="401" t="s">
        <v>400</v>
      </c>
      <c r="B63" s="394">
        <v>86000</v>
      </c>
      <c r="C63" s="394" t="s">
        <v>364</v>
      </c>
      <c r="D63" s="370" t="s">
        <v>79</v>
      </c>
      <c r="E63" s="363" t="s">
        <v>60</v>
      </c>
      <c r="F63" s="374">
        <v>1</v>
      </c>
      <c r="G63" s="370" t="s">
        <v>65</v>
      </c>
      <c r="H63" s="367">
        <v>0</v>
      </c>
      <c r="I63" s="365">
        <v>50</v>
      </c>
      <c r="J63" s="366">
        <f>H63*$I63*$F63</f>
        <v>0</v>
      </c>
      <c r="K63" s="365">
        <f>2*2*3</f>
        <v>12</v>
      </c>
      <c r="L63" s="366">
        <f t="shared" si="0"/>
        <v>600</v>
      </c>
      <c r="M63" s="365">
        <f>2*2*3</f>
        <v>12</v>
      </c>
      <c r="N63" s="366">
        <f t="shared" si="1"/>
        <v>624</v>
      </c>
      <c r="O63" s="365">
        <f>2*2*3</f>
        <v>12</v>
      </c>
      <c r="P63" s="366">
        <f t="shared" si="2"/>
        <v>648.96</v>
      </c>
      <c r="Q63" s="367"/>
      <c r="R63" s="366">
        <f>+Q63*$I63*$F63*$E$6*$E$6*$E$6*$E$6</f>
        <v>0</v>
      </c>
      <c r="S63" s="368">
        <f>SUM(J63+L63+N63+P63+R63)</f>
        <v>1872.96</v>
      </c>
      <c r="T63" s="365">
        <v>0</v>
      </c>
      <c r="U63" s="369">
        <f>SUM(S63:T63)</f>
        <v>1872.96</v>
      </c>
    </row>
    <row r="64" spans="1:21" x14ac:dyDescent="0.4">
      <c r="A64" s="400"/>
      <c r="B64" s="400"/>
      <c r="C64" s="400"/>
      <c r="D64" s="85" t="s">
        <v>84</v>
      </c>
      <c r="E64" s="119"/>
      <c r="F64" s="165"/>
      <c r="G64" s="85"/>
      <c r="H64" s="217"/>
      <c r="I64" s="218"/>
      <c r="J64" s="219"/>
      <c r="K64" s="218"/>
      <c r="L64" s="219"/>
      <c r="M64" s="217"/>
      <c r="N64" s="219"/>
      <c r="O64" s="217"/>
      <c r="P64" s="219"/>
      <c r="Q64" s="217"/>
      <c r="R64" s="219"/>
      <c r="S64" s="220"/>
      <c r="T64" s="218"/>
      <c r="U64" s="221"/>
    </row>
    <row r="65" spans="1:21" x14ac:dyDescent="0.4">
      <c r="A65" s="394" t="s">
        <v>401</v>
      </c>
      <c r="B65" s="394">
        <v>86040</v>
      </c>
      <c r="C65" s="394" t="s">
        <v>364</v>
      </c>
      <c r="D65" s="22" t="s">
        <v>77</v>
      </c>
      <c r="E65" s="21" t="s">
        <v>60</v>
      </c>
      <c r="F65" s="28">
        <v>1</v>
      </c>
      <c r="G65" s="22" t="s">
        <v>63</v>
      </c>
      <c r="H65" s="176">
        <v>0</v>
      </c>
      <c r="I65" s="177">
        <f>+Travel!$D$11</f>
        <v>363.30878378378378</v>
      </c>
      <c r="J65" s="178">
        <f>H65*$I65*$F65</f>
        <v>0</v>
      </c>
      <c r="K65" s="177">
        <v>4</v>
      </c>
      <c r="L65" s="178">
        <f>+K65*$I65*$F65*$E$6</f>
        <v>1511.3645405405405</v>
      </c>
      <c r="M65" s="176">
        <v>4</v>
      </c>
      <c r="N65" s="178">
        <f>+M65*$I65*$F65*$E$6*$E$6</f>
        <v>1571.8191221621621</v>
      </c>
      <c r="O65" s="176">
        <v>4</v>
      </c>
      <c r="P65" s="178">
        <f>+O65*$I65*$F65*$E$6*$E$6*$E$6</f>
        <v>1634.6918870486486</v>
      </c>
      <c r="Q65" s="176"/>
      <c r="R65" s="178">
        <f>+Q65*$I65*$F65*$E$6*$E$6*$E$6*$E$6</f>
        <v>0</v>
      </c>
      <c r="S65" s="179">
        <f>SUM(J65+L65+N65+P65+R65)</f>
        <v>4717.8755497513512</v>
      </c>
      <c r="T65" s="177">
        <v>0</v>
      </c>
      <c r="U65" s="180">
        <f>SUM(S65:T65)</f>
        <v>4717.8755497513512</v>
      </c>
    </row>
    <row r="66" spans="1:21" ht="30.6" x14ac:dyDescent="0.4">
      <c r="A66" s="394" t="s">
        <v>402</v>
      </c>
      <c r="B66" s="394" t="s">
        <v>408</v>
      </c>
      <c r="C66" s="394" t="s">
        <v>364</v>
      </c>
      <c r="D66" s="22" t="s">
        <v>78</v>
      </c>
      <c r="E66" s="21" t="s">
        <v>60</v>
      </c>
      <c r="F66" s="28">
        <v>1</v>
      </c>
      <c r="G66" s="22" t="s">
        <v>65</v>
      </c>
      <c r="H66" s="176">
        <v>0</v>
      </c>
      <c r="I66" s="177">
        <f>+Travel!$B$11+Travel!$C$12</f>
        <v>153.03503861003861</v>
      </c>
      <c r="J66" s="178">
        <f>H66*$I66*$F66</f>
        <v>0</v>
      </c>
      <c r="K66" s="176">
        <f>4*2</f>
        <v>8</v>
      </c>
      <c r="L66" s="178">
        <f>+K66*$I66*$F66*$E$6</f>
        <v>1273.2515212355213</v>
      </c>
      <c r="M66" s="176">
        <f>4*2</f>
        <v>8</v>
      </c>
      <c r="N66" s="178">
        <f>+M66*$I66*$F66*$E$6*$E$6</f>
        <v>1324.1815820849422</v>
      </c>
      <c r="O66" s="176">
        <f>4*2</f>
        <v>8</v>
      </c>
      <c r="P66" s="178">
        <f>+O66*$I66*$F66*$E$6*$E$6*$E$6</f>
        <v>1377.1488453683398</v>
      </c>
      <c r="Q66" s="176"/>
      <c r="R66" s="178">
        <f>+Q66*$I66*$F66*$E$6*$E$6*$E$6*$E$6</f>
        <v>0</v>
      </c>
      <c r="S66" s="179">
        <f>SUM(J66+L66+N66+P66+R66)</f>
        <v>3974.5819486888031</v>
      </c>
      <c r="T66" s="177">
        <v>0</v>
      </c>
      <c r="U66" s="180">
        <f>SUM(S66:T66)</f>
        <v>3974.5819486888031</v>
      </c>
    </row>
    <row r="67" spans="1:21" x14ac:dyDescent="0.4">
      <c r="A67" s="394" t="s">
        <v>403</v>
      </c>
      <c r="B67" s="394">
        <v>86000</v>
      </c>
      <c r="C67" s="394" t="s">
        <v>364</v>
      </c>
      <c r="D67" s="22" t="s">
        <v>79</v>
      </c>
      <c r="E67" s="21" t="s">
        <v>60</v>
      </c>
      <c r="F67" s="28">
        <v>1</v>
      </c>
      <c r="G67" s="22" t="s">
        <v>65</v>
      </c>
      <c r="H67" s="176">
        <v>0</v>
      </c>
      <c r="I67" s="177">
        <v>50</v>
      </c>
      <c r="J67" s="178">
        <f>H67*$I67*$F67</f>
        <v>0</v>
      </c>
      <c r="K67" s="176">
        <f>4*2</f>
        <v>8</v>
      </c>
      <c r="L67" s="178">
        <f>+K67*$I67*$F67*$E$6</f>
        <v>416</v>
      </c>
      <c r="M67" s="176">
        <f>4*2</f>
        <v>8</v>
      </c>
      <c r="N67" s="178">
        <f>+M67*$I67*$F67*$E$6*$E$6</f>
        <v>432.64</v>
      </c>
      <c r="O67" s="176">
        <f>4*2</f>
        <v>8</v>
      </c>
      <c r="P67" s="178">
        <f>+O67*$I67*$F67*$E$6*$E$6*$E$6</f>
        <v>449.94560000000001</v>
      </c>
      <c r="Q67" s="176"/>
      <c r="R67" s="178">
        <f>+Q67*$I67*$F67*$E$6*$E$6*$E$6*$E$6</f>
        <v>0</v>
      </c>
      <c r="S67" s="179">
        <f>SUM(J67+L67+N67+P67+R67)</f>
        <v>1298.5855999999999</v>
      </c>
      <c r="T67" s="177">
        <v>0</v>
      </c>
      <c r="U67" s="180">
        <f>SUM(S67:T67)</f>
        <v>1298.5855999999999</v>
      </c>
    </row>
    <row r="68" spans="1:21" s="86" customFormat="1" ht="30.6" x14ac:dyDescent="0.4">
      <c r="A68" s="400"/>
      <c r="B68" s="400"/>
      <c r="C68" s="400"/>
      <c r="D68" s="85" t="s">
        <v>85</v>
      </c>
      <c r="E68" s="119"/>
      <c r="F68" s="165"/>
      <c r="G68" s="85"/>
      <c r="H68" s="217"/>
      <c r="I68" s="218"/>
      <c r="J68" s="219"/>
      <c r="K68" s="218"/>
      <c r="L68" s="219"/>
      <c r="M68" s="217"/>
      <c r="N68" s="219"/>
      <c r="O68" s="217"/>
      <c r="P68" s="219"/>
      <c r="Q68" s="217"/>
      <c r="R68" s="219"/>
      <c r="S68" s="220"/>
      <c r="T68" s="218"/>
      <c r="U68" s="221"/>
    </row>
    <row r="69" spans="1:21" s="339" customFormat="1" x14ac:dyDescent="0.4">
      <c r="A69" s="402" t="s">
        <v>404</v>
      </c>
      <c r="B69" s="394">
        <v>86040</v>
      </c>
      <c r="C69" s="394" t="s">
        <v>364</v>
      </c>
      <c r="D69" s="363" t="s">
        <v>86</v>
      </c>
      <c r="E69" s="363" t="s">
        <v>87</v>
      </c>
      <c r="F69" s="364">
        <v>1</v>
      </c>
      <c r="G69" s="370" t="s">
        <v>63</v>
      </c>
      <c r="H69" s="367">
        <f>H45*8</f>
        <v>32</v>
      </c>
      <c r="I69" s="365">
        <f>+Travel!$D$11</f>
        <v>363.30878378378378</v>
      </c>
      <c r="J69" s="366">
        <f>H69*$I69*$F69</f>
        <v>11625.881081081081</v>
      </c>
      <c r="K69" s="367">
        <f>K45*12</f>
        <v>48</v>
      </c>
      <c r="L69" s="366">
        <f>+K69*$I69*$F69*$E$6</f>
        <v>18136.374486486486</v>
      </c>
      <c r="M69" s="367">
        <f>M45*10</f>
        <v>40</v>
      </c>
      <c r="N69" s="366">
        <f>+M69*$I69*$F69*$E$6*$E$6</f>
        <v>15718.191221621624</v>
      </c>
      <c r="O69" s="367">
        <f>O45*10</f>
        <v>40</v>
      </c>
      <c r="P69" s="366">
        <f>+O69*$I69*$F69*$E$6*$E$6*$E$6</f>
        <v>16346.91887048649</v>
      </c>
      <c r="Q69" s="367"/>
      <c r="R69" s="366">
        <f>+Q69*$I69*$F69*$E$6*$E$6*$E$6*$E$6</f>
        <v>0</v>
      </c>
      <c r="S69" s="368">
        <f>SUM(J69+L69+N69+P69+R69)</f>
        <v>61827.365659675677</v>
      </c>
      <c r="T69" s="365">
        <v>0</v>
      </c>
      <c r="U69" s="369">
        <f>SUM(S69:T69)</f>
        <v>61827.365659675677</v>
      </c>
    </row>
    <row r="70" spans="1:21" s="339" customFormat="1" ht="30.6" x14ac:dyDescent="0.4">
      <c r="A70" s="402" t="s">
        <v>405</v>
      </c>
      <c r="B70" s="394" t="s">
        <v>408</v>
      </c>
      <c r="C70" s="394" t="s">
        <v>364</v>
      </c>
      <c r="D70" s="363" t="s">
        <v>88</v>
      </c>
      <c r="E70" s="363" t="s">
        <v>87</v>
      </c>
      <c r="F70" s="364">
        <v>1</v>
      </c>
      <c r="G70" s="370" t="s">
        <v>65</v>
      </c>
      <c r="H70" s="367">
        <f>H46*8</f>
        <v>64</v>
      </c>
      <c r="I70" s="365">
        <f>+Travel!$B$11+Travel!$C$12</f>
        <v>153.03503861003861</v>
      </c>
      <c r="J70" s="366">
        <f>H70*$I70*$F70</f>
        <v>9794.2424710424712</v>
      </c>
      <c r="K70" s="367">
        <f>K46*12</f>
        <v>96</v>
      </c>
      <c r="L70" s="366">
        <f>+K70*$I70*$F70*$E$6</f>
        <v>15279.018254826255</v>
      </c>
      <c r="M70" s="367">
        <f>M46*10</f>
        <v>80</v>
      </c>
      <c r="N70" s="366">
        <f>+M70*$I70*$F70*$E$6*$E$6</f>
        <v>13241.815820849421</v>
      </c>
      <c r="O70" s="367">
        <f>O46*10</f>
        <v>80</v>
      </c>
      <c r="P70" s="366">
        <f>+O70*$I70*$F70*$E$6*$E$6*$E$6</f>
        <v>13771.488453683398</v>
      </c>
      <c r="Q70" s="367"/>
      <c r="R70" s="366">
        <f>+Q70*$I70*$F70*$E$6*$E$6*$E$6*$E$6</f>
        <v>0</v>
      </c>
      <c r="S70" s="368">
        <f>SUM(J70+L70+N70+P70+R70)</f>
        <v>52086.565000401548</v>
      </c>
      <c r="T70" s="365">
        <v>0</v>
      </c>
      <c r="U70" s="369">
        <f>SUM(S70:T70)</f>
        <v>52086.565000401548</v>
      </c>
    </row>
    <row r="71" spans="1:21" s="339" customFormat="1" x14ac:dyDescent="0.4">
      <c r="A71" s="402" t="s">
        <v>406</v>
      </c>
      <c r="B71" s="394">
        <v>86000</v>
      </c>
      <c r="C71" s="394" t="s">
        <v>364</v>
      </c>
      <c r="D71" s="363" t="s">
        <v>89</v>
      </c>
      <c r="E71" s="363" t="s">
        <v>87</v>
      </c>
      <c r="F71" s="364">
        <v>1</v>
      </c>
      <c r="G71" s="370" t="s">
        <v>65</v>
      </c>
      <c r="H71" s="367">
        <f>H47*8</f>
        <v>64</v>
      </c>
      <c r="I71" s="365">
        <v>50</v>
      </c>
      <c r="J71" s="366">
        <f>H71*$I71*$F71</f>
        <v>3200</v>
      </c>
      <c r="K71" s="367">
        <f>K47*12</f>
        <v>96</v>
      </c>
      <c r="L71" s="366">
        <f>+K71*$I71*$F71*$E$6</f>
        <v>4992</v>
      </c>
      <c r="M71" s="367">
        <f>M47*10</f>
        <v>80</v>
      </c>
      <c r="N71" s="366">
        <f>+M71*$I71*$F71*$E$6*$E$6</f>
        <v>4326.4000000000005</v>
      </c>
      <c r="O71" s="367">
        <f>O47*10</f>
        <v>80</v>
      </c>
      <c r="P71" s="366">
        <f>+O71*$I71*$F71*$E$6*$E$6*$E$6</f>
        <v>4499.456000000001</v>
      </c>
      <c r="Q71" s="367"/>
      <c r="R71" s="366">
        <f>+Q71*$I71*$F71*$E$6*$E$6*$E$6*$E$6</f>
        <v>0</v>
      </c>
      <c r="S71" s="368">
        <f>SUM(J71+L71+N71+P71+R71)</f>
        <v>17017.856000000003</v>
      </c>
      <c r="T71" s="365">
        <v>0</v>
      </c>
      <c r="U71" s="369">
        <f>SUM(S71:T71)</f>
        <v>17017.856000000003</v>
      </c>
    </row>
    <row r="72" spans="1:21" s="339" customFormat="1" ht="30.6" x14ac:dyDescent="0.4">
      <c r="A72" s="402" t="s">
        <v>407</v>
      </c>
      <c r="B72" s="401" t="s">
        <v>409</v>
      </c>
      <c r="C72" s="394" t="s">
        <v>364</v>
      </c>
      <c r="D72" s="363" t="s">
        <v>90</v>
      </c>
      <c r="E72" s="363" t="s">
        <v>87</v>
      </c>
      <c r="F72" s="364">
        <v>1</v>
      </c>
      <c r="G72" s="370" t="s">
        <v>91</v>
      </c>
      <c r="H72" s="367">
        <f>+H69</f>
        <v>32</v>
      </c>
      <c r="I72" s="365">
        <v>50</v>
      </c>
      <c r="J72" s="366">
        <f>H72*$I72*$F72</f>
        <v>1600</v>
      </c>
      <c r="K72" s="367">
        <f>+K69</f>
        <v>48</v>
      </c>
      <c r="L72" s="366">
        <f>+K72*$I72*$F72*$E$6</f>
        <v>2496</v>
      </c>
      <c r="M72" s="367">
        <f>+M69</f>
        <v>40</v>
      </c>
      <c r="N72" s="366">
        <f>+M72*$I72*$F72*$E$6*$E$6</f>
        <v>2163.2000000000003</v>
      </c>
      <c r="O72" s="367">
        <f>+O69</f>
        <v>40</v>
      </c>
      <c r="P72" s="366">
        <f>+O72*$I72*$F72*$E$6*$E$6*$E$6</f>
        <v>2249.7280000000005</v>
      </c>
      <c r="Q72" s="367"/>
      <c r="R72" s="366">
        <f>+Q72*$I72*$F72*$E$6*$E$6*$E$6*$E$6</f>
        <v>0</v>
      </c>
      <c r="S72" s="368">
        <f>SUM(J72+L72+N72+P72+R72)</f>
        <v>8508.9280000000017</v>
      </c>
      <c r="T72" s="365">
        <v>0</v>
      </c>
      <c r="U72" s="369">
        <f>SUM(S72:T72)</f>
        <v>8508.9280000000017</v>
      </c>
    </row>
    <row r="73" spans="1:21" x14ac:dyDescent="0.4">
      <c r="A73" s="400"/>
      <c r="B73" s="400"/>
      <c r="C73" s="400"/>
      <c r="D73" s="85" t="s">
        <v>92</v>
      </c>
      <c r="E73" s="119"/>
      <c r="F73" s="165"/>
      <c r="G73" s="85"/>
      <c r="H73" s="217"/>
      <c r="I73" s="218"/>
      <c r="J73" s="219"/>
      <c r="K73" s="218"/>
      <c r="L73" s="219"/>
      <c r="M73" s="217"/>
      <c r="N73" s="219"/>
      <c r="O73" s="217"/>
      <c r="P73" s="219"/>
      <c r="Q73" s="217"/>
      <c r="R73" s="219"/>
      <c r="S73" s="220"/>
      <c r="T73" s="218"/>
      <c r="U73" s="221"/>
    </row>
    <row r="74" spans="1:21" x14ac:dyDescent="0.4">
      <c r="A74" s="394" t="s">
        <v>457</v>
      </c>
      <c r="B74" s="394">
        <v>86040</v>
      </c>
      <c r="C74" s="394" t="s">
        <v>364</v>
      </c>
      <c r="D74" s="22" t="s">
        <v>93</v>
      </c>
      <c r="E74" s="21" t="s">
        <v>60</v>
      </c>
      <c r="F74" s="258">
        <v>1</v>
      </c>
      <c r="G74" s="22" t="s">
        <v>63</v>
      </c>
      <c r="H74" s="176">
        <f>((3+2)*4)</f>
        <v>20</v>
      </c>
      <c r="I74" s="177">
        <f>+Travel!$D$11</f>
        <v>363.30878378378378</v>
      </c>
      <c r="J74" s="178">
        <f>H74*$I74*$F74</f>
        <v>7266.1756756756758</v>
      </c>
      <c r="K74" s="177"/>
      <c r="L74" s="178">
        <f>+K74*$I74*$F74*$E$6</f>
        <v>0</v>
      </c>
      <c r="M74" s="176"/>
      <c r="N74" s="178">
        <f>+M74*$I74*$F74*$E$6*$E$6</f>
        <v>0</v>
      </c>
      <c r="O74" s="176"/>
      <c r="P74" s="178">
        <f>+O74*$I74*$F74*$E$6*$E$6*$E$6</f>
        <v>0</v>
      </c>
      <c r="Q74" s="176"/>
      <c r="R74" s="178">
        <f>+Q74*$I74*$F74*$E$6*$E$6*$E$6*$E$6</f>
        <v>0</v>
      </c>
      <c r="S74" s="179">
        <f>SUM(J74+L74+N74+P74+R74)</f>
        <v>7266.1756756756758</v>
      </c>
      <c r="T74" s="177">
        <v>0</v>
      </c>
      <c r="U74" s="180">
        <f>SUM(S74:T74)</f>
        <v>7266.1756756756758</v>
      </c>
    </row>
    <row r="75" spans="1:21" ht="30.6" x14ac:dyDescent="0.4">
      <c r="A75" s="399" t="s">
        <v>458</v>
      </c>
      <c r="B75" s="394" t="s">
        <v>408</v>
      </c>
      <c r="C75" s="394" t="s">
        <v>364</v>
      </c>
      <c r="D75" s="21" t="s">
        <v>88</v>
      </c>
      <c r="E75" s="21" t="s">
        <v>87</v>
      </c>
      <c r="F75" s="101">
        <v>1</v>
      </c>
      <c r="G75" s="22" t="s">
        <v>65</v>
      </c>
      <c r="H75" s="176">
        <f>((3+2)*4)*2</f>
        <v>40</v>
      </c>
      <c r="I75" s="177">
        <f>+Travel!$B$11+Travel!$C$12</f>
        <v>153.03503861003861</v>
      </c>
      <c r="J75" s="178">
        <f>H75*$I75*$F75</f>
        <v>6121.401544401544</v>
      </c>
      <c r="K75" s="177"/>
      <c r="L75" s="178">
        <f>+K75*$I75*$F75*$E$6</f>
        <v>0</v>
      </c>
      <c r="M75" s="176"/>
      <c r="N75" s="178">
        <f>+M75*$I75*$F75*$E$6*$E$6</f>
        <v>0</v>
      </c>
      <c r="O75" s="176"/>
      <c r="P75" s="178">
        <f>+O75*$I75*$F75*$E$6*$E$6*$E$6</f>
        <v>0</v>
      </c>
      <c r="Q75" s="176"/>
      <c r="R75" s="178">
        <f>+Q75*$I75*$F75*$E$6*$E$6*$E$6*$E$6</f>
        <v>0</v>
      </c>
      <c r="S75" s="179">
        <f>SUM(J75+L75+N75+P75+R75)</f>
        <v>6121.401544401544</v>
      </c>
      <c r="T75" s="177">
        <v>0</v>
      </c>
      <c r="U75" s="180">
        <f>SUM(S75:T75)</f>
        <v>6121.401544401544</v>
      </c>
    </row>
    <row r="76" spans="1:21" x14ac:dyDescent="0.4">
      <c r="A76" s="399" t="s">
        <v>459</v>
      </c>
      <c r="B76" s="394">
        <v>86000</v>
      </c>
      <c r="C76" s="394" t="s">
        <v>364</v>
      </c>
      <c r="D76" s="21" t="s">
        <v>89</v>
      </c>
      <c r="E76" s="21" t="s">
        <v>87</v>
      </c>
      <c r="F76" s="101">
        <v>1</v>
      </c>
      <c r="G76" s="22" t="s">
        <v>65</v>
      </c>
      <c r="H76" s="176">
        <f>((3+2)*4)*2</f>
        <v>40</v>
      </c>
      <c r="I76" s="177">
        <v>50</v>
      </c>
      <c r="J76" s="178">
        <f>H76*$I76*$F76</f>
        <v>2000</v>
      </c>
      <c r="K76" s="177"/>
      <c r="L76" s="178">
        <f>+K76*$I76*$F76*$E$6</f>
        <v>0</v>
      </c>
      <c r="M76" s="176"/>
      <c r="N76" s="178">
        <f>+M76*$I76*$F76*$E$6*$E$6</f>
        <v>0</v>
      </c>
      <c r="O76" s="176"/>
      <c r="P76" s="178">
        <f>+O76*$I76*$F76*$E$6*$E$6*$E$6</f>
        <v>0</v>
      </c>
      <c r="Q76" s="176"/>
      <c r="R76" s="178">
        <f>+Q76*$I76*$F76*$E$6*$E$6*$E$6*$E$6</f>
        <v>0</v>
      </c>
      <c r="S76" s="179">
        <f>SUM(J76+L76+N76+P76+R76)</f>
        <v>2000</v>
      </c>
      <c r="T76" s="177">
        <v>0</v>
      </c>
      <c r="U76" s="180">
        <f>SUM(S76:T76)</f>
        <v>2000</v>
      </c>
    </row>
    <row r="77" spans="1:21" ht="15.6" thickBot="1" x14ac:dyDescent="0.45">
      <c r="A77" s="397"/>
      <c r="B77" s="396"/>
      <c r="C77" s="397"/>
      <c r="D77" s="153" t="s">
        <v>94</v>
      </c>
      <c r="E77" s="153"/>
      <c r="F77" s="153"/>
      <c r="G77" s="154"/>
      <c r="H77" s="197"/>
      <c r="I77" s="198"/>
      <c r="J77" s="199">
        <f>SUM(J31:J76)</f>
        <v>62289.57287644787</v>
      </c>
      <c r="K77" s="198"/>
      <c r="L77" s="199">
        <f>SUM(L31:L76)</f>
        <v>71787.780759330752</v>
      </c>
      <c r="M77" s="197"/>
      <c r="N77" s="199">
        <f>SUM(N31:N76)</f>
        <v>64240.729876962672</v>
      </c>
      <c r="O77" s="197"/>
      <c r="P77" s="199">
        <f>SUM(P31:P76)</f>
        <v>63348.5727396242</v>
      </c>
      <c r="Q77" s="197"/>
      <c r="R77" s="199">
        <f>SUM(R31:R76)</f>
        <v>10261.050754352433</v>
      </c>
      <c r="S77" s="199">
        <f>SUM(S31:S76)</f>
        <v>271927.70700671797</v>
      </c>
      <c r="T77" s="198">
        <f>SUM(T31:T76)</f>
        <v>0</v>
      </c>
      <c r="U77" s="200">
        <f>SUM(U31:U76)</f>
        <v>271927.70700671797</v>
      </c>
    </row>
    <row r="78" spans="1:21" hidden="1" x14ac:dyDescent="0.4">
      <c r="A78" s="392"/>
      <c r="B78" s="384"/>
      <c r="C78" s="392"/>
      <c r="D78" s="16" t="s">
        <v>95</v>
      </c>
      <c r="E78" s="16"/>
      <c r="F78" s="16"/>
      <c r="G78" s="16"/>
      <c r="H78" s="188"/>
      <c r="I78" s="189"/>
      <c r="J78" s="190"/>
      <c r="K78" s="191"/>
      <c r="L78" s="191"/>
      <c r="M78" s="192"/>
      <c r="N78" s="191"/>
      <c r="O78" s="192"/>
      <c r="P78" s="191"/>
      <c r="Q78" s="192"/>
      <c r="R78" s="191"/>
      <c r="S78" s="193"/>
      <c r="T78" s="191"/>
      <c r="U78" s="194"/>
    </row>
    <row r="79" spans="1:21" hidden="1" x14ac:dyDescent="0.4">
      <c r="A79" s="399" t="s">
        <v>96</v>
      </c>
      <c r="B79" s="399" t="s">
        <v>96</v>
      </c>
      <c r="C79" s="399" t="s">
        <v>96</v>
      </c>
      <c r="D79" s="21" t="s">
        <v>96</v>
      </c>
      <c r="E79" s="22" t="s">
        <v>95</v>
      </c>
      <c r="F79" s="22"/>
      <c r="G79" s="21" t="s">
        <v>91</v>
      </c>
      <c r="H79" s="176">
        <v>0</v>
      </c>
      <c r="I79" s="177">
        <v>0</v>
      </c>
      <c r="J79" s="178">
        <f>H79*$I79*$F79</f>
        <v>0</v>
      </c>
      <c r="K79" s="177">
        <v>0</v>
      </c>
      <c r="L79" s="178">
        <f>+K79*$I79*$F79*$E$6</f>
        <v>0</v>
      </c>
      <c r="M79" s="176">
        <v>0</v>
      </c>
      <c r="N79" s="178">
        <f>+M79*$I79*$F79*$E$6*$E$6</f>
        <v>0</v>
      </c>
      <c r="O79" s="176">
        <v>0</v>
      </c>
      <c r="P79" s="178">
        <f>+O79*$I79*$F79*$E$6*$E$6*$E$6</f>
        <v>0</v>
      </c>
      <c r="Q79" s="176">
        <v>0</v>
      </c>
      <c r="R79" s="178">
        <f>+Q79*$I79*$F79*$E$6*$E$6*$E$6*$E$6</f>
        <v>0</v>
      </c>
      <c r="S79" s="179">
        <f>SUM(J79+L79+N79+P79+R79)</f>
        <v>0</v>
      </c>
      <c r="T79" s="177">
        <v>0</v>
      </c>
      <c r="U79" s="180">
        <f>SUM(S79:T79)</f>
        <v>0</v>
      </c>
    </row>
    <row r="80" spans="1:21" ht="15.6" hidden="1" thickBot="1" x14ac:dyDescent="0.45">
      <c r="A80" s="397"/>
      <c r="B80" s="396"/>
      <c r="C80" s="397"/>
      <c r="D80" s="153" t="s">
        <v>97</v>
      </c>
      <c r="E80" s="153"/>
      <c r="F80" s="153"/>
      <c r="G80" s="154"/>
      <c r="H80" s="197"/>
      <c r="I80" s="198"/>
      <c r="J80" s="199">
        <f>SUM(J79)</f>
        <v>0</v>
      </c>
      <c r="K80" s="198"/>
      <c r="L80" s="199">
        <f>SUM(L79)</f>
        <v>0</v>
      </c>
      <c r="M80" s="197"/>
      <c r="N80" s="199">
        <f>SUM(N79)</f>
        <v>0</v>
      </c>
      <c r="O80" s="197"/>
      <c r="P80" s="199">
        <f>SUM(P79)</f>
        <v>0</v>
      </c>
      <c r="Q80" s="197"/>
      <c r="R80" s="199">
        <f>SUM(R79)</f>
        <v>0</v>
      </c>
      <c r="S80" s="199">
        <f>SUM(S79)</f>
        <v>0</v>
      </c>
      <c r="T80" s="198">
        <f>SUM(T79:T79)</f>
        <v>0</v>
      </c>
      <c r="U80" s="200">
        <f>SUM(S80:T80)</f>
        <v>0</v>
      </c>
    </row>
    <row r="81" spans="1:21" x14ac:dyDescent="0.4">
      <c r="A81" s="392"/>
      <c r="B81" s="384"/>
      <c r="C81" s="392"/>
      <c r="D81" s="16" t="s">
        <v>98</v>
      </c>
      <c r="E81" s="16"/>
      <c r="F81" s="16"/>
      <c r="G81" s="16"/>
      <c r="H81" s="188"/>
      <c r="I81" s="189"/>
      <c r="J81" s="190"/>
      <c r="K81" s="191"/>
      <c r="L81" s="191"/>
      <c r="M81" s="192"/>
      <c r="N81" s="191"/>
      <c r="O81" s="192"/>
      <c r="P81" s="191"/>
      <c r="Q81" s="192"/>
      <c r="R81" s="191"/>
      <c r="S81" s="193"/>
      <c r="T81" s="191"/>
      <c r="U81" s="194"/>
    </row>
    <row r="82" spans="1:21" x14ac:dyDescent="0.4">
      <c r="A82" s="399" t="s">
        <v>410</v>
      </c>
      <c r="B82" s="394">
        <v>82401</v>
      </c>
      <c r="C82" s="399" t="s">
        <v>412</v>
      </c>
      <c r="D82" s="21" t="s">
        <v>99</v>
      </c>
      <c r="E82" s="22" t="s">
        <v>98</v>
      </c>
      <c r="F82" s="101">
        <v>1</v>
      </c>
      <c r="G82" s="21" t="s">
        <v>91</v>
      </c>
      <c r="H82" s="176">
        <v>8</v>
      </c>
      <c r="I82" s="222">
        <v>1100</v>
      </c>
      <c r="J82" s="178">
        <f>H82*$I82*$F82</f>
        <v>8800</v>
      </c>
      <c r="K82" s="177">
        <v>0</v>
      </c>
      <c r="L82" s="178">
        <f>+K82*$I82*$F82*$E$6</f>
        <v>0</v>
      </c>
      <c r="M82" s="176">
        <v>0</v>
      </c>
      <c r="N82" s="178">
        <f>+M82*$I82*$F82*$E$6*$E$6</f>
        <v>0</v>
      </c>
      <c r="O82" s="176">
        <v>0</v>
      </c>
      <c r="P82" s="178">
        <f>+O82*$I82*$F82*$E$6*$E$6*$E$6</f>
        <v>0</v>
      </c>
      <c r="Q82" s="176">
        <v>0</v>
      </c>
      <c r="R82" s="178">
        <f>+Q82*$I82*$F82*$E$6*$E$6*$E$6*$E$6</f>
        <v>0</v>
      </c>
      <c r="S82" s="179">
        <f>SUM(J82+L82+N82+P82+R82)</f>
        <v>8800</v>
      </c>
      <c r="T82" s="177">
        <v>0</v>
      </c>
      <c r="U82" s="180">
        <f>SUM(S82:T82)</f>
        <v>8800</v>
      </c>
    </row>
    <row r="83" spans="1:21" x14ac:dyDescent="0.4">
      <c r="A83" s="394" t="s">
        <v>411</v>
      </c>
      <c r="B83" s="394">
        <v>82401</v>
      </c>
      <c r="C83" s="399" t="s">
        <v>412</v>
      </c>
      <c r="D83" s="22" t="s">
        <v>100</v>
      </c>
      <c r="E83" s="22" t="s">
        <v>98</v>
      </c>
      <c r="F83" s="101">
        <v>1</v>
      </c>
      <c r="G83" s="22" t="s">
        <v>43</v>
      </c>
      <c r="H83" s="176">
        <v>6</v>
      </c>
      <c r="I83" s="177">
        <v>150</v>
      </c>
      <c r="J83" s="178">
        <f>H83*$I83*$F83</f>
        <v>900</v>
      </c>
      <c r="K83" s="177">
        <v>12</v>
      </c>
      <c r="L83" s="178">
        <f>+K83*$I83*$F83*$E$6</f>
        <v>1872</v>
      </c>
      <c r="M83" s="176">
        <v>12</v>
      </c>
      <c r="N83" s="178">
        <f>+M83*$I83*$F83*$E$6*$E$6</f>
        <v>1946.88</v>
      </c>
      <c r="O83" s="176">
        <v>12</v>
      </c>
      <c r="P83" s="178">
        <f>+O83*$I83*$F83*$E$6*$E$6*$E$6</f>
        <v>2024.7552000000003</v>
      </c>
      <c r="Q83" s="176">
        <v>6</v>
      </c>
      <c r="R83" s="178">
        <f>+Q83*$I83*$F83*$E$6*$E$6*$E$6*$E$6</f>
        <v>1052.8727040000001</v>
      </c>
      <c r="S83" s="179">
        <f>SUM(J83+L83+N83+P83+R83)</f>
        <v>7796.507904000001</v>
      </c>
      <c r="T83" s="177">
        <v>0</v>
      </c>
      <c r="U83" s="180">
        <f>SUM(S83:T83)</f>
        <v>7796.507904000001</v>
      </c>
    </row>
    <row r="84" spans="1:21" x14ac:dyDescent="0.4">
      <c r="A84" s="394" t="s">
        <v>413</v>
      </c>
      <c r="B84" s="394">
        <v>82401</v>
      </c>
      <c r="C84" s="399" t="s">
        <v>412</v>
      </c>
      <c r="D84" s="22" t="s">
        <v>101</v>
      </c>
      <c r="E84" s="22" t="s">
        <v>98</v>
      </c>
      <c r="F84" s="101">
        <v>1</v>
      </c>
      <c r="G84" s="22" t="s">
        <v>91</v>
      </c>
      <c r="H84" s="176">
        <v>1</v>
      </c>
      <c r="I84" s="177">
        <v>502</v>
      </c>
      <c r="J84" s="178">
        <f>H84*$I84*$F84</f>
        <v>502</v>
      </c>
      <c r="K84" s="177"/>
      <c r="L84" s="178">
        <f>+K84*$I84*$F84*$E$6</f>
        <v>0</v>
      </c>
      <c r="M84" s="176"/>
      <c r="N84" s="178">
        <f>+M84*$I84*$F84*$E$6*$E$6</f>
        <v>0</v>
      </c>
      <c r="O84" s="176"/>
      <c r="P84" s="178">
        <f>+O84*$I84*$F84*$E$6*$E$6*$E$6</f>
        <v>0</v>
      </c>
      <c r="Q84" s="176"/>
      <c r="R84" s="178">
        <f>+Q84*$I84*$F84*$E$6*$E$6*$E$6*$E$6</f>
        <v>0</v>
      </c>
      <c r="S84" s="179">
        <f>SUM(J84+L84+N84+P84+R84)</f>
        <v>502</v>
      </c>
      <c r="T84" s="177">
        <v>0</v>
      </c>
      <c r="U84" s="180">
        <f>SUM(S84:T84)</f>
        <v>502</v>
      </c>
    </row>
    <row r="85" spans="1:21" ht="15.6" thickBot="1" x14ac:dyDescent="0.45">
      <c r="A85" s="396"/>
      <c r="B85" s="396"/>
      <c r="C85" s="396"/>
      <c r="D85" s="155" t="s">
        <v>102</v>
      </c>
      <c r="E85" s="155"/>
      <c r="F85" s="155"/>
      <c r="G85" s="153"/>
      <c r="H85" s="225"/>
      <c r="I85" s="226"/>
      <c r="J85" s="227">
        <f>SUM(J82:J84)</f>
        <v>10202</v>
      </c>
      <c r="K85" s="228"/>
      <c r="L85" s="227">
        <f>SUM(L82:L84)</f>
        <v>1872</v>
      </c>
      <c r="M85" s="229"/>
      <c r="N85" s="227">
        <f>SUM(N82:N84)</f>
        <v>1946.88</v>
      </c>
      <c r="O85" s="229"/>
      <c r="P85" s="227">
        <f>SUM(P82:P84)</f>
        <v>2024.7552000000003</v>
      </c>
      <c r="Q85" s="229"/>
      <c r="R85" s="227">
        <f>SUM(R82:R84)</f>
        <v>1052.8727040000001</v>
      </c>
      <c r="S85" s="227">
        <f>SUM(S82:S84)</f>
        <v>17098.507904000002</v>
      </c>
      <c r="T85" s="229">
        <f>SUM(T82:T84)</f>
        <v>0</v>
      </c>
      <c r="U85" s="230">
        <f>SUM(U82:U84)</f>
        <v>17098.507904000002</v>
      </c>
    </row>
    <row r="86" spans="1:21" x14ac:dyDescent="0.4">
      <c r="A86" s="403"/>
      <c r="B86" s="413"/>
      <c r="C86" s="403"/>
      <c r="D86" s="80" t="s">
        <v>103</v>
      </c>
      <c r="E86" s="81"/>
      <c r="F86" s="81"/>
      <c r="G86" s="81"/>
      <c r="H86" s="231"/>
      <c r="I86" s="232"/>
      <c r="J86" s="233"/>
      <c r="K86" s="232"/>
      <c r="L86" s="232"/>
      <c r="M86" s="231"/>
      <c r="N86" s="232"/>
      <c r="O86" s="231"/>
      <c r="P86" s="232"/>
      <c r="Q86" s="231"/>
      <c r="R86" s="232"/>
      <c r="S86" s="234"/>
      <c r="T86" s="232"/>
      <c r="U86" s="235"/>
    </row>
    <row r="87" spans="1:21" x14ac:dyDescent="0.4">
      <c r="A87" s="393"/>
      <c r="B87" s="393"/>
      <c r="C87" s="393"/>
      <c r="D87" s="65" t="s">
        <v>104</v>
      </c>
      <c r="E87" s="65"/>
      <c r="F87" s="65"/>
      <c r="G87" s="66"/>
      <c r="H87" s="67"/>
      <c r="I87" s="65"/>
      <c r="J87" s="68"/>
      <c r="K87" s="69"/>
      <c r="L87" s="69"/>
      <c r="M87" s="70"/>
      <c r="N87" s="69"/>
      <c r="O87" s="70"/>
      <c r="P87" s="69"/>
      <c r="Q87" s="70"/>
      <c r="R87" s="69"/>
      <c r="S87" s="71"/>
      <c r="T87" s="69"/>
      <c r="U87" s="72"/>
    </row>
    <row r="88" spans="1:21" x14ac:dyDescent="0.4">
      <c r="A88" s="394" t="s">
        <v>414</v>
      </c>
      <c r="B88" s="394">
        <v>89050</v>
      </c>
      <c r="C88" s="394" t="s">
        <v>364</v>
      </c>
      <c r="D88" s="22" t="s">
        <v>105</v>
      </c>
      <c r="E88" s="22" t="s">
        <v>106</v>
      </c>
      <c r="F88" s="101">
        <v>1</v>
      </c>
      <c r="G88" s="22" t="s">
        <v>106</v>
      </c>
      <c r="H88" s="176">
        <v>1</v>
      </c>
      <c r="I88" s="177">
        <v>0</v>
      </c>
      <c r="J88" s="178">
        <f>+'FES Sub Budget'!G67</f>
        <v>56712.321299999996</v>
      </c>
      <c r="K88" s="177">
        <v>1</v>
      </c>
      <c r="L88" s="177">
        <f>+'FES Sub Budget'!I67</f>
        <v>246791.01560362935</v>
      </c>
      <c r="M88" s="176">
        <v>1</v>
      </c>
      <c r="N88" s="177">
        <f>+'FES Sub Budget'!K67</f>
        <v>288227.19489037455</v>
      </c>
      <c r="O88" s="176">
        <v>1</v>
      </c>
      <c r="P88" s="177">
        <f>+'FES Sub Budget'!M67</f>
        <v>207741.29856991768</v>
      </c>
      <c r="Q88" s="176">
        <v>1</v>
      </c>
      <c r="R88" s="177">
        <f>+'FES Sub Budget'!O67</f>
        <v>0</v>
      </c>
      <c r="S88" s="179">
        <f>SUM(J88+L88+N88+P88+R88)</f>
        <v>799471.83036392159</v>
      </c>
      <c r="T88" s="177">
        <v>0</v>
      </c>
      <c r="U88" s="180">
        <f>SUM(S88:T88)</f>
        <v>799471.83036392159</v>
      </c>
    </row>
    <row r="89" spans="1:21" x14ac:dyDescent="0.4">
      <c r="A89" s="394" t="s">
        <v>415</v>
      </c>
      <c r="B89" s="394">
        <v>89050</v>
      </c>
      <c r="C89" s="394" t="s">
        <v>364</v>
      </c>
      <c r="D89" s="22" t="s">
        <v>107</v>
      </c>
      <c r="E89" s="22" t="s">
        <v>106</v>
      </c>
      <c r="F89" s="101">
        <v>1</v>
      </c>
      <c r="G89" s="22" t="s">
        <v>106</v>
      </c>
      <c r="H89" s="176">
        <v>1</v>
      </c>
      <c r="I89" s="177">
        <v>0</v>
      </c>
      <c r="J89" s="178">
        <f>+'ITAM Sub Budget'!G113</f>
        <v>234615.23799999998</v>
      </c>
      <c r="K89" s="177">
        <v>1</v>
      </c>
      <c r="L89" s="177">
        <f>+'ITAM Sub Budget'!I113</f>
        <v>936794.826</v>
      </c>
      <c r="M89" s="176">
        <v>1</v>
      </c>
      <c r="N89" s="177">
        <f>+'ITAM Sub Budget'!K113</f>
        <v>849217.9169320002</v>
      </c>
      <c r="O89" s="176">
        <v>1</v>
      </c>
      <c r="P89" s="177">
        <f>+'ITAM Sub Budget'!M113</f>
        <v>608499.29993380001</v>
      </c>
      <c r="Q89" s="176">
        <v>1</v>
      </c>
      <c r="R89" s="177">
        <f>+'ITAM Sub Budget'!O113</f>
        <v>0</v>
      </c>
      <c r="S89" s="179">
        <f>SUM(J89+L89+N89+P89+R89)</f>
        <v>2629127.2808658001</v>
      </c>
      <c r="T89" s="177">
        <v>0</v>
      </c>
      <c r="U89" s="180">
        <f>SUM(S89:T89)</f>
        <v>2629127.2808658001</v>
      </c>
    </row>
    <row r="90" spans="1:21" x14ac:dyDescent="0.4">
      <c r="A90" s="393"/>
      <c r="B90" s="393"/>
      <c r="C90" s="393"/>
      <c r="D90" s="65" t="s">
        <v>108</v>
      </c>
      <c r="E90" s="65"/>
      <c r="F90" s="65"/>
      <c r="G90" s="66"/>
      <c r="H90" s="67"/>
      <c r="I90" s="65"/>
      <c r="J90" s="68"/>
      <c r="K90" s="69"/>
      <c r="L90" s="69"/>
      <c r="M90" s="70"/>
      <c r="N90" s="69"/>
      <c r="O90" s="70"/>
      <c r="P90" s="69"/>
      <c r="Q90" s="70"/>
      <c r="R90" s="69"/>
      <c r="S90" s="71"/>
      <c r="T90" s="69"/>
      <c r="U90" s="72"/>
    </row>
    <row r="91" spans="1:21" ht="30.6" x14ac:dyDescent="0.4">
      <c r="A91" s="394" t="s">
        <v>416</v>
      </c>
      <c r="B91" s="394" t="s">
        <v>417</v>
      </c>
      <c r="C91" s="394" t="s">
        <v>364</v>
      </c>
      <c r="D91" s="22" t="s">
        <v>109</v>
      </c>
      <c r="E91" s="22" t="s">
        <v>110</v>
      </c>
      <c r="F91" s="101">
        <v>1</v>
      </c>
      <c r="G91" s="22" t="s">
        <v>110</v>
      </c>
      <c r="H91" s="176">
        <v>8</v>
      </c>
      <c r="I91" s="177">
        <v>3000</v>
      </c>
      <c r="J91" s="178">
        <f>H91*$I91*$F91</f>
        <v>24000</v>
      </c>
      <c r="K91" s="177">
        <v>12</v>
      </c>
      <c r="L91" s="178">
        <f>+K91*$I91*$F91*$E$6</f>
        <v>37440</v>
      </c>
      <c r="M91" s="176">
        <v>12</v>
      </c>
      <c r="N91" s="178">
        <f>+M91*$I91*$F91*$E$6*$E$6</f>
        <v>38937.599999999999</v>
      </c>
      <c r="O91" s="176">
        <v>12</v>
      </c>
      <c r="P91" s="178">
        <f>+O91*$I91*$F91*$E$6*$E$6*$E$6</f>
        <v>40495.103999999999</v>
      </c>
      <c r="Q91" s="176">
        <v>3</v>
      </c>
      <c r="R91" s="178">
        <f>+Q91*$I91*$F91*$E$6*$E$6*$E$6*$E$6</f>
        <v>10528.72704</v>
      </c>
      <c r="S91" s="179">
        <f>SUM(J91+L91+N91+P91+R91)</f>
        <v>151401.43104</v>
      </c>
      <c r="T91" s="177">
        <v>0</v>
      </c>
      <c r="U91" s="180">
        <f>SUM(S91:T91)</f>
        <v>151401.43104</v>
      </c>
    </row>
    <row r="92" spans="1:21" ht="30.6" x14ac:dyDescent="0.4">
      <c r="A92" s="394" t="s">
        <v>420</v>
      </c>
      <c r="B92" s="394" t="s">
        <v>417</v>
      </c>
      <c r="C92" s="394" t="s">
        <v>364</v>
      </c>
      <c r="D92" s="22" t="s">
        <v>111</v>
      </c>
      <c r="E92" s="22" t="s">
        <v>110</v>
      </c>
      <c r="F92" s="101">
        <v>1</v>
      </c>
      <c r="G92" s="22" t="s">
        <v>110</v>
      </c>
      <c r="H92" s="176">
        <v>5</v>
      </c>
      <c r="I92" s="177">
        <v>20000</v>
      </c>
      <c r="J92" s="178">
        <f>H92*$I92*$F92</f>
        <v>100000</v>
      </c>
      <c r="K92" s="177">
        <v>5</v>
      </c>
      <c r="L92" s="178">
        <f>+K92*$I92*$F92*$E$6</f>
        <v>104000</v>
      </c>
      <c r="M92" s="176"/>
      <c r="N92" s="178">
        <f>+M92*$I92*$F92*$E$6*$E$6</f>
        <v>0</v>
      </c>
      <c r="O92" s="176"/>
      <c r="P92" s="178">
        <f>+O92*$I92*$F92*$E$6*$E$6*$E$6</f>
        <v>0</v>
      </c>
      <c r="Q92" s="176"/>
      <c r="R92" s="178">
        <f>+Q92*$I92*$F92*$E$6*$E$6*$E$6*$E$6</f>
        <v>0</v>
      </c>
      <c r="S92" s="179">
        <f>SUM(J92+L92+N92+P92+R92)</f>
        <v>204000</v>
      </c>
      <c r="T92" s="177">
        <v>0</v>
      </c>
      <c r="U92" s="180">
        <f>SUM(S92:T92)</f>
        <v>204000</v>
      </c>
    </row>
    <row r="93" spans="1:21" ht="30.6" x14ac:dyDescent="0.4">
      <c r="A93" s="394" t="s">
        <v>421</v>
      </c>
      <c r="B93" s="394" t="s">
        <v>417</v>
      </c>
      <c r="C93" s="394" t="s">
        <v>364</v>
      </c>
      <c r="D93" s="22" t="s">
        <v>112</v>
      </c>
      <c r="E93" s="22" t="s">
        <v>110</v>
      </c>
      <c r="F93" s="101">
        <v>1</v>
      </c>
      <c r="G93" s="22" t="s">
        <v>110</v>
      </c>
      <c r="H93" s="176"/>
      <c r="I93" s="177">
        <v>20000</v>
      </c>
      <c r="J93" s="178">
        <f>H93*$I93*$F93</f>
        <v>0</v>
      </c>
      <c r="K93" s="177">
        <v>1</v>
      </c>
      <c r="L93" s="365">
        <f>+K93*$I93*$F93</f>
        <v>20000</v>
      </c>
      <c r="M93" s="176"/>
      <c r="N93" s="178">
        <f>+M93*$I93*$F93*$E$6*$E$6</f>
        <v>0</v>
      </c>
      <c r="O93" s="176"/>
      <c r="P93" s="178">
        <f>+O93*$I93*$F93*$E$6*$E$6*$E$6</f>
        <v>0</v>
      </c>
      <c r="Q93" s="176"/>
      <c r="R93" s="178">
        <f>+Q93*$I93*$F93*$E$6*$E$6*$E$6*$E$6</f>
        <v>0</v>
      </c>
      <c r="S93" s="179">
        <f>SUM(J93+L93+N93+P93+R93)</f>
        <v>20000</v>
      </c>
      <c r="T93" s="177">
        <v>0</v>
      </c>
      <c r="U93" s="180">
        <f>SUM(S93:T93)</f>
        <v>20000</v>
      </c>
    </row>
    <row r="94" spans="1:21" s="339" customFormat="1" x14ac:dyDescent="0.4">
      <c r="A94" s="402" t="s">
        <v>418</v>
      </c>
      <c r="B94" s="401">
        <v>81010</v>
      </c>
      <c r="C94" s="394" t="s">
        <v>364</v>
      </c>
      <c r="D94" s="363" t="s">
        <v>113</v>
      </c>
      <c r="E94" s="363" t="s">
        <v>87</v>
      </c>
      <c r="F94" s="364">
        <v>1</v>
      </c>
      <c r="G94" s="375" t="s">
        <v>114</v>
      </c>
      <c r="H94" s="365"/>
      <c r="I94" s="365">
        <v>35000</v>
      </c>
      <c r="J94" s="366">
        <f>H94*$I94*$F94</f>
        <v>0</v>
      </c>
      <c r="K94" s="365"/>
      <c r="L94" s="366">
        <f>+K94*$I94*$F94*$E$6</f>
        <v>0</v>
      </c>
      <c r="M94" s="367">
        <v>1</v>
      </c>
      <c r="N94" s="366">
        <f>+M94*$I94*$F94</f>
        <v>35000</v>
      </c>
      <c r="O94" s="367"/>
      <c r="P94" s="366">
        <f>+O94*$I94*$F94*$E$6*$E$6*$E$6</f>
        <v>0</v>
      </c>
      <c r="Q94" s="367"/>
      <c r="R94" s="366">
        <f>+Q94*$I94*$F94*$E$6*$E$6*$E$6*$E$6</f>
        <v>0</v>
      </c>
      <c r="S94" s="368">
        <f>SUM(J94+L94+N94+P94+R94)</f>
        <v>35000</v>
      </c>
      <c r="T94" s="365">
        <v>0</v>
      </c>
      <c r="U94" s="369">
        <f>SUM(S94:T94)</f>
        <v>35000</v>
      </c>
    </row>
    <row r="95" spans="1:21" s="339" customFormat="1" x14ac:dyDescent="0.4">
      <c r="A95" s="402" t="s">
        <v>419</v>
      </c>
      <c r="B95" s="401">
        <v>81010</v>
      </c>
      <c r="C95" s="394" t="s">
        <v>364</v>
      </c>
      <c r="D95" s="363" t="s">
        <v>115</v>
      </c>
      <c r="E95" s="363" t="s">
        <v>87</v>
      </c>
      <c r="F95" s="364">
        <v>1</v>
      </c>
      <c r="G95" s="375" t="s">
        <v>114</v>
      </c>
      <c r="H95" s="365"/>
      <c r="I95" s="365">
        <v>35000</v>
      </c>
      <c r="J95" s="366">
        <f>H95*$I95*$F95</f>
        <v>0</v>
      </c>
      <c r="K95" s="365"/>
      <c r="L95" s="366">
        <f>+K95*$I95*$F95*$E$6</f>
        <v>0</v>
      </c>
      <c r="M95" s="367"/>
      <c r="N95" s="366">
        <f>+M95*$I95*$F95*$E$6*$E$6</f>
        <v>0</v>
      </c>
      <c r="O95" s="367"/>
      <c r="P95" s="366">
        <f>+O95*$I95*$F95*$E$6*$E$6*$E$6</f>
        <v>0</v>
      </c>
      <c r="Q95" s="367">
        <v>1</v>
      </c>
      <c r="R95" s="366">
        <f>+Q95*$I95*$F95</f>
        <v>35000</v>
      </c>
      <c r="S95" s="368">
        <f>SUM(J95+L95+N95+P95+R95)</f>
        <v>35000</v>
      </c>
      <c r="T95" s="365">
        <v>0</v>
      </c>
      <c r="U95" s="369">
        <f>SUM(S95:T95)</f>
        <v>35000</v>
      </c>
    </row>
    <row r="96" spans="1:21" ht="15.6" thickBot="1" x14ac:dyDescent="0.45">
      <c r="A96" s="396"/>
      <c r="B96" s="396"/>
      <c r="C96" s="396"/>
      <c r="D96" s="155" t="s">
        <v>116</v>
      </c>
      <c r="E96" s="155"/>
      <c r="F96" s="155"/>
      <c r="G96" s="153"/>
      <c r="H96" s="225"/>
      <c r="I96" s="226"/>
      <c r="J96" s="227">
        <f>SUM(J88:J95)</f>
        <v>415327.55929999996</v>
      </c>
      <c r="K96" s="228"/>
      <c r="L96" s="227">
        <f>SUM(L88:L95)</f>
        <v>1345025.8416036293</v>
      </c>
      <c r="M96" s="229"/>
      <c r="N96" s="227">
        <f>SUM(N88:N95)</f>
        <v>1211382.7118223747</v>
      </c>
      <c r="O96" s="229"/>
      <c r="P96" s="227">
        <f>SUM(P88:P95)</f>
        <v>856735.70250371774</v>
      </c>
      <c r="Q96" s="229"/>
      <c r="R96" s="227">
        <f>SUM(R88:R95)</f>
        <v>45528.727039999998</v>
      </c>
      <c r="S96" s="227">
        <f>SUM(S88:S95)</f>
        <v>3874000.5422697216</v>
      </c>
      <c r="T96" s="228">
        <f>SUM(T88:T95)</f>
        <v>0</v>
      </c>
      <c r="U96" s="200">
        <f>SUM(U88:U95)</f>
        <v>3874000.5422697216</v>
      </c>
    </row>
    <row r="97" spans="1:21" hidden="1" x14ac:dyDescent="0.4">
      <c r="A97" s="392"/>
      <c r="B97" s="384"/>
      <c r="C97" s="392"/>
      <c r="D97" s="16" t="s">
        <v>117</v>
      </c>
      <c r="E97" s="16"/>
      <c r="F97" s="16"/>
      <c r="G97" s="16"/>
      <c r="H97" s="188"/>
      <c r="I97" s="189"/>
      <c r="J97" s="190"/>
      <c r="K97" s="191"/>
      <c r="L97" s="191"/>
      <c r="M97" s="192"/>
      <c r="N97" s="191"/>
      <c r="O97" s="192"/>
      <c r="P97" s="191"/>
      <c r="Q97" s="192"/>
      <c r="R97" s="191"/>
      <c r="S97" s="193"/>
      <c r="T97" s="191"/>
      <c r="U97" s="194"/>
    </row>
    <row r="98" spans="1:21" hidden="1" x14ac:dyDescent="0.4">
      <c r="A98" s="399" t="s">
        <v>96</v>
      </c>
      <c r="B98" s="399" t="s">
        <v>96</v>
      </c>
      <c r="C98" s="399" t="s">
        <v>96</v>
      </c>
      <c r="D98" s="21" t="s">
        <v>96</v>
      </c>
      <c r="E98" s="22" t="s">
        <v>117</v>
      </c>
      <c r="F98" s="22"/>
      <c r="G98" s="21" t="s">
        <v>91</v>
      </c>
      <c r="H98" s="176">
        <v>0</v>
      </c>
      <c r="I98" s="177">
        <v>0</v>
      </c>
      <c r="J98" s="178">
        <f>H98*$I98*$F98</f>
        <v>0</v>
      </c>
      <c r="K98" s="177">
        <v>0</v>
      </c>
      <c r="L98" s="178">
        <f>+K98*$I98*$F98*$E$6</f>
        <v>0</v>
      </c>
      <c r="M98" s="176">
        <v>0</v>
      </c>
      <c r="N98" s="178">
        <f>+M98*$I98*$F98*$E$6*$E$6</f>
        <v>0</v>
      </c>
      <c r="O98" s="176">
        <v>0</v>
      </c>
      <c r="P98" s="178">
        <f>+O98*$I98*$F98*$E$6*$E$6*$E$6</f>
        <v>0</v>
      </c>
      <c r="Q98" s="176">
        <v>0</v>
      </c>
      <c r="R98" s="178">
        <f>+Q98*$I98*$F98*$E$6*$E$6*$E$6*$E$6</f>
        <v>0</v>
      </c>
      <c r="S98" s="179">
        <f>SUM(J98+L98+N98+P98+R98)</f>
        <v>0</v>
      </c>
      <c r="T98" s="177">
        <v>0</v>
      </c>
      <c r="U98" s="180">
        <f>SUM(S98:T98)</f>
        <v>0</v>
      </c>
    </row>
    <row r="99" spans="1:21" ht="15.6" hidden="1" thickBot="1" x14ac:dyDescent="0.45">
      <c r="A99" s="397"/>
      <c r="B99" s="396"/>
      <c r="C99" s="397"/>
      <c r="D99" s="153" t="s">
        <v>118</v>
      </c>
      <c r="E99" s="153"/>
      <c r="F99" s="153"/>
      <c r="G99" s="154"/>
      <c r="H99" s="197"/>
      <c r="I99" s="198"/>
      <c r="J99" s="199">
        <f>SUM(J98)</f>
        <v>0</v>
      </c>
      <c r="K99" s="198"/>
      <c r="L99" s="199">
        <f>SUM(L98)</f>
        <v>0</v>
      </c>
      <c r="M99" s="197"/>
      <c r="N99" s="199">
        <f>SUM(N98)</f>
        <v>0</v>
      </c>
      <c r="O99" s="197"/>
      <c r="P99" s="199">
        <f>SUM(P98)</f>
        <v>0</v>
      </c>
      <c r="Q99" s="197"/>
      <c r="R99" s="199">
        <f>SUM(R98)</f>
        <v>0</v>
      </c>
      <c r="S99" s="199">
        <f>SUM(S98)</f>
        <v>0</v>
      </c>
      <c r="T99" s="198">
        <f>SUM(T98:T98)</f>
        <v>0</v>
      </c>
      <c r="U99" s="200">
        <f>SUM(S99:T99)</f>
        <v>0</v>
      </c>
    </row>
    <row r="100" spans="1:21" x14ac:dyDescent="0.4">
      <c r="A100" s="403"/>
      <c r="B100" s="413"/>
      <c r="C100" s="403"/>
      <c r="D100" s="80" t="s">
        <v>119</v>
      </c>
      <c r="E100" s="81"/>
      <c r="F100" s="81"/>
      <c r="G100" s="81"/>
      <c r="H100" s="231"/>
      <c r="I100" s="232"/>
      <c r="J100" s="233"/>
      <c r="K100" s="232"/>
      <c r="L100" s="232"/>
      <c r="M100" s="231"/>
      <c r="N100" s="232"/>
      <c r="O100" s="231"/>
      <c r="P100" s="232"/>
      <c r="Q100" s="231"/>
      <c r="R100" s="232"/>
      <c r="S100" s="234"/>
      <c r="T100" s="232"/>
      <c r="U100" s="235"/>
    </row>
    <row r="101" spans="1:21" x14ac:dyDescent="0.4">
      <c r="A101" s="398"/>
      <c r="B101" s="405"/>
      <c r="C101" s="398"/>
      <c r="D101" s="82" t="s">
        <v>120</v>
      </c>
      <c r="E101" s="83"/>
      <c r="F101" s="83"/>
      <c r="G101" s="83"/>
      <c r="H101" s="236"/>
      <c r="I101" s="237"/>
      <c r="J101" s="238"/>
      <c r="K101" s="239"/>
      <c r="L101" s="239"/>
      <c r="M101" s="240"/>
      <c r="N101" s="239"/>
      <c r="O101" s="240"/>
      <c r="P101" s="239"/>
      <c r="Q101" s="240"/>
      <c r="R101" s="239"/>
      <c r="S101" s="220"/>
      <c r="T101" s="239"/>
      <c r="U101" s="221"/>
    </row>
    <row r="102" spans="1:21" x14ac:dyDescent="0.4">
      <c r="A102" s="394" t="s">
        <v>423</v>
      </c>
      <c r="B102" s="394">
        <v>90900</v>
      </c>
      <c r="C102" s="399" t="s">
        <v>412</v>
      </c>
      <c r="D102" s="22" t="s">
        <v>121</v>
      </c>
      <c r="E102" s="22" t="s">
        <v>122</v>
      </c>
      <c r="F102" s="101">
        <v>1</v>
      </c>
      <c r="G102" s="22" t="s">
        <v>43</v>
      </c>
      <c r="H102" s="176">
        <v>12</v>
      </c>
      <c r="I102" s="177">
        <v>500</v>
      </c>
      <c r="J102" s="178">
        <f t="shared" ref="J102:J109" si="3">H102*$I102*$F102</f>
        <v>6000</v>
      </c>
      <c r="K102" s="177">
        <v>12</v>
      </c>
      <c r="L102" s="178">
        <f t="shared" ref="L102:L109" si="4">+K102*$I102*$F102*$E$6</f>
        <v>6240</v>
      </c>
      <c r="M102" s="176">
        <v>12</v>
      </c>
      <c r="N102" s="178">
        <f t="shared" ref="N102:N109" si="5">+M102*$I102*$F102*$E$6*$E$6</f>
        <v>6489.6</v>
      </c>
      <c r="O102" s="176">
        <v>12</v>
      </c>
      <c r="P102" s="178">
        <f t="shared" ref="P102:P109" si="6">+O102*$I102*$F102*$E$6*$E$6*$E$6</f>
        <v>6749.1840000000002</v>
      </c>
      <c r="Q102" s="176">
        <v>6</v>
      </c>
      <c r="R102" s="178">
        <f t="shared" ref="R102:R109" si="7">+Q102*$I102*$F102*$E$6*$E$6*$E$6*$E$6</f>
        <v>3509.5756800000004</v>
      </c>
      <c r="S102" s="179">
        <f t="shared" ref="S102:S109" si="8">SUM(J102+L102+N102+P102+R102)</f>
        <v>28988.359680000001</v>
      </c>
      <c r="T102" s="177">
        <v>0</v>
      </c>
      <c r="U102" s="180">
        <f t="shared" ref="U102:U109" si="9">SUM(S102:T102)</f>
        <v>28988.359680000001</v>
      </c>
    </row>
    <row r="103" spans="1:21" x14ac:dyDescent="0.4">
      <c r="A103" s="394" t="s">
        <v>424</v>
      </c>
      <c r="B103" s="394">
        <v>82350</v>
      </c>
      <c r="C103" s="399" t="s">
        <v>412</v>
      </c>
      <c r="D103" s="22" t="s">
        <v>123</v>
      </c>
      <c r="E103" s="22" t="s">
        <v>122</v>
      </c>
      <c r="F103" s="101">
        <v>1</v>
      </c>
      <c r="G103" s="22" t="s">
        <v>124</v>
      </c>
      <c r="H103" s="176">
        <v>1</v>
      </c>
      <c r="I103" s="177">
        <v>360</v>
      </c>
      <c r="J103" s="178">
        <f t="shared" si="3"/>
        <v>360</v>
      </c>
      <c r="K103" s="177">
        <v>1</v>
      </c>
      <c r="L103" s="178">
        <f t="shared" si="4"/>
        <v>374.40000000000003</v>
      </c>
      <c r="M103" s="176">
        <v>1</v>
      </c>
      <c r="N103" s="178">
        <f t="shared" si="5"/>
        <v>389.37600000000003</v>
      </c>
      <c r="O103" s="176">
        <v>1</v>
      </c>
      <c r="P103" s="178">
        <f t="shared" si="6"/>
        <v>404.95104000000003</v>
      </c>
      <c r="Q103" s="277">
        <v>0.5</v>
      </c>
      <c r="R103" s="178">
        <f t="shared" si="7"/>
        <v>210.57454080000002</v>
      </c>
      <c r="S103" s="179">
        <f t="shared" si="8"/>
        <v>1739.3015808000002</v>
      </c>
      <c r="T103" s="177">
        <v>0</v>
      </c>
      <c r="U103" s="180">
        <f t="shared" si="9"/>
        <v>1739.3015808000002</v>
      </c>
    </row>
    <row r="104" spans="1:21" x14ac:dyDescent="0.4">
      <c r="A104" s="394" t="s">
        <v>425</v>
      </c>
      <c r="B104" s="394">
        <v>82030</v>
      </c>
      <c r="C104" s="399" t="s">
        <v>412</v>
      </c>
      <c r="D104" s="22" t="s">
        <v>125</v>
      </c>
      <c r="E104" s="22" t="s">
        <v>122</v>
      </c>
      <c r="F104" s="101">
        <v>1</v>
      </c>
      <c r="G104" s="22" t="s">
        <v>43</v>
      </c>
      <c r="H104" s="176">
        <v>12</v>
      </c>
      <c r="I104" s="177">
        <f>(20*6)+(45*2)</f>
        <v>210</v>
      </c>
      <c r="J104" s="178">
        <f t="shared" ref="J104" si="10">H104*$I104*$F104</f>
        <v>2520</v>
      </c>
      <c r="K104" s="177">
        <v>12</v>
      </c>
      <c r="L104" s="178">
        <f>+K104*$I104*$F104*$E$6</f>
        <v>2620.8000000000002</v>
      </c>
      <c r="M104" s="176">
        <v>12</v>
      </c>
      <c r="N104" s="178">
        <f t="shared" ref="N104" si="11">+M104*$I104*$F104*$E$6*$E$6</f>
        <v>2725.6320000000001</v>
      </c>
      <c r="O104" s="176">
        <v>12</v>
      </c>
      <c r="P104" s="178">
        <f t="shared" ref="P104" si="12">+O104*$I104*$F104*$E$6*$E$6*$E$6</f>
        <v>2834.6572800000004</v>
      </c>
      <c r="Q104" s="176">
        <v>6</v>
      </c>
      <c r="R104" s="178">
        <f t="shared" ref="R104" si="13">+Q104*$I104*$F104*$E$6*$E$6*$E$6*$E$6</f>
        <v>1474.0217856000002</v>
      </c>
      <c r="S104" s="179">
        <f t="shared" ref="S104" si="14">SUM(J104+L104+N104+P104+R104)</f>
        <v>12175.1110656</v>
      </c>
      <c r="T104" s="177">
        <v>0</v>
      </c>
      <c r="U104" s="180">
        <f t="shared" ref="U104" si="15">SUM(S104:T104)</f>
        <v>12175.1110656</v>
      </c>
    </row>
    <row r="105" spans="1:21" x14ac:dyDescent="0.4">
      <c r="A105" s="394" t="s">
        <v>426</v>
      </c>
      <c r="B105" s="394">
        <v>90450</v>
      </c>
      <c r="C105" s="399" t="s">
        <v>412</v>
      </c>
      <c r="D105" s="22" t="s">
        <v>126</v>
      </c>
      <c r="E105" s="22" t="s">
        <v>122</v>
      </c>
      <c r="F105" s="101">
        <v>1</v>
      </c>
      <c r="G105" s="22" t="s">
        <v>124</v>
      </c>
      <c r="H105" s="176">
        <v>1</v>
      </c>
      <c r="I105" s="177">
        <v>400</v>
      </c>
      <c r="J105" s="178">
        <f t="shared" si="3"/>
        <v>400</v>
      </c>
      <c r="K105" s="177">
        <v>1</v>
      </c>
      <c r="L105" s="178">
        <f t="shared" si="4"/>
        <v>416</v>
      </c>
      <c r="M105" s="176">
        <v>1</v>
      </c>
      <c r="N105" s="178">
        <f t="shared" si="5"/>
        <v>432.64</v>
      </c>
      <c r="O105" s="176">
        <v>1</v>
      </c>
      <c r="P105" s="178">
        <f t="shared" si="6"/>
        <v>449.94560000000001</v>
      </c>
      <c r="Q105" s="277">
        <v>0.5</v>
      </c>
      <c r="R105" s="178">
        <f t="shared" si="7"/>
        <v>233.97171200000003</v>
      </c>
      <c r="S105" s="179">
        <f t="shared" si="8"/>
        <v>1932.5573119999999</v>
      </c>
      <c r="T105" s="177">
        <v>0</v>
      </c>
      <c r="U105" s="180">
        <f t="shared" si="9"/>
        <v>1932.5573119999999</v>
      </c>
    </row>
    <row r="106" spans="1:21" x14ac:dyDescent="0.4">
      <c r="A106" s="394" t="s">
        <v>427</v>
      </c>
      <c r="B106" s="394">
        <v>82030</v>
      </c>
      <c r="C106" s="394" t="s">
        <v>364</v>
      </c>
      <c r="D106" s="22" t="s">
        <v>127</v>
      </c>
      <c r="E106" s="22" t="s">
        <v>122</v>
      </c>
      <c r="F106" s="101">
        <v>1</v>
      </c>
      <c r="G106" s="22" t="s">
        <v>43</v>
      </c>
      <c r="H106" s="176">
        <v>12</v>
      </c>
      <c r="I106" s="177">
        <f>70</f>
        <v>70</v>
      </c>
      <c r="J106" s="178">
        <f t="shared" ref="J106" si="16">H106*$I106*$F106</f>
        <v>840</v>
      </c>
      <c r="K106" s="177">
        <v>12</v>
      </c>
      <c r="L106" s="178">
        <f t="shared" ref="L106" si="17">+K106*$I106*$F106*$E$6</f>
        <v>873.6</v>
      </c>
      <c r="M106" s="176">
        <v>12</v>
      </c>
      <c r="N106" s="178">
        <f t="shared" ref="N106" si="18">+M106*$I106*$F106*$E$6*$E$6</f>
        <v>908.5440000000001</v>
      </c>
      <c r="O106" s="176">
        <v>12</v>
      </c>
      <c r="P106" s="178">
        <f t="shared" ref="P106" si="19">+O106*$I106*$F106*$E$6*$E$6*$E$6</f>
        <v>944.88576000000012</v>
      </c>
      <c r="Q106" s="176">
        <v>6</v>
      </c>
      <c r="R106" s="178">
        <f t="shared" ref="R106" si="20">+Q106*$I106*$F106*$E$6*$E$6*$E$6*$E$6</f>
        <v>491.34059520000005</v>
      </c>
      <c r="S106" s="179">
        <f t="shared" ref="S106" si="21">SUM(J106+L106+N106+P106+R106)</f>
        <v>4058.3703552000006</v>
      </c>
      <c r="T106" s="177">
        <v>0</v>
      </c>
      <c r="U106" s="180">
        <f t="shared" ref="U106" si="22">SUM(S106:T106)</f>
        <v>4058.3703552000006</v>
      </c>
    </row>
    <row r="107" spans="1:21" x14ac:dyDescent="0.55000000000000004">
      <c r="A107" s="412" t="s">
        <v>428</v>
      </c>
      <c r="B107" s="412">
        <v>85180</v>
      </c>
      <c r="C107" s="394" t="s">
        <v>364</v>
      </c>
      <c r="D107" s="22" t="s">
        <v>128</v>
      </c>
      <c r="E107" s="22" t="s">
        <v>122</v>
      </c>
      <c r="F107" s="101">
        <v>1</v>
      </c>
      <c r="G107" s="22" t="s">
        <v>43</v>
      </c>
      <c r="H107" s="176">
        <v>6</v>
      </c>
      <c r="I107" s="177">
        <v>3500</v>
      </c>
      <c r="J107" s="178">
        <f t="shared" si="3"/>
        <v>21000</v>
      </c>
      <c r="K107" s="177">
        <v>12</v>
      </c>
      <c r="L107" s="178">
        <f t="shared" si="4"/>
        <v>43680</v>
      </c>
      <c r="M107" s="176">
        <v>12</v>
      </c>
      <c r="N107" s="178">
        <f t="shared" si="5"/>
        <v>45427.200000000004</v>
      </c>
      <c r="O107" s="176">
        <v>12</v>
      </c>
      <c r="P107" s="178">
        <f t="shared" si="6"/>
        <v>47244.288000000008</v>
      </c>
      <c r="Q107" s="176">
        <v>0</v>
      </c>
      <c r="R107" s="178">
        <f t="shared" si="7"/>
        <v>0</v>
      </c>
      <c r="S107" s="179">
        <f t="shared" si="8"/>
        <v>157351.48800000001</v>
      </c>
      <c r="T107" s="177">
        <v>0</v>
      </c>
      <c r="U107" s="180">
        <f t="shared" si="9"/>
        <v>157351.48800000001</v>
      </c>
    </row>
    <row r="108" spans="1:21" x14ac:dyDescent="0.4">
      <c r="A108" s="394" t="s">
        <v>429</v>
      </c>
      <c r="B108" s="394">
        <v>82105</v>
      </c>
      <c r="C108" s="399" t="s">
        <v>412</v>
      </c>
      <c r="D108" s="22" t="s">
        <v>129</v>
      </c>
      <c r="E108" s="22" t="s">
        <v>122</v>
      </c>
      <c r="F108" s="101">
        <v>1</v>
      </c>
      <c r="G108" s="22" t="s">
        <v>43</v>
      </c>
      <c r="H108" s="176">
        <v>12</v>
      </c>
      <c r="I108" s="177">
        <v>800</v>
      </c>
      <c r="J108" s="178">
        <f t="shared" si="3"/>
        <v>9600</v>
      </c>
      <c r="K108" s="177">
        <v>12</v>
      </c>
      <c r="L108" s="178">
        <f t="shared" si="4"/>
        <v>9984</v>
      </c>
      <c r="M108" s="176">
        <v>12</v>
      </c>
      <c r="N108" s="178">
        <f t="shared" si="5"/>
        <v>10383.36</v>
      </c>
      <c r="O108" s="176">
        <v>12</v>
      </c>
      <c r="P108" s="178">
        <f t="shared" si="6"/>
        <v>10798.6944</v>
      </c>
      <c r="Q108" s="176">
        <v>6</v>
      </c>
      <c r="R108" s="178">
        <f t="shared" si="7"/>
        <v>5615.3210880000006</v>
      </c>
      <c r="S108" s="179">
        <f t="shared" si="8"/>
        <v>46381.375488000005</v>
      </c>
      <c r="T108" s="177">
        <v>0</v>
      </c>
      <c r="U108" s="180">
        <f t="shared" si="9"/>
        <v>46381.375488000005</v>
      </c>
    </row>
    <row r="109" spans="1:21" ht="30.6" x14ac:dyDescent="0.4">
      <c r="A109" s="394" t="s">
        <v>433</v>
      </c>
      <c r="B109" s="394">
        <v>89400</v>
      </c>
      <c r="C109" s="399" t="s">
        <v>412</v>
      </c>
      <c r="D109" s="22" t="s">
        <v>130</v>
      </c>
      <c r="E109" s="22" t="s">
        <v>122</v>
      </c>
      <c r="F109" s="101">
        <v>1</v>
      </c>
      <c r="G109" s="22" t="s">
        <v>43</v>
      </c>
      <c r="H109" s="176">
        <v>12</v>
      </c>
      <c r="I109" s="177">
        <f>(19*8)+((2884/12)*2)+(6*8)+(122*2)+(100*1)+100</f>
        <v>1124.6666666666667</v>
      </c>
      <c r="J109" s="178">
        <f t="shared" si="3"/>
        <v>13496</v>
      </c>
      <c r="K109" s="177">
        <v>12</v>
      </c>
      <c r="L109" s="178">
        <f t="shared" si="4"/>
        <v>14035.84</v>
      </c>
      <c r="M109" s="176">
        <v>12</v>
      </c>
      <c r="N109" s="178">
        <f t="shared" si="5"/>
        <v>14597.2736</v>
      </c>
      <c r="O109" s="176">
        <v>12</v>
      </c>
      <c r="P109" s="178">
        <f t="shared" si="6"/>
        <v>15181.164544000001</v>
      </c>
      <c r="Q109" s="176">
        <v>6</v>
      </c>
      <c r="R109" s="178">
        <f t="shared" si="7"/>
        <v>7894.2055628800008</v>
      </c>
      <c r="S109" s="179">
        <f t="shared" si="8"/>
        <v>65204.483706879997</v>
      </c>
      <c r="T109" s="177">
        <v>0</v>
      </c>
      <c r="U109" s="180">
        <f t="shared" si="9"/>
        <v>65204.483706879997</v>
      </c>
    </row>
    <row r="110" spans="1:21" x14ac:dyDescent="0.4">
      <c r="A110" s="394" t="s">
        <v>430</v>
      </c>
      <c r="B110" s="394">
        <v>81030</v>
      </c>
      <c r="C110" s="394" t="s">
        <v>364</v>
      </c>
      <c r="D110" s="22" t="s">
        <v>131</v>
      </c>
      <c r="E110" s="22" t="s">
        <v>122</v>
      </c>
      <c r="F110" s="101">
        <v>1</v>
      </c>
      <c r="G110" s="22" t="s">
        <v>43</v>
      </c>
      <c r="H110" s="176">
        <v>12</v>
      </c>
      <c r="I110" s="177">
        <v>735</v>
      </c>
      <c r="J110" s="178">
        <f t="shared" ref="J110:J115" si="23">H110*$I110*$F110</f>
        <v>8820</v>
      </c>
      <c r="K110" s="177">
        <v>12</v>
      </c>
      <c r="L110" s="178">
        <f t="shared" ref="L110:L115" si="24">+K110*$I110*$F110*$E$6</f>
        <v>9172.8000000000011</v>
      </c>
      <c r="M110" s="176">
        <v>12</v>
      </c>
      <c r="N110" s="178">
        <f t="shared" ref="N110:N115" si="25">+M110*$I110*$F110*$E$6*$E$6</f>
        <v>9539.7120000000014</v>
      </c>
      <c r="O110" s="176">
        <v>12</v>
      </c>
      <c r="P110" s="178">
        <f t="shared" ref="P110:P115" si="26">+O110*$I110*$F110*$E$6*$E$6*$E$6</f>
        <v>9921.3004800000017</v>
      </c>
      <c r="Q110" s="176">
        <v>6</v>
      </c>
      <c r="R110" s="178">
        <f t="shared" ref="R110:R115" si="27">+Q110*$I110*$F110*$E$6*$E$6*$E$6*$E$6</f>
        <v>5159.0762496000007</v>
      </c>
      <c r="S110" s="179">
        <f t="shared" ref="S110:S115" si="28">SUM(J110+L110+N110+P110+R110)</f>
        <v>42612.88872960001</v>
      </c>
      <c r="T110" s="177">
        <v>0</v>
      </c>
      <c r="U110" s="180">
        <f t="shared" ref="U110:U115" si="29">SUM(S110:T110)</f>
        <v>42612.88872960001</v>
      </c>
    </row>
    <row r="111" spans="1:21" x14ac:dyDescent="0.4">
      <c r="A111" s="394" t="s">
        <v>431</v>
      </c>
      <c r="B111" s="394">
        <v>90100</v>
      </c>
      <c r="C111" s="394" t="s">
        <v>364</v>
      </c>
      <c r="D111" s="22" t="s">
        <v>132</v>
      </c>
      <c r="E111" s="22" t="s">
        <v>122</v>
      </c>
      <c r="F111" s="101">
        <v>1</v>
      </c>
      <c r="G111" s="22" t="s">
        <v>124</v>
      </c>
      <c r="H111" s="176">
        <v>1</v>
      </c>
      <c r="I111" s="177">
        <v>5000</v>
      </c>
      <c r="J111" s="178">
        <f t="shared" si="23"/>
        <v>5000</v>
      </c>
      <c r="K111" s="177">
        <v>1</v>
      </c>
      <c r="L111" s="178">
        <f t="shared" si="24"/>
        <v>5200</v>
      </c>
      <c r="M111" s="176">
        <v>1</v>
      </c>
      <c r="N111" s="178">
        <f t="shared" si="25"/>
        <v>5408</v>
      </c>
      <c r="O111" s="176">
        <v>1</v>
      </c>
      <c r="P111" s="178">
        <f t="shared" si="26"/>
        <v>5624.3200000000006</v>
      </c>
      <c r="Q111" s="277">
        <v>0.5</v>
      </c>
      <c r="R111" s="178">
        <f t="shared" si="27"/>
        <v>2924.6464000000005</v>
      </c>
      <c r="S111" s="179">
        <f t="shared" si="28"/>
        <v>24156.966400000001</v>
      </c>
      <c r="T111" s="177">
        <v>0</v>
      </c>
      <c r="U111" s="180">
        <f t="shared" si="29"/>
        <v>24156.966400000001</v>
      </c>
    </row>
    <row r="112" spans="1:21" x14ac:dyDescent="0.4">
      <c r="A112" s="394" t="s">
        <v>432</v>
      </c>
      <c r="B112" s="394">
        <v>86110</v>
      </c>
      <c r="C112" s="394" t="s">
        <v>364</v>
      </c>
      <c r="D112" s="22" t="s">
        <v>133</v>
      </c>
      <c r="E112" s="22" t="s">
        <v>122</v>
      </c>
      <c r="F112" s="101">
        <v>1</v>
      </c>
      <c r="G112" s="22" t="s">
        <v>124</v>
      </c>
      <c r="H112" s="176">
        <v>1</v>
      </c>
      <c r="I112" s="177">
        <v>2500</v>
      </c>
      <c r="J112" s="178">
        <f t="shared" si="23"/>
        <v>2500</v>
      </c>
      <c r="K112" s="177">
        <v>1</v>
      </c>
      <c r="L112" s="178">
        <f t="shared" si="24"/>
        <v>2600</v>
      </c>
      <c r="M112" s="176">
        <v>1</v>
      </c>
      <c r="N112" s="178">
        <f t="shared" si="25"/>
        <v>2704</v>
      </c>
      <c r="O112" s="176">
        <v>1</v>
      </c>
      <c r="P112" s="178">
        <f t="shared" si="26"/>
        <v>2812.1600000000003</v>
      </c>
      <c r="Q112" s="277">
        <v>0.5</v>
      </c>
      <c r="R112" s="178">
        <f t="shared" si="27"/>
        <v>1462.3232000000003</v>
      </c>
      <c r="S112" s="179">
        <f t="shared" si="28"/>
        <v>12078.483200000001</v>
      </c>
      <c r="T112" s="177">
        <v>0</v>
      </c>
      <c r="U112" s="180">
        <f t="shared" si="29"/>
        <v>12078.483200000001</v>
      </c>
    </row>
    <row r="113" spans="1:21" x14ac:dyDescent="0.4">
      <c r="A113" s="394" t="s">
        <v>434</v>
      </c>
      <c r="B113" s="394">
        <v>82100</v>
      </c>
      <c r="C113" s="399" t="s">
        <v>412</v>
      </c>
      <c r="D113" s="22" t="s">
        <v>134</v>
      </c>
      <c r="E113" s="22" t="s">
        <v>122</v>
      </c>
      <c r="F113" s="101">
        <v>1</v>
      </c>
      <c r="G113" s="22" t="s">
        <v>124</v>
      </c>
      <c r="H113" s="176">
        <v>1</v>
      </c>
      <c r="I113" s="177">
        <v>10000</v>
      </c>
      <c r="J113" s="178">
        <f t="shared" si="23"/>
        <v>10000</v>
      </c>
      <c r="K113" s="177">
        <v>1</v>
      </c>
      <c r="L113" s="178">
        <f t="shared" si="24"/>
        <v>10400</v>
      </c>
      <c r="M113" s="176">
        <v>1</v>
      </c>
      <c r="N113" s="178">
        <f t="shared" si="25"/>
        <v>10816</v>
      </c>
      <c r="O113" s="176">
        <v>1</v>
      </c>
      <c r="P113" s="178">
        <f t="shared" si="26"/>
        <v>11248.640000000001</v>
      </c>
      <c r="Q113" s="277">
        <v>0.5</v>
      </c>
      <c r="R113" s="178">
        <f t="shared" si="27"/>
        <v>5849.2928000000011</v>
      </c>
      <c r="S113" s="179">
        <f t="shared" si="28"/>
        <v>48313.932800000002</v>
      </c>
      <c r="T113" s="177">
        <v>0</v>
      </c>
      <c r="U113" s="180">
        <f t="shared" si="29"/>
        <v>48313.932800000002</v>
      </c>
    </row>
    <row r="114" spans="1:21" x14ac:dyDescent="0.4">
      <c r="A114" s="394" t="s">
        <v>435</v>
      </c>
      <c r="B114" s="394">
        <v>81025</v>
      </c>
      <c r="C114" s="399" t="s">
        <v>412</v>
      </c>
      <c r="D114" s="22" t="s">
        <v>135</v>
      </c>
      <c r="E114" s="22" t="s">
        <v>122</v>
      </c>
      <c r="F114" s="101">
        <v>1</v>
      </c>
      <c r="G114" s="22" t="s">
        <v>43</v>
      </c>
      <c r="H114" s="176">
        <v>12</v>
      </c>
      <c r="I114" s="177">
        <v>400</v>
      </c>
      <c r="J114" s="178">
        <f t="shared" si="23"/>
        <v>4800</v>
      </c>
      <c r="K114" s="177">
        <v>12</v>
      </c>
      <c r="L114" s="178">
        <f t="shared" si="24"/>
        <v>4992</v>
      </c>
      <c r="M114" s="176">
        <v>12</v>
      </c>
      <c r="N114" s="178">
        <f t="shared" si="25"/>
        <v>5191.68</v>
      </c>
      <c r="O114" s="176">
        <v>12</v>
      </c>
      <c r="P114" s="178">
        <f t="shared" si="26"/>
        <v>5399.3472000000002</v>
      </c>
      <c r="Q114" s="176">
        <v>6</v>
      </c>
      <c r="R114" s="178">
        <f t="shared" si="27"/>
        <v>2807.6605440000003</v>
      </c>
      <c r="S114" s="179">
        <f t="shared" si="28"/>
        <v>23190.687744000003</v>
      </c>
      <c r="T114" s="177">
        <v>0</v>
      </c>
      <c r="U114" s="180">
        <f t="shared" si="29"/>
        <v>23190.687744000003</v>
      </c>
    </row>
    <row r="115" spans="1:21" x14ac:dyDescent="0.4">
      <c r="A115" s="401" t="s">
        <v>436</v>
      </c>
      <c r="B115" s="401">
        <v>81025</v>
      </c>
      <c r="C115" s="399" t="s">
        <v>412</v>
      </c>
      <c r="D115" s="370" t="s">
        <v>136</v>
      </c>
      <c r="E115" s="22" t="s">
        <v>122</v>
      </c>
      <c r="F115" s="101">
        <v>1</v>
      </c>
      <c r="G115" s="22" t="s">
        <v>124</v>
      </c>
      <c r="H115" s="176">
        <v>1</v>
      </c>
      <c r="I115" s="177">
        <v>1300</v>
      </c>
      <c r="J115" s="178">
        <f t="shared" si="23"/>
        <v>1300</v>
      </c>
      <c r="K115" s="177">
        <v>1</v>
      </c>
      <c r="L115" s="178">
        <f t="shared" si="24"/>
        <v>1352</v>
      </c>
      <c r="M115" s="176">
        <v>1</v>
      </c>
      <c r="N115" s="178">
        <f t="shared" si="25"/>
        <v>1406.0800000000002</v>
      </c>
      <c r="O115" s="176">
        <v>1</v>
      </c>
      <c r="P115" s="178">
        <f t="shared" si="26"/>
        <v>1462.3232000000003</v>
      </c>
      <c r="Q115" s="277">
        <v>0.5</v>
      </c>
      <c r="R115" s="178">
        <f t="shared" si="27"/>
        <v>760.40806400000019</v>
      </c>
      <c r="S115" s="179">
        <f t="shared" si="28"/>
        <v>6280.8112640000008</v>
      </c>
      <c r="T115" s="177">
        <v>0</v>
      </c>
      <c r="U115" s="180">
        <f t="shared" si="29"/>
        <v>6280.8112640000008</v>
      </c>
    </row>
    <row r="116" spans="1:21" x14ac:dyDescent="0.4">
      <c r="A116" s="404"/>
      <c r="B116" s="404"/>
      <c r="C116" s="404"/>
      <c r="D116" s="157" t="s">
        <v>137</v>
      </c>
      <c r="E116" s="157"/>
      <c r="F116" s="157"/>
      <c r="G116" s="157"/>
      <c r="H116" s="241"/>
      <c r="I116" s="242"/>
      <c r="J116" s="243">
        <f>SUM(J102:J115)</f>
        <v>86636</v>
      </c>
      <c r="K116" s="242"/>
      <c r="L116" s="243">
        <f>SUM(L102:L115)</f>
        <v>111941.44</v>
      </c>
      <c r="M116" s="241"/>
      <c r="N116" s="243">
        <f>SUM(N102:N115)</f>
        <v>116419.09760000002</v>
      </c>
      <c r="O116" s="241"/>
      <c r="P116" s="243">
        <f>SUM(P102:P115)</f>
        <v>121075.86150400001</v>
      </c>
      <c r="Q116" s="241"/>
      <c r="R116" s="243">
        <f>SUM(R102:R115)</f>
        <v>38392.418222080007</v>
      </c>
      <c r="S116" s="243">
        <f>SUM(S102:S115)</f>
        <v>474464.81732608005</v>
      </c>
      <c r="T116" s="242">
        <f>SUM(T102:T115)</f>
        <v>0</v>
      </c>
      <c r="U116" s="244">
        <f>SUM(U102:U115)</f>
        <v>474464.81732608005</v>
      </c>
    </row>
    <row r="117" spans="1:21" x14ac:dyDescent="0.4">
      <c r="A117" s="405"/>
      <c r="B117" s="405"/>
      <c r="C117" s="405"/>
      <c r="D117" s="84" t="s">
        <v>138</v>
      </c>
      <c r="E117" s="85"/>
      <c r="F117" s="85"/>
      <c r="G117" s="85"/>
      <c r="H117" s="217"/>
      <c r="I117" s="218"/>
      <c r="J117" s="219"/>
      <c r="K117" s="218"/>
      <c r="L117" s="218"/>
      <c r="M117" s="217"/>
      <c r="N117" s="218"/>
      <c r="O117" s="217"/>
      <c r="P117" s="218"/>
      <c r="Q117" s="217"/>
      <c r="R117" s="218"/>
      <c r="S117" s="220"/>
      <c r="T117" s="218"/>
      <c r="U117" s="221"/>
    </row>
    <row r="118" spans="1:21" s="87" customFormat="1" ht="30" x14ac:dyDescent="0.4">
      <c r="A118" s="406"/>
      <c r="B118" s="406"/>
      <c r="C118" s="406"/>
      <c r="D118" s="117" t="s">
        <v>139</v>
      </c>
      <c r="E118" s="142"/>
      <c r="F118" s="151"/>
      <c r="G118" s="142"/>
      <c r="H118" s="245"/>
      <c r="I118" s="246"/>
      <c r="J118" s="247"/>
      <c r="K118" s="246"/>
      <c r="L118" s="247"/>
      <c r="M118" s="245"/>
      <c r="N118" s="247"/>
      <c r="O118" s="245"/>
      <c r="P118" s="247"/>
      <c r="Q118" s="245"/>
      <c r="R118" s="247"/>
      <c r="S118" s="248"/>
      <c r="T118" s="246"/>
      <c r="U118" s="249"/>
    </row>
    <row r="119" spans="1:21" ht="30.6" x14ac:dyDescent="0.4">
      <c r="A119" s="394" t="s">
        <v>437</v>
      </c>
      <c r="B119" s="394">
        <v>87010</v>
      </c>
      <c r="C119" s="394" t="s">
        <v>364</v>
      </c>
      <c r="D119" s="22" t="s">
        <v>140</v>
      </c>
      <c r="E119" s="33" t="s">
        <v>141</v>
      </c>
      <c r="F119" s="101">
        <v>1</v>
      </c>
      <c r="G119" s="339" t="s">
        <v>142</v>
      </c>
      <c r="H119" s="176">
        <v>5</v>
      </c>
      <c r="I119" s="177">
        <f>'Expenses - Unit Costs'!K4</f>
        <v>360</v>
      </c>
      <c r="J119" s="178">
        <f>H119*$I119*$F119</f>
        <v>1800</v>
      </c>
      <c r="K119" s="177">
        <v>5</v>
      </c>
      <c r="L119" s="178">
        <f>+K119*$I119*$F119*$E$6</f>
        <v>1872</v>
      </c>
      <c r="M119" s="176">
        <v>5</v>
      </c>
      <c r="N119" s="178">
        <f>+M119*$I119*$F119*$E$6*$E$6</f>
        <v>1946.88</v>
      </c>
      <c r="O119" s="176">
        <v>5</v>
      </c>
      <c r="P119" s="178">
        <f>+O119*$I119*$F119*$E$6*$E$6*$E$6</f>
        <v>2024.7552000000003</v>
      </c>
      <c r="Q119" s="176">
        <v>5</v>
      </c>
      <c r="R119" s="178">
        <f>+Q119*$I119*$F119*$E$6*$E$6*$E$6*$E$6</f>
        <v>2105.7454080000002</v>
      </c>
      <c r="S119" s="179">
        <f>SUM(J119+L119+N119+P119+R119)</f>
        <v>9749.3806080000013</v>
      </c>
      <c r="T119" s="177">
        <v>0</v>
      </c>
      <c r="U119" s="180">
        <f>SUM(S119:T119)</f>
        <v>9749.3806080000013</v>
      </c>
    </row>
    <row r="120" spans="1:21" s="87" customFormat="1" ht="45" x14ac:dyDescent="0.4">
      <c r="A120" s="406"/>
      <c r="B120" s="406"/>
      <c r="C120" s="406"/>
      <c r="D120" s="117" t="s">
        <v>143</v>
      </c>
      <c r="E120" s="142"/>
      <c r="F120" s="151"/>
      <c r="G120" s="142"/>
      <c r="H120" s="245"/>
      <c r="I120" s="246"/>
      <c r="J120" s="247"/>
      <c r="K120" s="246"/>
      <c r="L120" s="247"/>
      <c r="M120" s="245"/>
      <c r="N120" s="247"/>
      <c r="O120" s="245"/>
      <c r="P120" s="247"/>
      <c r="Q120" s="245"/>
      <c r="R120" s="247"/>
      <c r="S120" s="248"/>
      <c r="T120" s="246"/>
      <c r="U120" s="249"/>
    </row>
    <row r="121" spans="1:21" s="371" customFormat="1" ht="30.6" x14ac:dyDescent="0.4">
      <c r="A121" s="394" t="s">
        <v>438</v>
      </c>
      <c r="B121" s="407">
        <v>87010</v>
      </c>
      <c r="C121" s="407" t="s">
        <v>364</v>
      </c>
      <c r="D121" s="373" t="s">
        <v>144</v>
      </c>
      <c r="E121" s="339" t="s">
        <v>141</v>
      </c>
      <c r="F121" s="364">
        <v>1</v>
      </c>
      <c r="G121" s="339" t="s">
        <v>142</v>
      </c>
      <c r="H121" s="367">
        <v>0</v>
      </c>
      <c r="I121" s="365">
        <f>'Expenses - Unit Costs'!K5</f>
        <v>5940</v>
      </c>
      <c r="J121" s="366">
        <f>H121*$I121*$F121</f>
        <v>0</v>
      </c>
      <c r="K121" s="367">
        <v>1</v>
      </c>
      <c r="L121" s="366">
        <f>+K121*$I121*$F121</f>
        <v>5940</v>
      </c>
      <c r="M121" s="367">
        <v>1</v>
      </c>
      <c r="N121" s="366">
        <f>+M121*$I121*$F121*$E$6</f>
        <v>6177.6</v>
      </c>
      <c r="O121" s="367">
        <v>1</v>
      </c>
      <c r="P121" s="366">
        <f>+O121*$I121*$F121*$E$6*$E$6</f>
        <v>6424.7040000000006</v>
      </c>
      <c r="Q121" s="367">
        <v>0</v>
      </c>
      <c r="R121" s="366">
        <f>+Q121*$I121*$F121*$E$6*$E$6*$E$6*$E$6</f>
        <v>0</v>
      </c>
      <c r="S121" s="368">
        <f>SUM(J121+L121+N121+P121+R121)</f>
        <v>18542.304</v>
      </c>
      <c r="T121" s="365">
        <v>0</v>
      </c>
      <c r="U121" s="369">
        <f>SUM(S121:T121)</f>
        <v>18542.304</v>
      </c>
    </row>
    <row r="122" spans="1:21" s="87" customFormat="1" ht="30" x14ac:dyDescent="0.4">
      <c r="A122" s="406"/>
      <c r="B122" s="406"/>
      <c r="C122" s="406"/>
      <c r="D122" s="117" t="s">
        <v>145</v>
      </c>
      <c r="E122" s="142"/>
      <c r="F122" s="151"/>
      <c r="G122" s="142"/>
      <c r="H122" s="245"/>
      <c r="I122" s="246"/>
      <c r="J122" s="247"/>
      <c r="K122" s="246"/>
      <c r="L122" s="247"/>
      <c r="M122" s="245"/>
      <c r="N122" s="247"/>
      <c r="O122" s="245"/>
      <c r="P122" s="247"/>
      <c r="Q122" s="245"/>
      <c r="R122" s="247"/>
      <c r="S122" s="248"/>
      <c r="T122" s="246"/>
      <c r="U122" s="249"/>
    </row>
    <row r="123" spans="1:21" s="87" customFormat="1" ht="30.6" x14ac:dyDescent="0.4">
      <c r="A123" s="394" t="s">
        <v>439</v>
      </c>
      <c r="B123" s="394">
        <v>87010</v>
      </c>
      <c r="C123" s="394" t="s">
        <v>364</v>
      </c>
      <c r="D123" s="22" t="s">
        <v>146</v>
      </c>
      <c r="E123" s="33" t="s">
        <v>141</v>
      </c>
      <c r="F123" s="101">
        <v>1</v>
      </c>
      <c r="G123" s="339" t="s">
        <v>142</v>
      </c>
      <c r="H123" s="176">
        <v>5</v>
      </c>
      <c r="I123" s="177">
        <f>'Expenses - Unit Costs'!K6</f>
        <v>360</v>
      </c>
      <c r="J123" s="178">
        <f>H123*$I123*$F123</f>
        <v>1800</v>
      </c>
      <c r="K123" s="176">
        <v>5</v>
      </c>
      <c r="L123" s="178">
        <f>+K123*$I123*$F123*$E$6</f>
        <v>1872</v>
      </c>
      <c r="M123" s="176">
        <v>5</v>
      </c>
      <c r="N123" s="178">
        <f>+M123*$I123*$F123*$E$6*$E$6</f>
        <v>1946.88</v>
      </c>
      <c r="O123" s="176">
        <v>5</v>
      </c>
      <c r="P123" s="178">
        <f>+O123*$I123*$F123*$E$6*$E$6*$E$6</f>
        <v>2024.7552000000003</v>
      </c>
      <c r="Q123" s="176">
        <v>5</v>
      </c>
      <c r="R123" s="178">
        <f>+Q123*$I123*$F123*$E$6*$E$6*$E$6*$E$6</f>
        <v>2105.7454080000002</v>
      </c>
      <c r="S123" s="179">
        <f>SUM(J123+L123+N123+P123+R123)</f>
        <v>9749.3806080000013</v>
      </c>
      <c r="T123" s="177">
        <v>0</v>
      </c>
      <c r="U123" s="180">
        <f>SUM(S123:T123)</f>
        <v>9749.3806080000013</v>
      </c>
    </row>
    <row r="124" spans="1:21" s="87" customFormat="1" ht="30" x14ac:dyDescent="0.4">
      <c r="A124" s="406"/>
      <c r="B124" s="406"/>
      <c r="C124" s="406"/>
      <c r="D124" s="117" t="s">
        <v>147</v>
      </c>
      <c r="E124" s="142"/>
      <c r="F124" s="151"/>
      <c r="G124" s="142"/>
      <c r="H124" s="245"/>
      <c r="I124" s="246"/>
      <c r="J124" s="247"/>
      <c r="K124" s="246"/>
      <c r="L124" s="247"/>
      <c r="M124" s="245"/>
      <c r="N124" s="247"/>
      <c r="O124" s="245"/>
      <c r="P124" s="247"/>
      <c r="Q124" s="245"/>
      <c r="R124" s="247"/>
      <c r="S124" s="248"/>
      <c r="T124" s="246"/>
      <c r="U124" s="249"/>
    </row>
    <row r="125" spans="1:21" s="339" customFormat="1" x14ac:dyDescent="0.4">
      <c r="A125" s="394" t="s">
        <v>440</v>
      </c>
      <c r="B125" s="401">
        <v>87000</v>
      </c>
      <c r="C125" s="401" t="s">
        <v>364</v>
      </c>
      <c r="D125" s="370" t="s">
        <v>148</v>
      </c>
      <c r="E125" s="339" t="s">
        <v>141</v>
      </c>
      <c r="F125" s="364">
        <v>1</v>
      </c>
      <c r="G125" s="339" t="s">
        <v>149</v>
      </c>
      <c r="H125" s="367">
        <v>0</v>
      </c>
      <c r="I125" s="365">
        <f>'Expenses - Unit Costs'!K7</f>
        <v>3950</v>
      </c>
      <c r="J125" s="366">
        <f>H125*$I125*$F125</f>
        <v>0</v>
      </c>
      <c r="K125" s="367">
        <v>5</v>
      </c>
      <c r="L125" s="366">
        <f>+K125*$I125*$F125</f>
        <v>19750</v>
      </c>
      <c r="M125" s="367">
        <v>5</v>
      </c>
      <c r="N125" s="366">
        <f>+M125*$I125*$F125*$E$6</f>
        <v>20540</v>
      </c>
      <c r="O125" s="367">
        <v>5</v>
      </c>
      <c r="P125" s="366">
        <f>+O125*$I125*$F125*$E$6*$E$6</f>
        <v>21361.600000000002</v>
      </c>
      <c r="Q125" s="367"/>
      <c r="R125" s="366">
        <f>+Q125*$I125*$F125*$E$6*$E$6*$E$6*$E$6</f>
        <v>0</v>
      </c>
      <c r="S125" s="368">
        <f>SUM(J125+L125+N125+P125+R125)</f>
        <v>61651.600000000006</v>
      </c>
      <c r="T125" s="365">
        <v>0</v>
      </c>
      <c r="U125" s="369">
        <f>SUM(S125:T125)</f>
        <v>61651.600000000006</v>
      </c>
    </row>
    <row r="126" spans="1:21" s="87" customFormat="1" ht="15" x14ac:dyDescent="0.4">
      <c r="A126" s="404"/>
      <c r="B126" s="404"/>
      <c r="C126" s="404"/>
      <c r="D126" s="157" t="s">
        <v>150</v>
      </c>
      <c r="E126" s="162"/>
      <c r="F126" s="162"/>
      <c r="G126" s="162"/>
      <c r="H126" s="241"/>
      <c r="I126" s="242"/>
      <c r="J126" s="243">
        <f>SUM(J118:J125)</f>
        <v>3600</v>
      </c>
      <c r="K126" s="242"/>
      <c r="L126" s="243">
        <f>SUM(L118:L125)</f>
        <v>29434</v>
      </c>
      <c r="M126" s="241"/>
      <c r="N126" s="243">
        <f>SUM(N118:N125)</f>
        <v>30611.360000000001</v>
      </c>
      <c r="O126" s="241"/>
      <c r="P126" s="243">
        <f>SUM(P118:P125)</f>
        <v>31835.814400000003</v>
      </c>
      <c r="Q126" s="241"/>
      <c r="R126" s="243">
        <f>SUM(R118:R125)</f>
        <v>4211.4908160000005</v>
      </c>
      <c r="S126" s="243">
        <f>SUM(S118:S125)</f>
        <v>99692.665216000009</v>
      </c>
      <c r="T126" s="242"/>
      <c r="U126" s="244">
        <f>SUM(S126:T126)</f>
        <v>99692.665216000009</v>
      </c>
    </row>
    <row r="127" spans="1:21" s="86" customFormat="1" ht="30" x14ac:dyDescent="0.4">
      <c r="A127" s="405"/>
      <c r="B127" s="405"/>
      <c r="C127" s="405"/>
      <c r="D127" s="84" t="s">
        <v>151</v>
      </c>
      <c r="E127" s="89"/>
      <c r="F127" s="89"/>
      <c r="G127" s="89"/>
      <c r="H127" s="212"/>
      <c r="I127" s="213"/>
      <c r="J127" s="214"/>
      <c r="K127" s="213"/>
      <c r="L127" s="213"/>
      <c r="M127" s="212"/>
      <c r="N127" s="213"/>
      <c r="O127" s="212"/>
      <c r="P127" s="213"/>
      <c r="Q127" s="212"/>
      <c r="R127" s="213"/>
      <c r="S127" s="215"/>
      <c r="T127" s="213"/>
      <c r="U127" s="216"/>
    </row>
    <row r="128" spans="1:21" s="87" customFormat="1" ht="30" x14ac:dyDescent="0.4">
      <c r="A128" s="406"/>
      <c r="B128" s="406"/>
      <c r="C128" s="406"/>
      <c r="D128" s="117" t="s">
        <v>76</v>
      </c>
      <c r="E128" s="142"/>
      <c r="F128" s="151"/>
      <c r="G128" s="142"/>
      <c r="H128" s="245"/>
      <c r="I128" s="246"/>
      <c r="J128" s="247"/>
      <c r="K128" s="246"/>
      <c r="L128" s="247"/>
      <c r="M128" s="245"/>
      <c r="N128" s="247"/>
      <c r="O128" s="245"/>
      <c r="P128" s="247"/>
      <c r="Q128" s="245"/>
      <c r="R128" s="247"/>
      <c r="S128" s="248"/>
      <c r="T128" s="246"/>
      <c r="U128" s="249"/>
    </row>
    <row r="129" spans="1:21" s="371" customFormat="1" ht="30.6" x14ac:dyDescent="0.4">
      <c r="A129" s="394" t="s">
        <v>441</v>
      </c>
      <c r="B129" s="394">
        <v>87000</v>
      </c>
      <c r="C129" s="394" t="s">
        <v>364</v>
      </c>
      <c r="D129" s="370" t="s">
        <v>152</v>
      </c>
      <c r="E129" s="339" t="s">
        <v>153</v>
      </c>
      <c r="F129" s="364">
        <v>1</v>
      </c>
      <c r="G129" s="363" t="s">
        <v>154</v>
      </c>
      <c r="H129" s="367"/>
      <c r="I129" s="365">
        <f>'Expenses - Unit Costs'!K8</f>
        <v>7400</v>
      </c>
      <c r="J129" s="366">
        <f>H129*$I129*$F129</f>
        <v>0</v>
      </c>
      <c r="K129" s="365">
        <v>5</v>
      </c>
      <c r="L129" s="366">
        <f>+K129*$I129*$F129</f>
        <v>37000</v>
      </c>
      <c r="M129" s="367">
        <v>5</v>
      </c>
      <c r="N129" s="366">
        <f>+M129*$I129*$F129*$E$6</f>
        <v>38480</v>
      </c>
      <c r="O129" s="367">
        <v>5</v>
      </c>
      <c r="P129" s="366">
        <f>+O129*$I129*$F129*$E$6*$E$6</f>
        <v>40019.200000000004</v>
      </c>
      <c r="Q129" s="367"/>
      <c r="R129" s="366">
        <f>+Q129*$I129*$F129*$E$6*$E$6*$E$6*$E$6</f>
        <v>0</v>
      </c>
      <c r="S129" s="368">
        <f>SUM(J129+L129+N129+P129+R129)</f>
        <v>115499.20000000001</v>
      </c>
      <c r="T129" s="365">
        <v>0</v>
      </c>
      <c r="U129" s="369">
        <f>SUM(S129:T129)</f>
        <v>115499.20000000001</v>
      </c>
    </row>
    <row r="130" spans="1:21" s="87" customFormat="1" ht="45" x14ac:dyDescent="0.4">
      <c r="A130" s="406"/>
      <c r="B130" s="406"/>
      <c r="C130" s="406"/>
      <c r="D130" s="117" t="s">
        <v>80</v>
      </c>
      <c r="E130" s="142"/>
      <c r="F130" s="151"/>
      <c r="G130" s="142"/>
      <c r="H130" s="245"/>
      <c r="I130" s="246"/>
      <c r="J130" s="247"/>
      <c r="K130" s="246"/>
      <c r="L130" s="247"/>
      <c r="M130" s="245"/>
      <c r="N130" s="247"/>
      <c r="O130" s="245"/>
      <c r="P130" s="247"/>
      <c r="Q130" s="245"/>
      <c r="R130" s="247"/>
      <c r="S130" s="248"/>
      <c r="T130" s="246"/>
      <c r="U130" s="249"/>
    </row>
    <row r="131" spans="1:21" s="371" customFormat="1" ht="30.6" x14ac:dyDescent="0.4">
      <c r="A131" s="394" t="s">
        <v>442</v>
      </c>
      <c r="B131" s="394">
        <v>87000</v>
      </c>
      <c r="C131" s="394" t="s">
        <v>364</v>
      </c>
      <c r="D131" s="370" t="s">
        <v>155</v>
      </c>
      <c r="E131" s="339" t="s">
        <v>153</v>
      </c>
      <c r="F131" s="364">
        <v>1</v>
      </c>
      <c r="G131" s="363" t="s">
        <v>156</v>
      </c>
      <c r="H131" s="367"/>
      <c r="I131" s="365">
        <f>'Expenses - Unit Costs'!K9</f>
        <v>2220</v>
      </c>
      <c r="J131" s="366">
        <f>H131*$I131*$F131</f>
        <v>0</v>
      </c>
      <c r="K131" s="365">
        <v>50</v>
      </c>
      <c r="L131" s="366">
        <f>+K131*$I131*$F131</f>
        <v>111000</v>
      </c>
      <c r="M131" s="367">
        <v>50</v>
      </c>
      <c r="N131" s="366">
        <f>+M131*$I131*$F131*$E$6</f>
        <v>115440</v>
      </c>
      <c r="O131" s="367">
        <v>50</v>
      </c>
      <c r="P131" s="366">
        <f>+O131*$I131*$F131*$E$6*$E$6</f>
        <v>120057.60000000001</v>
      </c>
      <c r="Q131" s="367"/>
      <c r="R131" s="366">
        <f>+Q131*$I131*$F131*$E$6*$E$6*$E$6*$E$6</f>
        <v>0</v>
      </c>
      <c r="S131" s="368">
        <f>SUM(J131+L131+N131+P131+R131)</f>
        <v>346497.6</v>
      </c>
      <c r="T131" s="365">
        <v>0</v>
      </c>
      <c r="U131" s="369">
        <f>SUM(S131:T131)</f>
        <v>346497.6</v>
      </c>
    </row>
    <row r="132" spans="1:21" s="371" customFormat="1" ht="30.6" x14ac:dyDescent="0.4">
      <c r="A132" s="394" t="s">
        <v>443</v>
      </c>
      <c r="B132" s="394">
        <v>87010</v>
      </c>
      <c r="C132" s="394" t="s">
        <v>364</v>
      </c>
      <c r="D132" s="370" t="s">
        <v>157</v>
      </c>
      <c r="E132" s="339" t="s">
        <v>153</v>
      </c>
      <c r="F132" s="364">
        <v>1</v>
      </c>
      <c r="G132" s="363" t="s">
        <v>158</v>
      </c>
      <c r="H132" s="367"/>
      <c r="I132" s="365">
        <f>'Expenses - Unit Costs'!K10</f>
        <v>240</v>
      </c>
      <c r="J132" s="366">
        <f>H132*$I132*$F132</f>
        <v>0</v>
      </c>
      <c r="K132" s="365">
        <v>5</v>
      </c>
      <c r="L132" s="366">
        <f>+K132*$I132*$F132</f>
        <v>1200</v>
      </c>
      <c r="M132" s="367">
        <v>3</v>
      </c>
      <c r="N132" s="366">
        <f>+M132*$I132*$F132*$E$6</f>
        <v>748.80000000000007</v>
      </c>
      <c r="O132" s="367"/>
      <c r="P132" s="366">
        <f>+O132*$I132*$F132*$E$6*$E$6*$E$6</f>
        <v>0</v>
      </c>
      <c r="Q132" s="367"/>
      <c r="R132" s="366">
        <f>+Q132*$I132*$F132*$E$6*$E$6*$E$6*$E$6</f>
        <v>0</v>
      </c>
      <c r="S132" s="368">
        <f>SUM(J132+L132+N132+P132+R132)</f>
        <v>1948.8000000000002</v>
      </c>
      <c r="T132" s="365">
        <v>0</v>
      </c>
      <c r="U132" s="369">
        <f>SUM(S132:T132)</f>
        <v>1948.8000000000002</v>
      </c>
    </row>
    <row r="133" spans="1:21" s="87" customFormat="1" ht="15" x14ac:dyDescent="0.4">
      <c r="A133" s="404"/>
      <c r="B133" s="404"/>
      <c r="C133" s="404"/>
      <c r="D133" s="157" t="s">
        <v>159</v>
      </c>
      <c r="E133" s="162"/>
      <c r="F133" s="162"/>
      <c r="G133" s="162"/>
      <c r="H133" s="241"/>
      <c r="I133" s="242"/>
      <c r="J133" s="243">
        <f>SUM(J128:J132)</f>
        <v>0</v>
      </c>
      <c r="K133" s="242"/>
      <c r="L133" s="243">
        <f>SUM(L128:L132)</f>
        <v>149200</v>
      </c>
      <c r="M133" s="241"/>
      <c r="N133" s="243">
        <f>SUM(N128:N132)</f>
        <v>154668.79999999999</v>
      </c>
      <c r="O133" s="241"/>
      <c r="P133" s="243">
        <f>SUM(P128:P132)</f>
        <v>160076.80000000002</v>
      </c>
      <c r="Q133" s="241"/>
      <c r="R133" s="243">
        <f>SUM(R128:R132)</f>
        <v>0</v>
      </c>
      <c r="S133" s="243">
        <f>SUM(S128:S132)</f>
        <v>463945.6</v>
      </c>
      <c r="T133" s="241">
        <f>SUM(T128:T132)</f>
        <v>0</v>
      </c>
      <c r="U133" s="244">
        <f>SUM(U128:U132)</f>
        <v>463945.6</v>
      </c>
    </row>
    <row r="134" spans="1:21" s="86" customFormat="1" ht="45" x14ac:dyDescent="0.4">
      <c r="A134" s="405"/>
      <c r="B134" s="405"/>
      <c r="C134" s="405"/>
      <c r="D134" s="84" t="s">
        <v>160</v>
      </c>
      <c r="E134" s="90"/>
      <c r="F134" s="90"/>
      <c r="G134" s="90"/>
      <c r="H134" s="217"/>
      <c r="I134" s="218"/>
      <c r="J134" s="219"/>
      <c r="K134" s="218"/>
      <c r="L134" s="218"/>
      <c r="M134" s="217"/>
      <c r="N134" s="218"/>
      <c r="O134" s="217"/>
      <c r="P134" s="218"/>
      <c r="Q134" s="217"/>
      <c r="R134" s="218"/>
      <c r="S134" s="220"/>
      <c r="T134" s="218"/>
      <c r="U134" s="221">
        <f>SUM(S134:T134)</f>
        <v>0</v>
      </c>
    </row>
    <row r="135" spans="1:21" s="87" customFormat="1" ht="30" x14ac:dyDescent="0.4">
      <c r="A135" s="406"/>
      <c r="B135" s="406"/>
      <c r="C135" s="406"/>
      <c r="D135" s="117" t="s">
        <v>81</v>
      </c>
      <c r="E135" s="142"/>
      <c r="F135" s="151"/>
      <c r="G135" s="142"/>
      <c r="H135" s="245"/>
      <c r="I135" s="246"/>
      <c r="J135" s="247"/>
      <c r="K135" s="246"/>
      <c r="L135" s="247"/>
      <c r="M135" s="245"/>
      <c r="N135" s="247"/>
      <c r="O135" s="245"/>
      <c r="P135" s="247"/>
      <c r="Q135" s="245"/>
      <c r="R135" s="247"/>
      <c r="S135" s="248"/>
      <c r="T135" s="246"/>
      <c r="U135" s="249"/>
    </row>
    <row r="136" spans="1:21" s="372" customFormat="1" x14ac:dyDescent="0.4">
      <c r="A136" s="394" t="s">
        <v>444</v>
      </c>
      <c r="B136" s="394">
        <v>87010</v>
      </c>
      <c r="C136" s="394" t="s">
        <v>364</v>
      </c>
      <c r="D136" s="370" t="s">
        <v>161</v>
      </c>
      <c r="E136" s="339" t="s">
        <v>162</v>
      </c>
      <c r="F136" s="364">
        <v>1</v>
      </c>
      <c r="G136" s="339" t="s">
        <v>142</v>
      </c>
      <c r="H136" s="367">
        <v>5</v>
      </c>
      <c r="I136" s="365">
        <f>'Expenses - Unit Costs'!K11</f>
        <v>240</v>
      </c>
      <c r="J136" s="366">
        <f>H136*$I136*$F136</f>
        <v>1200</v>
      </c>
      <c r="K136" s="365">
        <v>5</v>
      </c>
      <c r="L136" s="366">
        <f>+K136*$I136*$F136*$E$6</f>
        <v>1248</v>
      </c>
      <c r="M136" s="367">
        <v>0</v>
      </c>
      <c r="N136" s="366">
        <f>+M136*$I136*$F136*$E$6*$E$6</f>
        <v>0</v>
      </c>
      <c r="O136" s="367">
        <v>0</v>
      </c>
      <c r="P136" s="366">
        <f>+O136*$I136*$F136*$E$6*$E$6*$E$6</f>
        <v>0</v>
      </c>
      <c r="Q136" s="367">
        <v>0</v>
      </c>
      <c r="R136" s="366">
        <f>+Q136*$I136*$F136*$E$6*$E$6*$E$6*$E$6</f>
        <v>0</v>
      </c>
      <c r="S136" s="368">
        <f>SUM(J136+L136+N136+P136+R136)</f>
        <v>2448</v>
      </c>
      <c r="T136" s="365">
        <v>0</v>
      </c>
      <c r="U136" s="369">
        <f>SUM(S136:T136)</f>
        <v>2448</v>
      </c>
    </row>
    <row r="137" spans="1:21" s="372" customFormat="1" x14ac:dyDescent="0.4">
      <c r="A137" s="394" t="s">
        <v>445</v>
      </c>
      <c r="B137" s="394">
        <v>87010</v>
      </c>
      <c r="C137" s="394" t="s">
        <v>364</v>
      </c>
      <c r="D137" s="370" t="s">
        <v>163</v>
      </c>
      <c r="E137" s="339" t="s">
        <v>162</v>
      </c>
      <c r="F137" s="364">
        <v>1</v>
      </c>
      <c r="G137" s="339" t="s">
        <v>164</v>
      </c>
      <c r="H137" s="367">
        <v>0</v>
      </c>
      <c r="I137" s="365">
        <f>'Expenses - Unit Costs'!K12</f>
        <v>1600</v>
      </c>
      <c r="J137" s="366">
        <f>H137*$I137*$F137</f>
        <v>0</v>
      </c>
      <c r="K137" s="365">
        <v>0</v>
      </c>
      <c r="L137" s="366">
        <f>+K137*$I137*$F137*$E$6</f>
        <v>0</v>
      </c>
      <c r="M137" s="367">
        <v>5</v>
      </c>
      <c r="N137" s="366">
        <f>+M137*$I137*$F137</f>
        <v>8000</v>
      </c>
      <c r="O137" s="367">
        <v>0</v>
      </c>
      <c r="P137" s="366">
        <f>+O137*$I137*$F137*$E$6*$E$6*$E$6</f>
        <v>0</v>
      </c>
      <c r="Q137" s="367">
        <v>0</v>
      </c>
      <c r="R137" s="366">
        <f>+Q137*$I137*$F137*$E$6*$E$6*$E$6*$E$6</f>
        <v>0</v>
      </c>
      <c r="S137" s="368">
        <f>SUM(J137+L137+N137+P137+R137)</f>
        <v>8000</v>
      </c>
      <c r="T137" s="365">
        <v>0</v>
      </c>
      <c r="U137" s="369">
        <f>SUM(S137:T137)</f>
        <v>8000</v>
      </c>
    </row>
    <row r="138" spans="1:21" s="86" customFormat="1" ht="30" x14ac:dyDescent="0.4">
      <c r="A138" s="406"/>
      <c r="B138" s="406"/>
      <c r="C138" s="406"/>
      <c r="D138" s="117" t="s">
        <v>82</v>
      </c>
      <c r="E138" s="142"/>
      <c r="F138" s="151"/>
      <c r="G138" s="142"/>
      <c r="H138" s="245"/>
      <c r="I138" s="246"/>
      <c r="J138" s="247"/>
      <c r="K138" s="246"/>
      <c r="L138" s="247"/>
      <c r="M138" s="245"/>
      <c r="N138" s="247"/>
      <c r="O138" s="245"/>
      <c r="P138" s="247"/>
      <c r="Q138" s="245"/>
      <c r="R138" s="247"/>
      <c r="S138" s="248"/>
      <c r="T138" s="246"/>
      <c r="U138" s="249"/>
    </row>
    <row r="139" spans="1:21" s="371" customFormat="1" ht="30.6" x14ac:dyDescent="0.4">
      <c r="A139" s="394" t="s">
        <v>446</v>
      </c>
      <c r="B139" s="394">
        <v>87000</v>
      </c>
      <c r="C139" s="394" t="s">
        <v>364</v>
      </c>
      <c r="D139" s="370" t="s">
        <v>165</v>
      </c>
      <c r="E139" s="339" t="s">
        <v>162</v>
      </c>
      <c r="F139" s="364">
        <v>1</v>
      </c>
      <c r="G139" s="363" t="s">
        <v>164</v>
      </c>
      <c r="H139" s="367">
        <v>4</v>
      </c>
      <c r="I139" s="365">
        <f>'Expenses - Unit Costs'!K13</f>
        <v>240</v>
      </c>
      <c r="J139" s="366">
        <f>H139*$I139*$F139</f>
        <v>960</v>
      </c>
      <c r="K139" s="365">
        <v>4</v>
      </c>
      <c r="L139" s="366">
        <f>+K139*$I139*$F139*$E$6</f>
        <v>998.40000000000009</v>
      </c>
      <c r="M139" s="367"/>
      <c r="N139" s="366">
        <f>+M139*$I139*$F139*$E$6*$E$6</f>
        <v>0</v>
      </c>
      <c r="O139" s="367"/>
      <c r="P139" s="366">
        <f>+O139*$I139*$F139*$E$6*$E$6*$E$6</f>
        <v>0</v>
      </c>
      <c r="Q139" s="367"/>
      <c r="R139" s="366">
        <f>+Q139*$I139*$F139*$E$6*$E$6*$E$6*$E$6</f>
        <v>0</v>
      </c>
      <c r="S139" s="368">
        <f>SUM(J139+L139+N139+P139+R139)</f>
        <v>1958.4</v>
      </c>
      <c r="T139" s="365">
        <v>0</v>
      </c>
      <c r="U139" s="369">
        <f>SUM(S139:T139)</f>
        <v>1958.4</v>
      </c>
    </row>
    <row r="140" spans="1:21" s="371" customFormat="1" ht="30.6" x14ac:dyDescent="0.4">
      <c r="A140" s="394" t="s">
        <v>447</v>
      </c>
      <c r="B140" s="394" t="s">
        <v>448</v>
      </c>
      <c r="C140" s="394" t="s">
        <v>364</v>
      </c>
      <c r="D140" s="370" t="s">
        <v>166</v>
      </c>
      <c r="E140" s="339" t="s">
        <v>162</v>
      </c>
      <c r="F140" s="364">
        <v>1</v>
      </c>
      <c r="G140" s="339" t="s">
        <v>167</v>
      </c>
      <c r="H140" s="367">
        <v>0</v>
      </c>
      <c r="I140" s="365">
        <f>'Expenses - Unit Costs'!K14</f>
        <v>7000</v>
      </c>
      <c r="J140" s="366">
        <f>H140*$I140*$F140</f>
        <v>0</v>
      </c>
      <c r="K140" s="365">
        <v>5</v>
      </c>
      <c r="L140" s="366">
        <f>+K140*$I140*$F140</f>
        <v>35000</v>
      </c>
      <c r="M140" s="367"/>
      <c r="N140" s="366">
        <f>+M140*$I140*$F140*$E$6*$E$6</f>
        <v>0</v>
      </c>
      <c r="O140" s="367"/>
      <c r="P140" s="366">
        <f>+O140*$I140*$F140*$E$6*$E$6*$E$6</f>
        <v>0</v>
      </c>
      <c r="Q140" s="367"/>
      <c r="R140" s="366">
        <f>+Q140*$I140*$F140*$E$6*$E$6*$E$6*$E$6</f>
        <v>0</v>
      </c>
      <c r="S140" s="368">
        <f>SUM(J140+L140+N140+P140+R140)</f>
        <v>35000</v>
      </c>
      <c r="T140" s="365">
        <v>0</v>
      </c>
      <c r="U140" s="369">
        <f>SUM(S140:T140)</f>
        <v>35000</v>
      </c>
    </row>
    <row r="141" spans="1:21" s="87" customFormat="1" ht="30" x14ac:dyDescent="0.4">
      <c r="A141" s="406"/>
      <c r="B141" s="406"/>
      <c r="C141" s="406"/>
      <c r="D141" s="117" t="s">
        <v>83</v>
      </c>
      <c r="E141" s="142"/>
      <c r="F141" s="151"/>
      <c r="G141" s="142"/>
      <c r="H141" s="245"/>
      <c r="I141" s="246"/>
      <c r="J141" s="247"/>
      <c r="K141" s="246"/>
      <c r="L141" s="247"/>
      <c r="M141" s="245"/>
      <c r="N141" s="247"/>
      <c r="O141" s="245"/>
      <c r="P141" s="247"/>
      <c r="Q141" s="245"/>
      <c r="R141" s="247"/>
      <c r="S141" s="248"/>
      <c r="T141" s="246"/>
      <c r="U141" s="249"/>
    </row>
    <row r="142" spans="1:21" s="371" customFormat="1" ht="30.6" x14ac:dyDescent="0.4">
      <c r="A142" s="394" t="s">
        <v>449</v>
      </c>
      <c r="B142" s="394">
        <v>87000</v>
      </c>
      <c r="C142" s="394" t="s">
        <v>364</v>
      </c>
      <c r="D142" s="370" t="s">
        <v>168</v>
      </c>
      <c r="E142" s="339" t="s">
        <v>162</v>
      </c>
      <c r="F142" s="364">
        <v>1</v>
      </c>
      <c r="G142" s="363" t="s">
        <v>164</v>
      </c>
      <c r="H142" s="367">
        <v>0</v>
      </c>
      <c r="I142" s="365">
        <f>'Expenses - Unit Costs'!K15</f>
        <v>10400</v>
      </c>
      <c r="J142" s="366">
        <f>H142*$I142*$F142</f>
        <v>0</v>
      </c>
      <c r="K142" s="365">
        <v>2</v>
      </c>
      <c r="L142" s="366">
        <f>+K142*$I142*$F142</f>
        <v>20800</v>
      </c>
      <c r="M142" s="367">
        <v>2</v>
      </c>
      <c r="N142" s="366">
        <f>+M142*$I142*$F142*$E$6</f>
        <v>21632</v>
      </c>
      <c r="O142" s="367">
        <v>2</v>
      </c>
      <c r="P142" s="366">
        <f>+O142*$I142*$F142*$E$6*$E$6</f>
        <v>22497.280000000002</v>
      </c>
      <c r="Q142" s="367"/>
      <c r="R142" s="366">
        <f>+Q142*$I142*$F142*$E$6*$E$6*$E$6*$E$6</f>
        <v>0</v>
      </c>
      <c r="S142" s="368">
        <f>SUM(J142+L142+N142+P142+R142)</f>
        <v>64929.279999999999</v>
      </c>
      <c r="T142" s="365">
        <v>0</v>
      </c>
      <c r="U142" s="369">
        <f>SUM(S142:T142)</f>
        <v>64929.279999999999</v>
      </c>
    </row>
    <row r="143" spans="1:21" s="371" customFormat="1" ht="30.6" x14ac:dyDescent="0.4">
      <c r="A143" s="394" t="s">
        <v>450</v>
      </c>
      <c r="B143" s="394" t="s">
        <v>448</v>
      </c>
      <c r="C143" s="394" t="s">
        <v>364</v>
      </c>
      <c r="D143" s="370" t="s">
        <v>169</v>
      </c>
      <c r="E143" s="339" t="s">
        <v>162</v>
      </c>
      <c r="F143" s="364">
        <v>1</v>
      </c>
      <c r="G143" s="363" t="s">
        <v>167</v>
      </c>
      <c r="H143" s="367">
        <v>0</v>
      </c>
      <c r="I143" s="365">
        <f>'Expenses - Unit Costs'!K16</f>
        <v>500</v>
      </c>
      <c r="J143" s="366">
        <f>H143*$I143*$F143</f>
        <v>0</v>
      </c>
      <c r="K143" s="365">
        <v>2</v>
      </c>
      <c r="L143" s="366">
        <f>+K143*$I143*$F143</f>
        <v>1000</v>
      </c>
      <c r="M143" s="367">
        <v>2</v>
      </c>
      <c r="N143" s="366">
        <f>+M143*$I143*$F143*$E$6</f>
        <v>1040</v>
      </c>
      <c r="O143" s="367">
        <v>2</v>
      </c>
      <c r="P143" s="366">
        <f>+O143*$I143*$F143*$E$6*$E$6</f>
        <v>1081.6000000000001</v>
      </c>
      <c r="Q143" s="367"/>
      <c r="R143" s="366">
        <f>+Q143*$I143*$F143*$E$6*$E$6*$E$6*$E$6</f>
        <v>0</v>
      </c>
      <c r="S143" s="368">
        <f>SUM(J143+L143+N143+P143+R143)</f>
        <v>3121.6000000000004</v>
      </c>
      <c r="T143" s="365">
        <v>0</v>
      </c>
      <c r="U143" s="369">
        <f>SUM(S143:T143)</f>
        <v>3121.6000000000004</v>
      </c>
    </row>
    <row r="144" spans="1:21" s="86" customFormat="1" x14ac:dyDescent="0.4">
      <c r="A144" s="404"/>
      <c r="B144" s="404"/>
      <c r="C144" s="404"/>
      <c r="D144" s="157" t="s">
        <v>170</v>
      </c>
      <c r="E144" s="162"/>
      <c r="F144" s="162"/>
      <c r="G144" s="162"/>
      <c r="H144" s="241"/>
      <c r="I144" s="242"/>
      <c r="J144" s="243">
        <f>SUM(J135:J143)</f>
        <v>2160</v>
      </c>
      <c r="K144" s="241"/>
      <c r="L144" s="243">
        <f>SUM(L135:L143)</f>
        <v>59046.400000000001</v>
      </c>
      <c r="M144" s="241"/>
      <c r="N144" s="243">
        <f>SUM(N135:N143)</f>
        <v>30672</v>
      </c>
      <c r="O144" s="241"/>
      <c r="P144" s="243">
        <f>SUM(P135:P143)</f>
        <v>23578.880000000001</v>
      </c>
      <c r="Q144" s="241"/>
      <c r="R144" s="243">
        <f>SUM(R135:R143)</f>
        <v>0</v>
      </c>
      <c r="S144" s="243">
        <f>SUM(S135:S143)</f>
        <v>115457.28</v>
      </c>
      <c r="T144" s="242">
        <f>SUM(T135:T143)</f>
        <v>0</v>
      </c>
      <c r="U144" s="244">
        <f>SUM(U135:U143)</f>
        <v>115457.28</v>
      </c>
    </row>
    <row r="145" spans="1:21" s="87" customFormat="1" x14ac:dyDescent="0.4">
      <c r="A145" s="398"/>
      <c r="B145" s="405"/>
      <c r="C145" s="398"/>
      <c r="D145" s="82" t="s">
        <v>171</v>
      </c>
      <c r="E145" s="82"/>
      <c r="F145" s="82"/>
      <c r="G145" s="83"/>
      <c r="H145" s="212"/>
      <c r="I145" s="213"/>
      <c r="J145" s="214"/>
      <c r="K145" s="213"/>
      <c r="L145" s="214"/>
      <c r="M145" s="213"/>
      <c r="N145" s="213"/>
      <c r="O145" s="212"/>
      <c r="P145" s="213"/>
      <c r="Q145" s="212"/>
      <c r="R145" s="213"/>
      <c r="S145" s="220"/>
      <c r="T145" s="218"/>
      <c r="U145" s="221"/>
    </row>
    <row r="146" spans="1:21" s="86" customFormat="1" x14ac:dyDescent="0.4">
      <c r="A146" s="406"/>
      <c r="B146" s="406"/>
      <c r="C146" s="406"/>
      <c r="D146" s="117" t="s">
        <v>172</v>
      </c>
      <c r="E146" s="142"/>
      <c r="F146" s="151"/>
      <c r="G146" s="142"/>
      <c r="H146" s="245"/>
      <c r="I146" s="246"/>
      <c r="J146" s="247"/>
      <c r="K146" s="246"/>
      <c r="L146" s="247"/>
      <c r="M146" s="245"/>
      <c r="N146" s="247"/>
      <c r="O146" s="245"/>
      <c r="P146" s="247"/>
      <c r="Q146" s="245"/>
      <c r="R146" s="247"/>
      <c r="S146" s="248"/>
      <c r="T146" s="246"/>
      <c r="U146" s="249"/>
    </row>
    <row r="147" spans="1:21" x14ac:dyDescent="0.4">
      <c r="A147" s="394" t="s">
        <v>451</v>
      </c>
      <c r="B147" s="394">
        <v>87000</v>
      </c>
      <c r="C147" s="394" t="s">
        <v>364</v>
      </c>
      <c r="D147" s="21" t="s">
        <v>173</v>
      </c>
      <c r="E147" s="21" t="s">
        <v>87</v>
      </c>
      <c r="F147" s="101">
        <v>1</v>
      </c>
      <c r="G147" s="22" t="s">
        <v>164</v>
      </c>
      <c r="H147" s="176">
        <f>1*2</f>
        <v>2</v>
      </c>
      <c r="I147" s="177">
        <f>'Expenses - Unit Costs'!$K$13</f>
        <v>240</v>
      </c>
      <c r="J147" s="178">
        <f>H147*$I147*$F147</f>
        <v>480</v>
      </c>
      <c r="K147" s="177">
        <f>4*2</f>
        <v>8</v>
      </c>
      <c r="L147" s="178">
        <f>+K147*$I147*$F147*$E$6</f>
        <v>1996.8000000000002</v>
      </c>
      <c r="M147" s="177">
        <f>4*2</f>
        <v>8</v>
      </c>
      <c r="N147" s="178">
        <f>+M147*$I147*$F147*$E$6*$E$6</f>
        <v>2076.6720000000005</v>
      </c>
      <c r="O147" s="177">
        <f>4*2</f>
        <v>8</v>
      </c>
      <c r="P147" s="178">
        <f>+O147*$I147*$F147*$E$6*$E$6*$E$6</f>
        <v>2159.7388800000008</v>
      </c>
      <c r="Q147" s="176"/>
      <c r="R147" s="178">
        <f>+Q147*$I147*$F147*$E$6*$E$6*$E$6*$E$6</f>
        <v>0</v>
      </c>
      <c r="S147" s="179">
        <f>SUM(J147+L147+N147+P147+R147)</f>
        <v>6713.2108800000015</v>
      </c>
      <c r="T147" s="177">
        <v>0</v>
      </c>
      <c r="U147" s="180">
        <f>SUM(S147:T147)</f>
        <v>6713.2108800000015</v>
      </c>
    </row>
    <row r="148" spans="1:21" s="86" customFormat="1" x14ac:dyDescent="0.4">
      <c r="A148" s="406"/>
      <c r="B148" s="406"/>
      <c r="C148" s="406"/>
      <c r="D148" s="117" t="s">
        <v>174</v>
      </c>
      <c r="E148" s="142"/>
      <c r="F148" s="151"/>
      <c r="G148" s="142"/>
      <c r="H148" s="245"/>
      <c r="I148" s="246"/>
      <c r="J148" s="247"/>
      <c r="K148" s="246"/>
      <c r="L148" s="247"/>
      <c r="M148" s="245"/>
      <c r="N148" s="247"/>
      <c r="O148" s="245"/>
      <c r="P148" s="247"/>
      <c r="Q148" s="245"/>
      <c r="R148" s="247"/>
      <c r="S148" s="248"/>
      <c r="T148" s="246"/>
      <c r="U148" s="249"/>
    </row>
    <row r="149" spans="1:21" x14ac:dyDescent="0.4">
      <c r="A149" s="394" t="s">
        <v>452</v>
      </c>
      <c r="B149" s="394">
        <v>81021</v>
      </c>
      <c r="C149" s="394" t="s">
        <v>364</v>
      </c>
      <c r="D149" s="21" t="s">
        <v>175</v>
      </c>
      <c r="E149" s="21" t="s">
        <v>87</v>
      </c>
      <c r="F149" s="101">
        <v>1</v>
      </c>
      <c r="G149" s="22" t="s">
        <v>176</v>
      </c>
      <c r="H149" s="176">
        <v>1</v>
      </c>
      <c r="I149" s="177">
        <v>3500</v>
      </c>
      <c r="J149" s="178">
        <f>H149*$I149*$F149</f>
        <v>3500</v>
      </c>
      <c r="K149" s="177"/>
      <c r="L149" s="178">
        <f>+K149*$I149*$F149*$E$6</f>
        <v>0</v>
      </c>
      <c r="M149" s="176"/>
      <c r="N149" s="178">
        <f>+M149*$I149*$F149*$E$6*$E$6</f>
        <v>0</v>
      </c>
      <c r="O149" s="176"/>
      <c r="P149" s="178">
        <f>+O149*$I149*$F149*$E$6*$E$6*$E$6</f>
        <v>0</v>
      </c>
      <c r="Q149" s="176"/>
      <c r="R149" s="178">
        <f>+Q149*$I149*$F149*$E$6*$E$6*$E$6*$E$6</f>
        <v>0</v>
      </c>
      <c r="S149" s="179">
        <f>SUM(J149+L149+N149+P149+R149)</f>
        <v>3500</v>
      </c>
      <c r="T149" s="177">
        <v>0</v>
      </c>
      <c r="U149" s="180">
        <f>SUM(S149:T149)</f>
        <v>3500</v>
      </c>
    </row>
    <row r="150" spans="1:21" s="86" customFormat="1" x14ac:dyDescent="0.4">
      <c r="A150" s="406"/>
      <c r="B150" s="406"/>
      <c r="C150" s="406"/>
      <c r="D150" s="117" t="s">
        <v>177</v>
      </c>
      <c r="E150" s="142"/>
      <c r="F150" s="151"/>
      <c r="G150" s="142"/>
      <c r="H150" s="245"/>
      <c r="I150" s="246"/>
      <c r="J150" s="247"/>
      <c r="K150" s="246"/>
      <c r="L150" s="247"/>
      <c r="M150" s="245"/>
      <c r="N150" s="247"/>
      <c r="O150" s="245"/>
      <c r="P150" s="247"/>
      <c r="Q150" s="245"/>
      <c r="R150" s="247"/>
      <c r="S150" s="248"/>
      <c r="T150" s="246"/>
      <c r="U150" s="249"/>
    </row>
    <row r="151" spans="1:21" x14ac:dyDescent="0.4">
      <c r="A151" s="394" t="s">
        <v>453</v>
      </c>
      <c r="B151" s="394">
        <v>87000</v>
      </c>
      <c r="C151" s="394" t="s">
        <v>364</v>
      </c>
      <c r="D151" s="21" t="s">
        <v>178</v>
      </c>
      <c r="E151" s="21" t="s">
        <v>87</v>
      </c>
      <c r="F151" s="101">
        <v>1</v>
      </c>
      <c r="G151" s="22" t="s">
        <v>164</v>
      </c>
      <c r="H151" s="176">
        <f>3*5*2</f>
        <v>30</v>
      </c>
      <c r="I151" s="177">
        <f>'Expenses - Unit Costs'!$K$17</f>
        <v>1360</v>
      </c>
      <c r="J151" s="178">
        <f>H151*$I151*$F151</f>
        <v>40800</v>
      </c>
      <c r="K151" s="177"/>
      <c r="L151" s="178">
        <f>+K151*$I151*$F151*$E$6</f>
        <v>0</v>
      </c>
      <c r="M151" s="176"/>
      <c r="N151" s="178">
        <f>+M151*$I151*$F151*$E$6*$E$6</f>
        <v>0</v>
      </c>
      <c r="O151" s="176"/>
      <c r="P151" s="178">
        <f>+O151*$I151*$F151*$E$6*$E$6*$E$6</f>
        <v>0</v>
      </c>
      <c r="Q151" s="176"/>
      <c r="R151" s="178">
        <f>+Q151*$I151*$F151*$E$6*$E$6*$E$6*$E$6</f>
        <v>0</v>
      </c>
      <c r="S151" s="179">
        <f>SUM(J151+L151+N151+P151+R151)</f>
        <v>40800</v>
      </c>
      <c r="T151" s="177">
        <v>0</v>
      </c>
      <c r="U151" s="180">
        <f>SUM(S151:T151)</f>
        <v>40800</v>
      </c>
    </row>
    <row r="152" spans="1:21" ht="30.6" x14ac:dyDescent="0.4">
      <c r="A152" s="394" t="s">
        <v>454</v>
      </c>
      <c r="B152" s="394" t="s">
        <v>448</v>
      </c>
      <c r="C152" s="394" t="s">
        <v>364</v>
      </c>
      <c r="D152" s="21" t="s">
        <v>169</v>
      </c>
      <c r="E152" s="21" t="s">
        <v>87</v>
      </c>
      <c r="F152" s="101">
        <v>1</v>
      </c>
      <c r="G152" s="22" t="s">
        <v>91</v>
      </c>
      <c r="H152" s="176">
        <f>4*5*2</f>
        <v>40</v>
      </c>
      <c r="I152" s="177">
        <v>50</v>
      </c>
      <c r="J152" s="178">
        <f>H152*$I152*$F152</f>
        <v>2000</v>
      </c>
      <c r="K152" s="177"/>
      <c r="L152" s="178">
        <f>+K152*$I152*$F152*$E$6</f>
        <v>0</v>
      </c>
      <c r="M152" s="176"/>
      <c r="N152" s="178">
        <f>+M152*$I152*$F152*$E$6*$E$6</f>
        <v>0</v>
      </c>
      <c r="O152" s="176"/>
      <c r="P152" s="178">
        <f>+O152*$I152*$F152*$E$6*$E$6*$E$6</f>
        <v>0</v>
      </c>
      <c r="Q152" s="176"/>
      <c r="R152" s="178">
        <f>+Q152*$I152*$F152*$E$6*$E$6*$E$6*$E$6</f>
        <v>0</v>
      </c>
      <c r="S152" s="179">
        <f>SUM(J152+L152+N152+P152+R152)</f>
        <v>2000</v>
      </c>
      <c r="T152" s="177">
        <v>0</v>
      </c>
      <c r="U152" s="180">
        <f>SUM(S152:T152)</f>
        <v>2000</v>
      </c>
    </row>
    <row r="153" spans="1:21" s="86" customFormat="1" x14ac:dyDescent="0.4">
      <c r="A153" s="406"/>
      <c r="B153" s="406"/>
      <c r="C153" s="406"/>
      <c r="D153" s="117" t="s">
        <v>179</v>
      </c>
      <c r="E153" s="142"/>
      <c r="F153" s="151"/>
      <c r="G153" s="142"/>
      <c r="H153" s="245"/>
      <c r="I153" s="246"/>
      <c r="J153" s="247"/>
      <c r="K153" s="246"/>
      <c r="L153" s="247"/>
      <c r="M153" s="245"/>
      <c r="N153" s="247"/>
      <c r="O153" s="245"/>
      <c r="P153" s="247"/>
      <c r="Q153" s="245"/>
      <c r="R153" s="247"/>
      <c r="S153" s="248"/>
      <c r="T153" s="246"/>
      <c r="U153" s="249"/>
    </row>
    <row r="154" spans="1:21" x14ac:dyDescent="0.4">
      <c r="A154" s="394" t="s">
        <v>455</v>
      </c>
      <c r="B154" s="394">
        <v>81000</v>
      </c>
      <c r="C154" s="394" t="s">
        <v>364</v>
      </c>
      <c r="D154" s="21" t="s">
        <v>180</v>
      </c>
      <c r="E154" s="21" t="s">
        <v>87</v>
      </c>
      <c r="F154" s="101">
        <v>1</v>
      </c>
      <c r="G154" s="22" t="s">
        <v>181</v>
      </c>
      <c r="H154" s="176">
        <f>60*6</f>
        <v>360</v>
      </c>
      <c r="I154" s="177">
        <v>25</v>
      </c>
      <c r="J154" s="178">
        <f>H154*$I154*$F154</f>
        <v>9000</v>
      </c>
      <c r="K154" s="176">
        <f>60*8</f>
        <v>480</v>
      </c>
      <c r="L154" s="178">
        <f>+K154*$I154*$F154*$E$6</f>
        <v>12480</v>
      </c>
      <c r="M154" s="176">
        <f>60*8</f>
        <v>480</v>
      </c>
      <c r="N154" s="178">
        <f>+M154*$I154*$F154*$E$6*$E$6</f>
        <v>12979.2</v>
      </c>
      <c r="O154" s="176">
        <f>60*8</f>
        <v>480</v>
      </c>
      <c r="P154" s="178">
        <f>+O154*$I154*$F154*$E$6*$E$6*$E$6</f>
        <v>13498.368</v>
      </c>
      <c r="Q154" s="176"/>
      <c r="R154" s="178">
        <f>+Q154*$I154*$F154*$E$6*$E$6*$E$6*$E$6</f>
        <v>0</v>
      </c>
      <c r="S154" s="179">
        <f>SUM(J154+L154+N154+P154+R154)</f>
        <v>47957.567999999999</v>
      </c>
      <c r="T154" s="177">
        <v>0</v>
      </c>
      <c r="U154" s="180">
        <f>SUM(S154:T154)</f>
        <v>47957.567999999999</v>
      </c>
    </row>
    <row r="155" spans="1:21" x14ac:dyDescent="0.4">
      <c r="A155" s="394" t="s">
        <v>456</v>
      </c>
      <c r="B155" s="394">
        <v>81000</v>
      </c>
      <c r="C155" s="394" t="s">
        <v>364</v>
      </c>
      <c r="D155" s="21" t="s">
        <v>182</v>
      </c>
      <c r="E155" s="21" t="s">
        <v>87</v>
      </c>
      <c r="F155" s="101">
        <v>1</v>
      </c>
      <c r="G155" s="22" t="s">
        <v>181</v>
      </c>
      <c r="H155" s="176">
        <f>60*3</f>
        <v>180</v>
      </c>
      <c r="I155" s="177">
        <v>25</v>
      </c>
      <c r="J155" s="178">
        <f>H155*$I155*$F155</f>
        <v>4500</v>
      </c>
      <c r="K155" s="177"/>
      <c r="L155" s="178">
        <f>+K155*$I155*$F155*$E$6</f>
        <v>0</v>
      </c>
      <c r="M155" s="176"/>
      <c r="N155" s="178">
        <f>+M155*$I155*$F155*$E$6*$E$6</f>
        <v>0</v>
      </c>
      <c r="O155" s="176"/>
      <c r="P155" s="178">
        <f>+O155*$I155*$F155*$E$6*$E$6*$E$6</f>
        <v>0</v>
      </c>
      <c r="Q155" s="176"/>
      <c r="R155" s="178">
        <f>+Q155*$I155*$F155*$E$6*$E$6*$E$6*$E$6</f>
        <v>0</v>
      </c>
      <c r="S155" s="179">
        <f>SUM(J155+L155+N155+P155+R155)</f>
        <v>4500</v>
      </c>
      <c r="T155" s="177">
        <v>0</v>
      </c>
      <c r="U155" s="180">
        <f>SUM(S155:T155)</f>
        <v>4500</v>
      </c>
    </row>
    <row r="156" spans="1:21" s="91" customFormat="1" ht="30.3" thickBot="1" x14ac:dyDescent="0.45">
      <c r="A156" s="408"/>
      <c r="B156" s="414"/>
      <c r="C156" s="408"/>
      <c r="D156" s="163" t="s">
        <v>183</v>
      </c>
      <c r="E156" s="163"/>
      <c r="F156" s="163"/>
      <c r="G156" s="164"/>
      <c r="H156" s="250"/>
      <c r="I156" s="250"/>
      <c r="J156" s="251">
        <f>SUM(J146:J155)</f>
        <v>60280</v>
      </c>
      <c r="K156" s="250"/>
      <c r="L156" s="251">
        <f>SUM(L146:L155)</f>
        <v>14476.8</v>
      </c>
      <c r="M156" s="250"/>
      <c r="N156" s="251">
        <f>SUM(N146:N155)</f>
        <v>15055.872000000001</v>
      </c>
      <c r="O156" s="250"/>
      <c r="P156" s="251">
        <f>SUM(P146:P155)</f>
        <v>15658.106880000001</v>
      </c>
      <c r="Q156" s="250"/>
      <c r="R156" s="251">
        <f>SUM(R146:R155)</f>
        <v>0</v>
      </c>
      <c r="S156" s="251">
        <f>SUM(S146:S155)</f>
        <v>105470.77888</v>
      </c>
      <c r="T156" s="250">
        <f>SUM(T146:T155)</f>
        <v>0</v>
      </c>
      <c r="U156" s="252">
        <f>SUM(U146:U155)</f>
        <v>105470.77888</v>
      </c>
    </row>
    <row r="157" spans="1:21" x14ac:dyDescent="0.4">
      <c r="A157" s="399"/>
      <c r="B157" s="394"/>
      <c r="C157" s="399"/>
      <c r="H157" s="176"/>
      <c r="I157" s="177"/>
      <c r="J157" s="178"/>
      <c r="K157" s="177"/>
      <c r="L157" s="177"/>
      <c r="M157" s="176"/>
      <c r="N157" s="177"/>
      <c r="O157" s="176"/>
      <c r="P157" s="177"/>
      <c r="Q157" s="176"/>
      <c r="R157" s="177"/>
      <c r="S157" s="179"/>
      <c r="T157" s="177"/>
      <c r="U157" s="180"/>
    </row>
    <row r="158" spans="1:21" ht="15.6" thickBot="1" x14ac:dyDescent="0.45">
      <c r="A158" s="397"/>
      <c r="B158" s="396"/>
      <c r="C158" s="397"/>
      <c r="D158" s="153" t="s">
        <v>184</v>
      </c>
      <c r="E158" s="153"/>
      <c r="F158" s="153"/>
      <c r="G158" s="153"/>
      <c r="H158" s="197"/>
      <c r="I158" s="198"/>
      <c r="J158" s="199">
        <f>SUM(J101:J156)/2</f>
        <v>152676</v>
      </c>
      <c r="K158" s="198"/>
      <c r="L158" s="199">
        <f>SUM(L101:L156)/2</f>
        <v>364098.64000000007</v>
      </c>
      <c r="M158" s="198"/>
      <c r="N158" s="199">
        <f>SUM(N101:N156)/2</f>
        <v>347427.12959999999</v>
      </c>
      <c r="O158" s="198"/>
      <c r="P158" s="199">
        <f>SUM(P101:P156)/2</f>
        <v>352225.46278400003</v>
      </c>
      <c r="Q158" s="198"/>
      <c r="R158" s="199">
        <f>SUM(R101:R156)/2</f>
        <v>42603.909038080012</v>
      </c>
      <c r="S158" s="199">
        <f>SUM(S101:S156)/2</f>
        <v>1259031.1414220799</v>
      </c>
      <c r="T158" s="198">
        <f>SUM(T101:T156)/2</f>
        <v>0</v>
      </c>
      <c r="U158" s="200">
        <f>SUM(U101:U156)/2</f>
        <v>1259031.1414220799</v>
      </c>
    </row>
    <row r="159" spans="1:21" x14ac:dyDescent="0.4">
      <c r="A159" s="409"/>
      <c r="B159" s="415"/>
      <c r="C159" s="409"/>
      <c r="D159" s="35"/>
      <c r="E159" s="35"/>
      <c r="F159" s="35"/>
      <c r="H159" s="223"/>
      <c r="I159" s="177"/>
      <c r="J159" s="178"/>
      <c r="K159" s="177"/>
      <c r="L159" s="177"/>
      <c r="M159" s="176"/>
      <c r="N159" s="177"/>
      <c r="O159" s="176"/>
      <c r="P159" s="177"/>
      <c r="Q159" s="176"/>
      <c r="R159" s="177"/>
      <c r="S159" s="179"/>
      <c r="T159" s="177"/>
      <c r="U159" s="180"/>
    </row>
    <row r="160" spans="1:21" ht="15.6" thickBot="1" x14ac:dyDescent="0.45">
      <c r="A160" s="392"/>
      <c r="B160" s="384"/>
      <c r="C160" s="392"/>
      <c r="D160" s="94" t="s">
        <v>185</v>
      </c>
      <c r="E160" s="94"/>
      <c r="F160" s="94"/>
      <c r="G160" s="94"/>
      <c r="H160" s="201"/>
      <c r="I160" s="202"/>
      <c r="J160" s="253">
        <f>SUM(J24,J28,J77,J80,J85,J96,J99,J158)</f>
        <v>1288265.8976048478</v>
      </c>
      <c r="K160" s="202"/>
      <c r="L160" s="253">
        <f>SUM(L24,L28,L77,L80,L85,L96,L99,L158)</f>
        <v>2578089.1910627801</v>
      </c>
      <c r="M160" s="254"/>
      <c r="N160" s="253">
        <f>SUM(N24,N28,N77,N80,N85,N96,N99,N158)</f>
        <v>2460067.6264341488</v>
      </c>
      <c r="O160" s="254"/>
      <c r="P160" s="253">
        <f>SUM(P24,P28,P77,P80,P85,P96,P99,P158)</f>
        <v>2151158.1771188937</v>
      </c>
      <c r="Q160" s="254"/>
      <c r="R160" s="253">
        <f>SUM(R24,R28,R77,R80,R85,R96,R99,R158)</f>
        <v>456582.51295449689</v>
      </c>
      <c r="S160" s="253">
        <f>SUM(S24,S28,S77,S80,S85,S96,S99,S158)</f>
        <v>8934163.4051751681</v>
      </c>
      <c r="T160" s="202">
        <f>SUM(T24,T28,T77,T80,T85,T96,T99,T158)</f>
        <v>0</v>
      </c>
      <c r="U160" s="255">
        <f>SUM(U24,U28,U77,U80,U85,U96,U99,U158)</f>
        <v>8934163.4051751681</v>
      </c>
    </row>
    <row r="161" spans="1:21" x14ac:dyDescent="0.4">
      <c r="A161" s="410"/>
      <c r="B161" s="416"/>
      <c r="C161" s="410"/>
      <c r="D161" s="30"/>
      <c r="E161" s="30"/>
      <c r="F161" s="30"/>
      <c r="H161" s="223"/>
      <c r="I161" s="177"/>
      <c r="J161" s="178"/>
      <c r="K161" s="177"/>
      <c r="L161" s="177"/>
      <c r="M161" s="176"/>
      <c r="N161" s="177"/>
      <c r="O161" s="176"/>
      <c r="P161" s="177"/>
      <c r="Q161" s="176"/>
      <c r="R161" s="177"/>
      <c r="S161" s="179"/>
      <c r="T161" s="177"/>
      <c r="U161" s="180"/>
    </row>
    <row r="162" spans="1:21" x14ac:dyDescent="0.4">
      <c r="A162" s="410" t="s">
        <v>422</v>
      </c>
      <c r="B162" s="416">
        <v>94050</v>
      </c>
      <c r="C162" s="410" t="s">
        <v>365</v>
      </c>
      <c r="D162" s="30" t="s">
        <v>186</v>
      </c>
      <c r="E162" s="21" t="s">
        <v>187</v>
      </c>
      <c r="G162" s="35"/>
      <c r="H162" s="206"/>
      <c r="I162" s="36">
        <v>0.15</v>
      </c>
      <c r="J162" s="178">
        <f>(J160-J88-J89)*I162</f>
        <v>149540.75074572716</v>
      </c>
      <c r="K162" s="36">
        <v>0.15</v>
      </c>
      <c r="L162" s="178">
        <f>(L160-L88-L89)*K162</f>
        <v>209175.50241887261</v>
      </c>
      <c r="M162" s="36">
        <v>0.15</v>
      </c>
      <c r="N162" s="178">
        <f>(N160-N88-N89)*M162</f>
        <v>198393.37719176605</v>
      </c>
      <c r="O162" s="36">
        <v>0.15</v>
      </c>
      <c r="P162" s="178">
        <f>(P160-P88-P89)*O162</f>
        <v>200237.6367922764</v>
      </c>
      <c r="Q162" s="36">
        <v>0.15</v>
      </c>
      <c r="R162" s="178">
        <f>(R160-R88-R89)*Q162</f>
        <v>68487.376943174531</v>
      </c>
      <c r="S162" s="179">
        <f>SUM(J162+L162+N162+P162+R162)</f>
        <v>825834.64409181674</v>
      </c>
      <c r="T162" s="177">
        <v>0</v>
      </c>
      <c r="U162" s="180">
        <f>SUM(S162:T162)</f>
        <v>825834.64409181674</v>
      </c>
    </row>
    <row r="163" spans="1:21" x14ac:dyDescent="0.4">
      <c r="A163" s="410" t="s">
        <v>422</v>
      </c>
      <c r="B163" s="416">
        <v>94050</v>
      </c>
      <c r="C163" s="410" t="s">
        <v>365</v>
      </c>
      <c r="D163" s="30" t="s">
        <v>188</v>
      </c>
      <c r="E163" s="21" t="s">
        <v>187</v>
      </c>
      <c r="G163" s="35"/>
      <c r="H163" s="206"/>
      <c r="I163" s="36">
        <v>7.0000000000000007E-2</v>
      </c>
      <c r="J163" s="178">
        <f>(J88+J89)*I163</f>
        <v>20392.929151</v>
      </c>
      <c r="K163" s="36">
        <v>7.0000000000000007E-2</v>
      </c>
      <c r="L163" s="178">
        <f>(L88+L89)*K163</f>
        <v>82851.008912254052</v>
      </c>
      <c r="M163" s="36">
        <v>7.0000000000000007E-2</v>
      </c>
      <c r="N163" s="178">
        <f>(N88+N89)*M163</f>
        <v>79621.157827566232</v>
      </c>
      <c r="O163" s="36">
        <v>7.0000000000000007E-2</v>
      </c>
      <c r="P163" s="178">
        <f>(P88+P89)*O163</f>
        <v>57136.841895260244</v>
      </c>
      <c r="Q163" s="36">
        <v>7.0000000000000007E-2</v>
      </c>
      <c r="R163" s="178">
        <f>(R88+R89)*Q163</f>
        <v>0</v>
      </c>
      <c r="S163" s="179">
        <f>SUM(J163+L163+N163+P163+R163)</f>
        <v>240001.93778608053</v>
      </c>
      <c r="T163" s="177">
        <v>0</v>
      </c>
      <c r="U163" s="180">
        <f>SUM(S163:T163)</f>
        <v>240001.93778608053</v>
      </c>
    </row>
    <row r="164" spans="1:21" x14ac:dyDescent="0.4">
      <c r="A164" s="411"/>
      <c r="B164" s="417"/>
      <c r="C164" s="411"/>
      <c r="D164" s="86"/>
      <c r="E164" s="86"/>
      <c r="F164" s="86"/>
      <c r="G164" s="96"/>
      <c r="H164" s="195"/>
      <c r="I164" s="196"/>
      <c r="J164" s="178"/>
      <c r="K164" s="177"/>
      <c r="L164" s="177"/>
      <c r="M164" s="176"/>
      <c r="N164" s="177"/>
      <c r="O164" s="176"/>
      <c r="P164" s="177"/>
      <c r="Q164" s="176"/>
      <c r="R164" s="177"/>
      <c r="S164" s="179"/>
      <c r="T164" s="177"/>
      <c r="U164" s="180"/>
    </row>
    <row r="165" spans="1:21" ht="15.6" thickBot="1" x14ac:dyDescent="0.45">
      <c r="A165" s="397"/>
      <c r="B165" s="396"/>
      <c r="C165" s="397"/>
      <c r="D165" s="153" t="s">
        <v>189</v>
      </c>
      <c r="E165" s="153"/>
      <c r="F165" s="153"/>
      <c r="G165" s="153"/>
      <c r="H165" s="197"/>
      <c r="I165" s="198"/>
      <c r="J165" s="199">
        <f>SUM(J162:J163)</f>
        <v>169933.67989672715</v>
      </c>
      <c r="K165" s="198"/>
      <c r="L165" s="199">
        <f>SUM(L162:L163)</f>
        <v>292026.51133112668</v>
      </c>
      <c r="M165" s="198"/>
      <c r="N165" s="199">
        <f>SUM(N162:N163)</f>
        <v>278014.53501933231</v>
      </c>
      <c r="O165" s="198"/>
      <c r="P165" s="199">
        <f>SUM(P162:P163)</f>
        <v>257374.47868753664</v>
      </c>
      <c r="Q165" s="198"/>
      <c r="R165" s="199">
        <f>SUM(R162:R163)</f>
        <v>68487.376943174531</v>
      </c>
      <c r="S165" s="198">
        <f>SUM(S162:S163)</f>
        <v>1065836.5818778973</v>
      </c>
      <c r="T165" s="197">
        <f>SUM(T162:T163)</f>
        <v>0</v>
      </c>
      <c r="U165" s="200">
        <f>SUM(U162:U163)</f>
        <v>1065836.5818778973</v>
      </c>
    </row>
    <row r="166" spans="1:21" x14ac:dyDescent="0.4">
      <c r="A166" s="411"/>
      <c r="B166" s="417"/>
      <c r="C166" s="411"/>
      <c r="D166" s="86"/>
      <c r="E166" s="86"/>
      <c r="F166" s="86"/>
      <c r="G166" s="96"/>
      <c r="H166" s="195"/>
      <c r="I166" s="196"/>
      <c r="J166" s="178"/>
      <c r="K166" s="177"/>
      <c r="L166" s="177"/>
      <c r="M166" s="176"/>
      <c r="N166" s="177"/>
      <c r="O166" s="176"/>
      <c r="P166" s="177"/>
      <c r="Q166" s="176"/>
      <c r="R166" s="177"/>
      <c r="S166" s="179"/>
      <c r="T166" s="177"/>
      <c r="U166" s="180"/>
    </row>
    <row r="167" spans="1:21" ht="15.6" thickBot="1" x14ac:dyDescent="0.45">
      <c r="A167" s="93"/>
      <c r="B167" s="418"/>
      <c r="C167" s="93"/>
      <c r="D167" s="93" t="s">
        <v>190</v>
      </c>
      <c r="E167" s="94"/>
      <c r="F167" s="94"/>
      <c r="G167" s="94"/>
      <c r="H167" s="201"/>
      <c r="I167" s="202"/>
      <c r="J167" s="203">
        <f>J165+J160</f>
        <v>1458199.577501575</v>
      </c>
      <c r="K167" s="204"/>
      <c r="L167" s="203">
        <f>L165+L160</f>
        <v>2870115.7023939067</v>
      </c>
      <c r="M167" s="205"/>
      <c r="N167" s="203">
        <f>N165+N160</f>
        <v>2738082.1614534808</v>
      </c>
      <c r="O167" s="205"/>
      <c r="P167" s="203">
        <f>P165+P160</f>
        <v>2408532.6558064301</v>
      </c>
      <c r="Q167" s="205"/>
      <c r="R167" s="203">
        <f>R165+R160</f>
        <v>525069.88989767141</v>
      </c>
      <c r="S167" s="203">
        <f>S165+S160</f>
        <v>9999999.9870530646</v>
      </c>
      <c r="T167" s="205">
        <f>T165+T160</f>
        <v>0</v>
      </c>
      <c r="U167" s="307">
        <f>U165+U160</f>
        <v>9999999.9870530646</v>
      </c>
    </row>
    <row r="169" spans="1:21" x14ac:dyDescent="0.4">
      <c r="U169" s="98"/>
    </row>
    <row r="170" spans="1:21" x14ac:dyDescent="0.4">
      <c r="T170" s="97"/>
    </row>
    <row r="171" spans="1:21" x14ac:dyDescent="0.4">
      <c r="G171" s="75"/>
      <c r="S171" s="275"/>
      <c r="T171" s="88"/>
    </row>
    <row r="172" spans="1:21" x14ac:dyDescent="0.4">
      <c r="G172" s="100"/>
    </row>
  </sheetData>
  <autoFilter ref="D9:U167" xr:uid="{00000000-0001-0000-0100-000000000000}"/>
  <mergeCells count="5">
    <mergeCell ref="D5:E5"/>
    <mergeCell ref="D4:U4"/>
    <mergeCell ref="D3:U3"/>
    <mergeCell ref="D1:U1"/>
    <mergeCell ref="D2:U2"/>
  </mergeCells>
  <pageMargins left="0.7" right="0.7" top="0.75" bottom="0.75" header="0.3" footer="0.3"/>
  <pageSetup paperSize="17" scale="96" fitToHeight="0" orientation="landscape" r:id="rId1"/>
  <headerFooter alignWithMargins="0"/>
  <rowBreaks count="1" manualBreakCount="1">
    <brk id="99" min="3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3EDE-D31F-48BE-A66F-EDD15FCE20B5}">
  <sheetPr>
    <tabColor theme="8" tint="0.59999389629810485"/>
    <pageSetUpPr fitToPage="1"/>
  </sheetPr>
  <dimension ref="A1:T72"/>
  <sheetViews>
    <sheetView zoomScale="70" zoomScaleNormal="70" zoomScaleSheetLayoutView="90" workbookViewId="0">
      <pane xSplit="1" ySplit="9" topLeftCell="B53" activePane="bottomRight" state="frozen"/>
      <selection pane="topRight" activeCell="B1" sqref="B1"/>
      <selection pane="bottomLeft" activeCell="A11" sqref="A11"/>
      <selection pane="bottomRight" activeCell="D80" sqref="D80"/>
    </sheetView>
  </sheetViews>
  <sheetFormatPr defaultColWidth="11.44140625" defaultRowHeight="15.3" x14ac:dyDescent="0.4"/>
  <cols>
    <col min="1" max="1" width="56.27734375" style="21" customWidth="1"/>
    <col min="2" max="2" width="16" style="21" customWidth="1"/>
    <col min="3" max="3" width="8.71875" style="21" customWidth="1"/>
    <col min="4" max="4" width="15" style="21" bestFit="1" customWidth="1"/>
    <col min="5" max="5" width="8.44140625" style="21" customWidth="1"/>
    <col min="6" max="6" width="16.71875" style="55" bestFit="1" customWidth="1"/>
    <col min="7" max="7" width="14.1640625" style="56" bestFit="1" customWidth="1"/>
    <col min="8" max="8" width="8.5546875" style="56" bestFit="1" customWidth="1"/>
    <col min="9" max="9" width="16.5546875" style="56" customWidth="1"/>
    <col min="10" max="10" width="10.27734375" style="56" customWidth="1"/>
    <col min="11" max="11" width="14.5546875" style="56" customWidth="1"/>
    <col min="12" max="12" width="10.71875" style="56" customWidth="1"/>
    <col min="13" max="13" width="14.1640625" style="56" customWidth="1"/>
    <col min="14" max="14" width="10.71875" style="56" customWidth="1"/>
    <col min="15" max="15" width="14.1640625" style="56" customWidth="1"/>
    <col min="16" max="16" width="21.71875" style="78" customWidth="1"/>
    <col min="17" max="17" width="20.71875" style="56" customWidth="1"/>
    <col min="18" max="18" width="21.71875" style="78" customWidth="1"/>
    <col min="19" max="16384" width="11.44140625" style="33"/>
  </cols>
  <sheetData>
    <row r="1" spans="1:20" ht="17.399999999999999" x14ac:dyDescent="0.4">
      <c r="A1" s="422" t="s">
        <v>347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</row>
    <row r="2" spans="1:20" ht="17.399999999999999" x14ac:dyDescent="0.4">
      <c r="A2" s="422" t="s">
        <v>1</v>
      </c>
      <c r="B2" s="422"/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  <c r="P2" s="422"/>
      <c r="Q2" s="422"/>
      <c r="R2" s="422"/>
    </row>
    <row r="3" spans="1:20" ht="17.399999999999999" x14ac:dyDescent="0.4">
      <c r="A3" s="421" t="s">
        <v>22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</row>
    <row r="4" spans="1:20" ht="17.399999999999999" x14ac:dyDescent="0.4">
      <c r="A4" s="420" t="s">
        <v>2</v>
      </c>
      <c r="B4" s="420"/>
      <c r="C4" s="420"/>
      <c r="D4" s="420"/>
      <c r="E4" s="420"/>
      <c r="F4" s="420"/>
      <c r="G4" s="420"/>
      <c r="H4" s="420"/>
      <c r="I4" s="420"/>
      <c r="J4" s="420"/>
      <c r="K4" s="420"/>
      <c r="L4" s="420"/>
      <c r="M4" s="420"/>
      <c r="N4" s="420"/>
      <c r="O4" s="420"/>
      <c r="P4" s="420"/>
      <c r="Q4" s="420"/>
      <c r="R4" s="420"/>
    </row>
    <row r="5" spans="1:20" x14ac:dyDescent="0.4">
      <c r="A5" s="419" t="s">
        <v>23</v>
      </c>
      <c r="B5" s="419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20" x14ac:dyDescent="0.4">
      <c r="A6" s="17" t="s">
        <v>348</v>
      </c>
      <c r="B6" s="18">
        <v>1.04</v>
      </c>
      <c r="C6" s="37"/>
      <c r="D6" s="38"/>
      <c r="E6" s="37"/>
      <c r="F6" s="39"/>
      <c r="G6" s="40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spans="1:20" x14ac:dyDescent="0.4">
      <c r="A7" s="17" t="s">
        <v>24</v>
      </c>
      <c r="B7" s="18">
        <v>1.05</v>
      </c>
      <c r="C7" s="37"/>
      <c r="D7" s="53"/>
      <c r="E7" s="37"/>
      <c r="F7" s="41"/>
      <c r="G7" s="41"/>
      <c r="H7" s="37"/>
      <c r="I7" s="41"/>
      <c r="J7" s="37"/>
      <c r="K7" s="37"/>
      <c r="L7" s="37"/>
      <c r="M7" s="37"/>
      <c r="N7" s="37"/>
      <c r="O7" s="37"/>
      <c r="P7" s="37"/>
      <c r="Q7" s="37"/>
      <c r="R7" s="37"/>
    </row>
    <row r="8" spans="1:20" ht="15.6" thickBot="1" x14ac:dyDescent="0.45">
      <c r="B8" s="257"/>
      <c r="C8" s="257"/>
      <c r="D8" s="53"/>
      <c r="H8" s="57"/>
      <c r="P8" s="56"/>
      <c r="Q8" s="57"/>
      <c r="R8" s="56"/>
    </row>
    <row r="9" spans="1:20" ht="30.3" thickBot="1" x14ac:dyDescent="0.45">
      <c r="A9" s="42" t="s">
        <v>25</v>
      </c>
      <c r="B9" s="43" t="s">
        <v>26</v>
      </c>
      <c r="C9" s="43" t="s">
        <v>27</v>
      </c>
      <c r="D9" s="43" t="s">
        <v>28</v>
      </c>
      <c r="E9" s="44" t="s">
        <v>29</v>
      </c>
      <c r="F9" s="45" t="s">
        <v>30</v>
      </c>
      <c r="G9" s="46" t="s">
        <v>31</v>
      </c>
      <c r="H9" s="47" t="s">
        <v>29</v>
      </c>
      <c r="I9" s="48" t="s">
        <v>32</v>
      </c>
      <c r="J9" s="49" t="s">
        <v>29</v>
      </c>
      <c r="K9" s="48" t="s">
        <v>33</v>
      </c>
      <c r="L9" s="49" t="s">
        <v>29</v>
      </c>
      <c r="M9" s="48" t="s">
        <v>34</v>
      </c>
      <c r="N9" s="49" t="s">
        <v>29</v>
      </c>
      <c r="O9" s="48" t="s">
        <v>35</v>
      </c>
      <c r="P9" s="50" t="s">
        <v>36</v>
      </c>
      <c r="Q9" s="51" t="s">
        <v>37</v>
      </c>
      <c r="R9" s="52" t="s">
        <v>38</v>
      </c>
    </row>
    <row r="10" spans="1:20" s="87" customFormat="1" ht="30" x14ac:dyDescent="0.4">
      <c r="A10" s="351" t="s">
        <v>191</v>
      </c>
      <c r="B10" s="352"/>
      <c r="C10" s="352"/>
      <c r="D10" s="353"/>
      <c r="E10" s="354"/>
      <c r="F10" s="355"/>
      <c r="G10" s="356"/>
      <c r="H10" s="355"/>
      <c r="I10" s="356"/>
      <c r="J10" s="355"/>
      <c r="K10" s="355"/>
      <c r="L10" s="354"/>
      <c r="M10" s="355"/>
      <c r="N10" s="354"/>
      <c r="O10" s="355"/>
      <c r="P10" s="357"/>
      <c r="Q10" s="358"/>
      <c r="R10" s="359"/>
    </row>
    <row r="11" spans="1:20" x14ac:dyDescent="0.4">
      <c r="A11" s="32" t="s">
        <v>60</v>
      </c>
      <c r="B11" s="16"/>
      <c r="C11" s="16"/>
      <c r="D11" s="109"/>
      <c r="E11" s="207"/>
      <c r="F11" s="208"/>
      <c r="G11" s="209"/>
      <c r="H11" s="208"/>
      <c r="I11" s="208"/>
      <c r="J11" s="207"/>
      <c r="K11" s="208"/>
      <c r="L11" s="207"/>
      <c r="M11" s="208"/>
      <c r="N11" s="207"/>
      <c r="O11" s="208"/>
      <c r="P11" s="210"/>
      <c r="Q11" s="208"/>
      <c r="R11" s="211"/>
    </row>
    <row r="12" spans="1:20" s="86" customFormat="1" ht="30.6" x14ac:dyDescent="0.4">
      <c r="A12" s="360" t="s">
        <v>85</v>
      </c>
      <c r="B12" s="119"/>
      <c r="C12" s="165"/>
      <c r="D12" s="85"/>
      <c r="E12" s="217"/>
      <c r="F12" s="218"/>
      <c r="G12" s="219"/>
      <c r="H12" s="218"/>
      <c r="I12" s="219"/>
      <c r="J12" s="217"/>
      <c r="K12" s="219"/>
      <c r="L12" s="217"/>
      <c r="M12" s="219"/>
      <c r="N12" s="217"/>
      <c r="O12" s="219"/>
      <c r="P12" s="220"/>
      <c r="Q12" s="218"/>
      <c r="R12" s="221"/>
      <c r="T12" s="383"/>
    </row>
    <row r="13" spans="1:20" x14ac:dyDescent="0.4">
      <c r="A13" s="92" t="s">
        <v>86</v>
      </c>
      <c r="B13" s="21" t="s">
        <v>87</v>
      </c>
      <c r="C13" s="101">
        <v>1</v>
      </c>
      <c r="D13" s="22" t="s">
        <v>63</v>
      </c>
      <c r="E13" s="176">
        <f>+'POA General Budget'!H69</f>
        <v>32</v>
      </c>
      <c r="F13" s="177">
        <f>+'POA General Budget'!I69</f>
        <v>363.30878378378378</v>
      </c>
      <c r="G13" s="178">
        <f>+'POA General Budget'!J69</f>
        <v>11625.881081081081</v>
      </c>
      <c r="H13" s="176">
        <f>+'POA General Budget'!K69</f>
        <v>48</v>
      </c>
      <c r="I13" s="178">
        <f>+'POA General Budget'!L69</f>
        <v>18136.374486486486</v>
      </c>
      <c r="J13" s="176">
        <f>+'POA General Budget'!M69</f>
        <v>40</v>
      </c>
      <c r="K13" s="178">
        <f>+'POA General Budget'!N69</f>
        <v>15718.191221621624</v>
      </c>
      <c r="L13" s="176">
        <f>+'POA General Budget'!O69</f>
        <v>40</v>
      </c>
      <c r="M13" s="178">
        <f>+'POA General Budget'!P69</f>
        <v>16346.91887048649</v>
      </c>
      <c r="N13" s="176">
        <f>+'POA General Budget'!Q69</f>
        <v>0</v>
      </c>
      <c r="O13" s="178">
        <f>+'POA General Budget'!R69</f>
        <v>0</v>
      </c>
      <c r="P13" s="179">
        <f>+'POA General Budget'!S69</f>
        <v>61827.365659675677</v>
      </c>
      <c r="Q13" s="177">
        <f>+'POA General Budget'!T69</f>
        <v>0</v>
      </c>
      <c r="R13" s="180">
        <f>+'POA General Budget'!U69</f>
        <v>61827.365659675677</v>
      </c>
    </row>
    <row r="14" spans="1:20" ht="30.6" x14ac:dyDescent="0.4">
      <c r="A14" s="92" t="s">
        <v>88</v>
      </c>
      <c r="B14" s="21" t="s">
        <v>87</v>
      </c>
      <c r="C14" s="101">
        <v>1</v>
      </c>
      <c r="D14" s="22" t="s">
        <v>65</v>
      </c>
      <c r="E14" s="176">
        <f>+'POA General Budget'!H70</f>
        <v>64</v>
      </c>
      <c r="F14" s="177">
        <f>+'POA General Budget'!I70</f>
        <v>153.03503861003861</v>
      </c>
      <c r="G14" s="178">
        <f>+'POA General Budget'!J70</f>
        <v>9794.2424710424712</v>
      </c>
      <c r="H14" s="176">
        <f>+'POA General Budget'!K70</f>
        <v>96</v>
      </c>
      <c r="I14" s="178">
        <f>+'POA General Budget'!L70</f>
        <v>15279.018254826255</v>
      </c>
      <c r="J14" s="176">
        <f>+'POA General Budget'!M70</f>
        <v>80</v>
      </c>
      <c r="K14" s="178">
        <f>+'POA General Budget'!N70</f>
        <v>13241.815820849421</v>
      </c>
      <c r="L14" s="176">
        <f>+'POA General Budget'!O70</f>
        <v>80</v>
      </c>
      <c r="M14" s="178">
        <f>+'POA General Budget'!P70</f>
        <v>13771.488453683398</v>
      </c>
      <c r="N14" s="176">
        <f>+'POA General Budget'!Q70</f>
        <v>0</v>
      </c>
      <c r="O14" s="178">
        <f>+'POA General Budget'!R70</f>
        <v>0</v>
      </c>
      <c r="P14" s="179">
        <f>+'POA General Budget'!S70</f>
        <v>52086.565000401548</v>
      </c>
      <c r="Q14" s="177">
        <f>+'POA General Budget'!T70</f>
        <v>0</v>
      </c>
      <c r="R14" s="180">
        <f>+'POA General Budget'!U70</f>
        <v>52086.565000401548</v>
      </c>
    </row>
    <row r="15" spans="1:20" x14ac:dyDescent="0.4">
      <c r="A15" s="92" t="s">
        <v>89</v>
      </c>
      <c r="B15" s="21" t="s">
        <v>87</v>
      </c>
      <c r="C15" s="101">
        <v>1</v>
      </c>
      <c r="D15" s="22" t="s">
        <v>65</v>
      </c>
      <c r="E15" s="176">
        <f>+'POA General Budget'!H71</f>
        <v>64</v>
      </c>
      <c r="F15" s="177">
        <f>+'POA General Budget'!I71</f>
        <v>50</v>
      </c>
      <c r="G15" s="178">
        <f>+'POA General Budget'!J71</f>
        <v>3200</v>
      </c>
      <c r="H15" s="176">
        <f>+'POA General Budget'!K71</f>
        <v>96</v>
      </c>
      <c r="I15" s="178">
        <f>+'POA General Budget'!L71</f>
        <v>4992</v>
      </c>
      <c r="J15" s="176">
        <f>+'POA General Budget'!M71</f>
        <v>80</v>
      </c>
      <c r="K15" s="178">
        <f>+'POA General Budget'!N71</f>
        <v>4326.4000000000005</v>
      </c>
      <c r="L15" s="176">
        <f>+'POA General Budget'!O71</f>
        <v>80</v>
      </c>
      <c r="M15" s="178">
        <f>+'POA General Budget'!P71</f>
        <v>4499.456000000001</v>
      </c>
      <c r="N15" s="176">
        <f>+'POA General Budget'!Q71</f>
        <v>0</v>
      </c>
      <c r="O15" s="178">
        <f>+'POA General Budget'!R71</f>
        <v>0</v>
      </c>
      <c r="P15" s="179">
        <f>+'POA General Budget'!S71</f>
        <v>17017.856000000003</v>
      </c>
      <c r="Q15" s="177">
        <f>+'POA General Budget'!T71</f>
        <v>0</v>
      </c>
      <c r="R15" s="180">
        <f>+'POA General Budget'!U71</f>
        <v>17017.856000000003</v>
      </c>
    </row>
    <row r="16" spans="1:20" x14ac:dyDescent="0.4">
      <c r="A16" s="92" t="s">
        <v>90</v>
      </c>
      <c r="B16" s="21" t="s">
        <v>87</v>
      </c>
      <c r="C16" s="101">
        <v>1</v>
      </c>
      <c r="D16" s="22" t="s">
        <v>91</v>
      </c>
      <c r="E16" s="176">
        <f>+'POA General Budget'!H72</f>
        <v>32</v>
      </c>
      <c r="F16" s="177">
        <f>+'POA General Budget'!I72</f>
        <v>50</v>
      </c>
      <c r="G16" s="178">
        <f>+'POA General Budget'!J72</f>
        <v>1600</v>
      </c>
      <c r="H16" s="176">
        <f>+'POA General Budget'!K72</f>
        <v>48</v>
      </c>
      <c r="I16" s="178">
        <f>+'POA General Budget'!L72</f>
        <v>2496</v>
      </c>
      <c r="J16" s="176">
        <f>+'POA General Budget'!M72</f>
        <v>40</v>
      </c>
      <c r="K16" s="178">
        <f>+'POA General Budget'!N72</f>
        <v>2163.2000000000003</v>
      </c>
      <c r="L16" s="176">
        <f>+'POA General Budget'!O72</f>
        <v>40</v>
      </c>
      <c r="M16" s="178">
        <f>+'POA General Budget'!P72</f>
        <v>2249.7280000000005</v>
      </c>
      <c r="N16" s="176">
        <f>+'POA General Budget'!Q72</f>
        <v>0</v>
      </c>
      <c r="O16" s="178">
        <f>+'POA General Budget'!R72</f>
        <v>0</v>
      </c>
      <c r="P16" s="179">
        <f>+'POA General Budget'!S72</f>
        <v>8508.9280000000017</v>
      </c>
      <c r="Q16" s="177">
        <f>+'POA General Budget'!T72</f>
        <v>0</v>
      </c>
      <c r="R16" s="180">
        <f>+'POA General Budget'!U72</f>
        <v>8508.9280000000017</v>
      </c>
    </row>
    <row r="17" spans="1:18" x14ac:dyDescent="0.4">
      <c r="A17" s="360" t="s">
        <v>92</v>
      </c>
      <c r="B17" s="119"/>
      <c r="C17" s="165"/>
      <c r="D17" s="85"/>
      <c r="E17" s="217">
        <f>+'POA General Budget'!H73</f>
        <v>0</v>
      </c>
      <c r="F17" s="218">
        <f>+'POA General Budget'!I73</f>
        <v>0</v>
      </c>
      <c r="G17" s="219">
        <f>+'POA General Budget'!J73</f>
        <v>0</v>
      </c>
      <c r="H17" s="218">
        <f>+'POA General Budget'!K73</f>
        <v>0</v>
      </c>
      <c r="I17" s="219">
        <f>+'POA General Budget'!L73</f>
        <v>0</v>
      </c>
      <c r="J17" s="217">
        <f>+'POA General Budget'!M73</f>
        <v>0</v>
      </c>
      <c r="K17" s="219">
        <f>+'POA General Budget'!N73</f>
        <v>0</v>
      </c>
      <c r="L17" s="217">
        <f>+'POA General Budget'!O73</f>
        <v>0</v>
      </c>
      <c r="M17" s="219">
        <f>+'POA General Budget'!P73</f>
        <v>0</v>
      </c>
      <c r="N17" s="217">
        <f>+'POA General Budget'!Q73</f>
        <v>0</v>
      </c>
      <c r="O17" s="219">
        <f>+'POA General Budget'!R73</f>
        <v>0</v>
      </c>
      <c r="P17" s="220">
        <f>+'POA General Budget'!S73</f>
        <v>0</v>
      </c>
      <c r="Q17" s="218">
        <f>+'POA General Budget'!T73</f>
        <v>0</v>
      </c>
      <c r="R17" s="221">
        <f>+'POA General Budget'!U73</f>
        <v>0</v>
      </c>
    </row>
    <row r="18" spans="1:18" x14ac:dyDescent="0.4">
      <c r="A18" s="130" t="s">
        <v>93</v>
      </c>
      <c r="B18" s="21" t="s">
        <v>60</v>
      </c>
      <c r="C18" s="28">
        <v>1</v>
      </c>
      <c r="D18" s="22" t="s">
        <v>63</v>
      </c>
      <c r="E18" s="176">
        <f>+'POA General Budget'!H74</f>
        <v>20</v>
      </c>
      <c r="F18" s="177">
        <f>+'POA General Budget'!I74</f>
        <v>363.30878378378378</v>
      </c>
      <c r="G18" s="178">
        <f>+'POA General Budget'!J74</f>
        <v>7266.1756756756758</v>
      </c>
      <c r="H18" s="177">
        <f>+'POA General Budget'!K74</f>
        <v>0</v>
      </c>
      <c r="I18" s="178">
        <f>+'POA General Budget'!L74</f>
        <v>0</v>
      </c>
      <c r="J18" s="176">
        <f>+'POA General Budget'!M74</f>
        <v>0</v>
      </c>
      <c r="K18" s="178">
        <f>+'POA General Budget'!N74</f>
        <v>0</v>
      </c>
      <c r="L18" s="176">
        <f>+'POA General Budget'!O74</f>
        <v>0</v>
      </c>
      <c r="M18" s="178">
        <f>+'POA General Budget'!P74</f>
        <v>0</v>
      </c>
      <c r="N18" s="176">
        <f>+'POA General Budget'!Q74</f>
        <v>0</v>
      </c>
      <c r="O18" s="178">
        <f>+'POA General Budget'!R74</f>
        <v>0</v>
      </c>
      <c r="P18" s="179">
        <f>+'POA General Budget'!S74</f>
        <v>7266.1756756756758</v>
      </c>
      <c r="Q18" s="177">
        <f>+'POA General Budget'!T74</f>
        <v>0</v>
      </c>
      <c r="R18" s="180">
        <f>+'POA General Budget'!U74</f>
        <v>7266.1756756756758</v>
      </c>
    </row>
    <row r="19" spans="1:18" ht="30.6" x14ac:dyDescent="0.4">
      <c r="A19" s="92" t="s">
        <v>88</v>
      </c>
      <c r="B19" s="21" t="s">
        <v>87</v>
      </c>
      <c r="C19" s="101">
        <v>1</v>
      </c>
      <c r="D19" s="22" t="s">
        <v>65</v>
      </c>
      <c r="E19" s="176">
        <f>+'POA General Budget'!H75</f>
        <v>40</v>
      </c>
      <c r="F19" s="177">
        <f>+'POA General Budget'!I75</f>
        <v>153.03503861003861</v>
      </c>
      <c r="G19" s="178">
        <f>+'POA General Budget'!J75</f>
        <v>6121.401544401544</v>
      </c>
      <c r="H19" s="177">
        <f>+'POA General Budget'!K75</f>
        <v>0</v>
      </c>
      <c r="I19" s="178">
        <f>+'POA General Budget'!L75</f>
        <v>0</v>
      </c>
      <c r="J19" s="176">
        <f>+'POA General Budget'!M75</f>
        <v>0</v>
      </c>
      <c r="K19" s="178">
        <f>+'POA General Budget'!N75</f>
        <v>0</v>
      </c>
      <c r="L19" s="176">
        <f>+'POA General Budget'!O75</f>
        <v>0</v>
      </c>
      <c r="M19" s="178">
        <f>+'POA General Budget'!P75</f>
        <v>0</v>
      </c>
      <c r="N19" s="176">
        <f>+'POA General Budget'!Q75</f>
        <v>0</v>
      </c>
      <c r="O19" s="178">
        <f>+'POA General Budget'!R75</f>
        <v>0</v>
      </c>
      <c r="P19" s="179">
        <f>+'POA General Budget'!S75</f>
        <v>6121.401544401544</v>
      </c>
      <c r="Q19" s="177">
        <f>+'POA General Budget'!T75</f>
        <v>0</v>
      </c>
      <c r="R19" s="180">
        <f>+'POA General Budget'!U75</f>
        <v>6121.401544401544</v>
      </c>
    </row>
    <row r="20" spans="1:18" ht="15.6" thickBot="1" x14ac:dyDescent="0.45">
      <c r="A20" s="92" t="s">
        <v>89</v>
      </c>
      <c r="B20" s="21" t="s">
        <v>87</v>
      </c>
      <c r="C20" s="101">
        <v>1</v>
      </c>
      <c r="D20" s="22" t="s">
        <v>65</v>
      </c>
      <c r="E20" s="176">
        <f>+'POA General Budget'!H76</f>
        <v>40</v>
      </c>
      <c r="F20" s="177">
        <f>+'POA General Budget'!I76</f>
        <v>50</v>
      </c>
      <c r="G20" s="178">
        <f>+'POA General Budget'!J76</f>
        <v>2000</v>
      </c>
      <c r="H20" s="177">
        <f>+'POA General Budget'!K76</f>
        <v>0</v>
      </c>
      <c r="I20" s="178">
        <f>+'POA General Budget'!L76</f>
        <v>0</v>
      </c>
      <c r="J20" s="176">
        <f>+'POA General Budget'!M76</f>
        <v>0</v>
      </c>
      <c r="K20" s="178">
        <f>+'POA General Budget'!N76</f>
        <v>0</v>
      </c>
      <c r="L20" s="176">
        <f>+'POA General Budget'!O76</f>
        <v>0</v>
      </c>
      <c r="M20" s="178">
        <f>+'POA General Budget'!P76</f>
        <v>0</v>
      </c>
      <c r="N20" s="176">
        <f>+'POA General Budget'!Q76</f>
        <v>0</v>
      </c>
      <c r="O20" s="178">
        <f>+'POA General Budget'!R76</f>
        <v>0</v>
      </c>
      <c r="P20" s="179">
        <f>+'POA General Budget'!S76</f>
        <v>2000</v>
      </c>
      <c r="Q20" s="177">
        <f>+'POA General Budget'!T76</f>
        <v>0</v>
      </c>
      <c r="R20" s="180">
        <f>+'POA General Budget'!U76</f>
        <v>2000</v>
      </c>
    </row>
    <row r="21" spans="1:18" x14ac:dyDescent="0.4">
      <c r="A21" s="342" t="s">
        <v>108</v>
      </c>
      <c r="B21" s="343"/>
      <c r="C21" s="343"/>
      <c r="D21" s="344"/>
      <c r="E21" s="345"/>
      <c r="F21" s="343"/>
      <c r="G21" s="346"/>
      <c r="H21" s="347"/>
      <c r="I21" s="347"/>
      <c r="J21" s="348"/>
      <c r="K21" s="347"/>
      <c r="L21" s="348"/>
      <c r="M21" s="347"/>
      <c r="N21" s="348"/>
      <c r="O21" s="347"/>
      <c r="P21" s="349"/>
      <c r="Q21" s="347"/>
      <c r="R21" s="350"/>
    </row>
    <row r="22" spans="1:18" x14ac:dyDescent="0.4">
      <c r="A22" s="363" t="s">
        <v>192</v>
      </c>
      <c r="B22" s="21" t="s">
        <v>87</v>
      </c>
      <c r="C22" s="101">
        <v>1</v>
      </c>
      <c r="D22" s="22" t="s">
        <v>114</v>
      </c>
      <c r="E22" s="176">
        <f>+'POA General Budget'!H94</f>
        <v>0</v>
      </c>
      <c r="F22" s="177">
        <f>+'POA General Budget'!I94</f>
        <v>35000</v>
      </c>
      <c r="G22" s="178">
        <f>+'POA General Budget'!J94</f>
        <v>0</v>
      </c>
      <c r="H22" s="176">
        <f>+'POA General Budget'!K94</f>
        <v>0</v>
      </c>
      <c r="I22" s="178">
        <f>+'POA General Budget'!L94</f>
        <v>0</v>
      </c>
      <c r="J22" s="176">
        <f>+'POA General Budget'!M94</f>
        <v>1</v>
      </c>
      <c r="K22" s="178">
        <f>+'POA General Budget'!N94</f>
        <v>35000</v>
      </c>
      <c r="L22" s="176">
        <f>+'POA General Budget'!O94</f>
        <v>0</v>
      </c>
      <c r="M22" s="178">
        <f>+'POA General Budget'!P94</f>
        <v>0</v>
      </c>
      <c r="N22" s="176">
        <f>+'POA General Budget'!Q94</f>
        <v>0</v>
      </c>
      <c r="O22" s="178">
        <f>+'POA General Budget'!R94</f>
        <v>0</v>
      </c>
      <c r="P22" s="179">
        <f>+'POA General Budget'!S94</f>
        <v>35000</v>
      </c>
      <c r="Q22" s="177">
        <f>+'POA General Budget'!T94</f>
        <v>0</v>
      </c>
      <c r="R22" s="180">
        <f>+'POA General Budget'!U94</f>
        <v>35000</v>
      </c>
    </row>
    <row r="23" spans="1:18" s="86" customFormat="1" ht="15.6" thickBot="1" x14ac:dyDescent="0.45">
      <c r="A23" s="363" t="s">
        <v>193</v>
      </c>
      <c r="B23" s="21" t="s">
        <v>87</v>
      </c>
      <c r="C23" s="101">
        <v>1</v>
      </c>
      <c r="D23" s="22" t="s">
        <v>114</v>
      </c>
      <c r="E23" s="176">
        <f>+'POA General Budget'!H95</f>
        <v>0</v>
      </c>
      <c r="F23" s="177">
        <f>+'POA General Budget'!I95</f>
        <v>35000</v>
      </c>
      <c r="G23" s="178">
        <f>+'POA General Budget'!J95</f>
        <v>0</v>
      </c>
      <c r="H23" s="177">
        <f>+'POA General Budget'!K95</f>
        <v>0</v>
      </c>
      <c r="I23" s="178">
        <f>+'POA General Budget'!L95</f>
        <v>0</v>
      </c>
      <c r="J23" s="176">
        <f>+'POA General Budget'!M95</f>
        <v>0</v>
      </c>
      <c r="K23" s="178">
        <f>+'POA General Budget'!N95</f>
        <v>0</v>
      </c>
      <c r="L23" s="176">
        <f>+'POA General Budget'!O95</f>
        <v>0</v>
      </c>
      <c r="M23" s="178">
        <f>+'POA General Budget'!P95</f>
        <v>0</v>
      </c>
      <c r="N23" s="176">
        <f>+'POA General Budget'!Q95</f>
        <v>1</v>
      </c>
      <c r="O23" s="178">
        <f>+'POA General Budget'!R95</f>
        <v>35000</v>
      </c>
      <c r="P23" s="179">
        <f>+'POA General Budget'!S95</f>
        <v>35000</v>
      </c>
      <c r="Q23" s="177">
        <f>+'POA General Budget'!T95</f>
        <v>0</v>
      </c>
      <c r="R23" s="180">
        <f>+'POA General Budget'!U95</f>
        <v>35000</v>
      </c>
    </row>
    <row r="24" spans="1:18" x14ac:dyDescent="0.4">
      <c r="A24" s="80" t="s">
        <v>119</v>
      </c>
      <c r="B24" s="81"/>
      <c r="C24" s="81"/>
      <c r="D24" s="81"/>
      <c r="E24" s="231"/>
      <c r="F24" s="232"/>
      <c r="G24" s="233"/>
      <c r="H24" s="232"/>
      <c r="I24" s="232"/>
      <c r="J24" s="231"/>
      <c r="K24" s="232"/>
      <c r="L24" s="231"/>
      <c r="M24" s="232"/>
      <c r="N24" s="231"/>
      <c r="O24" s="232"/>
      <c r="P24" s="234"/>
      <c r="Q24" s="232"/>
      <c r="R24" s="235"/>
    </row>
    <row r="25" spans="1:18" s="87" customFormat="1" x14ac:dyDescent="0.4">
      <c r="A25" s="82" t="s">
        <v>171</v>
      </c>
      <c r="B25" s="82"/>
      <c r="C25" s="82"/>
      <c r="D25" s="83"/>
      <c r="E25" s="212"/>
      <c r="F25" s="213"/>
      <c r="G25" s="214"/>
      <c r="H25" s="213"/>
      <c r="I25" s="214"/>
      <c r="J25" s="213"/>
      <c r="K25" s="213"/>
      <c r="L25" s="212"/>
      <c r="M25" s="213"/>
      <c r="N25" s="212"/>
      <c r="O25" s="213"/>
      <c r="P25" s="220"/>
      <c r="Q25" s="218"/>
      <c r="R25" s="221"/>
    </row>
    <row r="26" spans="1:18" s="86" customFormat="1" x14ac:dyDescent="0.4">
      <c r="A26" s="117" t="s">
        <v>172</v>
      </c>
      <c r="B26" s="142"/>
      <c r="C26" s="151"/>
      <c r="D26" s="142"/>
      <c r="E26" s="245"/>
      <c r="F26" s="246"/>
      <c r="G26" s="247"/>
      <c r="H26" s="246"/>
      <c r="I26" s="247"/>
      <c r="J26" s="245"/>
      <c r="K26" s="247"/>
      <c r="L26" s="245"/>
      <c r="M26" s="247"/>
      <c r="N26" s="245"/>
      <c r="O26" s="247"/>
      <c r="P26" s="248"/>
      <c r="Q26" s="246"/>
      <c r="R26" s="249"/>
    </row>
    <row r="27" spans="1:18" x14ac:dyDescent="0.4">
      <c r="A27" s="21" t="s">
        <v>173</v>
      </c>
      <c r="B27" s="21" t="s">
        <v>87</v>
      </c>
      <c r="C27" s="101">
        <v>1</v>
      </c>
      <c r="D27" s="22" t="s">
        <v>164</v>
      </c>
      <c r="E27" s="176">
        <f>+'POA General Budget'!H147</f>
        <v>2</v>
      </c>
      <c r="F27" s="177">
        <f>+'POA General Budget'!I147</f>
        <v>240</v>
      </c>
      <c r="G27" s="178">
        <f>+'POA General Budget'!J147</f>
        <v>480</v>
      </c>
      <c r="H27" s="177">
        <f>+'POA General Budget'!K147</f>
        <v>8</v>
      </c>
      <c r="I27" s="178">
        <f>+'POA General Budget'!L147</f>
        <v>1996.8000000000002</v>
      </c>
      <c r="J27" s="177">
        <f>+'POA General Budget'!M147</f>
        <v>8</v>
      </c>
      <c r="K27" s="178">
        <f>+'POA General Budget'!N147</f>
        <v>2076.6720000000005</v>
      </c>
      <c r="L27" s="177">
        <f>+'POA General Budget'!O147</f>
        <v>8</v>
      </c>
      <c r="M27" s="178">
        <f>+'POA General Budget'!P147</f>
        <v>2159.7388800000008</v>
      </c>
      <c r="N27" s="176">
        <f>+'POA General Budget'!Q147</f>
        <v>0</v>
      </c>
      <c r="O27" s="178">
        <f>+'POA General Budget'!R147</f>
        <v>0</v>
      </c>
      <c r="P27" s="179">
        <f>+'POA General Budget'!S147</f>
        <v>6713.2108800000015</v>
      </c>
      <c r="Q27" s="177">
        <f>+'POA General Budget'!T147</f>
        <v>0</v>
      </c>
      <c r="R27" s="180">
        <f>+'POA General Budget'!U147</f>
        <v>6713.2108800000015</v>
      </c>
    </row>
    <row r="28" spans="1:18" s="86" customFormat="1" x14ac:dyDescent="0.4">
      <c r="A28" s="117" t="s">
        <v>174</v>
      </c>
      <c r="B28" s="142"/>
      <c r="C28" s="151"/>
      <c r="D28" s="142"/>
      <c r="E28" s="245"/>
      <c r="F28" s="246"/>
      <c r="G28" s="247"/>
      <c r="H28" s="246"/>
      <c r="I28" s="247"/>
      <c r="J28" s="245"/>
      <c r="K28" s="247"/>
      <c r="L28" s="245"/>
      <c r="M28" s="247"/>
      <c r="N28" s="245"/>
      <c r="O28" s="247"/>
      <c r="P28" s="248"/>
      <c r="Q28" s="246"/>
      <c r="R28" s="249"/>
    </row>
    <row r="29" spans="1:18" x14ac:dyDescent="0.4">
      <c r="A29" s="21" t="s">
        <v>175</v>
      </c>
      <c r="B29" s="21" t="s">
        <v>87</v>
      </c>
      <c r="C29" s="101">
        <v>1</v>
      </c>
      <c r="D29" s="22" t="s">
        <v>176</v>
      </c>
      <c r="E29" s="176">
        <f>+'POA General Budget'!H149</f>
        <v>1</v>
      </c>
      <c r="F29" s="177">
        <f>+'POA General Budget'!I149</f>
        <v>3500</v>
      </c>
      <c r="G29" s="178">
        <f>+'POA General Budget'!J149</f>
        <v>3500</v>
      </c>
      <c r="H29" s="177">
        <f>+'POA General Budget'!K149</f>
        <v>0</v>
      </c>
      <c r="I29" s="178">
        <f>+'POA General Budget'!L149</f>
        <v>0</v>
      </c>
      <c r="J29" s="176">
        <f>+'POA General Budget'!M149</f>
        <v>0</v>
      </c>
      <c r="K29" s="178">
        <f>+'POA General Budget'!N149</f>
        <v>0</v>
      </c>
      <c r="L29" s="176">
        <f>+'POA General Budget'!O149</f>
        <v>0</v>
      </c>
      <c r="M29" s="178">
        <f>+'POA General Budget'!P149</f>
        <v>0</v>
      </c>
      <c r="N29" s="176">
        <f>+'POA General Budget'!Q149</f>
        <v>0</v>
      </c>
      <c r="O29" s="178">
        <f>+'POA General Budget'!R149</f>
        <v>0</v>
      </c>
      <c r="P29" s="179">
        <f>+'POA General Budget'!S149</f>
        <v>3500</v>
      </c>
      <c r="Q29" s="177">
        <f>+'POA General Budget'!T149</f>
        <v>0</v>
      </c>
      <c r="R29" s="180">
        <f>+'POA General Budget'!U149</f>
        <v>3500</v>
      </c>
    </row>
    <row r="30" spans="1:18" s="86" customFormat="1" x14ac:dyDescent="0.4">
      <c r="A30" s="117" t="s">
        <v>177</v>
      </c>
      <c r="B30" s="142"/>
      <c r="C30" s="151"/>
      <c r="D30" s="142"/>
      <c r="E30" s="245"/>
      <c r="F30" s="246"/>
      <c r="G30" s="247"/>
      <c r="H30" s="246"/>
      <c r="I30" s="247"/>
      <c r="J30" s="245"/>
      <c r="K30" s="247"/>
      <c r="L30" s="245"/>
      <c r="M30" s="247"/>
      <c r="N30" s="245"/>
      <c r="O30" s="247"/>
      <c r="P30" s="248"/>
      <c r="Q30" s="246"/>
      <c r="R30" s="249"/>
    </row>
    <row r="31" spans="1:18" x14ac:dyDescent="0.4">
      <c r="A31" s="21" t="s">
        <v>178</v>
      </c>
      <c r="B31" s="21" t="s">
        <v>87</v>
      </c>
      <c r="C31" s="101">
        <v>1</v>
      </c>
      <c r="D31" s="22" t="s">
        <v>164</v>
      </c>
      <c r="E31" s="176">
        <f>+'POA General Budget'!H151</f>
        <v>30</v>
      </c>
      <c r="F31" s="177">
        <f>+'POA General Budget'!I151</f>
        <v>1360</v>
      </c>
      <c r="G31" s="178">
        <f>+'POA General Budget'!J151</f>
        <v>40800</v>
      </c>
      <c r="H31" s="177">
        <f>+'POA General Budget'!K151</f>
        <v>0</v>
      </c>
      <c r="I31" s="178">
        <f>+'POA General Budget'!L151</f>
        <v>0</v>
      </c>
      <c r="J31" s="176">
        <f>+'POA General Budget'!M151</f>
        <v>0</v>
      </c>
      <c r="K31" s="178">
        <f>+'POA General Budget'!N151</f>
        <v>0</v>
      </c>
      <c r="L31" s="176">
        <f>+'POA General Budget'!O151</f>
        <v>0</v>
      </c>
      <c r="M31" s="178">
        <f>+'POA General Budget'!P151</f>
        <v>0</v>
      </c>
      <c r="N31" s="176">
        <f>+'POA General Budget'!Q151</f>
        <v>0</v>
      </c>
      <c r="O31" s="178">
        <f>+'POA General Budget'!R151</f>
        <v>0</v>
      </c>
      <c r="P31" s="179">
        <f>+'POA General Budget'!S151</f>
        <v>40800</v>
      </c>
      <c r="Q31" s="177">
        <f>+'POA General Budget'!T151</f>
        <v>0</v>
      </c>
      <c r="R31" s="180">
        <f>+'POA General Budget'!U151</f>
        <v>40800</v>
      </c>
    </row>
    <row r="32" spans="1:18" x14ac:dyDescent="0.4">
      <c r="A32" s="21" t="s">
        <v>169</v>
      </c>
      <c r="B32" s="21" t="s">
        <v>87</v>
      </c>
      <c r="C32" s="101">
        <v>1</v>
      </c>
      <c r="D32" s="22" t="s">
        <v>91</v>
      </c>
      <c r="E32" s="176">
        <f>+'POA General Budget'!H152</f>
        <v>40</v>
      </c>
      <c r="F32" s="177">
        <f>+'POA General Budget'!I152</f>
        <v>50</v>
      </c>
      <c r="G32" s="178">
        <f>+'POA General Budget'!J152</f>
        <v>2000</v>
      </c>
      <c r="H32" s="177">
        <f>+'POA General Budget'!K152</f>
        <v>0</v>
      </c>
      <c r="I32" s="178">
        <f>+'POA General Budget'!L152</f>
        <v>0</v>
      </c>
      <c r="J32" s="176">
        <f>+'POA General Budget'!M152</f>
        <v>0</v>
      </c>
      <c r="K32" s="178">
        <f>+'POA General Budget'!N152</f>
        <v>0</v>
      </c>
      <c r="L32" s="176">
        <f>+'POA General Budget'!O152</f>
        <v>0</v>
      </c>
      <c r="M32" s="178">
        <f>+'POA General Budget'!P152</f>
        <v>0</v>
      </c>
      <c r="N32" s="176">
        <f>+'POA General Budget'!Q152</f>
        <v>0</v>
      </c>
      <c r="O32" s="178">
        <f>+'POA General Budget'!R152</f>
        <v>0</v>
      </c>
      <c r="P32" s="179">
        <f>+'POA General Budget'!S152</f>
        <v>2000</v>
      </c>
      <c r="Q32" s="177">
        <f>+'POA General Budget'!T152</f>
        <v>0</v>
      </c>
      <c r="R32" s="180">
        <f>+'POA General Budget'!U152</f>
        <v>2000</v>
      </c>
    </row>
    <row r="33" spans="1:18" s="86" customFormat="1" x14ac:dyDescent="0.4">
      <c r="A33" s="117" t="s">
        <v>179</v>
      </c>
      <c r="B33" s="142"/>
      <c r="C33" s="151"/>
      <c r="D33" s="142"/>
      <c r="E33" s="245"/>
      <c r="F33" s="246"/>
      <c r="G33" s="247"/>
      <c r="H33" s="246"/>
      <c r="I33" s="247"/>
      <c r="J33" s="245"/>
      <c r="K33" s="247"/>
      <c r="L33" s="245"/>
      <c r="M33" s="247"/>
      <c r="N33" s="245"/>
      <c r="O33" s="247"/>
      <c r="P33" s="248"/>
      <c r="Q33" s="246"/>
      <c r="R33" s="249"/>
    </row>
    <row r="34" spans="1:18" x14ac:dyDescent="0.4">
      <c r="A34" s="92" t="s">
        <v>180</v>
      </c>
      <c r="B34" s="21" t="s">
        <v>87</v>
      </c>
      <c r="C34" s="101">
        <v>1</v>
      </c>
      <c r="D34" s="22" t="s">
        <v>181</v>
      </c>
      <c r="E34" s="177">
        <f>+'POA General Budget'!H154</f>
        <v>360</v>
      </c>
      <c r="F34" s="177">
        <f>+'POA General Budget'!I154</f>
        <v>25</v>
      </c>
      <c r="G34" s="178">
        <f>+'POA General Budget'!J154</f>
        <v>9000</v>
      </c>
      <c r="H34" s="177">
        <f>+'POA General Budget'!K154</f>
        <v>480</v>
      </c>
      <c r="I34" s="178">
        <f>+'POA General Budget'!L154</f>
        <v>12480</v>
      </c>
      <c r="J34" s="176">
        <f>+'POA General Budget'!M154</f>
        <v>480</v>
      </c>
      <c r="K34" s="178">
        <f>+'POA General Budget'!N154</f>
        <v>12979.2</v>
      </c>
      <c r="L34" s="176">
        <f>+'POA General Budget'!O154</f>
        <v>480</v>
      </c>
      <c r="M34" s="178">
        <f>+'POA General Budget'!P154</f>
        <v>13498.368</v>
      </c>
      <c r="N34" s="176">
        <f>+'POA General Budget'!Q154</f>
        <v>0</v>
      </c>
      <c r="O34" s="178">
        <f>+'POA General Budget'!R154</f>
        <v>0</v>
      </c>
      <c r="P34" s="179">
        <f>+'POA General Budget'!S154</f>
        <v>47957.567999999999</v>
      </c>
      <c r="Q34" s="177">
        <f>+'POA General Budget'!T154</f>
        <v>0</v>
      </c>
      <c r="R34" s="180">
        <f>+'POA General Budget'!U154</f>
        <v>47957.567999999999</v>
      </c>
    </row>
    <row r="35" spans="1:18" x14ac:dyDescent="0.4">
      <c r="A35" s="92" t="s">
        <v>182</v>
      </c>
      <c r="B35" s="21" t="s">
        <v>87</v>
      </c>
      <c r="C35" s="101">
        <v>1</v>
      </c>
      <c r="D35" s="22" t="s">
        <v>181</v>
      </c>
      <c r="E35" s="177">
        <f>+'POA General Budget'!H155</f>
        <v>180</v>
      </c>
      <c r="F35" s="177">
        <f>+'POA General Budget'!I155</f>
        <v>25</v>
      </c>
      <c r="G35" s="178">
        <f>+'POA General Budget'!J155</f>
        <v>4500</v>
      </c>
      <c r="H35" s="177">
        <f>+'POA General Budget'!K155</f>
        <v>0</v>
      </c>
      <c r="I35" s="178">
        <f>+'POA General Budget'!L155</f>
        <v>0</v>
      </c>
      <c r="J35" s="176">
        <f>+'POA General Budget'!M155</f>
        <v>0</v>
      </c>
      <c r="K35" s="178">
        <f>+'POA General Budget'!N155</f>
        <v>0</v>
      </c>
      <c r="L35" s="176">
        <f>+'POA General Budget'!O155</f>
        <v>0</v>
      </c>
      <c r="M35" s="178">
        <f>+'POA General Budget'!P155</f>
        <v>0</v>
      </c>
      <c r="N35" s="176">
        <f>+'POA General Budget'!Q155</f>
        <v>0</v>
      </c>
      <c r="O35" s="178">
        <f>+'POA General Budget'!R155</f>
        <v>0</v>
      </c>
      <c r="P35" s="179">
        <f>+'POA General Budget'!S155</f>
        <v>4500</v>
      </c>
      <c r="Q35" s="177">
        <f>+'POA General Budget'!T155</f>
        <v>0</v>
      </c>
      <c r="R35" s="180">
        <f>+'POA General Budget'!U155</f>
        <v>4500</v>
      </c>
    </row>
    <row r="36" spans="1:18" s="91" customFormat="1" ht="30.3" thickBot="1" x14ac:dyDescent="0.45">
      <c r="A36" s="294" t="s">
        <v>194</v>
      </c>
      <c r="B36" s="294"/>
      <c r="C36" s="294"/>
      <c r="D36" s="295"/>
      <c r="E36" s="296"/>
      <c r="F36" s="296"/>
      <c r="G36" s="297">
        <f>SUM(G12:G35)</f>
        <v>101887.70077220077</v>
      </c>
      <c r="H36" s="296"/>
      <c r="I36" s="297">
        <f>SUM(I12:I35)</f>
        <v>55380.192741312741</v>
      </c>
      <c r="J36" s="296"/>
      <c r="K36" s="297">
        <f>SUM(K12:K35)</f>
        <v>85505.479042471037</v>
      </c>
      <c r="L36" s="296"/>
      <c r="M36" s="297">
        <f>SUM(M12:M35)</f>
        <v>52525.698204169894</v>
      </c>
      <c r="N36" s="296"/>
      <c r="O36" s="297">
        <f>SUM(O12:O35)</f>
        <v>35000</v>
      </c>
      <c r="P36" s="297">
        <f>SUM(P12:P35)</f>
        <v>330299.0707601544</v>
      </c>
      <c r="Q36" s="296">
        <f>SUM(Q12:Q35)</f>
        <v>0</v>
      </c>
      <c r="R36" s="298">
        <f>SUM(R12:R35)</f>
        <v>330299.0707601544</v>
      </c>
    </row>
    <row r="37" spans="1:18" ht="30" x14ac:dyDescent="0.4">
      <c r="A37" s="279" t="s">
        <v>195</v>
      </c>
      <c r="B37" s="280"/>
      <c r="C37" s="281"/>
      <c r="D37" s="281"/>
      <c r="E37" s="282"/>
      <c r="F37" s="283"/>
      <c r="G37" s="284"/>
      <c r="H37" s="283"/>
      <c r="I37" s="284"/>
      <c r="J37" s="283"/>
      <c r="K37" s="284"/>
      <c r="L37" s="283"/>
      <c r="M37" s="284"/>
      <c r="N37" s="282"/>
      <c r="O37" s="284"/>
      <c r="P37" s="285"/>
      <c r="Q37" s="283"/>
      <c r="R37" s="286"/>
    </row>
    <row r="38" spans="1:18" s="121" customFormat="1" x14ac:dyDescent="0.4">
      <c r="A38" s="32" t="s">
        <v>60</v>
      </c>
      <c r="B38" s="16"/>
      <c r="C38" s="16"/>
      <c r="D38" s="109"/>
      <c r="E38" s="110"/>
      <c r="F38" s="111"/>
      <c r="G38" s="112"/>
      <c r="H38" s="113"/>
      <c r="I38" s="113"/>
      <c r="J38" s="114"/>
      <c r="K38" s="113"/>
      <c r="L38" s="114"/>
      <c r="M38" s="113"/>
      <c r="N38" s="114"/>
      <c r="O38" s="112"/>
      <c r="P38" s="115"/>
      <c r="Q38" s="113"/>
      <c r="R38" s="116"/>
    </row>
    <row r="39" spans="1:18" s="121" customFormat="1" ht="30.6" x14ac:dyDescent="0.4">
      <c r="A39" s="92" t="s">
        <v>196</v>
      </c>
      <c r="B39" s="33" t="s">
        <v>60</v>
      </c>
      <c r="C39" s="28">
        <v>1</v>
      </c>
      <c r="D39" s="21" t="s">
        <v>63</v>
      </c>
      <c r="E39" s="23">
        <f>+'FES Sub Budget'!E24</f>
        <v>0</v>
      </c>
      <c r="F39" s="177">
        <f>+'FES Sub Budget'!F24</f>
        <v>363.30878378378378</v>
      </c>
      <c r="G39" s="20">
        <f>+'FES Sub Budget'!G24</f>
        <v>0</v>
      </c>
      <c r="H39" s="24">
        <f>+'FES Sub Budget'!H24</f>
        <v>14</v>
      </c>
      <c r="I39" s="20">
        <f>+'FES Sub Budget'!I24</f>
        <v>5086.3229729729728</v>
      </c>
      <c r="J39" s="24">
        <f>+'FES Sub Budget'!J24</f>
        <v>14</v>
      </c>
      <c r="K39" s="20">
        <f>+'FES Sub Budget'!K24</f>
        <v>5289.7758918918917</v>
      </c>
      <c r="L39" s="24">
        <f>+'FES Sub Budget'!L24</f>
        <v>7</v>
      </c>
      <c r="M39" s="20">
        <f>+'FES Sub Budget'!M24</f>
        <v>2750.6834637837837</v>
      </c>
      <c r="N39" s="23">
        <f>+'FES Sub Budget'!N24</f>
        <v>0</v>
      </c>
      <c r="O39" s="20">
        <f>+'FES Sub Budget'!O24</f>
        <v>0</v>
      </c>
      <c r="P39" s="25">
        <f>+'FES Sub Budget'!P24</f>
        <v>13126.782328648647</v>
      </c>
      <c r="Q39" s="24">
        <f>+'FES Sub Budget'!Q24</f>
        <v>0</v>
      </c>
      <c r="R39" s="26">
        <f>+'FES Sub Budget'!R24</f>
        <v>13126.782328648647</v>
      </c>
    </row>
    <row r="40" spans="1:18" s="121" customFormat="1" ht="30.6" x14ac:dyDescent="0.4">
      <c r="A40" s="92" t="s">
        <v>197</v>
      </c>
      <c r="B40" s="33" t="s">
        <v>60</v>
      </c>
      <c r="C40" s="28">
        <v>1</v>
      </c>
      <c r="D40" s="21" t="s">
        <v>65</v>
      </c>
      <c r="E40" s="23">
        <f>+'FES Sub Budget'!E25</f>
        <v>0</v>
      </c>
      <c r="F40" s="177">
        <f>+'FES Sub Budget'!F25</f>
        <v>153.03503861003861</v>
      </c>
      <c r="G40" s="20">
        <f>+'FES Sub Budget'!G25</f>
        <v>0</v>
      </c>
      <c r="H40" s="24">
        <f>+'FES Sub Budget'!H25</f>
        <v>14</v>
      </c>
      <c r="I40" s="20">
        <f>+'FES Sub Budget'!I25</f>
        <v>2142.4905405405407</v>
      </c>
      <c r="J40" s="24">
        <f>+'FES Sub Budget'!J25</f>
        <v>14</v>
      </c>
      <c r="K40" s="20">
        <f>+'FES Sub Budget'!K25</f>
        <v>2228.1901621621623</v>
      </c>
      <c r="L40" s="24">
        <f>+'FES Sub Budget'!L25</f>
        <v>7</v>
      </c>
      <c r="M40" s="20">
        <f>+'FES Sub Budget'!M25</f>
        <v>1158.6588843243244</v>
      </c>
      <c r="N40" s="23">
        <f>+'FES Sub Budget'!N25</f>
        <v>0</v>
      </c>
      <c r="O40" s="20">
        <f>+'FES Sub Budget'!O25</f>
        <v>0</v>
      </c>
      <c r="P40" s="25">
        <f>+'FES Sub Budget'!P25</f>
        <v>5529.3395870270269</v>
      </c>
      <c r="Q40" s="24">
        <f>+'FES Sub Budget'!Q25</f>
        <v>0</v>
      </c>
      <c r="R40" s="26">
        <f>+'FES Sub Budget'!R25</f>
        <v>5529.3395870270269</v>
      </c>
    </row>
    <row r="41" spans="1:18" s="121" customFormat="1" ht="30.6" x14ac:dyDescent="0.4">
      <c r="A41" s="92" t="s">
        <v>198</v>
      </c>
      <c r="B41" s="33" t="s">
        <v>60</v>
      </c>
      <c r="C41" s="28">
        <v>1</v>
      </c>
      <c r="D41" s="21" t="s">
        <v>65</v>
      </c>
      <c r="E41" s="23">
        <f>+'FES Sub Budget'!E26</f>
        <v>0</v>
      </c>
      <c r="F41" s="24">
        <f>+'FES Sub Budget'!F26</f>
        <v>50</v>
      </c>
      <c r="G41" s="20">
        <f>+'FES Sub Budget'!G26</f>
        <v>0</v>
      </c>
      <c r="H41" s="24">
        <f>+'FES Sub Budget'!H26</f>
        <v>14</v>
      </c>
      <c r="I41" s="20">
        <f>+'FES Sub Budget'!I26</f>
        <v>700</v>
      </c>
      <c r="J41" s="24">
        <f>+'FES Sub Budget'!J26</f>
        <v>14</v>
      </c>
      <c r="K41" s="20">
        <f>+'FES Sub Budget'!K26</f>
        <v>728</v>
      </c>
      <c r="L41" s="24">
        <f>+'FES Sub Budget'!L26</f>
        <v>7</v>
      </c>
      <c r="M41" s="20">
        <f>+'FES Sub Budget'!M26</f>
        <v>378.56</v>
      </c>
      <c r="N41" s="23">
        <f>+'FES Sub Budget'!N26</f>
        <v>0</v>
      </c>
      <c r="O41" s="20">
        <f>+'FES Sub Budget'!O26</f>
        <v>0</v>
      </c>
      <c r="P41" s="25">
        <f>+'FES Sub Budget'!P26</f>
        <v>1806.56</v>
      </c>
      <c r="Q41" s="24">
        <f>+'FES Sub Budget'!Q26</f>
        <v>0</v>
      </c>
      <c r="R41" s="26">
        <f>+'FES Sub Budget'!R26</f>
        <v>1806.56</v>
      </c>
    </row>
    <row r="42" spans="1:18" ht="30.3" thickBot="1" x14ac:dyDescent="0.45">
      <c r="A42" s="168" t="s">
        <v>199</v>
      </c>
      <c r="B42" s="169"/>
      <c r="C42" s="170"/>
      <c r="D42" s="170"/>
      <c r="E42" s="158"/>
      <c r="F42" s="159"/>
      <c r="G42" s="160">
        <f>SUM(G38:G41)</f>
        <v>0</v>
      </c>
      <c r="H42" s="159"/>
      <c r="I42" s="160">
        <f>SUM(I38:I41)</f>
        <v>7928.8135135135135</v>
      </c>
      <c r="J42" s="158"/>
      <c r="K42" s="160">
        <f>SUM(K38:K41)</f>
        <v>8245.9660540540535</v>
      </c>
      <c r="L42" s="158"/>
      <c r="M42" s="160">
        <f>SUM(M38:M41)</f>
        <v>4287.9023481081085</v>
      </c>
      <c r="N42" s="158"/>
      <c r="O42" s="160">
        <f>SUM(O38:O41)</f>
        <v>0</v>
      </c>
      <c r="P42" s="160">
        <f>SUM(P38:P41)</f>
        <v>20462.681915675676</v>
      </c>
      <c r="Q42" s="159">
        <f>SUM(Q38:Q41)</f>
        <v>0</v>
      </c>
      <c r="R42" s="161">
        <f>SUM(R38:R41)</f>
        <v>20462.681915675676</v>
      </c>
    </row>
    <row r="43" spans="1:18" ht="30" x14ac:dyDescent="0.4">
      <c r="A43" s="279" t="s">
        <v>200</v>
      </c>
      <c r="B43" s="280"/>
      <c r="C43" s="281"/>
      <c r="D43" s="281"/>
      <c r="E43" s="282"/>
      <c r="F43" s="283"/>
      <c r="G43" s="284"/>
      <c r="H43" s="283"/>
      <c r="I43" s="284"/>
      <c r="J43" s="283"/>
      <c r="K43" s="284"/>
      <c r="L43" s="283"/>
      <c r="M43" s="284"/>
      <c r="N43" s="282"/>
      <c r="O43" s="284"/>
      <c r="P43" s="285"/>
      <c r="Q43" s="283"/>
      <c r="R43" s="286"/>
    </row>
    <row r="44" spans="1:18" x14ac:dyDescent="0.4">
      <c r="A44" s="32" t="s">
        <v>60</v>
      </c>
      <c r="B44" s="16"/>
      <c r="C44" s="16"/>
      <c r="D44" s="109"/>
      <c r="E44" s="207"/>
      <c r="F44" s="208"/>
      <c r="G44" s="209"/>
      <c r="H44" s="208"/>
      <c r="I44" s="208"/>
      <c r="J44" s="207"/>
      <c r="K44" s="208"/>
      <c r="L44" s="207"/>
      <c r="M44" s="208"/>
      <c r="N44" s="207"/>
      <c r="O44" s="209"/>
      <c r="P44" s="210"/>
      <c r="Q44" s="208"/>
      <c r="R44" s="211"/>
    </row>
    <row r="45" spans="1:18" x14ac:dyDescent="0.4">
      <c r="A45" s="361" t="s">
        <v>201</v>
      </c>
      <c r="B45" s="362"/>
      <c r="C45" s="362"/>
      <c r="D45" s="340"/>
      <c r="E45" s="245"/>
      <c r="F45" s="246"/>
      <c r="G45" s="247"/>
      <c r="H45" s="246"/>
      <c r="I45" s="246"/>
      <c r="J45" s="245"/>
      <c r="K45" s="246"/>
      <c r="L45" s="245"/>
      <c r="M45" s="246"/>
      <c r="N45" s="245"/>
      <c r="O45" s="247"/>
      <c r="P45" s="248"/>
      <c r="Q45" s="246"/>
      <c r="R45" s="249"/>
    </row>
    <row r="46" spans="1:18" x14ac:dyDescent="0.4">
      <c r="A46" s="92" t="s">
        <v>202</v>
      </c>
      <c r="B46" s="21" t="s">
        <v>60</v>
      </c>
      <c r="C46" s="258">
        <v>1</v>
      </c>
      <c r="D46" s="21" t="s">
        <v>203</v>
      </c>
      <c r="E46" s="176">
        <f>+'ITAM Sub Budget'!E42</f>
        <v>0</v>
      </c>
      <c r="F46" s="177">
        <f>+'ITAM Sub Budget'!F42</f>
        <v>182</v>
      </c>
      <c r="G46" s="178">
        <f>+'ITAM Sub Budget'!G42</f>
        <v>0</v>
      </c>
      <c r="H46" s="176">
        <f>+'ITAM Sub Budget'!H42</f>
        <v>0</v>
      </c>
      <c r="I46" s="177">
        <f>+'ITAM Sub Budget'!I42</f>
        <v>0</v>
      </c>
      <c r="J46" s="176">
        <f>+'ITAM Sub Budget'!J42</f>
        <v>4</v>
      </c>
      <c r="K46" s="177">
        <f>+'ITAM Sub Budget'!K42</f>
        <v>787.40480000000002</v>
      </c>
      <c r="L46" s="176">
        <f>+'ITAM Sub Budget'!L42</f>
        <v>4</v>
      </c>
      <c r="M46" s="177">
        <f>+'ITAM Sub Budget'!M42</f>
        <v>818.90099200000009</v>
      </c>
      <c r="N46" s="176">
        <f>+'ITAM Sub Budget'!N42</f>
        <v>0</v>
      </c>
      <c r="O46" s="177">
        <f>+'ITAM Sub Budget'!O42</f>
        <v>0</v>
      </c>
      <c r="P46" s="179">
        <f>+'ITAM Sub Budget'!P42</f>
        <v>1606.3057920000001</v>
      </c>
      <c r="Q46" s="177">
        <f>+'ITAM Sub Budget'!Q42</f>
        <v>0</v>
      </c>
      <c r="R46" s="180">
        <f>+'ITAM Sub Budget'!R42</f>
        <v>1606.3057920000001</v>
      </c>
    </row>
    <row r="47" spans="1:18" x14ac:dyDescent="0.4">
      <c r="A47" s="92" t="s">
        <v>204</v>
      </c>
      <c r="B47" s="21" t="s">
        <v>60</v>
      </c>
      <c r="C47" s="258">
        <v>1</v>
      </c>
      <c r="D47" s="21" t="s">
        <v>65</v>
      </c>
      <c r="E47" s="176">
        <f>+'ITAM Sub Budget'!E43</f>
        <v>0</v>
      </c>
      <c r="F47" s="177">
        <f>+'ITAM Sub Budget'!F43</f>
        <v>116</v>
      </c>
      <c r="G47" s="178">
        <f>+'ITAM Sub Budget'!G43</f>
        <v>0</v>
      </c>
      <c r="H47" s="176">
        <f>+'ITAM Sub Budget'!H43</f>
        <v>0</v>
      </c>
      <c r="I47" s="177">
        <f>+'ITAM Sub Budget'!I43</f>
        <v>0</v>
      </c>
      <c r="J47" s="176">
        <f>+'ITAM Sub Budget'!J43</f>
        <v>4</v>
      </c>
      <c r="K47" s="177">
        <f>+'ITAM Sub Budget'!K43</f>
        <v>501.86240000000004</v>
      </c>
      <c r="L47" s="176">
        <f>+'ITAM Sub Budget'!L43</f>
        <v>4</v>
      </c>
      <c r="M47" s="177">
        <f>+'ITAM Sub Budget'!M43</f>
        <v>521.93689600000005</v>
      </c>
      <c r="N47" s="176">
        <f>+'ITAM Sub Budget'!N43</f>
        <v>0</v>
      </c>
      <c r="O47" s="177">
        <f>+'ITAM Sub Budget'!O43</f>
        <v>0</v>
      </c>
      <c r="P47" s="179">
        <f>+'ITAM Sub Budget'!P43</f>
        <v>1023.7992960000001</v>
      </c>
      <c r="Q47" s="177">
        <f>+'ITAM Sub Budget'!Q43</f>
        <v>0</v>
      </c>
      <c r="R47" s="180">
        <f>+'ITAM Sub Budget'!R43</f>
        <v>1023.7992960000001</v>
      </c>
    </row>
    <row r="48" spans="1:18" x14ac:dyDescent="0.4">
      <c r="A48" s="92" t="s">
        <v>205</v>
      </c>
      <c r="B48" s="21" t="s">
        <v>60</v>
      </c>
      <c r="C48" s="258">
        <v>1</v>
      </c>
      <c r="D48" s="21" t="s">
        <v>65</v>
      </c>
      <c r="E48" s="176">
        <f>+'ITAM Sub Budget'!E44</f>
        <v>0</v>
      </c>
      <c r="F48" s="177">
        <f>+'ITAM Sub Budget'!F44</f>
        <v>50</v>
      </c>
      <c r="G48" s="178">
        <f>+'ITAM Sub Budget'!G44</f>
        <v>0</v>
      </c>
      <c r="H48" s="176">
        <f>+'ITAM Sub Budget'!H44</f>
        <v>0</v>
      </c>
      <c r="I48" s="177">
        <f>+'ITAM Sub Budget'!I44</f>
        <v>0</v>
      </c>
      <c r="J48" s="176">
        <f>+'ITAM Sub Budget'!J44</f>
        <v>2</v>
      </c>
      <c r="K48" s="177">
        <f>+'ITAM Sub Budget'!K44</f>
        <v>108.16</v>
      </c>
      <c r="L48" s="176">
        <f>+'ITAM Sub Budget'!L44</f>
        <v>2</v>
      </c>
      <c r="M48" s="177">
        <f>+'ITAM Sub Budget'!M44</f>
        <v>112.4864</v>
      </c>
      <c r="N48" s="176">
        <f>+'ITAM Sub Budget'!N44</f>
        <v>0</v>
      </c>
      <c r="O48" s="177">
        <f>+'ITAM Sub Budget'!O44</f>
        <v>0</v>
      </c>
      <c r="P48" s="179">
        <f>+'ITAM Sub Budget'!P44</f>
        <v>220.6464</v>
      </c>
      <c r="Q48" s="177">
        <f>+'ITAM Sub Budget'!Q44</f>
        <v>0</v>
      </c>
      <c r="R48" s="180">
        <f>+'ITAM Sub Budget'!R44</f>
        <v>220.6464</v>
      </c>
    </row>
    <row r="49" spans="1:18" x14ac:dyDescent="0.4">
      <c r="A49" s="92" t="s">
        <v>77</v>
      </c>
      <c r="B49" s="21" t="s">
        <v>60</v>
      </c>
      <c r="C49" s="258">
        <v>1</v>
      </c>
      <c r="D49" s="21" t="s">
        <v>63</v>
      </c>
      <c r="E49" s="176">
        <f>+'ITAM Sub Budget'!E45</f>
        <v>0</v>
      </c>
      <c r="F49" s="177">
        <f>+'ITAM Sub Budget'!F45</f>
        <v>500</v>
      </c>
      <c r="G49" s="178">
        <f>+'ITAM Sub Budget'!G45</f>
        <v>0</v>
      </c>
      <c r="H49" s="176">
        <f>+'ITAM Sub Budget'!H45</f>
        <v>0</v>
      </c>
      <c r="I49" s="177">
        <f>+'ITAM Sub Budget'!I45</f>
        <v>0</v>
      </c>
      <c r="J49" s="176">
        <f>+'ITAM Sub Budget'!J45</f>
        <v>2</v>
      </c>
      <c r="K49" s="177">
        <f>+'ITAM Sub Budget'!K45</f>
        <v>1081.6000000000001</v>
      </c>
      <c r="L49" s="176">
        <f>+'ITAM Sub Budget'!L45</f>
        <v>2</v>
      </c>
      <c r="M49" s="177">
        <f>+'ITAM Sub Budget'!M45</f>
        <v>1124.8640000000003</v>
      </c>
      <c r="N49" s="176">
        <f>+'ITAM Sub Budget'!N45</f>
        <v>0</v>
      </c>
      <c r="O49" s="177">
        <f>+'ITAM Sub Budget'!O45</f>
        <v>0</v>
      </c>
      <c r="P49" s="179">
        <f>+'ITAM Sub Budget'!P45</f>
        <v>2206.4640000000004</v>
      </c>
      <c r="Q49" s="177">
        <f>+'ITAM Sub Budget'!Q45</f>
        <v>0</v>
      </c>
      <c r="R49" s="180">
        <f>+'ITAM Sub Budget'!R45</f>
        <v>2206.4640000000004</v>
      </c>
    </row>
    <row r="50" spans="1:18" x14ac:dyDescent="0.4">
      <c r="A50" s="361" t="s">
        <v>206</v>
      </c>
      <c r="B50" s="362"/>
      <c r="C50" s="362"/>
      <c r="D50" s="340"/>
      <c r="E50" s="245"/>
      <c r="F50" s="246"/>
      <c r="G50" s="247"/>
      <c r="H50" s="246"/>
      <c r="I50" s="246"/>
      <c r="J50" s="245"/>
      <c r="K50" s="246"/>
      <c r="L50" s="245"/>
      <c r="M50" s="246"/>
      <c r="N50" s="245"/>
      <c r="O50" s="247"/>
      <c r="P50" s="248"/>
      <c r="Q50" s="246"/>
      <c r="R50" s="249"/>
    </row>
    <row r="51" spans="1:18" x14ac:dyDescent="0.4">
      <c r="A51" s="92" t="s">
        <v>202</v>
      </c>
      <c r="B51" s="21" t="s">
        <v>60</v>
      </c>
      <c r="C51" s="258">
        <v>1</v>
      </c>
      <c r="D51" s="21" t="s">
        <v>203</v>
      </c>
      <c r="E51" s="176">
        <f>+'ITAM Sub Budget'!E47</f>
        <v>0</v>
      </c>
      <c r="F51" s="177">
        <f>+'ITAM Sub Budget'!F47</f>
        <v>241</v>
      </c>
      <c r="G51" s="178">
        <f>+'ITAM Sub Budget'!G47</f>
        <v>0</v>
      </c>
      <c r="H51" s="176">
        <f>+'ITAM Sub Budget'!H47</f>
        <v>0</v>
      </c>
      <c r="I51" s="177">
        <f>+'ITAM Sub Budget'!I47</f>
        <v>0</v>
      </c>
      <c r="J51" s="176">
        <f>+'ITAM Sub Budget'!J47</f>
        <v>4</v>
      </c>
      <c r="K51" s="177">
        <f>+'ITAM Sub Budget'!K47</f>
        <v>1042.6624000000002</v>
      </c>
      <c r="L51" s="176">
        <f>+'ITAM Sub Budget'!L47</f>
        <v>4</v>
      </c>
      <c r="M51" s="177">
        <f>+'ITAM Sub Budget'!M47</f>
        <v>1084.3688960000002</v>
      </c>
      <c r="N51" s="176">
        <f>+'ITAM Sub Budget'!N47</f>
        <v>0</v>
      </c>
      <c r="O51" s="177">
        <f>+'ITAM Sub Budget'!O47</f>
        <v>0</v>
      </c>
      <c r="P51" s="179">
        <f>+'ITAM Sub Budget'!P47</f>
        <v>2127.0312960000001</v>
      </c>
      <c r="Q51" s="177">
        <f>+'ITAM Sub Budget'!Q47</f>
        <v>0</v>
      </c>
      <c r="R51" s="180">
        <f>+'ITAM Sub Budget'!R47</f>
        <v>2127.0312960000001</v>
      </c>
    </row>
    <row r="52" spans="1:18" x14ac:dyDescent="0.4">
      <c r="A52" s="92" t="s">
        <v>204</v>
      </c>
      <c r="B52" s="21" t="s">
        <v>60</v>
      </c>
      <c r="C52" s="258">
        <v>1</v>
      </c>
      <c r="D52" s="21" t="s">
        <v>65</v>
      </c>
      <c r="E52" s="176">
        <f>+'ITAM Sub Budget'!E48</f>
        <v>0</v>
      </c>
      <c r="F52" s="177">
        <f>+'ITAM Sub Budget'!F48</f>
        <v>121</v>
      </c>
      <c r="G52" s="178">
        <f>+'ITAM Sub Budget'!G48</f>
        <v>0</v>
      </c>
      <c r="H52" s="176">
        <f>+'ITAM Sub Budget'!H48</f>
        <v>0</v>
      </c>
      <c r="I52" s="177">
        <f>+'ITAM Sub Budget'!I48</f>
        <v>0</v>
      </c>
      <c r="J52" s="176">
        <f>+'ITAM Sub Budget'!J48</f>
        <v>4</v>
      </c>
      <c r="K52" s="177">
        <f>+'ITAM Sub Budget'!K48</f>
        <v>523.49440000000004</v>
      </c>
      <c r="L52" s="176">
        <f>+'ITAM Sub Budget'!L48</f>
        <v>4</v>
      </c>
      <c r="M52" s="177">
        <f>+'ITAM Sub Budget'!M48</f>
        <v>544.43417600000009</v>
      </c>
      <c r="N52" s="176">
        <f>+'ITAM Sub Budget'!N48</f>
        <v>0</v>
      </c>
      <c r="O52" s="177">
        <f>+'ITAM Sub Budget'!O48</f>
        <v>0</v>
      </c>
      <c r="P52" s="179">
        <f>+'ITAM Sub Budget'!P48</f>
        <v>1067.9285760000002</v>
      </c>
      <c r="Q52" s="177">
        <f>+'ITAM Sub Budget'!Q48</f>
        <v>0</v>
      </c>
      <c r="R52" s="180">
        <f>+'ITAM Sub Budget'!R48</f>
        <v>1067.9285760000002</v>
      </c>
    </row>
    <row r="53" spans="1:18" x14ac:dyDescent="0.4">
      <c r="A53" s="92" t="s">
        <v>205</v>
      </c>
      <c r="B53" s="21" t="s">
        <v>60</v>
      </c>
      <c r="C53" s="258">
        <v>1</v>
      </c>
      <c r="D53" s="21" t="s">
        <v>65</v>
      </c>
      <c r="E53" s="176">
        <f>+'ITAM Sub Budget'!E49</f>
        <v>0</v>
      </c>
      <c r="F53" s="177">
        <f>+'ITAM Sub Budget'!F49</f>
        <v>50</v>
      </c>
      <c r="G53" s="178">
        <f>+'ITAM Sub Budget'!G49</f>
        <v>0</v>
      </c>
      <c r="H53" s="176">
        <f>+'ITAM Sub Budget'!H49</f>
        <v>0</v>
      </c>
      <c r="I53" s="177">
        <f>+'ITAM Sub Budget'!I49</f>
        <v>0</v>
      </c>
      <c r="J53" s="176">
        <f>+'ITAM Sub Budget'!J49</f>
        <v>2</v>
      </c>
      <c r="K53" s="177">
        <f>+'ITAM Sub Budget'!K49</f>
        <v>108.16</v>
      </c>
      <c r="L53" s="176">
        <f>+'ITAM Sub Budget'!L49</f>
        <v>2</v>
      </c>
      <c r="M53" s="177">
        <f>+'ITAM Sub Budget'!M49</f>
        <v>112.4864</v>
      </c>
      <c r="N53" s="176">
        <f>+'ITAM Sub Budget'!N49</f>
        <v>0</v>
      </c>
      <c r="O53" s="177">
        <f>+'ITAM Sub Budget'!O49</f>
        <v>0</v>
      </c>
      <c r="P53" s="179">
        <f>+'ITAM Sub Budget'!P49</f>
        <v>220.6464</v>
      </c>
      <c r="Q53" s="177">
        <f>+'ITAM Sub Budget'!Q49</f>
        <v>0</v>
      </c>
      <c r="R53" s="180">
        <f>+'ITAM Sub Budget'!R49</f>
        <v>220.6464</v>
      </c>
    </row>
    <row r="54" spans="1:18" x14ac:dyDescent="0.4">
      <c r="A54" s="92" t="s">
        <v>77</v>
      </c>
      <c r="B54" s="21" t="s">
        <v>60</v>
      </c>
      <c r="C54" s="258">
        <v>1</v>
      </c>
      <c r="D54" s="21" t="s">
        <v>63</v>
      </c>
      <c r="E54" s="176">
        <f>+'ITAM Sub Budget'!E50</f>
        <v>0</v>
      </c>
      <c r="F54" s="177">
        <f>+'ITAM Sub Budget'!F50</f>
        <v>300</v>
      </c>
      <c r="G54" s="178">
        <f>+'ITAM Sub Budget'!G50</f>
        <v>0</v>
      </c>
      <c r="H54" s="176">
        <f>+'ITAM Sub Budget'!H50</f>
        <v>0</v>
      </c>
      <c r="I54" s="177">
        <f>+'ITAM Sub Budget'!I50</f>
        <v>0</v>
      </c>
      <c r="J54" s="176">
        <f>+'ITAM Sub Budget'!J50</f>
        <v>2</v>
      </c>
      <c r="K54" s="177">
        <f>+'ITAM Sub Budget'!K50</f>
        <v>648.96</v>
      </c>
      <c r="L54" s="176">
        <f>+'ITAM Sub Budget'!L50</f>
        <v>2</v>
      </c>
      <c r="M54" s="177">
        <f>+'ITAM Sub Budget'!M50</f>
        <v>674.91840000000002</v>
      </c>
      <c r="N54" s="176">
        <f>+'ITAM Sub Budget'!N50</f>
        <v>0</v>
      </c>
      <c r="O54" s="177">
        <f>+'ITAM Sub Budget'!O50</f>
        <v>0</v>
      </c>
      <c r="P54" s="179">
        <f>+'ITAM Sub Budget'!P50</f>
        <v>1323.8784000000001</v>
      </c>
      <c r="Q54" s="177">
        <f>+'ITAM Sub Budget'!Q50</f>
        <v>0</v>
      </c>
      <c r="R54" s="180">
        <f>+'ITAM Sub Budget'!R50</f>
        <v>1323.8784000000001</v>
      </c>
    </row>
    <row r="55" spans="1:18" x14ac:dyDescent="0.4">
      <c r="A55" s="361" t="s">
        <v>207</v>
      </c>
      <c r="B55" s="362"/>
      <c r="C55" s="362"/>
      <c r="D55" s="340"/>
      <c r="E55" s="245"/>
      <c r="F55" s="246"/>
      <c r="G55" s="247"/>
      <c r="H55" s="246"/>
      <c r="I55" s="246"/>
      <c r="J55" s="245"/>
      <c r="K55" s="246"/>
      <c r="L55" s="245"/>
      <c r="M55" s="246"/>
      <c r="N55" s="245"/>
      <c r="O55" s="247"/>
      <c r="P55" s="248"/>
      <c r="Q55" s="246"/>
      <c r="R55" s="249"/>
    </row>
    <row r="56" spans="1:18" x14ac:dyDescent="0.4">
      <c r="A56" s="92" t="s">
        <v>202</v>
      </c>
      <c r="B56" s="21" t="s">
        <v>60</v>
      </c>
      <c r="C56" s="258">
        <v>1</v>
      </c>
      <c r="D56" s="21" t="s">
        <v>203</v>
      </c>
      <c r="E56" s="176">
        <f>+'ITAM Sub Budget'!E52</f>
        <v>0</v>
      </c>
      <c r="F56" s="177">
        <f>+'ITAM Sub Budget'!F52</f>
        <v>141</v>
      </c>
      <c r="G56" s="178">
        <f>+'ITAM Sub Budget'!G52</f>
        <v>0</v>
      </c>
      <c r="H56" s="176">
        <f>+'ITAM Sub Budget'!H52</f>
        <v>0</v>
      </c>
      <c r="I56" s="177">
        <f>+'ITAM Sub Budget'!I52</f>
        <v>0</v>
      </c>
      <c r="J56" s="176">
        <f>+'ITAM Sub Budget'!J52</f>
        <v>4</v>
      </c>
      <c r="K56" s="177">
        <f>+'ITAM Sub Budget'!K52</f>
        <v>610.02240000000006</v>
      </c>
      <c r="L56" s="176">
        <f>+'ITAM Sub Budget'!L52</f>
        <v>4</v>
      </c>
      <c r="M56" s="177">
        <f>+'ITAM Sub Budget'!M52</f>
        <v>634.42329600000005</v>
      </c>
      <c r="N56" s="176">
        <f>+'ITAM Sub Budget'!N52</f>
        <v>0</v>
      </c>
      <c r="O56" s="177">
        <f>+'ITAM Sub Budget'!O52</f>
        <v>0</v>
      </c>
      <c r="P56" s="179">
        <f>+'ITAM Sub Budget'!P52</f>
        <v>1244.4456960000002</v>
      </c>
      <c r="Q56" s="177">
        <f>+'ITAM Sub Budget'!Q52</f>
        <v>0</v>
      </c>
      <c r="R56" s="180">
        <f>+'ITAM Sub Budget'!R52</f>
        <v>1244.4456960000002</v>
      </c>
    </row>
    <row r="57" spans="1:18" x14ac:dyDescent="0.4">
      <c r="A57" s="92" t="s">
        <v>204</v>
      </c>
      <c r="B57" s="21" t="s">
        <v>60</v>
      </c>
      <c r="C57" s="258">
        <v>1</v>
      </c>
      <c r="D57" s="21" t="s">
        <v>65</v>
      </c>
      <c r="E57" s="176">
        <f>+'ITAM Sub Budget'!E53</f>
        <v>0</v>
      </c>
      <c r="F57" s="177">
        <f>+'ITAM Sub Budget'!F53</f>
        <v>110</v>
      </c>
      <c r="G57" s="178">
        <f>+'ITAM Sub Budget'!G53</f>
        <v>0</v>
      </c>
      <c r="H57" s="176">
        <f>+'ITAM Sub Budget'!H53</f>
        <v>0</v>
      </c>
      <c r="I57" s="177">
        <f>+'ITAM Sub Budget'!I53</f>
        <v>0</v>
      </c>
      <c r="J57" s="176">
        <f>+'ITAM Sub Budget'!J53</f>
        <v>4</v>
      </c>
      <c r="K57" s="177">
        <f>+'ITAM Sub Budget'!K53</f>
        <v>475.90400000000005</v>
      </c>
      <c r="L57" s="176">
        <f>+'ITAM Sub Budget'!L53</f>
        <v>4</v>
      </c>
      <c r="M57" s="177">
        <f>+'ITAM Sub Budget'!M53</f>
        <v>494.94016000000005</v>
      </c>
      <c r="N57" s="176">
        <f>+'ITAM Sub Budget'!N53</f>
        <v>0</v>
      </c>
      <c r="O57" s="177">
        <f>+'ITAM Sub Budget'!O53</f>
        <v>0</v>
      </c>
      <c r="P57" s="179">
        <f>+'ITAM Sub Budget'!P53</f>
        <v>970.8441600000001</v>
      </c>
      <c r="Q57" s="177">
        <f>+'ITAM Sub Budget'!Q53</f>
        <v>0</v>
      </c>
      <c r="R57" s="180">
        <f>+'ITAM Sub Budget'!R53</f>
        <v>970.8441600000001</v>
      </c>
    </row>
    <row r="58" spans="1:18" x14ac:dyDescent="0.4">
      <c r="A58" s="92" t="s">
        <v>205</v>
      </c>
      <c r="B58" s="21" t="s">
        <v>60</v>
      </c>
      <c r="C58" s="258">
        <v>1</v>
      </c>
      <c r="D58" s="21" t="s">
        <v>65</v>
      </c>
      <c r="E58" s="176">
        <f>+'ITAM Sub Budget'!E54</f>
        <v>0</v>
      </c>
      <c r="F58" s="177">
        <f>+'ITAM Sub Budget'!F54</f>
        <v>50</v>
      </c>
      <c r="G58" s="178">
        <f>+'ITAM Sub Budget'!G54</f>
        <v>0</v>
      </c>
      <c r="H58" s="176">
        <f>+'ITAM Sub Budget'!H54</f>
        <v>0</v>
      </c>
      <c r="I58" s="177">
        <f>+'ITAM Sub Budget'!I54</f>
        <v>0</v>
      </c>
      <c r="J58" s="176">
        <f>+'ITAM Sub Budget'!J54</f>
        <v>2</v>
      </c>
      <c r="K58" s="177">
        <f>+'ITAM Sub Budget'!K54</f>
        <v>108.16</v>
      </c>
      <c r="L58" s="176">
        <f>+'ITAM Sub Budget'!L54</f>
        <v>2</v>
      </c>
      <c r="M58" s="177">
        <f>+'ITAM Sub Budget'!M54</f>
        <v>112.4864</v>
      </c>
      <c r="N58" s="176">
        <f>+'ITAM Sub Budget'!N54</f>
        <v>0</v>
      </c>
      <c r="O58" s="177">
        <f>+'ITAM Sub Budget'!O54</f>
        <v>0</v>
      </c>
      <c r="P58" s="179">
        <f>+'ITAM Sub Budget'!P54</f>
        <v>220.6464</v>
      </c>
      <c r="Q58" s="177">
        <f>+'ITAM Sub Budget'!Q54</f>
        <v>0</v>
      </c>
      <c r="R58" s="180">
        <f>+'ITAM Sub Budget'!R54</f>
        <v>220.6464</v>
      </c>
    </row>
    <row r="59" spans="1:18" x14ac:dyDescent="0.4">
      <c r="A59" s="92" t="s">
        <v>77</v>
      </c>
      <c r="B59" s="21" t="s">
        <v>60</v>
      </c>
      <c r="C59" s="258">
        <v>1</v>
      </c>
      <c r="D59" s="21" t="s">
        <v>63</v>
      </c>
      <c r="E59" s="176">
        <f>+'ITAM Sub Budget'!E55</f>
        <v>0</v>
      </c>
      <c r="F59" s="177">
        <f>+'ITAM Sub Budget'!F55</f>
        <v>450</v>
      </c>
      <c r="G59" s="178">
        <f>+'ITAM Sub Budget'!G55</f>
        <v>0</v>
      </c>
      <c r="H59" s="176">
        <f>+'ITAM Sub Budget'!H55</f>
        <v>0</v>
      </c>
      <c r="I59" s="177">
        <f>+'ITAM Sub Budget'!I55</f>
        <v>0</v>
      </c>
      <c r="J59" s="176">
        <f>+'ITAM Sub Budget'!J55</f>
        <v>2</v>
      </c>
      <c r="K59" s="177">
        <f>+'ITAM Sub Budget'!K55</f>
        <v>973.44</v>
      </c>
      <c r="L59" s="176">
        <f>+'ITAM Sub Budget'!L55</f>
        <v>2</v>
      </c>
      <c r="M59" s="177">
        <f>+'ITAM Sub Budget'!M55</f>
        <v>1012.3776000000001</v>
      </c>
      <c r="N59" s="176">
        <f>+'ITAM Sub Budget'!N55</f>
        <v>0</v>
      </c>
      <c r="O59" s="177">
        <f>+'ITAM Sub Budget'!O55</f>
        <v>0</v>
      </c>
      <c r="P59" s="179">
        <f>+'ITAM Sub Budget'!P55</f>
        <v>1985.8176000000003</v>
      </c>
      <c r="Q59" s="177">
        <f>+'ITAM Sub Budget'!Q55</f>
        <v>0</v>
      </c>
      <c r="R59" s="180">
        <f>+'ITAM Sub Budget'!R55</f>
        <v>1985.8176000000003</v>
      </c>
    </row>
    <row r="60" spans="1:18" x14ac:dyDescent="0.4">
      <c r="A60" s="361" t="s">
        <v>208</v>
      </c>
      <c r="B60" s="362"/>
      <c r="C60" s="362"/>
      <c r="D60" s="340"/>
      <c r="E60" s="245"/>
      <c r="F60" s="246"/>
      <c r="G60" s="247"/>
      <c r="H60" s="246"/>
      <c r="I60" s="246"/>
      <c r="J60" s="245"/>
      <c r="K60" s="246"/>
      <c r="L60" s="245"/>
      <c r="M60" s="246"/>
      <c r="N60" s="245"/>
      <c r="O60" s="247"/>
      <c r="P60" s="248"/>
      <c r="Q60" s="246"/>
      <c r="R60" s="249"/>
    </row>
    <row r="61" spans="1:18" x14ac:dyDescent="0.4">
      <c r="A61" s="92" t="s">
        <v>202</v>
      </c>
      <c r="B61" s="21" t="s">
        <v>60</v>
      </c>
      <c r="C61" s="258">
        <v>1</v>
      </c>
      <c r="D61" s="21" t="s">
        <v>203</v>
      </c>
      <c r="E61" s="176">
        <f>+'ITAM Sub Budget'!E57</f>
        <v>0</v>
      </c>
      <c r="F61" s="177">
        <f>+'ITAM Sub Budget'!F57</f>
        <v>210</v>
      </c>
      <c r="G61" s="178">
        <f>+'ITAM Sub Budget'!G57</f>
        <v>0</v>
      </c>
      <c r="H61" s="176">
        <f>+'ITAM Sub Budget'!H57</f>
        <v>0</v>
      </c>
      <c r="I61" s="177">
        <f>+'ITAM Sub Budget'!I57</f>
        <v>0</v>
      </c>
      <c r="J61" s="176">
        <f>+'ITAM Sub Budget'!J57</f>
        <v>4</v>
      </c>
      <c r="K61" s="177">
        <f>+'ITAM Sub Budget'!K57</f>
        <v>908.5440000000001</v>
      </c>
      <c r="L61" s="176">
        <f>+'ITAM Sub Budget'!L57</f>
        <v>4</v>
      </c>
      <c r="M61" s="177">
        <f>+'ITAM Sub Budget'!M57</f>
        <v>944.88576000000012</v>
      </c>
      <c r="N61" s="176">
        <f>+'ITAM Sub Budget'!N57</f>
        <v>0</v>
      </c>
      <c r="O61" s="177">
        <f>+'ITAM Sub Budget'!O57</f>
        <v>0</v>
      </c>
      <c r="P61" s="179">
        <f>+'ITAM Sub Budget'!P57</f>
        <v>1853.4297600000002</v>
      </c>
      <c r="Q61" s="177">
        <f>+'ITAM Sub Budget'!Q57</f>
        <v>0</v>
      </c>
      <c r="R61" s="180">
        <f>+'ITAM Sub Budget'!R57</f>
        <v>1853.4297600000002</v>
      </c>
    </row>
    <row r="62" spans="1:18" x14ac:dyDescent="0.4">
      <c r="A62" s="92" t="s">
        <v>204</v>
      </c>
      <c r="B62" s="21" t="s">
        <v>60</v>
      </c>
      <c r="C62" s="258">
        <v>1</v>
      </c>
      <c r="D62" s="21" t="s">
        <v>65</v>
      </c>
      <c r="E62" s="176">
        <f>+'ITAM Sub Budget'!E58</f>
        <v>0</v>
      </c>
      <c r="F62" s="177">
        <f>+'ITAM Sub Budget'!F58</f>
        <v>123</v>
      </c>
      <c r="G62" s="178">
        <f>+'ITAM Sub Budget'!G58</f>
        <v>0</v>
      </c>
      <c r="H62" s="176">
        <f>+'ITAM Sub Budget'!H58</f>
        <v>0</v>
      </c>
      <c r="I62" s="177">
        <f>+'ITAM Sub Budget'!I58</f>
        <v>0</v>
      </c>
      <c r="J62" s="176">
        <f>+'ITAM Sub Budget'!J58</f>
        <v>4</v>
      </c>
      <c r="K62" s="177">
        <f>+'ITAM Sub Budget'!K58</f>
        <v>532.1472</v>
      </c>
      <c r="L62" s="176">
        <f>+'ITAM Sub Budget'!L58</f>
        <v>4</v>
      </c>
      <c r="M62" s="177">
        <f>+'ITAM Sub Budget'!M58</f>
        <v>553.433088</v>
      </c>
      <c r="N62" s="176">
        <f>+'ITAM Sub Budget'!N58</f>
        <v>0</v>
      </c>
      <c r="O62" s="177">
        <f>+'ITAM Sub Budget'!O58</f>
        <v>0</v>
      </c>
      <c r="P62" s="179">
        <f>+'ITAM Sub Budget'!P58</f>
        <v>1085.5802880000001</v>
      </c>
      <c r="Q62" s="177">
        <f>+'ITAM Sub Budget'!Q58</f>
        <v>0</v>
      </c>
      <c r="R62" s="180">
        <f>+'ITAM Sub Budget'!R58</f>
        <v>1085.5802880000001</v>
      </c>
    </row>
    <row r="63" spans="1:18" x14ac:dyDescent="0.4">
      <c r="A63" s="92" t="s">
        <v>205</v>
      </c>
      <c r="B63" s="21" t="s">
        <v>60</v>
      </c>
      <c r="C63" s="258">
        <v>1</v>
      </c>
      <c r="D63" s="21" t="s">
        <v>65</v>
      </c>
      <c r="E63" s="176">
        <f>+'ITAM Sub Budget'!E59</f>
        <v>0</v>
      </c>
      <c r="F63" s="177">
        <f>+'ITAM Sub Budget'!F59</f>
        <v>50</v>
      </c>
      <c r="G63" s="178">
        <f>+'ITAM Sub Budget'!G59</f>
        <v>0</v>
      </c>
      <c r="H63" s="176">
        <f>+'ITAM Sub Budget'!H59</f>
        <v>0</v>
      </c>
      <c r="I63" s="177">
        <f>+'ITAM Sub Budget'!I59</f>
        <v>0</v>
      </c>
      <c r="J63" s="176">
        <f>+'ITAM Sub Budget'!J59</f>
        <v>2</v>
      </c>
      <c r="K63" s="177">
        <f>+'ITAM Sub Budget'!K59</f>
        <v>108.16</v>
      </c>
      <c r="L63" s="176">
        <f>+'ITAM Sub Budget'!L59</f>
        <v>2</v>
      </c>
      <c r="M63" s="177">
        <f>+'ITAM Sub Budget'!M59</f>
        <v>112.4864</v>
      </c>
      <c r="N63" s="176">
        <f>+'ITAM Sub Budget'!N59</f>
        <v>0</v>
      </c>
      <c r="O63" s="177">
        <f>+'ITAM Sub Budget'!O59</f>
        <v>0</v>
      </c>
      <c r="P63" s="179">
        <f>+'ITAM Sub Budget'!P59</f>
        <v>220.6464</v>
      </c>
      <c r="Q63" s="177">
        <f>+'ITAM Sub Budget'!Q59</f>
        <v>0</v>
      </c>
      <c r="R63" s="180">
        <f>+'ITAM Sub Budget'!R59</f>
        <v>220.6464</v>
      </c>
    </row>
    <row r="64" spans="1:18" ht="15.6" thickBot="1" x14ac:dyDescent="0.45">
      <c r="A64" s="92" t="s">
        <v>77</v>
      </c>
      <c r="B64" s="21" t="s">
        <v>60</v>
      </c>
      <c r="C64" s="258">
        <v>1</v>
      </c>
      <c r="D64" s="21" t="s">
        <v>63</v>
      </c>
      <c r="E64" s="176">
        <f>+'ITAM Sub Budget'!E60</f>
        <v>0</v>
      </c>
      <c r="F64" s="177">
        <f>+'ITAM Sub Budget'!F60</f>
        <v>150</v>
      </c>
      <c r="G64" s="178">
        <f>+'ITAM Sub Budget'!G60</f>
        <v>0</v>
      </c>
      <c r="H64" s="176">
        <f>+'ITAM Sub Budget'!H60</f>
        <v>0</v>
      </c>
      <c r="I64" s="177">
        <f>+'ITAM Sub Budget'!I60</f>
        <v>0</v>
      </c>
      <c r="J64" s="176">
        <f>+'ITAM Sub Budget'!J60</f>
        <v>2</v>
      </c>
      <c r="K64" s="177">
        <f>+'ITAM Sub Budget'!K60</f>
        <v>324.48</v>
      </c>
      <c r="L64" s="176">
        <f>+'ITAM Sub Budget'!L60</f>
        <v>2</v>
      </c>
      <c r="M64" s="177">
        <f>+'ITAM Sub Budget'!M60</f>
        <v>337.45920000000001</v>
      </c>
      <c r="N64" s="176">
        <f>+'ITAM Sub Budget'!N60</f>
        <v>0</v>
      </c>
      <c r="O64" s="177">
        <f>+'ITAM Sub Budget'!O60</f>
        <v>0</v>
      </c>
      <c r="P64" s="179">
        <f>+'ITAM Sub Budget'!P60</f>
        <v>661.93920000000003</v>
      </c>
      <c r="Q64" s="177">
        <f>+'ITAM Sub Budget'!Q60</f>
        <v>0</v>
      </c>
      <c r="R64" s="180">
        <f>+'ITAM Sub Budget'!R60</f>
        <v>661.93920000000003</v>
      </c>
    </row>
    <row r="65" spans="1:19" x14ac:dyDescent="0.4">
      <c r="A65" s="80" t="s">
        <v>103</v>
      </c>
      <c r="B65" s="81"/>
      <c r="C65" s="81"/>
      <c r="D65" s="81"/>
      <c r="E65" s="231"/>
      <c r="F65" s="232"/>
      <c r="G65" s="233"/>
      <c r="H65" s="232"/>
      <c r="I65" s="232"/>
      <c r="J65" s="231"/>
      <c r="K65" s="232"/>
      <c r="L65" s="231"/>
      <c r="M65" s="232"/>
      <c r="N65" s="231"/>
      <c r="O65" s="233"/>
      <c r="P65" s="234"/>
      <c r="Q65" s="232"/>
      <c r="R65" s="235"/>
    </row>
    <row r="66" spans="1:19" x14ac:dyDescent="0.4">
      <c r="A66" s="130" t="s">
        <v>209</v>
      </c>
      <c r="B66" s="21" t="s">
        <v>110</v>
      </c>
      <c r="C66" s="258">
        <v>0.5</v>
      </c>
      <c r="D66" s="22" t="s">
        <v>43</v>
      </c>
      <c r="E66" s="176">
        <f>+'ITAM Sub Budget'!E89</f>
        <v>0</v>
      </c>
      <c r="F66" s="177">
        <f>+'ITAM Sub Budget'!F89</f>
        <v>2800</v>
      </c>
      <c r="G66" s="178">
        <f>+'ITAM Sub Budget'!G89</f>
        <v>0</v>
      </c>
      <c r="H66" s="177">
        <f>+'ITAM Sub Budget'!H89</f>
        <v>6</v>
      </c>
      <c r="I66" s="177">
        <f>+'ITAM Sub Budget'!I89</f>
        <v>8736</v>
      </c>
      <c r="J66" s="176">
        <f>+'ITAM Sub Budget'!J89</f>
        <v>6</v>
      </c>
      <c r="K66" s="177">
        <f>+'ITAM Sub Budget'!K89</f>
        <v>9085.44</v>
      </c>
      <c r="L66" s="176">
        <f>+'ITAM Sub Budget'!L89</f>
        <v>6</v>
      </c>
      <c r="M66" s="177">
        <f>+'ITAM Sub Budget'!M89</f>
        <v>9448.8576000000012</v>
      </c>
      <c r="N66" s="176">
        <f>+'ITAM Sub Budget'!N89</f>
        <v>0</v>
      </c>
      <c r="O66" s="177">
        <f>+'ITAM Sub Budget'!O89</f>
        <v>0</v>
      </c>
      <c r="P66" s="179">
        <f>+'ITAM Sub Budget'!P89</f>
        <v>27270.297600000005</v>
      </c>
      <c r="Q66" s="177">
        <f>+'ITAM Sub Budget'!Q89</f>
        <v>0</v>
      </c>
      <c r="R66" s="180">
        <f>+'ITAM Sub Budget'!R89</f>
        <v>27270.297600000005</v>
      </c>
    </row>
    <row r="67" spans="1:19" x14ac:dyDescent="0.4">
      <c r="A67" s="130" t="s">
        <v>210</v>
      </c>
      <c r="B67" s="21" t="s">
        <v>110</v>
      </c>
      <c r="C67" s="258">
        <v>0.6</v>
      </c>
      <c r="D67" s="22" t="s">
        <v>43</v>
      </c>
      <c r="E67" s="176">
        <f>+'ITAM Sub Budget'!E90</f>
        <v>0</v>
      </c>
      <c r="F67" s="177">
        <f>+'ITAM Sub Budget'!F90</f>
        <v>2600</v>
      </c>
      <c r="G67" s="178">
        <f>+'ITAM Sub Budget'!G90</f>
        <v>0</v>
      </c>
      <c r="H67" s="177">
        <f>+'ITAM Sub Budget'!H90</f>
        <v>0</v>
      </c>
      <c r="I67" s="177">
        <f>+'ITAM Sub Budget'!I90</f>
        <v>0</v>
      </c>
      <c r="J67" s="176">
        <f>+'ITAM Sub Budget'!J90</f>
        <v>3</v>
      </c>
      <c r="K67" s="177">
        <f>+'ITAM Sub Budget'!K90</f>
        <v>5061.8879999999999</v>
      </c>
      <c r="L67" s="176">
        <f>+'ITAM Sub Budget'!L90</f>
        <v>3</v>
      </c>
      <c r="M67" s="177">
        <f>+'ITAM Sub Budget'!M90</f>
        <v>5264.3635199999999</v>
      </c>
      <c r="N67" s="176">
        <f>+'ITAM Sub Budget'!N90</f>
        <v>0</v>
      </c>
      <c r="O67" s="177">
        <f>+'ITAM Sub Budget'!O90</f>
        <v>0</v>
      </c>
      <c r="P67" s="179">
        <f>+'ITAM Sub Budget'!P90</f>
        <v>10326.25152</v>
      </c>
      <c r="Q67" s="177">
        <f>+'ITAM Sub Budget'!Q90</f>
        <v>0</v>
      </c>
      <c r="R67" s="180">
        <f>+'ITAM Sub Budget'!R90</f>
        <v>10326.25152</v>
      </c>
    </row>
    <row r="68" spans="1:19" x14ac:dyDescent="0.4">
      <c r="A68" s="130" t="s">
        <v>211</v>
      </c>
      <c r="B68" s="21" t="s">
        <v>110</v>
      </c>
      <c r="C68" s="258">
        <v>1</v>
      </c>
      <c r="D68" s="22" t="s">
        <v>43</v>
      </c>
      <c r="E68" s="176">
        <f>+'ITAM Sub Budget'!E91</f>
        <v>0</v>
      </c>
      <c r="F68" s="177">
        <f>+'ITAM Sub Budget'!F91</f>
        <v>1590</v>
      </c>
      <c r="G68" s="178">
        <f>+'ITAM Sub Budget'!G91</f>
        <v>0</v>
      </c>
      <c r="H68" s="177">
        <f>+'ITAM Sub Budget'!H91</f>
        <v>0</v>
      </c>
      <c r="I68" s="177">
        <f>+'ITAM Sub Budget'!I91</f>
        <v>0</v>
      </c>
      <c r="J68" s="176">
        <f>+'ITAM Sub Budget'!J91</f>
        <v>3</v>
      </c>
      <c r="K68" s="177">
        <f>+'ITAM Sub Budget'!K91</f>
        <v>5159.232</v>
      </c>
      <c r="L68" s="176">
        <f>+'ITAM Sub Budget'!L91</f>
        <v>3</v>
      </c>
      <c r="M68" s="177">
        <f>+'ITAM Sub Budget'!M91</f>
        <v>5365.6012799999999</v>
      </c>
      <c r="N68" s="176">
        <f>+'ITAM Sub Budget'!N91</f>
        <v>0</v>
      </c>
      <c r="O68" s="177">
        <f>+'ITAM Sub Budget'!O91</f>
        <v>0</v>
      </c>
      <c r="P68" s="179">
        <f>+'ITAM Sub Budget'!P91</f>
        <v>10524.833279999999</v>
      </c>
      <c r="Q68" s="177">
        <f>+'ITAM Sub Budget'!Q91</f>
        <v>0</v>
      </c>
      <c r="R68" s="180">
        <f>+'ITAM Sub Budget'!R91</f>
        <v>10524.833279999999</v>
      </c>
    </row>
    <row r="69" spans="1:19" x14ac:dyDescent="0.4">
      <c r="A69" s="130" t="s">
        <v>212</v>
      </c>
      <c r="B69" s="21" t="s">
        <v>110</v>
      </c>
      <c r="C69" s="258">
        <v>1</v>
      </c>
      <c r="D69" s="22" t="s">
        <v>43</v>
      </c>
      <c r="E69" s="176">
        <f>+'ITAM Sub Budget'!E92</f>
        <v>0</v>
      </c>
      <c r="F69" s="177">
        <f>+'ITAM Sub Budget'!F92</f>
        <v>3070</v>
      </c>
      <c r="G69" s="178">
        <f>+'ITAM Sub Budget'!G92</f>
        <v>0</v>
      </c>
      <c r="H69" s="177">
        <f>+'ITAM Sub Budget'!H92</f>
        <v>6</v>
      </c>
      <c r="I69" s="177">
        <f>+'ITAM Sub Budget'!I92</f>
        <v>19156.8</v>
      </c>
      <c r="J69" s="176">
        <f>+'ITAM Sub Budget'!J92</f>
        <v>6</v>
      </c>
      <c r="K69" s="177">
        <f>+'ITAM Sub Budget'!K92</f>
        <v>19923.072</v>
      </c>
      <c r="L69" s="176">
        <f>+'ITAM Sub Budget'!L92</f>
        <v>6</v>
      </c>
      <c r="M69" s="177">
        <f>+'ITAM Sub Budget'!M92</f>
        <v>20719.994880000002</v>
      </c>
      <c r="N69" s="176">
        <f>+'ITAM Sub Budget'!N92</f>
        <v>0</v>
      </c>
      <c r="O69" s="177">
        <f>+'ITAM Sub Budget'!O92</f>
        <v>0</v>
      </c>
      <c r="P69" s="179">
        <f>+'ITAM Sub Budget'!P92</f>
        <v>59799.866880000001</v>
      </c>
      <c r="Q69" s="177">
        <f>+'ITAM Sub Budget'!Q92</f>
        <v>0</v>
      </c>
      <c r="R69" s="180">
        <f>+'ITAM Sub Budget'!R92</f>
        <v>59799.866880000001</v>
      </c>
    </row>
    <row r="70" spans="1:19" ht="30.3" thickBot="1" x14ac:dyDescent="0.45">
      <c r="A70" s="287" t="s">
        <v>213</v>
      </c>
      <c r="B70" s="288"/>
      <c r="C70" s="289"/>
      <c r="D70" s="289"/>
      <c r="E70" s="290"/>
      <c r="F70" s="291"/>
      <c r="G70" s="292">
        <f>SUM(G43:G69)</f>
        <v>0</v>
      </c>
      <c r="H70" s="291"/>
      <c r="I70" s="291">
        <f>SUM(I43:I69)</f>
        <v>27892.799999999999</v>
      </c>
      <c r="J70" s="290"/>
      <c r="K70" s="291">
        <f>SUM(K43:K69)</f>
        <v>48072.793600000005</v>
      </c>
      <c r="L70" s="290"/>
      <c r="M70" s="291">
        <f>SUM(M43:M69)</f>
        <v>49995.705344000002</v>
      </c>
      <c r="N70" s="290"/>
      <c r="O70" s="292">
        <f>SUM(O43:O69)</f>
        <v>0</v>
      </c>
      <c r="P70" s="299">
        <f>SUM(P43:P69)</f>
        <v>125961.29894400001</v>
      </c>
      <c r="Q70" s="291">
        <f>SUM(Q43:Q69)</f>
        <v>0</v>
      </c>
      <c r="R70" s="293">
        <f>SUM(R43:R69)</f>
        <v>125961.29894400001</v>
      </c>
    </row>
    <row r="71" spans="1:19" x14ac:dyDescent="0.4">
      <c r="A71" s="92"/>
      <c r="E71" s="176"/>
      <c r="F71" s="177"/>
      <c r="G71" s="178"/>
      <c r="H71" s="177"/>
      <c r="I71" s="177"/>
      <c r="J71" s="176"/>
      <c r="K71" s="177"/>
      <c r="L71" s="176"/>
      <c r="M71" s="177"/>
      <c r="N71" s="176"/>
      <c r="O71" s="177"/>
      <c r="P71" s="179"/>
      <c r="Q71" s="177"/>
      <c r="R71" s="180"/>
    </row>
    <row r="72" spans="1:19" ht="30.3" thickBot="1" x14ac:dyDescent="0.45">
      <c r="A72" s="156" t="s">
        <v>214</v>
      </c>
      <c r="B72" s="153"/>
      <c r="C72" s="153"/>
      <c r="D72" s="153"/>
      <c r="E72" s="197"/>
      <c r="F72" s="198"/>
      <c r="G72" s="199">
        <f>SUM(G36,G42,G70)</f>
        <v>101887.70077220077</v>
      </c>
      <c r="H72" s="198"/>
      <c r="I72" s="199">
        <f>SUM(I36,I42,I70)</f>
        <v>91201.806254826253</v>
      </c>
      <c r="J72" s="198"/>
      <c r="K72" s="199">
        <f>SUM(K36,K42,K70)</f>
        <v>141824.23869652511</v>
      </c>
      <c r="L72" s="198"/>
      <c r="M72" s="199">
        <f>SUM(M36,M42,M70)</f>
        <v>106809.30589627801</v>
      </c>
      <c r="N72" s="198"/>
      <c r="O72" s="199">
        <f>SUM(O36,O42,O70)</f>
        <v>35000</v>
      </c>
      <c r="P72" s="199">
        <f>SUM(P36,P42,P70)</f>
        <v>476723.05161983008</v>
      </c>
      <c r="Q72" s="198">
        <f>SUM(Q36,Q42,Q70)</f>
        <v>0</v>
      </c>
      <c r="R72" s="200">
        <f>SUM(R36,R42,R70)</f>
        <v>476723.05161983008</v>
      </c>
      <c r="S72" s="381">
        <f>R72/'POA General Budget'!U160</f>
        <v>5.3359562613740127E-2</v>
      </c>
    </row>
  </sheetData>
  <autoFilter ref="A9:R36" xr:uid="{00000000-0001-0000-0100-000000000000}"/>
  <mergeCells count="5">
    <mergeCell ref="A1:R1"/>
    <mergeCell ref="A2:R2"/>
    <mergeCell ref="A3:R3"/>
    <mergeCell ref="A4:R4"/>
    <mergeCell ref="A5:B5"/>
  </mergeCells>
  <pageMargins left="0.7" right="0.7" top="0.75" bottom="0.75" header="0.3" footer="0.3"/>
  <pageSetup paperSize="17" scale="96" fitToHeight="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F648-72C7-4835-89AA-0724D2C784EA}">
  <sheetPr>
    <tabColor rgb="FFFFC000"/>
    <pageSetUpPr fitToPage="1"/>
  </sheetPr>
  <dimension ref="A3:G22"/>
  <sheetViews>
    <sheetView topLeftCell="A3" zoomScaleNormal="100" workbookViewId="0">
      <selection activeCell="G21" sqref="G21"/>
    </sheetView>
  </sheetViews>
  <sheetFormatPr defaultColWidth="8.71875" defaultRowHeight="12.6" x14ac:dyDescent="0.45"/>
  <cols>
    <col min="1" max="1" width="41" style="3" bestFit="1" customWidth="1"/>
    <col min="2" max="2" width="13" style="3" bestFit="1" customWidth="1"/>
    <col min="3" max="4" width="12.83203125" style="3" bestFit="1" customWidth="1"/>
    <col min="5" max="5" width="13.71875" style="3" bestFit="1" customWidth="1"/>
    <col min="6" max="6" width="13.5546875" style="3" customWidth="1"/>
    <col min="7" max="7" width="24.44140625" style="3" customWidth="1"/>
    <col min="8" max="16384" width="8.71875" style="3"/>
  </cols>
  <sheetData>
    <row r="3" spans="1:7" ht="16.149999999999999" customHeight="1" x14ac:dyDescent="0.45">
      <c r="A3" s="423" t="s">
        <v>0</v>
      </c>
      <c r="B3" s="423"/>
      <c r="C3" s="423"/>
      <c r="D3" s="423"/>
      <c r="E3" s="423"/>
      <c r="F3" s="423"/>
      <c r="G3" s="423"/>
    </row>
    <row r="4" spans="1:7" ht="15.6" customHeight="1" x14ac:dyDescent="0.45">
      <c r="A4" s="424" t="s">
        <v>1</v>
      </c>
      <c r="B4" s="424"/>
      <c r="C4" s="424"/>
      <c r="D4" s="424"/>
      <c r="E4" s="424"/>
      <c r="F4" s="424"/>
      <c r="G4" s="424"/>
    </row>
    <row r="5" spans="1:7" ht="32.25" customHeight="1" x14ac:dyDescent="0.45">
      <c r="A5" s="425" t="s">
        <v>218</v>
      </c>
      <c r="B5" s="425"/>
      <c r="C5" s="425"/>
      <c r="D5" s="425"/>
      <c r="E5" s="425"/>
      <c r="F5" s="425"/>
      <c r="G5" s="425"/>
    </row>
    <row r="6" spans="1:7" ht="15.6" customHeight="1" x14ac:dyDescent="0.45">
      <c r="A6" s="424" t="s">
        <v>219</v>
      </c>
      <c r="B6" s="424"/>
      <c r="C6" s="424"/>
      <c r="D6" s="424"/>
      <c r="E6" s="424"/>
      <c r="F6" s="424"/>
      <c r="G6" s="424"/>
    </row>
    <row r="7" spans="1:7" ht="12.9" thickBot="1" x14ac:dyDescent="0.5">
      <c r="A7" s="4"/>
      <c r="B7" s="4"/>
      <c r="C7" s="4"/>
      <c r="D7" s="4"/>
      <c r="E7" s="5"/>
      <c r="F7" s="5"/>
    </row>
    <row r="8" spans="1:7" ht="30.3" thickBot="1" x14ac:dyDescent="0.55000000000000004">
      <c r="A8" s="6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19" t="s">
        <v>9</v>
      </c>
    </row>
    <row r="9" spans="1:7" ht="15" x14ac:dyDescent="0.5">
      <c r="A9" s="8"/>
      <c r="B9" s="9"/>
      <c r="C9" s="9"/>
      <c r="D9" s="10"/>
      <c r="E9" s="10"/>
      <c r="F9" s="9"/>
      <c r="G9" s="11"/>
    </row>
    <row r="10" spans="1:7" ht="15.3" x14ac:dyDescent="0.55000000000000004">
      <c r="A10" s="12" t="s">
        <v>10</v>
      </c>
      <c r="B10" s="102">
        <f>+'ITAM Sub Budget'!G14</f>
        <v>51600</v>
      </c>
      <c r="C10" s="102">
        <f>+'ITAM Sub Budget'!I14</f>
        <v>108360</v>
      </c>
      <c r="D10" s="102">
        <f>+'ITAM Sub Budget'!K14</f>
        <v>113778</v>
      </c>
      <c r="E10" s="102">
        <f>+'ITAM Sub Budget'!M14</f>
        <v>119466.9</v>
      </c>
      <c r="F10" s="102">
        <f>+'ITAM Sub Budget'!O14</f>
        <v>0</v>
      </c>
      <c r="G10" s="103">
        <f t="shared" ref="G10:G17" si="0">SUM(B10:F10)</f>
        <v>393204.9</v>
      </c>
    </row>
    <row r="11" spans="1:7" ht="15.3" x14ac:dyDescent="0.55000000000000004">
      <c r="A11" s="12" t="s">
        <v>11</v>
      </c>
      <c r="B11" s="102">
        <f>+'ITAM Sub Budget'!G17</f>
        <v>14504.28</v>
      </c>
      <c r="C11" s="102">
        <f>+'ITAM Sub Budget'!I17</f>
        <v>30458.988000000001</v>
      </c>
      <c r="D11" s="102">
        <f>+'ITAM Sub Budget'!K17</f>
        <v>31981.937400000003</v>
      </c>
      <c r="E11" s="102">
        <f>+'ITAM Sub Budget'!M17</f>
        <v>33581.034270000004</v>
      </c>
      <c r="F11" s="102">
        <f>+'ITAM Sub Budget'!O17</f>
        <v>0</v>
      </c>
      <c r="G11" s="103">
        <f t="shared" si="0"/>
        <v>110526.23967000001</v>
      </c>
    </row>
    <row r="12" spans="1:7" ht="15.3" x14ac:dyDescent="0.55000000000000004">
      <c r="A12" s="12" t="s">
        <v>12</v>
      </c>
      <c r="B12" s="102">
        <f>+'ITAM Sub Budget'!G61</f>
        <v>4088</v>
      </c>
      <c r="C12" s="102">
        <f>+'ITAM Sub Budget'!I61</f>
        <v>8503.0400000000009</v>
      </c>
      <c r="D12" s="102">
        <f>+'ITAM Sub Budget'!K61</f>
        <v>8843.1615999999995</v>
      </c>
      <c r="E12" s="102">
        <f>+'ITAM Sub Budget'!M61</f>
        <v>9196.8880639999988</v>
      </c>
      <c r="F12" s="102">
        <f>+'ITAM Sub Budget'!O61</f>
        <v>0</v>
      </c>
      <c r="G12" s="103">
        <f t="shared" si="0"/>
        <v>30631.089663999999</v>
      </c>
    </row>
    <row r="13" spans="1:7" ht="15.3" x14ac:dyDescent="0.55000000000000004">
      <c r="A13" s="12" t="s">
        <v>13</v>
      </c>
      <c r="B13" s="102">
        <f>+'ITAM Sub Budget'!G64</f>
        <v>0</v>
      </c>
      <c r="C13" s="102">
        <f>+'ITAM Sub Budget'!I64</f>
        <v>0</v>
      </c>
      <c r="D13" s="102">
        <f>+'ITAM Sub Budget'!K64</f>
        <v>0</v>
      </c>
      <c r="E13" s="102">
        <f>+'ITAM Sub Budget'!M64</f>
        <v>0</v>
      </c>
      <c r="F13" s="102">
        <f>+'ITAM Sub Budget'!O64</f>
        <v>0</v>
      </c>
      <c r="G13" s="103">
        <f t="shared" si="0"/>
        <v>0</v>
      </c>
    </row>
    <row r="14" spans="1:7" ht="15.3" x14ac:dyDescent="0.55000000000000004">
      <c r="A14" s="12" t="s">
        <v>14</v>
      </c>
      <c r="B14" s="102">
        <f>+'ITAM Sub Budget'!G67</f>
        <v>0</v>
      </c>
      <c r="C14" s="102">
        <f>+'ITAM Sub Budget'!I67</f>
        <v>0</v>
      </c>
      <c r="D14" s="102">
        <f>+'ITAM Sub Budget'!K67</f>
        <v>0</v>
      </c>
      <c r="E14" s="102">
        <f>+'ITAM Sub Budget'!M67</f>
        <v>0</v>
      </c>
      <c r="F14" s="102">
        <f>+'ITAM Sub Budget'!O67</f>
        <v>0</v>
      </c>
      <c r="G14" s="103">
        <f t="shared" si="0"/>
        <v>0</v>
      </c>
    </row>
    <row r="15" spans="1:7" ht="15.3" x14ac:dyDescent="0.55000000000000004">
      <c r="A15" s="12" t="s">
        <v>15</v>
      </c>
      <c r="B15" s="102">
        <f>+'ITAM Sub Budget'!G93</f>
        <v>131694.29999999999</v>
      </c>
      <c r="C15" s="102">
        <f>+'ITAM Sub Budget'!I93</f>
        <v>680597.63199999998</v>
      </c>
      <c r="D15" s="102">
        <f>+'ITAM Sub Budget'!K93</f>
        <v>592752.70912000013</v>
      </c>
      <c r="E15" s="102">
        <f>+'ITAM Sub Budget'!M93</f>
        <v>378112.90982400003</v>
      </c>
      <c r="F15" s="102">
        <f>+'ITAM Sub Budget'!O93</f>
        <v>0</v>
      </c>
      <c r="G15" s="103">
        <f t="shared" si="0"/>
        <v>1783157.5509440002</v>
      </c>
    </row>
    <row r="16" spans="1:7" ht="15.3" x14ac:dyDescent="0.55000000000000004">
      <c r="A16" s="12" t="s">
        <v>16</v>
      </c>
      <c r="B16" s="102">
        <f>+'ITAM Sub Budget'!G96</f>
        <v>0</v>
      </c>
      <c r="C16" s="102">
        <f>+'ITAM Sub Budget'!I96</f>
        <v>0</v>
      </c>
      <c r="D16" s="102">
        <f>+'ITAM Sub Budget'!K96</f>
        <v>0</v>
      </c>
      <c r="E16" s="102">
        <f>+'ITAM Sub Budget'!M96</f>
        <v>0</v>
      </c>
      <c r="F16" s="102">
        <f>+'ITAM Sub Budget'!O96</f>
        <v>0</v>
      </c>
      <c r="G16" s="103">
        <f t="shared" si="0"/>
        <v>0</v>
      </c>
    </row>
    <row r="17" spans="1:7" ht="15.3" x14ac:dyDescent="0.55000000000000004">
      <c r="A17" s="12" t="s">
        <v>17</v>
      </c>
      <c r="B17" s="102">
        <f>+'ITAM Sub Budget'!G106</f>
        <v>11400</v>
      </c>
      <c r="C17" s="102">
        <f>+'ITAM Sub Budget'!I106</f>
        <v>23712</v>
      </c>
      <c r="D17" s="102">
        <f>+'ITAM Sub Budget'!K106</f>
        <v>24660.48</v>
      </c>
      <c r="E17" s="102">
        <f>+'ITAM Sub Budget'!M106</f>
        <v>12823.449600000004</v>
      </c>
      <c r="F17" s="102">
        <f>+'ITAM Sub Budget'!O106</f>
        <v>0</v>
      </c>
      <c r="G17" s="103">
        <f t="shared" si="0"/>
        <v>72595.929600000003</v>
      </c>
    </row>
    <row r="18" spans="1:7" ht="15.6" thickBot="1" x14ac:dyDescent="0.6">
      <c r="A18" s="12"/>
      <c r="B18" s="102"/>
      <c r="C18" s="102"/>
      <c r="D18" s="102"/>
      <c r="E18" s="102"/>
      <c r="F18" s="102"/>
      <c r="G18" s="104"/>
    </row>
    <row r="19" spans="1:7" ht="15.3" thickBot="1" x14ac:dyDescent="0.55000000000000004">
      <c r="A19" s="13" t="s">
        <v>18</v>
      </c>
      <c r="B19" s="105">
        <f t="shared" ref="B19:G19" si="1">SUM(B10:B17)</f>
        <v>213286.58</v>
      </c>
      <c r="C19" s="105">
        <f t="shared" si="1"/>
        <v>851631.66</v>
      </c>
      <c r="D19" s="105">
        <f t="shared" si="1"/>
        <v>772016.28812000016</v>
      </c>
      <c r="E19" s="105">
        <f t="shared" si="1"/>
        <v>553181.18175800005</v>
      </c>
      <c r="F19" s="105">
        <f t="shared" si="1"/>
        <v>0</v>
      </c>
      <c r="G19" s="106">
        <f t="shared" si="1"/>
        <v>2390115.709878</v>
      </c>
    </row>
    <row r="20" spans="1:7" ht="15.6" thickBot="1" x14ac:dyDescent="0.6">
      <c r="A20" s="12" t="s">
        <v>217</v>
      </c>
      <c r="B20" s="102">
        <f>+B19*0.1</f>
        <v>21328.657999999999</v>
      </c>
      <c r="C20" s="102">
        <f>+C19*0.1</f>
        <v>85163.166000000012</v>
      </c>
      <c r="D20" s="102">
        <f>+D19*0.1</f>
        <v>77201.628812000024</v>
      </c>
      <c r="E20" s="102">
        <f>+E19*0.1</f>
        <v>55318.118175800009</v>
      </c>
      <c r="F20" s="102">
        <f>+F19*0.1</f>
        <v>0</v>
      </c>
      <c r="G20" s="104">
        <f>SUM(B20:F20)</f>
        <v>239011.57098780005</v>
      </c>
    </row>
    <row r="21" spans="1:7" ht="15.3" thickBot="1" x14ac:dyDescent="0.55000000000000004">
      <c r="A21" s="14" t="s">
        <v>20</v>
      </c>
      <c r="B21" s="107">
        <f t="shared" ref="B21:G21" si="2">SUM(B19:B20)</f>
        <v>234615.23799999998</v>
      </c>
      <c r="C21" s="107">
        <f t="shared" si="2"/>
        <v>936794.826</v>
      </c>
      <c r="D21" s="107">
        <f t="shared" si="2"/>
        <v>849217.9169320002</v>
      </c>
      <c r="E21" s="107">
        <f t="shared" si="2"/>
        <v>608499.29993380001</v>
      </c>
      <c r="F21" s="107">
        <f t="shared" si="2"/>
        <v>0</v>
      </c>
      <c r="G21" s="108">
        <f t="shared" si="2"/>
        <v>2629127.2808658001</v>
      </c>
    </row>
    <row r="22" spans="1:7" x14ac:dyDescent="0.45">
      <c r="B22" s="15"/>
    </row>
  </sheetData>
  <mergeCells count="4">
    <mergeCell ref="A3:G3"/>
    <mergeCell ref="A4:G4"/>
    <mergeCell ref="A5:G5"/>
    <mergeCell ref="A6:G6"/>
  </mergeCells>
  <pageMargins left="0.7" right="0.7" top="0.75" bottom="0.75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FA34-7ECE-4CB7-9348-EEE19BBC54C8}">
  <sheetPr>
    <tabColor rgb="FFFFC000"/>
  </sheetPr>
  <dimension ref="A1:R120"/>
  <sheetViews>
    <sheetView zoomScale="70" zoomScaleNormal="70" workbookViewId="0">
      <pane xSplit="4" ySplit="8" topLeftCell="E34" activePane="bottomRight" state="frozen"/>
      <selection pane="topRight" activeCell="A116" sqref="A116:A119"/>
      <selection pane="bottomLeft" activeCell="A116" sqref="A116:A119"/>
      <selection pane="bottomRight" activeCell="A52" sqref="A52"/>
    </sheetView>
  </sheetViews>
  <sheetFormatPr defaultColWidth="11.44140625" defaultRowHeight="15.3" x14ac:dyDescent="0.4"/>
  <cols>
    <col min="1" max="1" width="46.1640625" style="21" customWidth="1"/>
    <col min="2" max="2" width="16.5546875" style="21" customWidth="1"/>
    <col min="3" max="3" width="16.44140625" style="21" customWidth="1"/>
    <col min="4" max="4" width="13.71875" style="21" bestFit="1" customWidth="1"/>
    <col min="5" max="5" width="12.71875" style="21" customWidth="1"/>
    <col min="6" max="6" width="19.71875" style="55" customWidth="1"/>
    <col min="7" max="7" width="12.44140625" style="56" customWidth="1"/>
    <col min="8" max="8" width="12.71875" style="56" customWidth="1"/>
    <col min="9" max="9" width="12.44140625" style="56" customWidth="1"/>
    <col min="10" max="10" width="12.71875" style="56" customWidth="1"/>
    <col min="11" max="11" width="16.27734375" style="56" customWidth="1"/>
    <col min="12" max="12" width="12.83203125" style="56" customWidth="1"/>
    <col min="13" max="13" width="12.44140625" style="56" customWidth="1"/>
    <col min="14" max="14" width="12.83203125" style="56" customWidth="1"/>
    <col min="15" max="15" width="12.44140625" style="56" customWidth="1"/>
    <col min="16" max="16" width="19.71875" style="78" customWidth="1"/>
    <col min="17" max="17" width="24.27734375" style="56" customWidth="1"/>
    <col min="18" max="18" width="21.1640625" style="78" customWidth="1"/>
    <col min="19" max="16384" width="11.44140625" style="33"/>
  </cols>
  <sheetData>
    <row r="1" spans="1:18" ht="16.149999999999999" customHeight="1" x14ac:dyDescent="0.4">
      <c r="A1" s="423" t="s">
        <v>220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</row>
    <row r="2" spans="1:18" ht="15.6" customHeight="1" x14ac:dyDescent="0.4">
      <c r="A2" s="426" t="s">
        <v>269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</row>
    <row r="3" spans="1:18" ht="15.6" customHeight="1" x14ac:dyDescent="0.4">
      <c r="A3" s="424" t="s">
        <v>270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</row>
    <row r="4" spans="1:18" ht="15.6" customHeight="1" x14ac:dyDescent="0.4">
      <c r="A4" s="427" t="s">
        <v>221</v>
      </c>
      <c r="B4" s="42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 x14ac:dyDescent="0.4">
      <c r="A5" s="17" t="s">
        <v>348</v>
      </c>
      <c r="B5" s="18">
        <v>1.04</v>
      </c>
      <c r="C5" s="37"/>
      <c r="D5" s="38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18" x14ac:dyDescent="0.4">
      <c r="A6" s="17" t="s">
        <v>222</v>
      </c>
      <c r="B6" s="18">
        <v>1.05</v>
      </c>
      <c r="C6" s="37"/>
      <c r="D6" s="53"/>
      <c r="E6" s="37"/>
      <c r="F6" s="37"/>
      <c r="G6" s="29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spans="1:18" ht="15.6" thickBot="1" x14ac:dyDescent="0.45">
      <c r="B7" s="256"/>
      <c r="C7" s="257"/>
      <c r="D7" s="53"/>
      <c r="H7" s="57"/>
      <c r="K7" s="57"/>
      <c r="P7" s="56"/>
      <c r="Q7" s="57"/>
      <c r="R7" s="56"/>
    </row>
    <row r="8" spans="1:18" ht="30.3" thickBot="1" x14ac:dyDescent="0.45">
      <c r="A8" s="125" t="s">
        <v>223</v>
      </c>
      <c r="B8" s="126" t="s">
        <v>26</v>
      </c>
      <c r="C8" s="43" t="s">
        <v>224</v>
      </c>
      <c r="D8" s="127" t="s">
        <v>225</v>
      </c>
      <c r="E8" s="44" t="s">
        <v>226</v>
      </c>
      <c r="F8" s="51" t="s">
        <v>30</v>
      </c>
      <c r="G8" s="46" t="s">
        <v>227</v>
      </c>
      <c r="H8" s="47" t="s">
        <v>29</v>
      </c>
      <c r="I8" s="48" t="s">
        <v>228</v>
      </c>
      <c r="J8" s="49" t="s">
        <v>29</v>
      </c>
      <c r="K8" s="128" t="s">
        <v>229</v>
      </c>
      <c r="L8" s="49" t="s">
        <v>29</v>
      </c>
      <c r="M8" s="48" t="s">
        <v>34</v>
      </c>
      <c r="N8" s="49" t="s">
        <v>29</v>
      </c>
      <c r="O8" s="46" t="s">
        <v>35</v>
      </c>
      <c r="P8" s="50" t="s">
        <v>230</v>
      </c>
      <c r="Q8" s="51" t="s">
        <v>231</v>
      </c>
      <c r="R8" s="129" t="s">
        <v>38</v>
      </c>
    </row>
    <row r="9" spans="1:18" x14ac:dyDescent="0.4">
      <c r="A9" s="32" t="s">
        <v>39</v>
      </c>
      <c r="B9" s="16"/>
      <c r="C9" s="16"/>
      <c r="D9" s="16"/>
      <c r="E9" s="58"/>
      <c r="F9" s="59"/>
      <c r="G9" s="60"/>
      <c r="H9" s="61"/>
      <c r="I9" s="61"/>
      <c r="J9" s="62"/>
      <c r="K9" s="61"/>
      <c r="L9" s="62"/>
      <c r="M9" s="61"/>
      <c r="N9" s="62"/>
      <c r="O9" s="60"/>
      <c r="P9" s="63"/>
      <c r="Q9" s="61"/>
      <c r="R9" s="64"/>
    </row>
    <row r="10" spans="1:18" x14ac:dyDescent="0.4">
      <c r="A10" s="139" t="s">
        <v>232</v>
      </c>
      <c r="B10" s="146"/>
      <c r="C10" s="65"/>
      <c r="D10" s="73"/>
      <c r="E10" s="333"/>
      <c r="F10" s="182"/>
      <c r="G10" s="334"/>
      <c r="H10" s="335"/>
      <c r="I10" s="335"/>
      <c r="J10" s="333"/>
      <c r="K10" s="335"/>
      <c r="L10" s="333"/>
      <c r="M10" s="335"/>
      <c r="N10" s="333"/>
      <c r="O10" s="334"/>
      <c r="P10" s="336"/>
      <c r="Q10" s="335"/>
      <c r="R10" s="337"/>
    </row>
    <row r="11" spans="1:18" x14ac:dyDescent="0.4">
      <c r="A11" s="130" t="s">
        <v>271</v>
      </c>
      <c r="B11" s="21" t="s">
        <v>42</v>
      </c>
      <c r="C11" s="258">
        <v>0.2</v>
      </c>
      <c r="D11" s="27" t="s">
        <v>43</v>
      </c>
      <c r="E11" s="176">
        <v>6</v>
      </c>
      <c r="F11" s="177">
        <v>12000</v>
      </c>
      <c r="G11" s="178">
        <f>F11*$E11*$C11</f>
        <v>14400</v>
      </c>
      <c r="H11" s="177">
        <v>12</v>
      </c>
      <c r="I11" s="178">
        <f>H11*$F11*$C11*$B$6</f>
        <v>30240</v>
      </c>
      <c r="J11" s="176">
        <v>12</v>
      </c>
      <c r="K11" s="178">
        <f>J11*$F11*$C11*$B$6*$B$6</f>
        <v>31752</v>
      </c>
      <c r="L11" s="176">
        <v>12</v>
      </c>
      <c r="M11" s="178">
        <f>L11*$F11*$C11*$B$6*$B$6*$B$6</f>
        <v>33339.599999999999</v>
      </c>
      <c r="N11" s="176"/>
      <c r="O11" s="178">
        <f>N11*$F11*$B$6*$B$6*$B$6*$B$6*20%</f>
        <v>0</v>
      </c>
      <c r="P11" s="179">
        <f>SUM(G11,I11,K11,M11,O11)</f>
        <v>109731.6</v>
      </c>
      <c r="Q11" s="177">
        <v>0</v>
      </c>
      <c r="R11" s="180">
        <f>SUM(P11:Q11)</f>
        <v>109731.6</v>
      </c>
    </row>
    <row r="12" spans="1:18" x14ac:dyDescent="0.4">
      <c r="A12" s="131" t="s">
        <v>51</v>
      </c>
      <c r="B12" s="21" t="s">
        <v>42</v>
      </c>
      <c r="C12" s="258">
        <v>1</v>
      </c>
      <c r="D12" s="27" t="s">
        <v>43</v>
      </c>
      <c r="E12" s="176">
        <v>6</v>
      </c>
      <c r="F12" s="177">
        <v>2900</v>
      </c>
      <c r="G12" s="178">
        <f>F12*$E12*C12</f>
        <v>17400</v>
      </c>
      <c r="H12" s="177">
        <v>12</v>
      </c>
      <c r="I12" s="177">
        <f>H12*$F12*$C12*$B$6</f>
        <v>36540</v>
      </c>
      <c r="J12" s="176">
        <v>12</v>
      </c>
      <c r="K12" s="178">
        <f>J12*$F12*$C12*$B$6*$B$6</f>
        <v>38367</v>
      </c>
      <c r="L12" s="176">
        <v>12</v>
      </c>
      <c r="M12" s="178">
        <f>L12*$F12*$C12*$B$6*$B$6*$B$6</f>
        <v>40285.35</v>
      </c>
      <c r="N12" s="176"/>
      <c r="O12" s="178">
        <f>N12*$F12*$C12*$B$6*$B$6*$B$6*$B$6</f>
        <v>0</v>
      </c>
      <c r="P12" s="179">
        <f>SUM(G12,I12,K12,M12,O12)</f>
        <v>132592.35</v>
      </c>
      <c r="Q12" s="177">
        <v>0</v>
      </c>
      <c r="R12" s="180">
        <f>SUM(P12:Q12)</f>
        <v>132592.35</v>
      </c>
    </row>
    <row r="13" spans="1:18" x14ac:dyDescent="0.4">
      <c r="A13" s="131" t="s">
        <v>272</v>
      </c>
      <c r="B13" s="21" t="s">
        <v>42</v>
      </c>
      <c r="C13" s="258">
        <v>1</v>
      </c>
      <c r="D13" s="27" t="s">
        <v>43</v>
      </c>
      <c r="E13" s="176">
        <v>6</v>
      </c>
      <c r="F13" s="177">
        <v>3300</v>
      </c>
      <c r="G13" s="178">
        <f>F13*$E13*C13</f>
        <v>19800</v>
      </c>
      <c r="H13" s="177">
        <v>12</v>
      </c>
      <c r="I13" s="177">
        <f>H13*$F13*$C13*$B$6</f>
        <v>41580</v>
      </c>
      <c r="J13" s="176">
        <v>12</v>
      </c>
      <c r="K13" s="178">
        <f>J13*$F13*$C13*$B$6*$B$6</f>
        <v>43659</v>
      </c>
      <c r="L13" s="176">
        <v>12</v>
      </c>
      <c r="M13" s="178">
        <f>L13*$F13*$C13*$B$6*$B$6*$B$6</f>
        <v>45841.950000000004</v>
      </c>
      <c r="N13" s="176"/>
      <c r="O13" s="178">
        <f>N13*$F13*$C13*$B$6*$B$6*$B$6*$B$6</f>
        <v>0</v>
      </c>
      <c r="P13" s="179">
        <f>SUM(G13,I13,K13,M13,O13)</f>
        <v>150880.95000000001</v>
      </c>
      <c r="Q13" s="177">
        <v>0</v>
      </c>
      <c r="R13" s="180">
        <f>SUM(P13:Q13)</f>
        <v>150880.95000000001</v>
      </c>
    </row>
    <row r="14" spans="1:18" ht="15.6" thickBot="1" x14ac:dyDescent="0.45">
      <c r="A14" s="262" t="s">
        <v>236</v>
      </c>
      <c r="B14" s="153"/>
      <c r="C14" s="155"/>
      <c r="D14" s="260"/>
      <c r="E14" s="197"/>
      <c r="F14" s="198"/>
      <c r="G14" s="199">
        <f>SUM(G11:G13)</f>
        <v>51600</v>
      </c>
      <c r="H14" s="198"/>
      <c r="I14" s="199">
        <f>SUM(I11:I13)</f>
        <v>108360</v>
      </c>
      <c r="J14" s="197"/>
      <c r="K14" s="199">
        <f>SUM(K11:K13)</f>
        <v>113778</v>
      </c>
      <c r="L14" s="197"/>
      <c r="M14" s="199">
        <f>SUM(M11:M13)</f>
        <v>119466.9</v>
      </c>
      <c r="N14" s="197"/>
      <c r="O14" s="199">
        <f>SUM(O11:O13)</f>
        <v>0</v>
      </c>
      <c r="P14" s="199">
        <f>SUM(P11:P13)</f>
        <v>393204.9</v>
      </c>
      <c r="Q14" s="198">
        <f>SUM(Q11:Q13)</f>
        <v>0</v>
      </c>
      <c r="R14" s="200">
        <f>SUM(R11:R13)</f>
        <v>393204.9</v>
      </c>
    </row>
    <row r="15" spans="1:18" x14ac:dyDescent="0.4">
      <c r="A15" s="31" t="s">
        <v>237</v>
      </c>
      <c r="B15" s="16"/>
      <c r="C15" s="16"/>
      <c r="D15" s="16"/>
      <c r="E15" s="188"/>
      <c r="F15" s="189"/>
      <c r="G15" s="309"/>
      <c r="H15" s="310"/>
      <c r="I15" s="310"/>
      <c r="J15" s="311"/>
      <c r="K15" s="310"/>
      <c r="L15" s="311"/>
      <c r="M15" s="310"/>
      <c r="N15" s="311"/>
      <c r="O15" s="309"/>
      <c r="P15" s="210"/>
      <c r="Q15" s="310"/>
      <c r="R15" s="211"/>
    </row>
    <row r="16" spans="1:18" x14ac:dyDescent="0.4">
      <c r="A16" s="276" t="s">
        <v>238</v>
      </c>
      <c r="B16" s="21" t="s">
        <v>56</v>
      </c>
      <c r="C16" s="22"/>
      <c r="D16" s="27" t="s">
        <v>43</v>
      </c>
      <c r="E16" s="176"/>
      <c r="F16" s="259">
        <v>0.38990000000000002</v>
      </c>
      <c r="G16" s="178">
        <f>SUM(G12:G13)*F16</f>
        <v>14504.28</v>
      </c>
      <c r="H16" s="259">
        <f>+F16</f>
        <v>0.38990000000000002</v>
      </c>
      <c r="I16" s="178">
        <f>SUM(I12:I13)*H16</f>
        <v>30458.988000000001</v>
      </c>
      <c r="J16" s="259">
        <f>+H16</f>
        <v>0.38990000000000002</v>
      </c>
      <c r="K16" s="178">
        <f>SUM(K12:K13)*J16</f>
        <v>31981.937400000003</v>
      </c>
      <c r="L16" s="259">
        <f>+J16</f>
        <v>0.38990000000000002</v>
      </c>
      <c r="M16" s="178">
        <f>SUM(M12:M13)*L16</f>
        <v>33581.034270000004</v>
      </c>
      <c r="N16" s="259">
        <f>+L16</f>
        <v>0.38990000000000002</v>
      </c>
      <c r="O16" s="178">
        <f>SUM(O11:O13)*N16</f>
        <v>0</v>
      </c>
      <c r="P16" s="179">
        <f>SUM(G16,I16,K16,M16,O16)</f>
        <v>110526.23967000001</v>
      </c>
      <c r="Q16" s="177">
        <v>0</v>
      </c>
      <c r="R16" s="180">
        <f>SUM(P16:Q16)</f>
        <v>110526.23967000001</v>
      </c>
    </row>
    <row r="17" spans="1:18" ht="15.6" thickBot="1" x14ac:dyDescent="0.45">
      <c r="A17" s="156" t="s">
        <v>239</v>
      </c>
      <c r="B17" s="153"/>
      <c r="C17" s="153"/>
      <c r="D17" s="154"/>
      <c r="E17" s="197"/>
      <c r="F17" s="198"/>
      <c r="G17" s="199">
        <f>SUM(G16:G16)</f>
        <v>14504.28</v>
      </c>
      <c r="H17" s="198"/>
      <c r="I17" s="198">
        <f>SUM(I16:I16)</f>
        <v>30458.988000000001</v>
      </c>
      <c r="J17" s="197"/>
      <c r="K17" s="198">
        <f>SUM(K16:K16)</f>
        <v>31981.937400000003</v>
      </c>
      <c r="L17" s="197"/>
      <c r="M17" s="198">
        <f>SUM(M16:M16)</f>
        <v>33581.034270000004</v>
      </c>
      <c r="N17" s="197"/>
      <c r="O17" s="199">
        <f>SUM(O16:O16)</f>
        <v>0</v>
      </c>
      <c r="P17" s="308">
        <f>SUM(P16:P16)</f>
        <v>110526.23967000001</v>
      </c>
      <c r="Q17" s="198">
        <f>SUM(Q16:Q16)</f>
        <v>0</v>
      </c>
      <c r="R17" s="200">
        <f>SUM(R16:R16)</f>
        <v>110526.23967000001</v>
      </c>
    </row>
    <row r="18" spans="1:18" x14ac:dyDescent="0.4">
      <c r="A18" s="32" t="s">
        <v>60</v>
      </c>
      <c r="B18" s="16"/>
      <c r="C18" s="16"/>
      <c r="D18" s="109"/>
      <c r="E18" s="207"/>
      <c r="F18" s="208"/>
      <c r="G18" s="209"/>
      <c r="H18" s="208"/>
      <c r="I18" s="208"/>
      <c r="J18" s="207"/>
      <c r="K18" s="208"/>
      <c r="L18" s="207"/>
      <c r="M18" s="208"/>
      <c r="N18" s="207"/>
      <c r="O18" s="209"/>
      <c r="P18" s="210"/>
      <c r="Q18" s="208"/>
      <c r="R18" s="211"/>
    </row>
    <row r="19" spans="1:18" x14ac:dyDescent="0.4">
      <c r="A19" s="175" t="s">
        <v>273</v>
      </c>
      <c r="B19" s="90"/>
      <c r="C19" s="119"/>
      <c r="D19" s="119"/>
      <c r="E19" s="217"/>
      <c r="F19" s="218"/>
      <c r="G19" s="219"/>
      <c r="H19" s="218"/>
      <c r="I19" s="219"/>
      <c r="J19" s="218"/>
      <c r="K19" s="219"/>
      <c r="L19" s="218"/>
      <c r="M19" s="219"/>
      <c r="N19" s="217"/>
      <c r="O19" s="219"/>
      <c r="P19" s="220"/>
      <c r="Q19" s="218"/>
      <c r="R19" s="221"/>
    </row>
    <row r="20" spans="1:18" x14ac:dyDescent="0.4">
      <c r="A20" s="149" t="s">
        <v>350</v>
      </c>
      <c r="B20" s="150"/>
      <c r="C20" s="150"/>
      <c r="D20" s="85"/>
      <c r="E20" s="217"/>
      <c r="F20" s="218"/>
      <c r="G20" s="219"/>
      <c r="H20" s="218"/>
      <c r="I20" s="218"/>
      <c r="J20" s="217"/>
      <c r="K20" s="218"/>
      <c r="L20" s="217"/>
      <c r="M20" s="218"/>
      <c r="N20" s="217"/>
      <c r="O20" s="219"/>
      <c r="P20" s="220"/>
      <c r="Q20" s="218"/>
      <c r="R20" s="221"/>
    </row>
    <row r="21" spans="1:18" x14ac:dyDescent="0.4">
      <c r="A21" s="92" t="s">
        <v>202</v>
      </c>
      <c r="B21" s="21" t="s">
        <v>60</v>
      </c>
      <c r="C21" s="258">
        <v>1</v>
      </c>
      <c r="D21" s="21" t="s">
        <v>203</v>
      </c>
      <c r="E21" s="176">
        <v>2</v>
      </c>
      <c r="F21" s="177">
        <v>182</v>
      </c>
      <c r="G21" s="178">
        <f>F21*$E21*C21</f>
        <v>364</v>
      </c>
      <c r="H21" s="176">
        <f>2*2</f>
        <v>4</v>
      </c>
      <c r="I21" s="177">
        <f>H21*$F21*$C21*$B$5</f>
        <v>757.12</v>
      </c>
      <c r="J21" s="176"/>
      <c r="K21" s="177">
        <f>J21*$F21*$C21*$B$5*$B$5</f>
        <v>0</v>
      </c>
      <c r="L21" s="176"/>
      <c r="M21" s="177">
        <f>L21*$F21*$C21*$B$5*$B$5*$B$5</f>
        <v>0</v>
      </c>
      <c r="N21" s="176">
        <v>0</v>
      </c>
      <c r="O21" s="177">
        <f>N21*$F21*$C21*$B$5*$B$5*$B$5*$B$5</f>
        <v>0</v>
      </c>
      <c r="P21" s="179">
        <f>SUM(G21,I21,K21,M21,O21)</f>
        <v>1121.1199999999999</v>
      </c>
      <c r="Q21" s="177">
        <v>0</v>
      </c>
      <c r="R21" s="180">
        <f>SUM(P21:Q21)</f>
        <v>1121.1199999999999</v>
      </c>
    </row>
    <row r="22" spans="1:18" x14ac:dyDescent="0.4">
      <c r="A22" s="92" t="s">
        <v>204</v>
      </c>
      <c r="B22" s="21" t="s">
        <v>60</v>
      </c>
      <c r="C22" s="258">
        <v>1</v>
      </c>
      <c r="D22" s="21" t="s">
        <v>65</v>
      </c>
      <c r="E22" s="176">
        <v>2</v>
      </c>
      <c r="F22" s="177">
        <v>116</v>
      </c>
      <c r="G22" s="178">
        <f>F22*$E22*C22</f>
        <v>232</v>
      </c>
      <c r="H22" s="176">
        <f>2*2</f>
        <v>4</v>
      </c>
      <c r="I22" s="177">
        <f>H22*$F22*$C22*$B$5</f>
        <v>482.56</v>
      </c>
      <c r="J22" s="176"/>
      <c r="K22" s="177">
        <f>J22*$F22*$C22*$B$5*$B$5</f>
        <v>0</v>
      </c>
      <c r="L22" s="176"/>
      <c r="M22" s="177">
        <f>L22*$F22*$C22*$B$5*$B$5*$B$5</f>
        <v>0</v>
      </c>
      <c r="N22" s="176"/>
      <c r="O22" s="177">
        <f>N22*$F22*$C22*$B$5*$B$5*$B$5*$B$5</f>
        <v>0</v>
      </c>
      <c r="P22" s="179">
        <f>SUM(G22,I22,K22,M22,O22)</f>
        <v>714.56</v>
      </c>
      <c r="Q22" s="177">
        <v>0</v>
      </c>
      <c r="R22" s="180">
        <f>SUM(P22:Q22)</f>
        <v>714.56</v>
      </c>
    </row>
    <row r="23" spans="1:18" x14ac:dyDescent="0.4">
      <c r="A23" s="92" t="s">
        <v>205</v>
      </c>
      <c r="B23" s="21" t="s">
        <v>60</v>
      </c>
      <c r="C23" s="258">
        <v>1</v>
      </c>
      <c r="D23" s="21" t="s">
        <v>65</v>
      </c>
      <c r="E23" s="176">
        <v>1</v>
      </c>
      <c r="F23" s="177">
        <v>50</v>
      </c>
      <c r="G23" s="178">
        <f>F23*$E23*C23</f>
        <v>50</v>
      </c>
      <c r="H23" s="176">
        <f>2*1</f>
        <v>2</v>
      </c>
      <c r="I23" s="177">
        <f>H23*$F23*$C23*$B$5</f>
        <v>104</v>
      </c>
      <c r="J23" s="176"/>
      <c r="K23" s="177">
        <f>J23*$F23*$C23*$B$5*$B$5</f>
        <v>0</v>
      </c>
      <c r="L23" s="176"/>
      <c r="M23" s="177">
        <f>L23*$F23*$C23*$B$5*$B$5*$B$5</f>
        <v>0</v>
      </c>
      <c r="N23" s="176">
        <v>0</v>
      </c>
      <c r="O23" s="177">
        <f>N23*$F23*$C23*$B$5*$B$5*$B$5*$B$5</f>
        <v>0</v>
      </c>
      <c r="P23" s="179">
        <f>SUM(G23,I23,K23,M23,O23)</f>
        <v>154</v>
      </c>
      <c r="Q23" s="177">
        <v>0</v>
      </c>
      <c r="R23" s="180">
        <f>SUM(P23:Q23)</f>
        <v>154</v>
      </c>
    </row>
    <row r="24" spans="1:18" x14ac:dyDescent="0.4">
      <c r="A24" s="92" t="s">
        <v>77</v>
      </c>
      <c r="B24" s="21" t="s">
        <v>60</v>
      </c>
      <c r="C24" s="258">
        <v>1</v>
      </c>
      <c r="D24" s="21" t="s">
        <v>63</v>
      </c>
      <c r="E24" s="176">
        <v>1</v>
      </c>
      <c r="F24" s="177">
        <v>500</v>
      </c>
      <c r="G24" s="178">
        <f>F24*$E24*C24</f>
        <v>500</v>
      </c>
      <c r="H24" s="176">
        <f>1*2</f>
        <v>2</v>
      </c>
      <c r="I24" s="177">
        <f>H24*$F24*$C24*$B$5</f>
        <v>1040</v>
      </c>
      <c r="J24" s="176"/>
      <c r="K24" s="177">
        <f>J24*$F24*$C24*$B$5*$B$5</f>
        <v>0</v>
      </c>
      <c r="L24" s="176"/>
      <c r="M24" s="177">
        <f>L24*$F24*$C24*$B$5*$B$5*$B$5</f>
        <v>0</v>
      </c>
      <c r="N24" s="176">
        <v>0</v>
      </c>
      <c r="O24" s="177">
        <f>N24*$F24*$C24*$B$5*$B$5*$B$5*$B$5</f>
        <v>0</v>
      </c>
      <c r="P24" s="179">
        <f>SUM(G24,I24,K24,M24,O24)</f>
        <v>1540</v>
      </c>
      <c r="Q24" s="177">
        <v>0</v>
      </c>
      <c r="R24" s="180">
        <f>SUM(P24:Q24)</f>
        <v>1540</v>
      </c>
    </row>
    <row r="25" spans="1:18" x14ac:dyDescent="0.4">
      <c r="A25" s="149" t="s">
        <v>349</v>
      </c>
      <c r="B25" s="150"/>
      <c r="C25" s="150"/>
      <c r="D25" s="85"/>
      <c r="E25" s="217"/>
      <c r="F25" s="218"/>
      <c r="G25" s="219"/>
      <c r="H25" s="218"/>
      <c r="I25" s="218"/>
      <c r="J25" s="217"/>
      <c r="K25" s="218"/>
      <c r="L25" s="217"/>
      <c r="M25" s="218"/>
      <c r="N25" s="217"/>
      <c r="O25" s="219"/>
      <c r="P25" s="220"/>
      <c r="Q25" s="218"/>
      <c r="R25" s="221"/>
    </row>
    <row r="26" spans="1:18" x14ac:dyDescent="0.4">
      <c r="A26" s="92" t="s">
        <v>202</v>
      </c>
      <c r="B26" s="21" t="s">
        <v>60</v>
      </c>
      <c r="C26" s="258">
        <v>1</v>
      </c>
      <c r="D26" s="21" t="s">
        <v>203</v>
      </c>
      <c r="E26" s="176">
        <v>2</v>
      </c>
      <c r="F26" s="177">
        <v>241</v>
      </c>
      <c r="G26" s="178">
        <f>F26*$E26*C26</f>
        <v>482</v>
      </c>
      <c r="H26" s="176">
        <f>2*2</f>
        <v>4</v>
      </c>
      <c r="I26" s="177">
        <f>H26*$F26*$C26*$B$5</f>
        <v>1002.5600000000001</v>
      </c>
      <c r="J26" s="176"/>
      <c r="K26" s="177">
        <f>J26*$F26*$C26*$B$5*$B$5</f>
        <v>0</v>
      </c>
      <c r="L26" s="176"/>
      <c r="M26" s="177">
        <f>L26*$F26*$C26*$B$5*$B$5*$B$5</f>
        <v>0</v>
      </c>
      <c r="N26" s="176">
        <v>0</v>
      </c>
      <c r="O26" s="177">
        <f>N26*$F26*$C26*$B$5*$B$5*$B$5*$B$5</f>
        <v>0</v>
      </c>
      <c r="P26" s="179">
        <f>SUM(G26,I26,K26,M26,O26)</f>
        <v>1484.56</v>
      </c>
      <c r="Q26" s="177">
        <v>0</v>
      </c>
      <c r="R26" s="180">
        <f>SUM(P26:Q26)</f>
        <v>1484.56</v>
      </c>
    </row>
    <row r="27" spans="1:18" x14ac:dyDescent="0.4">
      <c r="A27" s="92" t="s">
        <v>204</v>
      </c>
      <c r="B27" s="21" t="s">
        <v>60</v>
      </c>
      <c r="C27" s="258">
        <v>1</v>
      </c>
      <c r="D27" s="21" t="s">
        <v>65</v>
      </c>
      <c r="E27" s="176">
        <v>2</v>
      </c>
      <c r="F27" s="177">
        <v>121</v>
      </c>
      <c r="G27" s="178">
        <f>F27*$E27*C27</f>
        <v>242</v>
      </c>
      <c r="H27" s="176">
        <f>2*2</f>
        <v>4</v>
      </c>
      <c r="I27" s="177">
        <f>H27*$F27*$C27*$B$5</f>
        <v>503.36</v>
      </c>
      <c r="J27" s="176"/>
      <c r="K27" s="177">
        <f>J27*$F27*$C27*$B$5*$B$5</f>
        <v>0</v>
      </c>
      <c r="L27" s="176"/>
      <c r="M27" s="177">
        <f>L27*$F27*$C27*$B$5*$B$5*$B$5</f>
        <v>0</v>
      </c>
      <c r="N27" s="176"/>
      <c r="O27" s="177">
        <f>N27*$F27*$C27*$B$5*$B$5*$B$5*$B$5</f>
        <v>0</v>
      </c>
      <c r="P27" s="179">
        <f>SUM(G27,I27,K27,M27,O27)</f>
        <v>745.36</v>
      </c>
      <c r="Q27" s="177">
        <v>0</v>
      </c>
      <c r="R27" s="180">
        <f>SUM(P27:Q27)</f>
        <v>745.36</v>
      </c>
    </row>
    <row r="28" spans="1:18" x14ac:dyDescent="0.4">
      <c r="A28" s="92" t="s">
        <v>205</v>
      </c>
      <c r="B28" s="21" t="s">
        <v>60</v>
      </c>
      <c r="C28" s="258">
        <v>1</v>
      </c>
      <c r="D28" s="21" t="s">
        <v>65</v>
      </c>
      <c r="E28" s="176">
        <v>1</v>
      </c>
      <c r="F28" s="177">
        <v>50</v>
      </c>
      <c r="G28" s="178">
        <f>F28*$E28*C28</f>
        <v>50</v>
      </c>
      <c r="H28" s="176">
        <f>2*1</f>
        <v>2</v>
      </c>
      <c r="I28" s="177">
        <f>H28*$F28*$C28*$B$5</f>
        <v>104</v>
      </c>
      <c r="J28" s="176"/>
      <c r="K28" s="177">
        <f>J28*$F28*$C28*$B$5*$B$5</f>
        <v>0</v>
      </c>
      <c r="L28" s="176"/>
      <c r="M28" s="177">
        <f>L28*$F28*$C28*$B$5*$B$5*$B$5</f>
        <v>0</v>
      </c>
      <c r="N28" s="176">
        <v>0</v>
      </c>
      <c r="O28" s="177">
        <f>N28*$F28*$C28*$B$5*$B$5*$B$5*$B$5</f>
        <v>0</v>
      </c>
      <c r="P28" s="179">
        <f>SUM(G28,I28,K28,M28,O28)</f>
        <v>154</v>
      </c>
      <c r="Q28" s="177">
        <v>0</v>
      </c>
      <c r="R28" s="180">
        <f>SUM(P28:Q28)</f>
        <v>154</v>
      </c>
    </row>
    <row r="29" spans="1:18" x14ac:dyDescent="0.4">
      <c r="A29" s="92" t="s">
        <v>77</v>
      </c>
      <c r="B29" s="21" t="s">
        <v>60</v>
      </c>
      <c r="C29" s="258">
        <v>1</v>
      </c>
      <c r="D29" s="21" t="s">
        <v>63</v>
      </c>
      <c r="E29" s="176">
        <v>1</v>
      </c>
      <c r="F29" s="177">
        <v>300</v>
      </c>
      <c r="G29" s="178">
        <f>F29*$E29*C29</f>
        <v>300</v>
      </c>
      <c r="H29" s="176">
        <f>1*2</f>
        <v>2</v>
      </c>
      <c r="I29" s="177">
        <f>H29*$F29*$C29*$B$5</f>
        <v>624</v>
      </c>
      <c r="J29" s="176"/>
      <c r="K29" s="177">
        <f>J29*$F29*$C29*$B$5*$B$5</f>
        <v>0</v>
      </c>
      <c r="L29" s="176"/>
      <c r="M29" s="177">
        <f>L29*$F29*$C29*$B$5*$B$5*$B$5</f>
        <v>0</v>
      </c>
      <c r="N29" s="176">
        <v>0</v>
      </c>
      <c r="O29" s="177">
        <f>N29*$F29*$C29*$B$5*$B$5*$B$5*$B$5</f>
        <v>0</v>
      </c>
      <c r="P29" s="179">
        <f>SUM(G29,I29,K29,M29,O29)</f>
        <v>924</v>
      </c>
      <c r="Q29" s="177">
        <v>0</v>
      </c>
      <c r="R29" s="180">
        <f>SUM(P29:Q29)</f>
        <v>924</v>
      </c>
    </row>
    <row r="30" spans="1:18" x14ac:dyDescent="0.4">
      <c r="A30" s="149" t="s">
        <v>351</v>
      </c>
      <c r="B30" s="150"/>
      <c r="C30" s="150"/>
      <c r="D30" s="85"/>
      <c r="E30" s="217"/>
      <c r="F30" s="218"/>
      <c r="G30" s="219"/>
      <c r="H30" s="218"/>
      <c r="I30" s="218"/>
      <c r="J30" s="217"/>
      <c r="K30" s="218"/>
      <c r="L30" s="217"/>
      <c r="M30" s="218"/>
      <c r="N30" s="217"/>
      <c r="O30" s="219"/>
      <c r="P30" s="220"/>
      <c r="Q30" s="218"/>
      <c r="R30" s="221"/>
    </row>
    <row r="31" spans="1:18" x14ac:dyDescent="0.4">
      <c r="A31" s="92" t="s">
        <v>202</v>
      </c>
      <c r="B31" s="21" t="s">
        <v>60</v>
      </c>
      <c r="C31" s="258">
        <v>1</v>
      </c>
      <c r="D31" s="21" t="s">
        <v>203</v>
      </c>
      <c r="E31" s="176">
        <v>2</v>
      </c>
      <c r="F31" s="177">
        <v>141</v>
      </c>
      <c r="G31" s="178">
        <f>F31*$E31*C31</f>
        <v>282</v>
      </c>
      <c r="H31" s="176">
        <f>2*2</f>
        <v>4</v>
      </c>
      <c r="I31" s="177">
        <f>H31*$F31*$C31*$B$5</f>
        <v>586.56000000000006</v>
      </c>
      <c r="J31" s="176"/>
      <c r="K31" s="177">
        <f>J31*$F31*$C31*$B$5*$B$5</f>
        <v>0</v>
      </c>
      <c r="L31" s="176"/>
      <c r="M31" s="177">
        <f>L31*$F31*$C31*$B$5*$B$5*$B$5</f>
        <v>0</v>
      </c>
      <c r="N31" s="176">
        <v>0</v>
      </c>
      <c r="O31" s="177">
        <f>N31*$F31*$C31*$B$5*$B$5*$B$5*$B$5</f>
        <v>0</v>
      </c>
      <c r="P31" s="179">
        <f>SUM(G31,I31,K31,M31,O31)</f>
        <v>868.56000000000006</v>
      </c>
      <c r="Q31" s="177">
        <v>0</v>
      </c>
      <c r="R31" s="180">
        <f>SUM(P31:Q31)</f>
        <v>868.56000000000006</v>
      </c>
    </row>
    <row r="32" spans="1:18" x14ac:dyDescent="0.4">
      <c r="A32" s="92" t="s">
        <v>204</v>
      </c>
      <c r="B32" s="21" t="s">
        <v>60</v>
      </c>
      <c r="C32" s="258">
        <v>1</v>
      </c>
      <c r="D32" s="21" t="s">
        <v>65</v>
      </c>
      <c r="E32" s="176">
        <v>2</v>
      </c>
      <c r="F32" s="177">
        <v>110</v>
      </c>
      <c r="G32" s="178">
        <f>F32*$E32*C32</f>
        <v>220</v>
      </c>
      <c r="H32" s="176">
        <f>2*2</f>
        <v>4</v>
      </c>
      <c r="I32" s="177">
        <f>H32*$F32*$C32*$B$5</f>
        <v>457.6</v>
      </c>
      <c r="J32" s="176"/>
      <c r="K32" s="177">
        <f>J32*$F32*$C32*$B$5*$B$5</f>
        <v>0</v>
      </c>
      <c r="L32" s="176"/>
      <c r="M32" s="177">
        <f>L32*$F32*$C32*$B$5*$B$5*$B$5</f>
        <v>0</v>
      </c>
      <c r="N32" s="176"/>
      <c r="O32" s="177">
        <f>N32*$F32*$C32*$B$5*$B$5*$B$5*$B$5</f>
        <v>0</v>
      </c>
      <c r="P32" s="179">
        <f>SUM(G32,I32,K32,M32,O32)</f>
        <v>677.6</v>
      </c>
      <c r="Q32" s="177">
        <v>0</v>
      </c>
      <c r="R32" s="180">
        <f>SUM(P32:Q32)</f>
        <v>677.6</v>
      </c>
    </row>
    <row r="33" spans="1:18" x14ac:dyDescent="0.4">
      <c r="A33" s="92" t="s">
        <v>205</v>
      </c>
      <c r="B33" s="21" t="s">
        <v>60</v>
      </c>
      <c r="C33" s="258">
        <v>1</v>
      </c>
      <c r="D33" s="21" t="s">
        <v>65</v>
      </c>
      <c r="E33" s="176">
        <v>1</v>
      </c>
      <c r="F33" s="177">
        <v>50</v>
      </c>
      <c r="G33" s="178">
        <f>F33*$E33*C33</f>
        <v>50</v>
      </c>
      <c r="H33" s="176">
        <f>2*1</f>
        <v>2</v>
      </c>
      <c r="I33" s="177">
        <f>H33*$F33*$C33*$B$5</f>
        <v>104</v>
      </c>
      <c r="J33" s="176"/>
      <c r="K33" s="177">
        <f>J33*$F33*$C33*$B$5*$B$5</f>
        <v>0</v>
      </c>
      <c r="L33" s="176"/>
      <c r="M33" s="177">
        <f>L33*$F33*$C33*$B$5*$B$5*$B$5</f>
        <v>0</v>
      </c>
      <c r="N33" s="176">
        <v>0</v>
      </c>
      <c r="O33" s="177">
        <f>N33*$F33*$C33*$B$5*$B$5*$B$5*$B$5</f>
        <v>0</v>
      </c>
      <c r="P33" s="179">
        <f>SUM(G33,I33,K33,M33,O33)</f>
        <v>154</v>
      </c>
      <c r="Q33" s="177">
        <v>0</v>
      </c>
      <c r="R33" s="180">
        <f>SUM(P33:Q33)</f>
        <v>154</v>
      </c>
    </row>
    <row r="34" spans="1:18" x14ac:dyDescent="0.4">
      <c r="A34" s="92" t="s">
        <v>77</v>
      </c>
      <c r="B34" s="21" t="s">
        <v>60</v>
      </c>
      <c r="C34" s="258">
        <v>1</v>
      </c>
      <c r="D34" s="21" t="s">
        <v>63</v>
      </c>
      <c r="E34" s="176">
        <v>1</v>
      </c>
      <c r="F34" s="177">
        <v>450</v>
      </c>
      <c r="G34" s="178">
        <f>F34*$E34*C34</f>
        <v>450</v>
      </c>
      <c r="H34" s="176">
        <f>1*2</f>
        <v>2</v>
      </c>
      <c r="I34" s="177">
        <f>H34*$F34*$C34*$B$5</f>
        <v>936</v>
      </c>
      <c r="J34" s="176"/>
      <c r="K34" s="177">
        <f>J34*$F34*$C34*$B$5*$B$5</f>
        <v>0</v>
      </c>
      <c r="L34" s="176"/>
      <c r="M34" s="177">
        <f>L34*$F34*$C34*$B$5*$B$5*$B$5</f>
        <v>0</v>
      </c>
      <c r="N34" s="176">
        <v>0</v>
      </c>
      <c r="O34" s="177">
        <f>N34*$F34*$C34*$B$5*$B$5*$B$5*$B$5</f>
        <v>0</v>
      </c>
      <c r="P34" s="179">
        <f>SUM(G34,I34,K34,M34,O34)</f>
        <v>1386</v>
      </c>
      <c r="Q34" s="177">
        <v>0</v>
      </c>
      <c r="R34" s="180">
        <f>SUM(P34:Q34)</f>
        <v>1386</v>
      </c>
    </row>
    <row r="35" spans="1:18" x14ac:dyDescent="0.4">
      <c r="A35" s="149" t="s">
        <v>274</v>
      </c>
      <c r="B35" s="150"/>
      <c r="C35" s="150"/>
      <c r="D35" s="85"/>
      <c r="E35" s="217"/>
      <c r="F35" s="218"/>
      <c r="G35" s="219"/>
      <c r="H35" s="218"/>
      <c r="I35" s="218"/>
      <c r="J35" s="217"/>
      <c r="K35" s="218"/>
      <c r="L35" s="217"/>
      <c r="M35" s="218"/>
      <c r="N35" s="217"/>
      <c r="O35" s="219"/>
      <c r="P35" s="220"/>
      <c r="Q35" s="218"/>
      <c r="R35" s="221"/>
    </row>
    <row r="36" spans="1:18" x14ac:dyDescent="0.4">
      <c r="A36" s="92" t="s">
        <v>202</v>
      </c>
      <c r="B36" s="21" t="s">
        <v>60</v>
      </c>
      <c r="C36" s="258">
        <v>1</v>
      </c>
      <c r="D36" s="21" t="s">
        <v>203</v>
      </c>
      <c r="E36" s="176">
        <v>2</v>
      </c>
      <c r="F36" s="177">
        <v>210</v>
      </c>
      <c r="G36" s="178">
        <f>F36*$E36*C36</f>
        <v>420</v>
      </c>
      <c r="H36" s="176">
        <f>2*2</f>
        <v>4</v>
      </c>
      <c r="I36" s="177">
        <f>H36*$F36*$C36*$B$5</f>
        <v>873.6</v>
      </c>
      <c r="J36" s="176"/>
      <c r="K36" s="177">
        <f>J36*$F36*$C36*$B$5*$B$5</f>
        <v>0</v>
      </c>
      <c r="L36" s="176"/>
      <c r="M36" s="177">
        <f>L36*$F36*$C36*$B$5*$B$5*$B$5</f>
        <v>0</v>
      </c>
      <c r="N36" s="176">
        <v>0</v>
      </c>
      <c r="O36" s="177">
        <f>N36*$F36*$C36*$B$5*$B$5*$B$5*$B$5</f>
        <v>0</v>
      </c>
      <c r="P36" s="179">
        <f>SUM(G36,I36,K36,M36,O36)</f>
        <v>1293.5999999999999</v>
      </c>
      <c r="Q36" s="177">
        <v>0</v>
      </c>
      <c r="R36" s="180">
        <f>SUM(P36:Q36)</f>
        <v>1293.5999999999999</v>
      </c>
    </row>
    <row r="37" spans="1:18" x14ac:dyDescent="0.4">
      <c r="A37" s="92" t="s">
        <v>204</v>
      </c>
      <c r="B37" s="21" t="s">
        <v>60</v>
      </c>
      <c r="C37" s="258">
        <v>1</v>
      </c>
      <c r="D37" s="21" t="s">
        <v>65</v>
      </c>
      <c r="E37" s="176">
        <v>2</v>
      </c>
      <c r="F37" s="177">
        <v>123</v>
      </c>
      <c r="G37" s="178">
        <f>F37*$E37*C37</f>
        <v>246</v>
      </c>
      <c r="H37" s="176">
        <f>2*2</f>
        <v>4</v>
      </c>
      <c r="I37" s="177">
        <f>H37*$F37*$C37*$B$5</f>
        <v>511.68</v>
      </c>
      <c r="J37" s="176"/>
      <c r="K37" s="177">
        <f>J37*$F37*$C37*$B$5*$B$5</f>
        <v>0</v>
      </c>
      <c r="L37" s="176"/>
      <c r="M37" s="177">
        <f>L37*$F37*$C37*$B$5*$B$5*$B$5</f>
        <v>0</v>
      </c>
      <c r="N37" s="176"/>
      <c r="O37" s="177">
        <f>N37*$F37*$C37*$B$5*$B$5*$B$5*$B$5</f>
        <v>0</v>
      </c>
      <c r="P37" s="179">
        <f>SUM(G37,I37,K37,M37,O37)</f>
        <v>757.68000000000006</v>
      </c>
      <c r="Q37" s="177">
        <v>0</v>
      </c>
      <c r="R37" s="180">
        <f>SUM(P37:Q37)</f>
        <v>757.68000000000006</v>
      </c>
    </row>
    <row r="38" spans="1:18" x14ac:dyDescent="0.4">
      <c r="A38" s="92" t="s">
        <v>205</v>
      </c>
      <c r="B38" s="21" t="s">
        <v>60</v>
      </c>
      <c r="C38" s="258">
        <v>1</v>
      </c>
      <c r="D38" s="21" t="s">
        <v>65</v>
      </c>
      <c r="E38" s="176">
        <v>1</v>
      </c>
      <c r="F38" s="177">
        <v>50</v>
      </c>
      <c r="G38" s="178">
        <f>F38*$E38*C38</f>
        <v>50</v>
      </c>
      <c r="H38" s="176">
        <f>2*1</f>
        <v>2</v>
      </c>
      <c r="I38" s="177">
        <f>H38*$F38*$C38*$B$5</f>
        <v>104</v>
      </c>
      <c r="J38" s="176"/>
      <c r="K38" s="177">
        <f>J38*$F38*$C38*$B$5*$B$5</f>
        <v>0</v>
      </c>
      <c r="L38" s="176"/>
      <c r="M38" s="177">
        <f>L38*$F38*$C38*$B$5*$B$5*$B$5</f>
        <v>0</v>
      </c>
      <c r="N38" s="176">
        <v>0</v>
      </c>
      <c r="O38" s="177">
        <f>N38*$F38*$C38*$B$5*$B$5*$B$5*$B$5</f>
        <v>0</v>
      </c>
      <c r="P38" s="179">
        <f>SUM(G38,I38,K38,M38,O38)</f>
        <v>154</v>
      </c>
      <c r="Q38" s="177">
        <v>0</v>
      </c>
      <c r="R38" s="180">
        <f>SUM(P38:Q38)</f>
        <v>154</v>
      </c>
    </row>
    <row r="39" spans="1:18" x14ac:dyDescent="0.4">
      <c r="A39" s="92" t="s">
        <v>77</v>
      </c>
      <c r="B39" s="21" t="s">
        <v>60</v>
      </c>
      <c r="C39" s="258">
        <v>1</v>
      </c>
      <c r="D39" s="21" t="s">
        <v>63</v>
      </c>
      <c r="E39" s="176">
        <v>1</v>
      </c>
      <c r="F39" s="177">
        <v>150</v>
      </c>
      <c r="G39" s="178">
        <f>F39*$E39*C39</f>
        <v>150</v>
      </c>
      <c r="H39" s="176">
        <f>1*2</f>
        <v>2</v>
      </c>
      <c r="I39" s="177">
        <f>H39*$F39*$C39*$B$5</f>
        <v>312</v>
      </c>
      <c r="J39" s="176"/>
      <c r="K39" s="177">
        <f>J39*$F39*$C39*$B$5*$B$5</f>
        <v>0</v>
      </c>
      <c r="L39" s="176"/>
      <c r="M39" s="177">
        <f>L39*$F39*$C39*$B$5*$B$5*$B$5</f>
        <v>0</v>
      </c>
      <c r="N39" s="176">
        <v>0</v>
      </c>
      <c r="O39" s="177">
        <f>N39*$F39*$C39*$B$5*$B$5*$B$5*$B$5</f>
        <v>0</v>
      </c>
      <c r="P39" s="179">
        <f>SUM(G39,I39,K39,M39,O39)</f>
        <v>462</v>
      </c>
      <c r="Q39" s="177">
        <v>0</v>
      </c>
      <c r="R39" s="180">
        <f>SUM(P39:Q39)</f>
        <v>462</v>
      </c>
    </row>
    <row r="40" spans="1:18" ht="30" x14ac:dyDescent="0.4">
      <c r="A40" s="175" t="s">
        <v>171</v>
      </c>
      <c r="B40" s="90"/>
      <c r="C40" s="119"/>
      <c r="D40" s="119"/>
      <c r="E40" s="217"/>
      <c r="F40" s="218"/>
      <c r="G40" s="219"/>
      <c r="H40" s="218"/>
      <c r="I40" s="219"/>
      <c r="J40" s="218"/>
      <c r="K40" s="219"/>
      <c r="L40" s="218"/>
      <c r="M40" s="219"/>
      <c r="N40" s="217"/>
      <c r="O40" s="219"/>
      <c r="P40" s="220"/>
      <c r="Q40" s="218"/>
      <c r="R40" s="221"/>
    </row>
    <row r="41" spans="1:18" ht="30.6" x14ac:dyDescent="0.4">
      <c r="A41" s="361" t="s">
        <v>352</v>
      </c>
      <c r="B41" s="362"/>
      <c r="C41" s="362"/>
      <c r="D41" s="340"/>
      <c r="E41" s="245"/>
      <c r="F41" s="246"/>
      <c r="G41" s="247"/>
      <c r="H41" s="246"/>
      <c r="I41" s="246"/>
      <c r="J41" s="245"/>
      <c r="K41" s="246"/>
      <c r="L41" s="245"/>
      <c r="M41" s="246"/>
      <c r="N41" s="245"/>
      <c r="O41" s="247"/>
      <c r="P41" s="248"/>
      <c r="Q41" s="246"/>
      <c r="R41" s="249"/>
    </row>
    <row r="42" spans="1:18" x14ac:dyDescent="0.4">
      <c r="A42" s="92" t="s">
        <v>202</v>
      </c>
      <c r="B42" s="21" t="s">
        <v>60</v>
      </c>
      <c r="C42" s="258">
        <v>1</v>
      </c>
      <c r="D42" s="21" t="s">
        <v>203</v>
      </c>
      <c r="E42" s="176">
        <v>0</v>
      </c>
      <c r="F42" s="177">
        <v>182</v>
      </c>
      <c r="G42" s="178">
        <f>F42*$E42*C42</f>
        <v>0</v>
      </c>
      <c r="H42" s="176"/>
      <c r="I42" s="177">
        <f>H42*$F42*$C42*$B$5</f>
        <v>0</v>
      </c>
      <c r="J42" s="176">
        <f>2*2</f>
        <v>4</v>
      </c>
      <c r="K42" s="177">
        <f>J42*$F42*$C42*$B$5*$B$5</f>
        <v>787.40480000000002</v>
      </c>
      <c r="L42" s="176">
        <f>2*2</f>
        <v>4</v>
      </c>
      <c r="M42" s="177">
        <f>L42*$F42*$C42*$B$5*$B$5*$B$5</f>
        <v>818.90099200000009</v>
      </c>
      <c r="N42" s="176">
        <v>0</v>
      </c>
      <c r="O42" s="177">
        <f>N42*$F42*$C42*$B$5*$B$5*$B$5*$B$5</f>
        <v>0</v>
      </c>
      <c r="P42" s="179">
        <f>SUM(G42,I42,K42,M42,O42)</f>
        <v>1606.3057920000001</v>
      </c>
      <c r="Q42" s="177">
        <v>0</v>
      </c>
      <c r="R42" s="180">
        <f t="shared" ref="R42:R60" si="0">SUM(P42:Q42)</f>
        <v>1606.3057920000001</v>
      </c>
    </row>
    <row r="43" spans="1:18" x14ac:dyDescent="0.4">
      <c r="A43" s="92" t="s">
        <v>204</v>
      </c>
      <c r="B43" s="21" t="s">
        <v>60</v>
      </c>
      <c r="C43" s="258">
        <v>1</v>
      </c>
      <c r="D43" s="21" t="s">
        <v>65</v>
      </c>
      <c r="E43" s="176">
        <v>0</v>
      </c>
      <c r="F43" s="177">
        <v>116</v>
      </c>
      <c r="G43" s="178">
        <f>F43*$E43*C43</f>
        <v>0</v>
      </c>
      <c r="H43" s="176"/>
      <c r="I43" s="177">
        <f>H43*$F43*$C43*$B$5</f>
        <v>0</v>
      </c>
      <c r="J43" s="176">
        <f>2*2</f>
        <v>4</v>
      </c>
      <c r="K43" s="177">
        <f>J43*$F43*$C43*$B$5*$B$5</f>
        <v>501.86240000000004</v>
      </c>
      <c r="L43" s="176">
        <f>2*2</f>
        <v>4</v>
      </c>
      <c r="M43" s="177">
        <f>L43*$F43*$C43*$B$5*$B$5*$B$5</f>
        <v>521.93689600000005</v>
      </c>
      <c r="N43" s="176"/>
      <c r="O43" s="177">
        <f>N43*$F43*$C43*$B$5*$B$5*$B$5*$B$5</f>
        <v>0</v>
      </c>
      <c r="P43" s="179">
        <f>SUM(G43,I43,K43,M43,O43)</f>
        <v>1023.7992960000001</v>
      </c>
      <c r="Q43" s="177">
        <v>0</v>
      </c>
      <c r="R43" s="180">
        <f t="shared" si="0"/>
        <v>1023.7992960000001</v>
      </c>
    </row>
    <row r="44" spans="1:18" x14ac:dyDescent="0.4">
      <c r="A44" s="92" t="s">
        <v>205</v>
      </c>
      <c r="B44" s="21" t="s">
        <v>60</v>
      </c>
      <c r="C44" s="258">
        <v>1</v>
      </c>
      <c r="D44" s="21" t="s">
        <v>65</v>
      </c>
      <c r="E44" s="176">
        <v>0</v>
      </c>
      <c r="F44" s="177">
        <v>50</v>
      </c>
      <c r="G44" s="178">
        <f>F44*$E44*C44</f>
        <v>0</v>
      </c>
      <c r="H44" s="176"/>
      <c r="I44" s="177">
        <f>H44*$F44*$C44*$B$5</f>
        <v>0</v>
      </c>
      <c r="J44" s="176">
        <f>2*1</f>
        <v>2</v>
      </c>
      <c r="K44" s="177">
        <f>J44*$F44*$C44*$B$5*$B$5</f>
        <v>108.16</v>
      </c>
      <c r="L44" s="176">
        <f>2*1</f>
        <v>2</v>
      </c>
      <c r="M44" s="177">
        <f>L44*$F44*$C44*$B$5*$B$5*$B$5</f>
        <v>112.4864</v>
      </c>
      <c r="N44" s="176">
        <v>0</v>
      </c>
      <c r="O44" s="177">
        <f>N44*$F44*$C44*$B$5*$B$5*$B$5*$B$5</f>
        <v>0</v>
      </c>
      <c r="P44" s="179">
        <f>SUM(G44,I44,K44,M44,O44)</f>
        <v>220.6464</v>
      </c>
      <c r="Q44" s="177">
        <v>0</v>
      </c>
      <c r="R44" s="180">
        <f t="shared" si="0"/>
        <v>220.6464</v>
      </c>
    </row>
    <row r="45" spans="1:18" x14ac:dyDescent="0.4">
      <c r="A45" s="92" t="s">
        <v>77</v>
      </c>
      <c r="B45" s="21" t="s">
        <v>60</v>
      </c>
      <c r="C45" s="258">
        <v>1</v>
      </c>
      <c r="D45" s="21" t="s">
        <v>63</v>
      </c>
      <c r="E45" s="176">
        <v>0</v>
      </c>
      <c r="F45" s="177">
        <v>500</v>
      </c>
      <c r="G45" s="178">
        <f>F45*$E45*C45</f>
        <v>0</v>
      </c>
      <c r="H45" s="176"/>
      <c r="I45" s="177">
        <f>H45*$F45*$C45*$B$5</f>
        <v>0</v>
      </c>
      <c r="J45" s="176">
        <f>1*2</f>
        <v>2</v>
      </c>
      <c r="K45" s="177">
        <f>J45*$F45*$C45*$B$5*$B$5</f>
        <v>1081.6000000000001</v>
      </c>
      <c r="L45" s="176">
        <f>1*2</f>
        <v>2</v>
      </c>
      <c r="M45" s="177">
        <f>L45*$F45*$C45*$B$5*$B$5*$B$5</f>
        <v>1124.8640000000003</v>
      </c>
      <c r="N45" s="176">
        <v>0</v>
      </c>
      <c r="O45" s="177">
        <f>N45*$F45*$C45*$B$5*$B$5*$B$5*$B$5</f>
        <v>0</v>
      </c>
      <c r="P45" s="179">
        <f>SUM(G45,I45,K45,M45,O45)</f>
        <v>2206.4640000000004</v>
      </c>
      <c r="Q45" s="177">
        <v>0</v>
      </c>
      <c r="R45" s="180">
        <f t="shared" si="0"/>
        <v>2206.4640000000004</v>
      </c>
    </row>
    <row r="46" spans="1:18" x14ac:dyDescent="0.4">
      <c r="A46" s="361" t="s">
        <v>353</v>
      </c>
      <c r="B46" s="362"/>
      <c r="C46" s="362"/>
      <c r="D46" s="340"/>
      <c r="E46" s="245"/>
      <c r="F46" s="246"/>
      <c r="G46" s="247"/>
      <c r="H46" s="246"/>
      <c r="I46" s="246"/>
      <c r="J46" s="245"/>
      <c r="K46" s="246"/>
      <c r="L46" s="245"/>
      <c r="M46" s="246"/>
      <c r="N46" s="245"/>
      <c r="O46" s="247"/>
      <c r="P46" s="248"/>
      <c r="Q46" s="246">
        <v>0</v>
      </c>
      <c r="R46" s="249">
        <f t="shared" si="0"/>
        <v>0</v>
      </c>
    </row>
    <row r="47" spans="1:18" x14ac:dyDescent="0.4">
      <c r="A47" s="92" t="s">
        <v>202</v>
      </c>
      <c r="B47" s="21" t="s">
        <v>60</v>
      </c>
      <c r="C47" s="258">
        <v>1</v>
      </c>
      <c r="D47" s="21" t="s">
        <v>203</v>
      </c>
      <c r="E47" s="176">
        <v>0</v>
      </c>
      <c r="F47" s="177">
        <v>241</v>
      </c>
      <c r="G47" s="178">
        <f>F47*$E47*C47</f>
        <v>0</v>
      </c>
      <c r="H47" s="176"/>
      <c r="I47" s="177">
        <f>H47*$F47*$C47*$B$5</f>
        <v>0</v>
      </c>
      <c r="J47" s="176">
        <f>2*2</f>
        <v>4</v>
      </c>
      <c r="K47" s="177">
        <f>J47*$F47*$C47*$B$5*$B$5</f>
        <v>1042.6624000000002</v>
      </c>
      <c r="L47" s="176">
        <f>2*2</f>
        <v>4</v>
      </c>
      <c r="M47" s="177">
        <f>L47*$F47*$C47*$B$5*$B$5*$B$5</f>
        <v>1084.3688960000002</v>
      </c>
      <c r="N47" s="176">
        <v>0</v>
      </c>
      <c r="O47" s="177">
        <f>N47*$F47*$C47*$B$5*$B$5*$B$5*$B$5</f>
        <v>0</v>
      </c>
      <c r="P47" s="179">
        <f>SUM(G47,I47,K47,M47,O47)</f>
        <v>2127.0312960000001</v>
      </c>
      <c r="Q47" s="177">
        <v>0</v>
      </c>
      <c r="R47" s="180">
        <f t="shared" si="0"/>
        <v>2127.0312960000001</v>
      </c>
    </row>
    <row r="48" spans="1:18" x14ac:dyDescent="0.4">
      <c r="A48" s="92" t="s">
        <v>204</v>
      </c>
      <c r="B48" s="21" t="s">
        <v>60</v>
      </c>
      <c r="C48" s="258">
        <v>1</v>
      </c>
      <c r="D48" s="21" t="s">
        <v>65</v>
      </c>
      <c r="E48" s="176">
        <v>0</v>
      </c>
      <c r="F48" s="177">
        <v>121</v>
      </c>
      <c r="G48" s="178">
        <f>F48*$E48*C48</f>
        <v>0</v>
      </c>
      <c r="H48" s="176"/>
      <c r="I48" s="177">
        <f>H48*$F48*$C48*$B$5</f>
        <v>0</v>
      </c>
      <c r="J48" s="176">
        <f>2*2</f>
        <v>4</v>
      </c>
      <c r="K48" s="177">
        <f>J48*$F48*$C48*$B$5*$B$5</f>
        <v>523.49440000000004</v>
      </c>
      <c r="L48" s="176">
        <f>2*2</f>
        <v>4</v>
      </c>
      <c r="M48" s="177">
        <f>L48*$F48*$C48*$B$5*$B$5*$B$5</f>
        <v>544.43417600000009</v>
      </c>
      <c r="N48" s="176"/>
      <c r="O48" s="177">
        <f>N48*$F48*$C48*$B$5*$B$5*$B$5*$B$5</f>
        <v>0</v>
      </c>
      <c r="P48" s="179">
        <f>SUM(G48,I48,K48,M48,O48)</f>
        <v>1067.9285760000002</v>
      </c>
      <c r="Q48" s="177">
        <v>0</v>
      </c>
      <c r="R48" s="180">
        <f t="shared" si="0"/>
        <v>1067.9285760000002</v>
      </c>
    </row>
    <row r="49" spans="1:18" x14ac:dyDescent="0.4">
      <c r="A49" s="92" t="s">
        <v>205</v>
      </c>
      <c r="B49" s="21" t="s">
        <v>60</v>
      </c>
      <c r="C49" s="258">
        <v>1</v>
      </c>
      <c r="D49" s="21" t="s">
        <v>65</v>
      </c>
      <c r="E49" s="176">
        <v>0</v>
      </c>
      <c r="F49" s="177">
        <v>50</v>
      </c>
      <c r="G49" s="178">
        <f>F49*$E49*C49</f>
        <v>0</v>
      </c>
      <c r="H49" s="176"/>
      <c r="I49" s="177">
        <f>H49*$F49*$C49*$B$5</f>
        <v>0</v>
      </c>
      <c r="J49" s="176">
        <f>2*1</f>
        <v>2</v>
      </c>
      <c r="K49" s="177">
        <f>J49*$F49*$C49*$B$5*$B$5</f>
        <v>108.16</v>
      </c>
      <c r="L49" s="176">
        <f>2*1</f>
        <v>2</v>
      </c>
      <c r="M49" s="177">
        <f>L49*$F49*$C49*$B$5*$B$5*$B$5</f>
        <v>112.4864</v>
      </c>
      <c r="N49" s="176">
        <v>0</v>
      </c>
      <c r="O49" s="177">
        <f>N49*$F49*$C49*$B$5*$B$5*$B$5*$B$5</f>
        <v>0</v>
      </c>
      <c r="P49" s="179">
        <f>SUM(G49,I49,K49,M49,O49)</f>
        <v>220.6464</v>
      </c>
      <c r="Q49" s="177">
        <v>0</v>
      </c>
      <c r="R49" s="180">
        <f t="shared" si="0"/>
        <v>220.6464</v>
      </c>
    </row>
    <row r="50" spans="1:18" x14ac:dyDescent="0.4">
      <c r="A50" s="92" t="s">
        <v>77</v>
      </c>
      <c r="B50" s="21" t="s">
        <v>60</v>
      </c>
      <c r="C50" s="258">
        <v>1</v>
      </c>
      <c r="D50" s="21" t="s">
        <v>63</v>
      </c>
      <c r="E50" s="176">
        <v>0</v>
      </c>
      <c r="F50" s="177">
        <v>300</v>
      </c>
      <c r="G50" s="178">
        <f>F50*$E50*C50</f>
        <v>0</v>
      </c>
      <c r="H50" s="176"/>
      <c r="I50" s="177">
        <f>H50*$F50*$C50*$B$5</f>
        <v>0</v>
      </c>
      <c r="J50" s="176">
        <f>1*2</f>
        <v>2</v>
      </c>
      <c r="K50" s="177">
        <f>J50*$F50*$C50*$B$5*$B$5</f>
        <v>648.96</v>
      </c>
      <c r="L50" s="176">
        <f>1*2</f>
        <v>2</v>
      </c>
      <c r="M50" s="177">
        <f>L50*$F50*$C50*$B$5*$B$5*$B$5</f>
        <v>674.91840000000002</v>
      </c>
      <c r="N50" s="176">
        <v>0</v>
      </c>
      <c r="O50" s="177">
        <f>N50*$F50*$C50*$B$5*$B$5*$B$5*$B$5</f>
        <v>0</v>
      </c>
      <c r="P50" s="179">
        <f>SUM(G50,I50,K50,M50,O50)</f>
        <v>1323.8784000000001</v>
      </c>
      <c r="Q50" s="177">
        <v>0</v>
      </c>
      <c r="R50" s="180">
        <f t="shared" si="0"/>
        <v>1323.8784000000001</v>
      </c>
    </row>
    <row r="51" spans="1:18" x14ac:dyDescent="0.4">
      <c r="A51" s="361" t="s">
        <v>354</v>
      </c>
      <c r="B51" s="362"/>
      <c r="C51" s="362"/>
      <c r="D51" s="340"/>
      <c r="E51" s="245"/>
      <c r="F51" s="246"/>
      <c r="G51" s="247"/>
      <c r="H51" s="246"/>
      <c r="I51" s="246"/>
      <c r="J51" s="245"/>
      <c r="K51" s="246"/>
      <c r="L51" s="245"/>
      <c r="M51" s="246"/>
      <c r="N51" s="245"/>
      <c r="O51" s="247"/>
      <c r="P51" s="248"/>
      <c r="Q51" s="246">
        <v>0</v>
      </c>
      <c r="R51" s="249">
        <f t="shared" si="0"/>
        <v>0</v>
      </c>
    </row>
    <row r="52" spans="1:18" x14ac:dyDescent="0.4">
      <c r="A52" s="92" t="s">
        <v>202</v>
      </c>
      <c r="B52" s="21" t="s">
        <v>60</v>
      </c>
      <c r="C52" s="258">
        <v>1</v>
      </c>
      <c r="D52" s="21" t="s">
        <v>203</v>
      </c>
      <c r="E52" s="176">
        <v>0</v>
      </c>
      <c r="F52" s="177">
        <v>141</v>
      </c>
      <c r="G52" s="178">
        <f>F52*$E52*C52</f>
        <v>0</v>
      </c>
      <c r="H52" s="176"/>
      <c r="I52" s="177">
        <f>H52*$F52*$C52*$B$5</f>
        <v>0</v>
      </c>
      <c r="J52" s="176">
        <f>2*2</f>
        <v>4</v>
      </c>
      <c r="K52" s="177">
        <f>J52*$F52*$C52*$B$5*$B$5</f>
        <v>610.02240000000006</v>
      </c>
      <c r="L52" s="176">
        <f>2*2</f>
        <v>4</v>
      </c>
      <c r="M52" s="177">
        <f>L52*$F52*$C52*$B$5*$B$5*$B$5</f>
        <v>634.42329600000005</v>
      </c>
      <c r="N52" s="176">
        <v>0</v>
      </c>
      <c r="O52" s="177">
        <f>N52*$F52*$C52*$B$5*$B$5*$B$5*$B$5</f>
        <v>0</v>
      </c>
      <c r="P52" s="179">
        <f>SUM(G52,I52,K52,M52,O52)</f>
        <v>1244.4456960000002</v>
      </c>
      <c r="Q52" s="177">
        <v>0</v>
      </c>
      <c r="R52" s="180">
        <f t="shared" si="0"/>
        <v>1244.4456960000002</v>
      </c>
    </row>
    <row r="53" spans="1:18" x14ac:dyDescent="0.4">
      <c r="A53" s="92" t="s">
        <v>204</v>
      </c>
      <c r="B53" s="21" t="s">
        <v>60</v>
      </c>
      <c r="C53" s="258">
        <v>1</v>
      </c>
      <c r="D53" s="21" t="s">
        <v>65</v>
      </c>
      <c r="E53" s="176">
        <v>0</v>
      </c>
      <c r="F53" s="177">
        <v>110</v>
      </c>
      <c r="G53" s="178">
        <f>F53*$E53*C53</f>
        <v>0</v>
      </c>
      <c r="H53" s="176"/>
      <c r="I53" s="177">
        <f>H53*$F53*$C53*$B$5</f>
        <v>0</v>
      </c>
      <c r="J53" s="176">
        <f>2*2</f>
        <v>4</v>
      </c>
      <c r="K53" s="177">
        <f>J53*$F53*$C53*$B$5*$B$5</f>
        <v>475.90400000000005</v>
      </c>
      <c r="L53" s="176">
        <f>2*2</f>
        <v>4</v>
      </c>
      <c r="M53" s="177">
        <f>L53*$F53*$C53*$B$5*$B$5*$B$5</f>
        <v>494.94016000000005</v>
      </c>
      <c r="N53" s="176"/>
      <c r="O53" s="177">
        <f>N53*$F53*$C53*$B$5*$B$5*$B$5*$B$5</f>
        <v>0</v>
      </c>
      <c r="P53" s="179">
        <f>SUM(G53,I53,K53,M53,O53)</f>
        <v>970.8441600000001</v>
      </c>
      <c r="Q53" s="177">
        <v>0</v>
      </c>
      <c r="R53" s="180">
        <f t="shared" si="0"/>
        <v>970.8441600000001</v>
      </c>
    </row>
    <row r="54" spans="1:18" x14ac:dyDescent="0.4">
      <c r="A54" s="92" t="s">
        <v>205</v>
      </c>
      <c r="B54" s="21" t="s">
        <v>60</v>
      </c>
      <c r="C54" s="258">
        <v>1</v>
      </c>
      <c r="D54" s="21" t="s">
        <v>65</v>
      </c>
      <c r="E54" s="176">
        <v>0</v>
      </c>
      <c r="F54" s="177">
        <v>50</v>
      </c>
      <c r="G54" s="178">
        <f>F54*$E54*C54</f>
        <v>0</v>
      </c>
      <c r="H54" s="176"/>
      <c r="I54" s="177">
        <f>H54*$F54*$C54*$B$5</f>
        <v>0</v>
      </c>
      <c r="J54" s="176">
        <f>2*1</f>
        <v>2</v>
      </c>
      <c r="K54" s="177">
        <f>J54*$F54*$C54*$B$5*$B$5</f>
        <v>108.16</v>
      </c>
      <c r="L54" s="176">
        <f>2*1</f>
        <v>2</v>
      </c>
      <c r="M54" s="177">
        <f>L54*$F54*$C54*$B$5*$B$5*$B$5</f>
        <v>112.4864</v>
      </c>
      <c r="N54" s="176">
        <v>0</v>
      </c>
      <c r="O54" s="177">
        <f>N54*$F54*$C54*$B$5*$B$5*$B$5*$B$5</f>
        <v>0</v>
      </c>
      <c r="P54" s="179">
        <f>SUM(G54,I54,K54,M54,O54)</f>
        <v>220.6464</v>
      </c>
      <c r="Q54" s="177">
        <v>0</v>
      </c>
      <c r="R54" s="180">
        <f t="shared" si="0"/>
        <v>220.6464</v>
      </c>
    </row>
    <row r="55" spans="1:18" x14ac:dyDescent="0.4">
      <c r="A55" s="92" t="s">
        <v>77</v>
      </c>
      <c r="B55" s="21" t="s">
        <v>60</v>
      </c>
      <c r="C55" s="258">
        <v>1</v>
      </c>
      <c r="D55" s="21" t="s">
        <v>63</v>
      </c>
      <c r="E55" s="176">
        <v>0</v>
      </c>
      <c r="F55" s="177">
        <v>450</v>
      </c>
      <c r="G55" s="178">
        <f>F55*$E55*C55</f>
        <v>0</v>
      </c>
      <c r="H55" s="176"/>
      <c r="I55" s="177">
        <f>H55*$F55*$C55*$B$5</f>
        <v>0</v>
      </c>
      <c r="J55" s="176">
        <f>1*2</f>
        <v>2</v>
      </c>
      <c r="K55" s="177">
        <f>J55*$F55*$C55*$B$5*$B$5</f>
        <v>973.44</v>
      </c>
      <c r="L55" s="176">
        <f>1*2</f>
        <v>2</v>
      </c>
      <c r="M55" s="177">
        <f>L55*$F55*$C55*$B$5*$B$5*$B$5</f>
        <v>1012.3776000000001</v>
      </c>
      <c r="N55" s="176">
        <v>0</v>
      </c>
      <c r="O55" s="177">
        <f>N55*$F55*$C55*$B$5*$B$5*$B$5*$B$5</f>
        <v>0</v>
      </c>
      <c r="P55" s="179">
        <f>SUM(G55,I55,K55,M55,O55)</f>
        <v>1985.8176000000003</v>
      </c>
      <c r="Q55" s="177">
        <v>0</v>
      </c>
      <c r="R55" s="180">
        <f t="shared" si="0"/>
        <v>1985.8176000000003</v>
      </c>
    </row>
    <row r="56" spans="1:18" x14ac:dyDescent="0.4">
      <c r="A56" s="361" t="s">
        <v>208</v>
      </c>
      <c r="B56" s="362"/>
      <c r="C56" s="362"/>
      <c r="D56" s="340"/>
      <c r="E56" s="245"/>
      <c r="F56" s="246"/>
      <c r="G56" s="247"/>
      <c r="H56" s="246"/>
      <c r="I56" s="246"/>
      <c r="J56" s="245"/>
      <c r="K56" s="246"/>
      <c r="L56" s="245"/>
      <c r="M56" s="246"/>
      <c r="N56" s="245"/>
      <c r="O56" s="247"/>
      <c r="P56" s="248"/>
      <c r="Q56" s="246">
        <v>0</v>
      </c>
      <c r="R56" s="249">
        <f t="shared" si="0"/>
        <v>0</v>
      </c>
    </row>
    <row r="57" spans="1:18" x14ac:dyDescent="0.4">
      <c r="A57" s="92" t="s">
        <v>202</v>
      </c>
      <c r="B57" s="21" t="s">
        <v>60</v>
      </c>
      <c r="C57" s="258">
        <v>1</v>
      </c>
      <c r="D57" s="21" t="s">
        <v>203</v>
      </c>
      <c r="E57" s="176">
        <v>0</v>
      </c>
      <c r="F57" s="177">
        <v>210</v>
      </c>
      <c r="G57" s="178">
        <f>F57*$E57*C57</f>
        <v>0</v>
      </c>
      <c r="H57" s="176"/>
      <c r="I57" s="177">
        <f>H57*$F57*$C57*$B$5</f>
        <v>0</v>
      </c>
      <c r="J57" s="176">
        <f>2*2</f>
        <v>4</v>
      </c>
      <c r="K57" s="177">
        <f>J57*$F57*$C57*$B$5*$B$5</f>
        <v>908.5440000000001</v>
      </c>
      <c r="L57" s="176">
        <f>2*2</f>
        <v>4</v>
      </c>
      <c r="M57" s="177">
        <f>L57*$F57*$C57*$B$5*$B$5*$B$5</f>
        <v>944.88576000000012</v>
      </c>
      <c r="N57" s="176">
        <v>0</v>
      </c>
      <c r="O57" s="177">
        <f>N57*$F57*$C57*$B$5*$B$5*$B$5*$B$5</f>
        <v>0</v>
      </c>
      <c r="P57" s="179">
        <f>SUM(G57,I57,K57,M57,O57)</f>
        <v>1853.4297600000002</v>
      </c>
      <c r="Q57" s="177">
        <v>0</v>
      </c>
      <c r="R57" s="180">
        <f t="shared" si="0"/>
        <v>1853.4297600000002</v>
      </c>
    </row>
    <row r="58" spans="1:18" x14ac:dyDescent="0.4">
      <c r="A58" s="92" t="s">
        <v>204</v>
      </c>
      <c r="B58" s="21" t="s">
        <v>60</v>
      </c>
      <c r="C58" s="258">
        <v>1</v>
      </c>
      <c r="D58" s="21" t="s">
        <v>65</v>
      </c>
      <c r="E58" s="176">
        <v>0</v>
      </c>
      <c r="F58" s="177">
        <v>123</v>
      </c>
      <c r="G58" s="178">
        <f>F58*$E58*C58</f>
        <v>0</v>
      </c>
      <c r="H58" s="176"/>
      <c r="I58" s="177">
        <f>H58*$F58*$C58*$B$5</f>
        <v>0</v>
      </c>
      <c r="J58" s="176">
        <f>2*2</f>
        <v>4</v>
      </c>
      <c r="K58" s="177">
        <f>J58*$F58*$C58*$B$5*$B$5</f>
        <v>532.1472</v>
      </c>
      <c r="L58" s="176">
        <f>2*2</f>
        <v>4</v>
      </c>
      <c r="M58" s="177">
        <f>L58*$F58*$C58*$B$5*$B$5*$B$5</f>
        <v>553.433088</v>
      </c>
      <c r="N58" s="176"/>
      <c r="O58" s="177">
        <f>N58*$F58*$C58*$B$5*$B$5*$B$5*$B$5</f>
        <v>0</v>
      </c>
      <c r="P58" s="179">
        <f>SUM(G58,I58,K58,M58,O58)</f>
        <v>1085.5802880000001</v>
      </c>
      <c r="Q58" s="177">
        <v>0</v>
      </c>
      <c r="R58" s="180">
        <f t="shared" si="0"/>
        <v>1085.5802880000001</v>
      </c>
    </row>
    <row r="59" spans="1:18" x14ac:dyDescent="0.4">
      <c r="A59" s="92" t="s">
        <v>205</v>
      </c>
      <c r="B59" s="21" t="s">
        <v>60</v>
      </c>
      <c r="C59" s="258">
        <v>1</v>
      </c>
      <c r="D59" s="21" t="s">
        <v>65</v>
      </c>
      <c r="E59" s="176">
        <v>0</v>
      </c>
      <c r="F59" s="177">
        <v>50</v>
      </c>
      <c r="G59" s="178">
        <f>F59*$E59*C59</f>
        <v>0</v>
      </c>
      <c r="H59" s="176"/>
      <c r="I59" s="177">
        <f>H59*$F59*$C59*$B$5</f>
        <v>0</v>
      </c>
      <c r="J59" s="176">
        <f>2*1</f>
        <v>2</v>
      </c>
      <c r="K59" s="177">
        <f>J59*$F59*$C59*$B$5*$B$5</f>
        <v>108.16</v>
      </c>
      <c r="L59" s="176">
        <f>2*1</f>
        <v>2</v>
      </c>
      <c r="M59" s="177">
        <f>L59*$F59*$C59*$B$5*$B$5*$B$5</f>
        <v>112.4864</v>
      </c>
      <c r="N59" s="176">
        <v>0</v>
      </c>
      <c r="O59" s="177">
        <f>N59*$F59*$C59*$B$5*$B$5*$B$5*$B$5</f>
        <v>0</v>
      </c>
      <c r="P59" s="179">
        <f>SUM(G59,I59,K59,M59,O59)</f>
        <v>220.6464</v>
      </c>
      <c r="Q59" s="177">
        <v>0</v>
      </c>
      <c r="R59" s="180">
        <f t="shared" si="0"/>
        <v>220.6464</v>
      </c>
    </row>
    <row r="60" spans="1:18" x14ac:dyDescent="0.4">
      <c r="A60" s="92" t="s">
        <v>77</v>
      </c>
      <c r="B60" s="21" t="s">
        <v>60</v>
      </c>
      <c r="C60" s="258">
        <v>1</v>
      </c>
      <c r="D60" s="21" t="s">
        <v>63</v>
      </c>
      <c r="E60" s="176">
        <v>0</v>
      </c>
      <c r="F60" s="177">
        <v>150</v>
      </c>
      <c r="G60" s="178">
        <f>F60*$E60*C60</f>
        <v>0</v>
      </c>
      <c r="H60" s="176"/>
      <c r="I60" s="177">
        <f>H60*$F60*$C60*$B$5</f>
        <v>0</v>
      </c>
      <c r="J60" s="176">
        <f>1*2</f>
        <v>2</v>
      </c>
      <c r="K60" s="177">
        <f>J60*$F60*$C60*$B$5*$B$5</f>
        <v>324.48</v>
      </c>
      <c r="L60" s="176">
        <f>1*2</f>
        <v>2</v>
      </c>
      <c r="M60" s="177">
        <f>L60*$F60*$C60*$B$5*$B$5*$B$5</f>
        <v>337.45920000000001</v>
      </c>
      <c r="N60" s="176">
        <v>0</v>
      </c>
      <c r="O60" s="177">
        <f>N60*$F60*$C60*$B$5*$B$5*$B$5*$B$5</f>
        <v>0</v>
      </c>
      <c r="P60" s="179">
        <f>SUM(G60,I60,K60,M60,O60)</f>
        <v>661.93920000000003</v>
      </c>
      <c r="Q60" s="177">
        <v>0</v>
      </c>
      <c r="R60" s="180">
        <f t="shared" si="0"/>
        <v>661.93920000000003</v>
      </c>
    </row>
    <row r="61" spans="1:18" ht="15.6" thickBot="1" x14ac:dyDescent="0.45">
      <c r="A61" s="166" t="s">
        <v>240</v>
      </c>
      <c r="B61" s="153"/>
      <c r="C61" s="153"/>
      <c r="D61" s="154"/>
      <c r="E61" s="197"/>
      <c r="F61" s="198"/>
      <c r="G61" s="199">
        <f>SUM(G20:G60)</f>
        <v>4088</v>
      </c>
      <c r="H61" s="198"/>
      <c r="I61" s="198">
        <f>SUM(I20:I60)</f>
        <v>8503.0400000000009</v>
      </c>
      <c r="J61" s="197"/>
      <c r="K61" s="198">
        <f>SUM(K20:K60)</f>
        <v>8843.1615999999995</v>
      </c>
      <c r="L61" s="197"/>
      <c r="M61" s="198">
        <f>SUM(M20:M60)</f>
        <v>9196.8880639999988</v>
      </c>
      <c r="N61" s="197"/>
      <c r="O61" s="199">
        <f>SUM(O20:O60)</f>
        <v>0</v>
      </c>
      <c r="P61" s="308">
        <f>SUM(P20:P60)</f>
        <v>30631.089664000006</v>
      </c>
      <c r="Q61" s="198">
        <f>SUM(Q20:Q60)</f>
        <v>0</v>
      </c>
      <c r="R61" s="200">
        <f>SUM(R20:R60)</f>
        <v>30631.089664000006</v>
      </c>
    </row>
    <row r="62" spans="1:18" x14ac:dyDescent="0.4">
      <c r="A62" s="32" t="s">
        <v>241</v>
      </c>
      <c r="B62" s="16"/>
      <c r="C62" s="16"/>
      <c r="D62" s="16"/>
      <c r="E62" s="188"/>
      <c r="F62" s="189"/>
      <c r="G62" s="309"/>
      <c r="H62" s="310"/>
      <c r="I62" s="310"/>
      <c r="J62" s="311"/>
      <c r="K62" s="310"/>
      <c r="L62" s="311"/>
      <c r="M62" s="310"/>
      <c r="N62" s="311"/>
      <c r="O62" s="309"/>
      <c r="P62" s="210"/>
      <c r="Q62" s="310"/>
      <c r="R62" s="211"/>
    </row>
    <row r="63" spans="1:18" x14ac:dyDescent="0.4">
      <c r="A63" s="92" t="s">
        <v>96</v>
      </c>
      <c r="C63" s="22"/>
      <c r="E63" s="176">
        <v>0</v>
      </c>
      <c r="F63" s="177">
        <v>0</v>
      </c>
      <c r="G63" s="178">
        <v>0</v>
      </c>
      <c r="H63" s="177">
        <v>0</v>
      </c>
      <c r="I63" s="177">
        <v>0</v>
      </c>
      <c r="J63" s="176">
        <v>0</v>
      </c>
      <c r="K63" s="177">
        <v>0</v>
      </c>
      <c r="L63" s="176">
        <v>0</v>
      </c>
      <c r="M63" s="177">
        <v>0</v>
      </c>
      <c r="N63" s="176">
        <v>0</v>
      </c>
      <c r="O63" s="178">
        <v>0</v>
      </c>
      <c r="P63" s="179">
        <f>SUM(G63,I63,K63,M63,O63)</f>
        <v>0</v>
      </c>
      <c r="Q63" s="177">
        <v>0</v>
      </c>
      <c r="R63" s="180">
        <f>SUM(P63:Q63)</f>
        <v>0</v>
      </c>
    </row>
    <row r="64" spans="1:18" ht="15.6" thickBot="1" x14ac:dyDescent="0.45">
      <c r="A64" s="156" t="s">
        <v>242</v>
      </c>
      <c r="B64" s="153"/>
      <c r="C64" s="153"/>
      <c r="D64" s="154"/>
      <c r="E64" s="197"/>
      <c r="F64" s="198"/>
      <c r="G64" s="199">
        <f>SUM(G63)</f>
        <v>0</v>
      </c>
      <c r="H64" s="198"/>
      <c r="I64" s="198">
        <f>SUM(I63)</f>
        <v>0</v>
      </c>
      <c r="J64" s="197"/>
      <c r="K64" s="198">
        <f>SUM(K63)</f>
        <v>0</v>
      </c>
      <c r="L64" s="197"/>
      <c r="M64" s="198">
        <f>SUM(M63)</f>
        <v>0</v>
      </c>
      <c r="N64" s="197"/>
      <c r="O64" s="199">
        <f>SUM(O63)</f>
        <v>0</v>
      </c>
      <c r="P64" s="308">
        <f>SUM(P63)</f>
        <v>0</v>
      </c>
      <c r="Q64" s="198">
        <f>SUM(Q63)</f>
        <v>0</v>
      </c>
      <c r="R64" s="200">
        <f>SUM(P64:Q64)</f>
        <v>0</v>
      </c>
    </row>
    <row r="65" spans="1:18" x14ac:dyDescent="0.4">
      <c r="A65" s="32" t="s">
        <v>98</v>
      </c>
      <c r="B65" s="16"/>
      <c r="C65" s="16"/>
      <c r="D65" s="16"/>
      <c r="E65" s="188"/>
      <c r="F65" s="189"/>
      <c r="G65" s="309"/>
      <c r="H65" s="310"/>
      <c r="I65" s="310"/>
      <c r="J65" s="311"/>
      <c r="K65" s="310"/>
      <c r="L65" s="311"/>
      <c r="M65" s="310"/>
      <c r="N65" s="311"/>
      <c r="O65" s="309"/>
      <c r="P65" s="210"/>
      <c r="Q65" s="310"/>
      <c r="R65" s="211"/>
    </row>
    <row r="66" spans="1:18" x14ac:dyDescent="0.4">
      <c r="A66" s="130" t="s">
        <v>96</v>
      </c>
      <c r="C66" s="258"/>
      <c r="D66" s="22"/>
      <c r="E66" s="176">
        <v>0</v>
      </c>
      <c r="F66" s="177">
        <v>0</v>
      </c>
      <c r="G66" s="178">
        <v>0</v>
      </c>
      <c r="H66" s="177">
        <v>0</v>
      </c>
      <c r="I66" s="177">
        <v>0</v>
      </c>
      <c r="J66" s="176">
        <v>0</v>
      </c>
      <c r="K66" s="177">
        <v>0</v>
      </c>
      <c r="L66" s="176">
        <v>0</v>
      </c>
      <c r="M66" s="177">
        <v>0</v>
      </c>
      <c r="N66" s="176">
        <v>0</v>
      </c>
      <c r="O66" s="178">
        <v>0</v>
      </c>
      <c r="P66" s="179">
        <f>SUM(G66,I66,K66,M66,O66)</f>
        <v>0</v>
      </c>
      <c r="Q66" s="177">
        <v>0</v>
      </c>
      <c r="R66" s="180">
        <f>SUM(P66:Q66)</f>
        <v>0</v>
      </c>
    </row>
    <row r="67" spans="1:18" ht="15.6" thickBot="1" x14ac:dyDescent="0.45">
      <c r="A67" s="167" t="s">
        <v>102</v>
      </c>
      <c r="B67" s="153"/>
      <c r="C67" s="155"/>
      <c r="D67" s="153"/>
      <c r="E67" s="225"/>
      <c r="F67" s="226"/>
      <c r="G67" s="227">
        <f>SUM(G66:G66)</f>
        <v>0</v>
      </c>
      <c r="H67" s="228"/>
      <c r="I67" s="227">
        <f>SUM(I66:I66)</f>
        <v>0</v>
      </c>
      <c r="J67" s="229"/>
      <c r="K67" s="227">
        <f>SUM(K66:K66)</f>
        <v>0</v>
      </c>
      <c r="L67" s="229"/>
      <c r="M67" s="227">
        <f>SUM(M66:M66)</f>
        <v>0</v>
      </c>
      <c r="N67" s="229"/>
      <c r="O67" s="227">
        <f>SUM(O66:O66)</f>
        <v>0</v>
      </c>
      <c r="P67" s="312">
        <f>SUM(P66:P66)</f>
        <v>0</v>
      </c>
      <c r="Q67" s="228">
        <f>SUM(Q66:Q66)</f>
        <v>0</v>
      </c>
      <c r="R67" s="230">
        <f>SUM(R66:R66)</f>
        <v>0</v>
      </c>
    </row>
    <row r="68" spans="1:18" x14ac:dyDescent="0.4">
      <c r="A68" s="80" t="s">
        <v>103</v>
      </c>
      <c r="B68" s="81"/>
      <c r="C68" s="81"/>
      <c r="D68" s="81"/>
      <c r="E68" s="231"/>
      <c r="F68" s="232"/>
      <c r="G68" s="233"/>
      <c r="H68" s="232"/>
      <c r="I68" s="232"/>
      <c r="J68" s="231"/>
      <c r="K68" s="232"/>
      <c r="L68" s="231"/>
      <c r="M68" s="232"/>
      <c r="N68" s="231"/>
      <c r="O68" s="233"/>
      <c r="P68" s="234"/>
      <c r="Q68" s="232"/>
      <c r="R68" s="235"/>
    </row>
    <row r="69" spans="1:18" x14ac:dyDescent="0.4">
      <c r="A69" s="65" t="s">
        <v>108</v>
      </c>
      <c r="B69" s="65"/>
      <c r="C69" s="65"/>
      <c r="D69" s="66"/>
      <c r="E69" s="67"/>
      <c r="F69" s="65"/>
      <c r="G69" s="68"/>
      <c r="H69" s="69"/>
      <c r="I69" s="69"/>
      <c r="J69" s="70"/>
      <c r="K69" s="69"/>
      <c r="L69" s="70"/>
      <c r="M69" s="69"/>
      <c r="N69" s="70"/>
      <c r="O69" s="69"/>
      <c r="P69" s="71"/>
      <c r="Q69" s="69"/>
      <c r="R69" s="72"/>
    </row>
    <row r="70" spans="1:18" x14ac:dyDescent="0.4">
      <c r="A70" s="130" t="s">
        <v>275</v>
      </c>
      <c r="B70" s="21" t="s">
        <v>110</v>
      </c>
      <c r="C70" s="258">
        <v>0.5</v>
      </c>
      <c r="D70" s="22" t="s">
        <v>43</v>
      </c>
      <c r="E70" s="176">
        <v>3</v>
      </c>
      <c r="F70" s="177">
        <v>2800</v>
      </c>
      <c r="G70" s="178">
        <f t="shared" ref="G70:G87" si="1">F70*E70*C70</f>
        <v>4200</v>
      </c>
      <c r="H70" s="177">
        <v>6</v>
      </c>
      <c r="I70" s="177">
        <f t="shared" ref="I70:I87" si="2">H70*$F70*$C70*$B$5</f>
        <v>8736</v>
      </c>
      <c r="J70" s="176">
        <v>6</v>
      </c>
      <c r="K70" s="177">
        <f t="shared" ref="K70:K87" si="3">J70*$F70*$C70*$B$5*$B$5</f>
        <v>9085.44</v>
      </c>
      <c r="L70" s="176">
        <v>6</v>
      </c>
      <c r="M70" s="177">
        <f t="shared" ref="M70:M87" si="4">L70*$F70*$C70*$B$5*$B$5*$B$5</f>
        <v>9448.8576000000012</v>
      </c>
      <c r="N70" s="176">
        <v>0</v>
      </c>
      <c r="O70" s="177">
        <f t="shared" ref="O70:O87" si="5">N70*$F70*$C70*$B$5*$B$5*$B$5*$B$5</f>
        <v>0</v>
      </c>
      <c r="P70" s="179">
        <f t="shared" ref="P70:P87" si="6">SUM(G70,I70,K70,M70,O70)</f>
        <v>31470.297600000005</v>
      </c>
      <c r="Q70" s="177">
        <v>0</v>
      </c>
      <c r="R70" s="180">
        <f t="shared" ref="R70:R87" si="7">SUM(P70:Q70)</f>
        <v>31470.297600000005</v>
      </c>
    </row>
    <row r="71" spans="1:18" x14ac:dyDescent="0.4">
      <c r="A71" s="130" t="s">
        <v>276</v>
      </c>
      <c r="B71" s="21" t="s">
        <v>110</v>
      </c>
      <c r="C71" s="258">
        <v>0.85</v>
      </c>
      <c r="D71" s="22" t="s">
        <v>43</v>
      </c>
      <c r="E71" s="176">
        <v>3</v>
      </c>
      <c r="F71" s="177">
        <v>6270</v>
      </c>
      <c r="G71" s="178">
        <f t="shared" si="1"/>
        <v>15988.5</v>
      </c>
      <c r="H71" s="177">
        <v>12</v>
      </c>
      <c r="I71" s="177">
        <f t="shared" si="2"/>
        <v>66512.160000000003</v>
      </c>
      <c r="J71" s="176">
        <v>12</v>
      </c>
      <c r="K71" s="177">
        <f t="shared" si="3"/>
        <v>69172.646400000012</v>
      </c>
      <c r="L71" s="176">
        <v>12</v>
      </c>
      <c r="M71" s="177">
        <f t="shared" si="4"/>
        <v>71939.55225600001</v>
      </c>
      <c r="N71" s="176">
        <v>0</v>
      </c>
      <c r="O71" s="177">
        <f t="shared" si="5"/>
        <v>0</v>
      </c>
      <c r="P71" s="179">
        <f t="shared" si="6"/>
        <v>223612.858656</v>
      </c>
      <c r="Q71" s="177">
        <v>0</v>
      </c>
      <c r="R71" s="180">
        <f t="shared" si="7"/>
        <v>223612.858656</v>
      </c>
    </row>
    <row r="72" spans="1:18" x14ac:dyDescent="0.4">
      <c r="A72" s="130" t="s">
        <v>277</v>
      </c>
      <c r="B72" s="21" t="s">
        <v>110</v>
      </c>
      <c r="C72" s="258">
        <v>1</v>
      </c>
      <c r="D72" s="22" t="s">
        <v>43</v>
      </c>
      <c r="E72" s="176">
        <f>3*2</f>
        <v>6</v>
      </c>
      <c r="F72" s="177">
        <v>2885</v>
      </c>
      <c r="G72" s="178">
        <f t="shared" si="1"/>
        <v>17310</v>
      </c>
      <c r="H72" s="177">
        <f>12*5</f>
        <v>60</v>
      </c>
      <c r="I72" s="177">
        <f t="shared" si="2"/>
        <v>180024</v>
      </c>
      <c r="J72" s="176">
        <f>12*5</f>
        <v>60</v>
      </c>
      <c r="K72" s="177">
        <f t="shared" si="3"/>
        <v>187224.96000000002</v>
      </c>
      <c r="L72" s="176">
        <f>12*2</f>
        <v>24</v>
      </c>
      <c r="M72" s="177">
        <f t="shared" si="4"/>
        <v>77885.583360000019</v>
      </c>
      <c r="N72" s="176">
        <v>0</v>
      </c>
      <c r="O72" s="177">
        <f t="shared" si="5"/>
        <v>0</v>
      </c>
      <c r="P72" s="179">
        <f t="shared" si="6"/>
        <v>462444.54336000001</v>
      </c>
      <c r="Q72" s="177">
        <v>0</v>
      </c>
      <c r="R72" s="180">
        <f t="shared" si="7"/>
        <v>462444.54336000001</v>
      </c>
    </row>
    <row r="73" spans="1:18" x14ac:dyDescent="0.4">
      <c r="A73" s="130" t="s">
        <v>278</v>
      </c>
      <c r="B73" s="21" t="s">
        <v>110</v>
      </c>
      <c r="C73" s="258">
        <v>1</v>
      </c>
      <c r="D73" s="22" t="s">
        <v>43</v>
      </c>
      <c r="E73" s="176">
        <v>3</v>
      </c>
      <c r="F73" s="177">
        <v>1780</v>
      </c>
      <c r="G73" s="178">
        <f t="shared" si="1"/>
        <v>5340</v>
      </c>
      <c r="H73" s="177">
        <f>12</f>
        <v>12</v>
      </c>
      <c r="I73" s="177">
        <f t="shared" si="2"/>
        <v>22214.400000000001</v>
      </c>
      <c r="J73" s="176">
        <f>12</f>
        <v>12</v>
      </c>
      <c r="K73" s="177">
        <f t="shared" si="3"/>
        <v>23102.976000000002</v>
      </c>
      <c r="L73" s="176">
        <v>12</v>
      </c>
      <c r="M73" s="177">
        <f t="shared" si="4"/>
        <v>24027.095040000004</v>
      </c>
      <c r="N73" s="176">
        <v>0</v>
      </c>
      <c r="O73" s="177">
        <f t="shared" si="5"/>
        <v>0</v>
      </c>
      <c r="P73" s="179">
        <f t="shared" si="6"/>
        <v>74684.471040000004</v>
      </c>
      <c r="Q73" s="177">
        <v>0</v>
      </c>
      <c r="R73" s="180">
        <f t="shared" si="7"/>
        <v>74684.471040000004</v>
      </c>
    </row>
    <row r="74" spans="1:18" x14ac:dyDescent="0.4">
      <c r="A74" s="130" t="s">
        <v>279</v>
      </c>
      <c r="B74" s="21" t="s">
        <v>110</v>
      </c>
      <c r="C74" s="258">
        <v>0.85</v>
      </c>
      <c r="D74" s="22" t="s">
        <v>43</v>
      </c>
      <c r="E74" s="176">
        <v>3</v>
      </c>
      <c r="F74" s="177">
        <v>2510</v>
      </c>
      <c r="G74" s="178">
        <f t="shared" si="1"/>
        <v>6400.5</v>
      </c>
      <c r="H74" s="177">
        <v>12</v>
      </c>
      <c r="I74" s="177">
        <f t="shared" si="2"/>
        <v>26626.080000000002</v>
      </c>
      <c r="J74" s="176">
        <v>12</v>
      </c>
      <c r="K74" s="177">
        <f t="shared" si="3"/>
        <v>27691.123200000002</v>
      </c>
      <c r="L74" s="176">
        <v>12</v>
      </c>
      <c r="M74" s="177">
        <f t="shared" si="4"/>
        <v>28798.768128000003</v>
      </c>
      <c r="N74" s="176">
        <v>0</v>
      </c>
      <c r="O74" s="177">
        <f t="shared" si="5"/>
        <v>0</v>
      </c>
      <c r="P74" s="179">
        <f t="shared" si="6"/>
        <v>89516.471328000014</v>
      </c>
      <c r="Q74" s="177">
        <v>0</v>
      </c>
      <c r="R74" s="180">
        <f t="shared" si="7"/>
        <v>89516.471328000014</v>
      </c>
    </row>
    <row r="75" spans="1:18" x14ac:dyDescent="0.4">
      <c r="A75" s="130" t="s">
        <v>272</v>
      </c>
      <c r="B75" s="21" t="s">
        <v>110</v>
      </c>
      <c r="C75" s="258">
        <v>0.6</v>
      </c>
      <c r="D75" s="22" t="s">
        <v>43</v>
      </c>
      <c r="E75" s="176">
        <v>3</v>
      </c>
      <c r="F75" s="177">
        <v>3480</v>
      </c>
      <c r="G75" s="178">
        <f t="shared" si="1"/>
        <v>6264</v>
      </c>
      <c r="H75" s="177">
        <v>12</v>
      </c>
      <c r="I75" s="177">
        <f t="shared" si="2"/>
        <v>26058.240000000002</v>
      </c>
      <c r="J75" s="176">
        <v>12</v>
      </c>
      <c r="K75" s="177">
        <f t="shared" si="3"/>
        <v>27100.569600000003</v>
      </c>
      <c r="L75" s="176">
        <v>9</v>
      </c>
      <c r="M75" s="177">
        <f t="shared" si="4"/>
        <v>21138.444288000002</v>
      </c>
      <c r="N75" s="176">
        <v>0</v>
      </c>
      <c r="O75" s="177">
        <f t="shared" si="5"/>
        <v>0</v>
      </c>
      <c r="P75" s="179">
        <f t="shared" si="6"/>
        <v>80561.253888000007</v>
      </c>
      <c r="Q75" s="177">
        <v>0</v>
      </c>
      <c r="R75" s="180">
        <f t="shared" si="7"/>
        <v>80561.253888000007</v>
      </c>
    </row>
    <row r="76" spans="1:18" x14ac:dyDescent="0.4">
      <c r="A76" s="130" t="s">
        <v>280</v>
      </c>
      <c r="B76" s="21" t="s">
        <v>110</v>
      </c>
      <c r="C76" s="258">
        <v>1</v>
      </c>
      <c r="D76" s="22" t="s">
        <v>43</v>
      </c>
      <c r="E76" s="176">
        <v>3</v>
      </c>
      <c r="F76" s="177">
        <v>1780</v>
      </c>
      <c r="G76" s="178">
        <f t="shared" si="1"/>
        <v>5340</v>
      </c>
      <c r="H76" s="177">
        <f>12*2</f>
        <v>24</v>
      </c>
      <c r="I76" s="177">
        <f t="shared" si="2"/>
        <v>44428.800000000003</v>
      </c>
      <c r="J76" s="176">
        <f>12*2</f>
        <v>24</v>
      </c>
      <c r="K76" s="177">
        <f t="shared" si="3"/>
        <v>46205.952000000005</v>
      </c>
      <c r="L76" s="176">
        <f>9*2</f>
        <v>18</v>
      </c>
      <c r="M76" s="177">
        <f t="shared" si="4"/>
        <v>36040.64256</v>
      </c>
      <c r="N76" s="176">
        <v>0</v>
      </c>
      <c r="O76" s="177">
        <f t="shared" si="5"/>
        <v>0</v>
      </c>
      <c r="P76" s="179">
        <f t="shared" si="6"/>
        <v>132015.39456000002</v>
      </c>
      <c r="Q76" s="177">
        <v>0</v>
      </c>
      <c r="R76" s="180">
        <f t="shared" si="7"/>
        <v>132015.39456000002</v>
      </c>
    </row>
    <row r="77" spans="1:18" x14ac:dyDescent="0.4">
      <c r="A77" s="130" t="s">
        <v>281</v>
      </c>
      <c r="B77" s="21" t="s">
        <v>110</v>
      </c>
      <c r="C77" s="258">
        <v>1</v>
      </c>
      <c r="D77" s="22" t="s">
        <v>43</v>
      </c>
      <c r="E77" s="176">
        <v>3</v>
      </c>
      <c r="F77" s="177">
        <v>3070</v>
      </c>
      <c r="G77" s="178">
        <f t="shared" si="1"/>
        <v>9210</v>
      </c>
      <c r="H77" s="177">
        <f>9*2</f>
        <v>18</v>
      </c>
      <c r="I77" s="177">
        <f t="shared" si="2"/>
        <v>57470.400000000001</v>
      </c>
      <c r="J77" s="176">
        <f>9*2</f>
        <v>18</v>
      </c>
      <c r="K77" s="177">
        <f t="shared" si="3"/>
        <v>59769.216</v>
      </c>
      <c r="L77" s="176">
        <v>6</v>
      </c>
      <c r="M77" s="177">
        <f t="shared" si="4"/>
        <v>20719.994880000002</v>
      </c>
      <c r="N77" s="176">
        <v>0</v>
      </c>
      <c r="O77" s="177">
        <f t="shared" si="5"/>
        <v>0</v>
      </c>
      <c r="P77" s="179">
        <f t="shared" si="6"/>
        <v>147169.61087999999</v>
      </c>
      <c r="Q77" s="177">
        <v>0</v>
      </c>
      <c r="R77" s="180">
        <f t="shared" si="7"/>
        <v>147169.61087999999</v>
      </c>
    </row>
    <row r="78" spans="1:18" x14ac:dyDescent="0.4">
      <c r="A78" s="130" t="s">
        <v>282</v>
      </c>
      <c r="B78" s="21" t="s">
        <v>110</v>
      </c>
      <c r="C78" s="258">
        <v>0.95</v>
      </c>
      <c r="D78" s="22" t="s">
        <v>43</v>
      </c>
      <c r="E78" s="176">
        <v>3</v>
      </c>
      <c r="F78" s="177">
        <v>1075</v>
      </c>
      <c r="G78" s="178">
        <f t="shared" si="1"/>
        <v>3063.75</v>
      </c>
      <c r="H78" s="177">
        <v>12</v>
      </c>
      <c r="I78" s="177">
        <f t="shared" si="2"/>
        <v>12745.2</v>
      </c>
      <c r="J78" s="176">
        <v>12</v>
      </c>
      <c r="K78" s="177">
        <f t="shared" si="3"/>
        <v>13255.008000000002</v>
      </c>
      <c r="L78" s="176">
        <v>12</v>
      </c>
      <c r="M78" s="177">
        <f t="shared" si="4"/>
        <v>13785.208320000002</v>
      </c>
      <c r="N78" s="176">
        <v>0</v>
      </c>
      <c r="O78" s="177">
        <f t="shared" si="5"/>
        <v>0</v>
      </c>
      <c r="P78" s="179">
        <f t="shared" si="6"/>
        <v>42849.166320000004</v>
      </c>
      <c r="Q78" s="177">
        <v>0</v>
      </c>
      <c r="R78" s="180">
        <f t="shared" si="7"/>
        <v>42849.166320000004</v>
      </c>
    </row>
    <row r="79" spans="1:18" x14ac:dyDescent="0.4">
      <c r="A79" s="130" t="s">
        <v>283</v>
      </c>
      <c r="B79" s="21" t="s">
        <v>110</v>
      </c>
      <c r="C79" s="258">
        <v>0.9</v>
      </c>
      <c r="D79" s="22" t="s">
        <v>43</v>
      </c>
      <c r="E79" s="176">
        <f>3*2</f>
        <v>6</v>
      </c>
      <c r="F79" s="177">
        <v>920</v>
      </c>
      <c r="G79" s="178">
        <f t="shared" si="1"/>
        <v>4968</v>
      </c>
      <c r="H79" s="177">
        <f>12*4</f>
        <v>48</v>
      </c>
      <c r="I79" s="177">
        <f t="shared" si="2"/>
        <v>41333.760000000002</v>
      </c>
      <c r="J79" s="176">
        <f>12*4</f>
        <v>48</v>
      </c>
      <c r="K79" s="177">
        <f t="shared" si="3"/>
        <v>42987.110400000005</v>
      </c>
      <c r="L79" s="176">
        <f>12*3</f>
        <v>36</v>
      </c>
      <c r="M79" s="177">
        <f t="shared" si="4"/>
        <v>33529.946111999998</v>
      </c>
      <c r="N79" s="176">
        <v>0</v>
      </c>
      <c r="O79" s="177">
        <f t="shared" si="5"/>
        <v>0</v>
      </c>
      <c r="P79" s="179">
        <f t="shared" si="6"/>
        <v>122818.81651200002</v>
      </c>
      <c r="Q79" s="177">
        <v>0</v>
      </c>
      <c r="R79" s="180">
        <f t="shared" si="7"/>
        <v>122818.81651200002</v>
      </c>
    </row>
    <row r="80" spans="1:18" x14ac:dyDescent="0.4">
      <c r="A80" s="130" t="s">
        <v>284</v>
      </c>
      <c r="B80" s="21" t="s">
        <v>110</v>
      </c>
      <c r="C80" s="258">
        <v>0.6</v>
      </c>
      <c r="D80" s="22" t="s">
        <v>43</v>
      </c>
      <c r="E80" s="176">
        <v>3</v>
      </c>
      <c r="F80" s="177">
        <v>2600</v>
      </c>
      <c r="G80" s="178">
        <f t="shared" si="1"/>
        <v>4680</v>
      </c>
      <c r="H80" s="177">
        <v>6</v>
      </c>
      <c r="I80" s="177">
        <f t="shared" si="2"/>
        <v>9734.4</v>
      </c>
      <c r="J80" s="176">
        <v>3</v>
      </c>
      <c r="K80" s="177">
        <f t="shared" si="3"/>
        <v>5061.8879999999999</v>
      </c>
      <c r="L80" s="176">
        <v>0</v>
      </c>
      <c r="M80" s="177">
        <f t="shared" si="4"/>
        <v>0</v>
      </c>
      <c r="N80" s="176">
        <v>0</v>
      </c>
      <c r="O80" s="177">
        <f t="shared" si="5"/>
        <v>0</v>
      </c>
      <c r="P80" s="179">
        <f t="shared" si="6"/>
        <v>19476.288</v>
      </c>
      <c r="Q80" s="177">
        <v>0</v>
      </c>
      <c r="R80" s="180">
        <f t="shared" si="7"/>
        <v>19476.288</v>
      </c>
    </row>
    <row r="81" spans="1:18" x14ac:dyDescent="0.4">
      <c r="A81" s="130" t="s">
        <v>285</v>
      </c>
      <c r="B81" s="21" t="s">
        <v>110</v>
      </c>
      <c r="C81" s="258">
        <v>1</v>
      </c>
      <c r="D81" s="22" t="s">
        <v>43</v>
      </c>
      <c r="E81" s="176">
        <v>3</v>
      </c>
      <c r="F81" s="177">
        <v>1590</v>
      </c>
      <c r="G81" s="178">
        <f t="shared" si="1"/>
        <v>4770</v>
      </c>
      <c r="H81" s="177">
        <v>6</v>
      </c>
      <c r="I81" s="177">
        <f t="shared" si="2"/>
        <v>9921.6</v>
      </c>
      <c r="J81" s="176">
        <v>3</v>
      </c>
      <c r="K81" s="177">
        <f t="shared" si="3"/>
        <v>5159.232</v>
      </c>
      <c r="L81" s="176">
        <v>0</v>
      </c>
      <c r="M81" s="177">
        <f t="shared" si="4"/>
        <v>0</v>
      </c>
      <c r="N81" s="176">
        <v>0</v>
      </c>
      <c r="O81" s="177">
        <f t="shared" si="5"/>
        <v>0</v>
      </c>
      <c r="P81" s="179">
        <f t="shared" si="6"/>
        <v>19850.832000000002</v>
      </c>
      <c r="Q81" s="177">
        <v>0</v>
      </c>
      <c r="R81" s="180">
        <f t="shared" si="7"/>
        <v>19850.832000000002</v>
      </c>
    </row>
    <row r="82" spans="1:18" x14ac:dyDescent="0.4">
      <c r="A82" s="130" t="s">
        <v>286</v>
      </c>
      <c r="B82" s="21" t="s">
        <v>110</v>
      </c>
      <c r="C82" s="258">
        <v>1</v>
      </c>
      <c r="D82" s="22" t="s">
        <v>43</v>
      </c>
      <c r="E82" s="176">
        <f>3*7</f>
        <v>21</v>
      </c>
      <c r="F82" s="177">
        <v>810</v>
      </c>
      <c r="G82" s="178">
        <f t="shared" si="1"/>
        <v>17010</v>
      </c>
      <c r="H82" s="177">
        <f>3*7</f>
        <v>21</v>
      </c>
      <c r="I82" s="177">
        <f t="shared" si="2"/>
        <v>17690.400000000001</v>
      </c>
      <c r="J82" s="176">
        <v>0</v>
      </c>
      <c r="K82" s="177">
        <f t="shared" si="3"/>
        <v>0</v>
      </c>
      <c r="L82" s="176">
        <v>0</v>
      </c>
      <c r="M82" s="177">
        <f t="shared" si="4"/>
        <v>0</v>
      </c>
      <c r="N82" s="176">
        <v>0</v>
      </c>
      <c r="O82" s="177">
        <f t="shared" si="5"/>
        <v>0</v>
      </c>
      <c r="P82" s="179">
        <f t="shared" si="6"/>
        <v>34700.400000000001</v>
      </c>
      <c r="Q82" s="177">
        <v>0</v>
      </c>
      <c r="R82" s="180">
        <f t="shared" si="7"/>
        <v>34700.400000000001</v>
      </c>
    </row>
    <row r="83" spans="1:18" x14ac:dyDescent="0.4">
      <c r="A83" s="130" t="s">
        <v>287</v>
      </c>
      <c r="B83" s="21" t="s">
        <v>110</v>
      </c>
      <c r="C83" s="258">
        <v>0.28000000000000003</v>
      </c>
      <c r="D83" s="22" t="s">
        <v>43</v>
      </c>
      <c r="E83" s="176">
        <v>3</v>
      </c>
      <c r="F83" s="177">
        <v>2600</v>
      </c>
      <c r="G83" s="178">
        <f t="shared" si="1"/>
        <v>2184</v>
      </c>
      <c r="H83" s="177">
        <v>12</v>
      </c>
      <c r="I83" s="177">
        <f t="shared" si="2"/>
        <v>9085.44</v>
      </c>
      <c r="J83" s="176">
        <v>0</v>
      </c>
      <c r="K83" s="177">
        <f t="shared" si="3"/>
        <v>0</v>
      </c>
      <c r="L83" s="176">
        <v>0</v>
      </c>
      <c r="M83" s="177">
        <f t="shared" si="4"/>
        <v>0</v>
      </c>
      <c r="N83" s="176">
        <v>0</v>
      </c>
      <c r="O83" s="177">
        <f t="shared" si="5"/>
        <v>0</v>
      </c>
      <c r="P83" s="179">
        <f t="shared" si="6"/>
        <v>11269.44</v>
      </c>
      <c r="Q83" s="177">
        <v>0</v>
      </c>
      <c r="R83" s="180">
        <f t="shared" si="7"/>
        <v>11269.44</v>
      </c>
    </row>
    <row r="84" spans="1:18" x14ac:dyDescent="0.4">
      <c r="A84" s="130" t="s">
        <v>288</v>
      </c>
      <c r="B84" s="21" t="s">
        <v>110</v>
      </c>
      <c r="C84" s="258">
        <v>1</v>
      </c>
      <c r="D84" s="22" t="s">
        <v>43</v>
      </c>
      <c r="E84" s="176">
        <v>3</v>
      </c>
      <c r="F84" s="177">
        <v>2430</v>
      </c>
      <c r="G84" s="178">
        <f t="shared" si="1"/>
        <v>7290</v>
      </c>
      <c r="H84" s="177">
        <v>12</v>
      </c>
      <c r="I84" s="177">
        <f t="shared" si="2"/>
        <v>30326.400000000001</v>
      </c>
      <c r="J84" s="176">
        <v>2</v>
      </c>
      <c r="K84" s="177">
        <f t="shared" si="3"/>
        <v>5256.5760000000009</v>
      </c>
      <c r="L84" s="176">
        <v>0</v>
      </c>
      <c r="M84" s="177">
        <f t="shared" si="4"/>
        <v>0</v>
      </c>
      <c r="N84" s="176">
        <v>0</v>
      </c>
      <c r="O84" s="177">
        <f t="shared" si="5"/>
        <v>0</v>
      </c>
      <c r="P84" s="179">
        <f t="shared" si="6"/>
        <v>42872.976000000002</v>
      </c>
      <c r="Q84" s="177">
        <v>0</v>
      </c>
      <c r="R84" s="180">
        <f t="shared" si="7"/>
        <v>42872.976000000002</v>
      </c>
    </row>
    <row r="85" spans="1:18" x14ac:dyDescent="0.4">
      <c r="A85" s="130" t="s">
        <v>289</v>
      </c>
      <c r="B85" s="21" t="s">
        <v>110</v>
      </c>
      <c r="C85" s="258">
        <v>1</v>
      </c>
      <c r="D85" s="22" t="s">
        <v>43</v>
      </c>
      <c r="E85" s="176">
        <f>3*2</f>
        <v>6</v>
      </c>
      <c r="F85" s="177">
        <v>2035</v>
      </c>
      <c r="G85" s="178">
        <f t="shared" si="1"/>
        <v>12210</v>
      </c>
      <c r="H85" s="177">
        <f>12*2</f>
        <v>24</v>
      </c>
      <c r="I85" s="177">
        <f t="shared" si="2"/>
        <v>50793.599999999999</v>
      </c>
      <c r="J85" s="176">
        <f>2*2</f>
        <v>4</v>
      </c>
      <c r="K85" s="177">
        <f t="shared" si="3"/>
        <v>8804.2240000000002</v>
      </c>
      <c r="L85" s="176">
        <v>0</v>
      </c>
      <c r="M85" s="177">
        <f t="shared" si="4"/>
        <v>0</v>
      </c>
      <c r="N85" s="176">
        <v>0</v>
      </c>
      <c r="O85" s="177">
        <f t="shared" si="5"/>
        <v>0</v>
      </c>
      <c r="P85" s="179">
        <f t="shared" si="6"/>
        <v>71807.823999999993</v>
      </c>
      <c r="Q85" s="177">
        <v>0</v>
      </c>
      <c r="R85" s="180">
        <f t="shared" si="7"/>
        <v>71807.823999999993</v>
      </c>
    </row>
    <row r="86" spans="1:18" x14ac:dyDescent="0.4">
      <c r="A86" s="130" t="s">
        <v>290</v>
      </c>
      <c r="B86" s="21" t="s">
        <v>110</v>
      </c>
      <c r="C86" s="258">
        <v>0.83</v>
      </c>
      <c r="D86" s="22" t="s">
        <v>43</v>
      </c>
      <c r="E86" s="176">
        <v>3</v>
      </c>
      <c r="F86" s="177">
        <v>2195</v>
      </c>
      <c r="G86" s="178">
        <f t="shared" si="1"/>
        <v>5465.55</v>
      </c>
      <c r="H86" s="177">
        <v>12</v>
      </c>
      <c r="I86" s="177">
        <f t="shared" si="2"/>
        <v>22736.688000000002</v>
      </c>
      <c r="J86" s="176">
        <v>12</v>
      </c>
      <c r="K86" s="177">
        <f t="shared" si="3"/>
        <v>23646.155520000004</v>
      </c>
      <c r="L86" s="176">
        <v>0</v>
      </c>
      <c r="M86" s="177">
        <f t="shared" si="4"/>
        <v>0</v>
      </c>
      <c r="N86" s="176">
        <v>0</v>
      </c>
      <c r="O86" s="177">
        <f t="shared" si="5"/>
        <v>0</v>
      </c>
      <c r="P86" s="179">
        <f t="shared" si="6"/>
        <v>51848.393520000005</v>
      </c>
      <c r="Q86" s="177">
        <v>0</v>
      </c>
      <c r="R86" s="180">
        <f t="shared" si="7"/>
        <v>51848.393520000005</v>
      </c>
    </row>
    <row r="87" spans="1:18" x14ac:dyDescent="0.4">
      <c r="A87" s="130" t="s">
        <v>291</v>
      </c>
      <c r="B87" s="21" t="s">
        <v>110</v>
      </c>
      <c r="C87" s="258">
        <v>0.52</v>
      </c>
      <c r="D87" s="22" t="s">
        <v>43</v>
      </c>
      <c r="E87" s="176">
        <v>0</v>
      </c>
      <c r="F87" s="177">
        <v>3760</v>
      </c>
      <c r="G87" s="178">
        <f t="shared" si="1"/>
        <v>0</v>
      </c>
      <c r="H87" s="177">
        <v>8</v>
      </c>
      <c r="I87" s="177">
        <f t="shared" si="2"/>
        <v>16267.264000000001</v>
      </c>
      <c r="J87" s="176">
        <v>0</v>
      </c>
      <c r="K87" s="177">
        <f t="shared" si="3"/>
        <v>0</v>
      </c>
      <c r="L87" s="176">
        <v>0</v>
      </c>
      <c r="M87" s="177">
        <f t="shared" si="4"/>
        <v>0</v>
      </c>
      <c r="N87" s="176">
        <v>0</v>
      </c>
      <c r="O87" s="177">
        <f t="shared" si="5"/>
        <v>0</v>
      </c>
      <c r="P87" s="179">
        <f t="shared" si="6"/>
        <v>16267.264000000001</v>
      </c>
      <c r="Q87" s="177">
        <v>0</v>
      </c>
      <c r="R87" s="180">
        <f t="shared" si="7"/>
        <v>16267.264000000001</v>
      </c>
    </row>
    <row r="88" spans="1:18" x14ac:dyDescent="0.4">
      <c r="A88" s="149" t="s">
        <v>292</v>
      </c>
      <c r="B88" s="119"/>
      <c r="C88" s="264"/>
      <c r="D88" s="119"/>
      <c r="E88" s="217"/>
      <c r="F88" s="218"/>
      <c r="G88" s="219"/>
      <c r="H88" s="217"/>
      <c r="I88" s="218"/>
      <c r="J88" s="217"/>
      <c r="K88" s="218"/>
      <c r="L88" s="217"/>
      <c r="M88" s="218"/>
      <c r="N88" s="217"/>
      <c r="O88" s="218"/>
      <c r="P88" s="220"/>
      <c r="Q88" s="218">
        <v>0</v>
      </c>
      <c r="R88" s="221">
        <f t="shared" ref="R88:R92" si="8">SUM(P88:Q88)</f>
        <v>0</v>
      </c>
    </row>
    <row r="89" spans="1:18" ht="30.6" x14ac:dyDescent="0.4">
      <c r="A89" s="130" t="s">
        <v>209</v>
      </c>
      <c r="B89" s="21" t="s">
        <v>110</v>
      </c>
      <c r="C89" s="258">
        <v>0.5</v>
      </c>
      <c r="D89" s="22" t="s">
        <v>43</v>
      </c>
      <c r="E89" s="176">
        <v>0</v>
      </c>
      <c r="F89" s="177">
        <v>2800</v>
      </c>
      <c r="G89" s="178">
        <f t="shared" ref="G89:G92" si="9">F89*E89*C89</f>
        <v>0</v>
      </c>
      <c r="H89" s="177">
        <v>6</v>
      </c>
      <c r="I89" s="177">
        <f>H89*$F89*$C89*$B$5</f>
        <v>8736</v>
      </c>
      <c r="J89" s="176">
        <v>6</v>
      </c>
      <c r="K89" s="177">
        <f>J89*$F89*$C89*$B$5*$B$5</f>
        <v>9085.44</v>
      </c>
      <c r="L89" s="176">
        <v>6</v>
      </c>
      <c r="M89" s="177">
        <f>L89*$F89*$C89*$B$5*$B$5*$B$5</f>
        <v>9448.8576000000012</v>
      </c>
      <c r="N89" s="176">
        <v>0</v>
      </c>
      <c r="O89" s="177">
        <f>N89*$F89*$C89*$B$5*$B$5*$B$5*$B$5</f>
        <v>0</v>
      </c>
      <c r="P89" s="179">
        <f t="shared" ref="P89:P92" si="10">SUM(G89,I89,K89,M89,O89)</f>
        <v>27270.297600000005</v>
      </c>
      <c r="Q89" s="177">
        <v>0</v>
      </c>
      <c r="R89" s="180">
        <f t="shared" si="8"/>
        <v>27270.297600000005</v>
      </c>
    </row>
    <row r="90" spans="1:18" x14ac:dyDescent="0.4">
      <c r="A90" s="130" t="s">
        <v>210</v>
      </c>
      <c r="B90" s="21" t="s">
        <v>110</v>
      </c>
      <c r="C90" s="258">
        <v>0.6</v>
      </c>
      <c r="D90" s="22" t="s">
        <v>43</v>
      </c>
      <c r="E90" s="176">
        <v>0</v>
      </c>
      <c r="F90" s="177">
        <v>2600</v>
      </c>
      <c r="G90" s="178">
        <f t="shared" si="9"/>
        <v>0</v>
      </c>
      <c r="H90" s="177">
        <v>0</v>
      </c>
      <c r="I90" s="177">
        <f>H90*$F90*$C90*$B$5</f>
        <v>0</v>
      </c>
      <c r="J90" s="176">
        <v>3</v>
      </c>
      <c r="K90" s="177">
        <f>J90*$F90*$C90*$B$5*$B$5</f>
        <v>5061.8879999999999</v>
      </c>
      <c r="L90" s="176">
        <v>3</v>
      </c>
      <c r="M90" s="177">
        <f>L90*$F90*$C90*$B$5*$B$5*$B$5</f>
        <v>5264.3635199999999</v>
      </c>
      <c r="N90" s="176">
        <v>0</v>
      </c>
      <c r="O90" s="177">
        <f>N90*$F90*$C90*$B$5*$B$5*$B$5*$B$5</f>
        <v>0</v>
      </c>
      <c r="P90" s="179">
        <f t="shared" si="10"/>
        <v>10326.25152</v>
      </c>
      <c r="Q90" s="177">
        <v>0</v>
      </c>
      <c r="R90" s="180">
        <f t="shared" si="8"/>
        <v>10326.25152</v>
      </c>
    </row>
    <row r="91" spans="1:18" x14ac:dyDescent="0.4">
      <c r="A91" s="130" t="s">
        <v>211</v>
      </c>
      <c r="B91" s="21" t="s">
        <v>110</v>
      </c>
      <c r="C91" s="258">
        <v>1</v>
      </c>
      <c r="D91" s="22" t="s">
        <v>43</v>
      </c>
      <c r="E91" s="176">
        <v>0</v>
      </c>
      <c r="F91" s="177">
        <v>1590</v>
      </c>
      <c r="G91" s="178">
        <f t="shared" si="9"/>
        <v>0</v>
      </c>
      <c r="H91" s="177">
        <v>0</v>
      </c>
      <c r="I91" s="177">
        <f>H91*$F91*$C91*$B$5</f>
        <v>0</v>
      </c>
      <c r="J91" s="176">
        <v>3</v>
      </c>
      <c r="K91" s="177">
        <f>J91*$F91*$C91*$B$5*$B$5</f>
        <v>5159.232</v>
      </c>
      <c r="L91" s="176">
        <v>3</v>
      </c>
      <c r="M91" s="177">
        <f>L91*$F91*$C91*$B$5*$B$5*$B$5</f>
        <v>5365.6012799999999</v>
      </c>
      <c r="N91" s="176">
        <v>0</v>
      </c>
      <c r="O91" s="177">
        <f>N91*$F91*$C91*$B$5*$B$5*$B$5*$B$5</f>
        <v>0</v>
      </c>
      <c r="P91" s="179">
        <f t="shared" si="10"/>
        <v>10524.833279999999</v>
      </c>
      <c r="Q91" s="177">
        <v>0</v>
      </c>
      <c r="R91" s="180">
        <f t="shared" si="8"/>
        <v>10524.833279999999</v>
      </c>
    </row>
    <row r="92" spans="1:18" x14ac:dyDescent="0.4">
      <c r="A92" s="130" t="s">
        <v>212</v>
      </c>
      <c r="B92" s="21" t="s">
        <v>110</v>
      </c>
      <c r="C92" s="258">
        <v>1</v>
      </c>
      <c r="D92" s="22" t="s">
        <v>43</v>
      </c>
      <c r="E92" s="176">
        <v>0</v>
      </c>
      <c r="F92" s="177">
        <v>3070</v>
      </c>
      <c r="G92" s="178">
        <f t="shared" si="9"/>
        <v>0</v>
      </c>
      <c r="H92" s="177">
        <f>3*2</f>
        <v>6</v>
      </c>
      <c r="I92" s="177">
        <f>H92*$F92*$C92*$B$5</f>
        <v>19156.8</v>
      </c>
      <c r="J92" s="176">
        <f>3*2</f>
        <v>6</v>
      </c>
      <c r="K92" s="177">
        <f>J92*$F92*$C92*$B$5*$B$5</f>
        <v>19923.072</v>
      </c>
      <c r="L92" s="176">
        <v>6</v>
      </c>
      <c r="M92" s="177">
        <f>L92*$F92*$C92*$B$5*$B$5*$B$5</f>
        <v>20719.994880000002</v>
      </c>
      <c r="N92" s="176">
        <v>0</v>
      </c>
      <c r="O92" s="177">
        <f>N92*$F92*$C92*$B$5*$B$5*$B$5*$B$5</f>
        <v>0</v>
      </c>
      <c r="P92" s="179">
        <f t="shared" si="10"/>
        <v>59799.866880000001</v>
      </c>
      <c r="Q92" s="177">
        <v>0</v>
      </c>
      <c r="R92" s="180">
        <f t="shared" si="8"/>
        <v>59799.866880000001</v>
      </c>
    </row>
    <row r="93" spans="1:18" ht="15.6" thickBot="1" x14ac:dyDescent="0.45">
      <c r="A93" s="167" t="s">
        <v>116</v>
      </c>
      <c r="B93" s="153"/>
      <c r="C93" s="155"/>
      <c r="D93" s="153"/>
      <c r="E93" s="225"/>
      <c r="F93" s="226"/>
      <c r="G93" s="227">
        <f>SUM(G70:G92)</f>
        <v>131694.29999999999</v>
      </c>
      <c r="H93" s="228"/>
      <c r="I93" s="227">
        <f>SUM(I70:I92)</f>
        <v>680597.63199999998</v>
      </c>
      <c r="J93" s="229"/>
      <c r="K93" s="227">
        <f>SUM(K70:K92)</f>
        <v>592752.70912000013</v>
      </c>
      <c r="L93" s="229"/>
      <c r="M93" s="227">
        <f>SUM(M70:M92)</f>
        <v>378112.90982400003</v>
      </c>
      <c r="N93" s="229"/>
      <c r="O93" s="227">
        <f>SUM(O70:O92)</f>
        <v>0</v>
      </c>
      <c r="P93" s="312">
        <f>SUM(P70:P92)</f>
        <v>1783157.5509439998</v>
      </c>
      <c r="Q93" s="228">
        <f>SUM(Q70:Q92)</f>
        <v>0</v>
      </c>
      <c r="R93" s="230">
        <f>SUM(R70:R92)</f>
        <v>1783157.5509439998</v>
      </c>
    </row>
    <row r="94" spans="1:18" x14ac:dyDescent="0.4">
      <c r="A94" s="32" t="s">
        <v>117</v>
      </c>
      <c r="B94" s="16"/>
      <c r="C94" s="16"/>
      <c r="D94" s="16"/>
      <c r="E94" s="188"/>
      <c r="F94" s="189"/>
      <c r="G94" s="309"/>
      <c r="H94" s="310"/>
      <c r="I94" s="310"/>
      <c r="J94" s="311"/>
      <c r="K94" s="310"/>
      <c r="L94" s="311"/>
      <c r="M94" s="310"/>
      <c r="N94" s="311"/>
      <c r="O94" s="309"/>
      <c r="P94" s="210"/>
      <c r="Q94" s="310"/>
      <c r="R94" s="211"/>
    </row>
    <row r="95" spans="1:18" x14ac:dyDescent="0.4">
      <c r="A95" s="92" t="s">
        <v>117</v>
      </c>
      <c r="C95" s="22"/>
      <c r="E95" s="176">
        <v>0</v>
      </c>
      <c r="F95" s="177">
        <v>0</v>
      </c>
      <c r="G95" s="178">
        <v>0</v>
      </c>
      <c r="H95" s="177">
        <v>0</v>
      </c>
      <c r="I95" s="177">
        <v>0</v>
      </c>
      <c r="J95" s="176">
        <v>0</v>
      </c>
      <c r="K95" s="177">
        <v>0</v>
      </c>
      <c r="L95" s="176">
        <v>0</v>
      </c>
      <c r="M95" s="177">
        <v>0</v>
      </c>
      <c r="N95" s="176">
        <v>0</v>
      </c>
      <c r="O95" s="178">
        <v>0</v>
      </c>
      <c r="P95" s="179">
        <f>SUM(G95,I95,K95,M95,O95)</f>
        <v>0</v>
      </c>
      <c r="Q95" s="177">
        <v>0</v>
      </c>
      <c r="R95" s="180">
        <f>SUM(P95:Q95)</f>
        <v>0</v>
      </c>
    </row>
    <row r="96" spans="1:18" ht="15.6" thickBot="1" x14ac:dyDescent="0.45">
      <c r="A96" s="156" t="s">
        <v>246</v>
      </c>
      <c r="B96" s="153"/>
      <c r="C96" s="153"/>
      <c r="D96" s="154"/>
      <c r="E96" s="197"/>
      <c r="F96" s="198"/>
      <c r="G96" s="199">
        <f>SUM(G95)</f>
        <v>0</v>
      </c>
      <c r="H96" s="198"/>
      <c r="I96" s="198">
        <f>SUM(I95)</f>
        <v>0</v>
      </c>
      <c r="J96" s="197"/>
      <c r="K96" s="198">
        <f>SUM(K95)</f>
        <v>0</v>
      </c>
      <c r="L96" s="197"/>
      <c r="M96" s="198">
        <f>SUM(M95)</f>
        <v>0</v>
      </c>
      <c r="N96" s="197"/>
      <c r="O96" s="199">
        <f>SUM(O95)</f>
        <v>0</v>
      </c>
      <c r="P96" s="308">
        <f>SUM(P95)</f>
        <v>0</v>
      </c>
      <c r="Q96" s="198">
        <f>SUM(Q95)</f>
        <v>0</v>
      </c>
      <c r="R96" s="200">
        <f>SUM(P96:Q96)</f>
        <v>0</v>
      </c>
    </row>
    <row r="97" spans="1:18" x14ac:dyDescent="0.4">
      <c r="A97" s="118" t="s">
        <v>247</v>
      </c>
      <c r="B97" s="81"/>
      <c r="C97" s="81"/>
      <c r="D97" s="81"/>
      <c r="E97" s="231"/>
      <c r="F97" s="232"/>
      <c r="G97" s="233"/>
      <c r="H97" s="232"/>
      <c r="I97" s="232"/>
      <c r="J97" s="231"/>
      <c r="K97" s="232"/>
      <c r="L97" s="231"/>
      <c r="M97" s="232"/>
      <c r="N97" s="231"/>
      <c r="O97" s="233"/>
      <c r="P97" s="234"/>
      <c r="Q97" s="232"/>
      <c r="R97" s="235"/>
    </row>
    <row r="98" spans="1:18" x14ac:dyDescent="0.4">
      <c r="A98" s="120" t="s">
        <v>120</v>
      </c>
      <c r="B98" s="83"/>
      <c r="C98" s="83"/>
      <c r="D98" s="83"/>
      <c r="E98" s="236"/>
      <c r="F98" s="237"/>
      <c r="G98" s="313"/>
      <c r="H98" s="314"/>
      <c r="I98" s="314"/>
      <c r="J98" s="315"/>
      <c r="K98" s="314"/>
      <c r="L98" s="315"/>
      <c r="M98" s="314"/>
      <c r="N98" s="315"/>
      <c r="O98" s="313"/>
      <c r="P98" s="215"/>
      <c r="Q98" s="314"/>
      <c r="R98" s="216"/>
    </row>
    <row r="99" spans="1:18" x14ac:dyDescent="0.4">
      <c r="A99" s="130" t="s">
        <v>293</v>
      </c>
      <c r="B99" s="21" t="s">
        <v>98</v>
      </c>
      <c r="C99" s="258">
        <v>1</v>
      </c>
      <c r="D99" s="22" t="s">
        <v>43</v>
      </c>
      <c r="E99" s="176">
        <v>6</v>
      </c>
      <c r="F99" s="177">
        <v>860</v>
      </c>
      <c r="G99" s="178">
        <f>F99*E99*C99</f>
        <v>5160</v>
      </c>
      <c r="H99" s="177">
        <v>12</v>
      </c>
      <c r="I99" s="177">
        <f>H99*$F99*$C99*$B$5</f>
        <v>10732.800000000001</v>
      </c>
      <c r="J99" s="176">
        <v>12</v>
      </c>
      <c r="K99" s="177">
        <f>J99*$F99*$C99*$B$5*$B$5</f>
        <v>11162.112000000001</v>
      </c>
      <c r="L99" s="176">
        <v>6</v>
      </c>
      <c r="M99" s="177">
        <f>L99*$F99*$C99*$B$5*$B$5*$B$5</f>
        <v>5804.298240000001</v>
      </c>
      <c r="N99" s="176"/>
      <c r="O99" s="178">
        <f>N99*$F99*$C99*$B$5*$B$5*$B$5*$B$5</f>
        <v>0</v>
      </c>
      <c r="P99" s="179">
        <f>SUM(G99,I99,K99,M99,O99)</f>
        <v>32859.210240000008</v>
      </c>
      <c r="Q99" s="177">
        <v>0</v>
      </c>
      <c r="R99" s="180">
        <f>SUM(P99:Q99)</f>
        <v>32859.210240000008</v>
      </c>
    </row>
    <row r="100" spans="1:18" x14ac:dyDescent="0.4">
      <c r="A100" s="130" t="s">
        <v>294</v>
      </c>
      <c r="B100" s="21" t="s">
        <v>98</v>
      </c>
      <c r="C100" s="258">
        <v>1</v>
      </c>
      <c r="D100" s="22" t="s">
        <v>43</v>
      </c>
      <c r="E100" s="176">
        <v>6</v>
      </c>
      <c r="F100" s="177">
        <v>340</v>
      </c>
      <c r="G100" s="178">
        <f>F100*E100*C100</f>
        <v>2040</v>
      </c>
      <c r="H100" s="177">
        <v>12</v>
      </c>
      <c r="I100" s="177">
        <f>H100*$F100*$C100*$B$5</f>
        <v>4243.2</v>
      </c>
      <c r="J100" s="176">
        <v>12</v>
      </c>
      <c r="K100" s="177">
        <f>J100*$F100*$C100*$B$5*$B$5</f>
        <v>4412.9279999999999</v>
      </c>
      <c r="L100" s="176">
        <v>6</v>
      </c>
      <c r="M100" s="177">
        <f>L100*$F100*$C100*$B$5*$B$5*$B$5</f>
        <v>2294.7225600000002</v>
      </c>
      <c r="N100" s="176"/>
      <c r="O100" s="178">
        <f>N100*$F100*$C100*$B$5*$B$5*$B$5*$B$5</f>
        <v>0</v>
      </c>
      <c r="P100" s="179">
        <f>SUM(G100,I100,K100,M100,O100)</f>
        <v>12990.850560000001</v>
      </c>
      <c r="Q100" s="177">
        <v>0</v>
      </c>
      <c r="R100" s="180">
        <f>SUM(P100:Q100)</f>
        <v>12990.850560000001</v>
      </c>
    </row>
    <row r="101" spans="1:18" x14ac:dyDescent="0.4">
      <c r="A101" s="130" t="s">
        <v>295</v>
      </c>
      <c r="B101" s="21" t="s">
        <v>98</v>
      </c>
      <c r="C101" s="258">
        <v>1</v>
      </c>
      <c r="D101" s="22" t="s">
        <v>43</v>
      </c>
      <c r="E101" s="176">
        <v>6</v>
      </c>
      <c r="F101" s="177">
        <v>270</v>
      </c>
      <c r="G101" s="178">
        <f>F101*E101*C101</f>
        <v>1620</v>
      </c>
      <c r="H101" s="177">
        <v>12</v>
      </c>
      <c r="I101" s="177">
        <f>H101*$F101*$C101*$B$5</f>
        <v>3369.6</v>
      </c>
      <c r="J101" s="176">
        <v>12</v>
      </c>
      <c r="K101" s="177">
        <f>J101*$F101*$C101*$B$5*$B$5</f>
        <v>3504.384</v>
      </c>
      <c r="L101" s="176">
        <v>6</v>
      </c>
      <c r="M101" s="177">
        <f>L101*$F101*$C101*$B$5*$B$5*$B$5</f>
        <v>1822.2796800000001</v>
      </c>
      <c r="N101" s="176"/>
      <c r="O101" s="178">
        <f>N101*$F101*$C101*$B$5*$B$5*$B$5*$B$5</f>
        <v>0</v>
      </c>
      <c r="P101" s="179">
        <f>SUM(G101,I101,K101,M101,O101)</f>
        <v>10316.26368</v>
      </c>
      <c r="Q101" s="177">
        <v>0</v>
      </c>
      <c r="R101" s="180">
        <f>SUM(P101:Q101)</f>
        <v>10316.26368</v>
      </c>
    </row>
    <row r="102" spans="1:18" x14ac:dyDescent="0.4">
      <c r="A102" s="130" t="s">
        <v>296</v>
      </c>
      <c r="B102" s="21" t="s">
        <v>98</v>
      </c>
      <c r="C102" s="258">
        <v>1</v>
      </c>
      <c r="D102" s="22" t="s">
        <v>43</v>
      </c>
      <c r="E102" s="176">
        <v>6</v>
      </c>
      <c r="F102" s="177">
        <v>290</v>
      </c>
      <c r="G102" s="178">
        <f>F102*E102*C102</f>
        <v>1740</v>
      </c>
      <c r="H102" s="177">
        <v>12</v>
      </c>
      <c r="I102" s="177">
        <f>H102*$F102*$C102*$B$5</f>
        <v>3619.2000000000003</v>
      </c>
      <c r="J102" s="176">
        <v>12</v>
      </c>
      <c r="K102" s="177">
        <f>J102*$F102*$C102*$B$5*$B$5</f>
        <v>3763.9680000000003</v>
      </c>
      <c r="L102" s="176">
        <v>6</v>
      </c>
      <c r="M102" s="177">
        <f>L102*$F102*$C102*$B$5*$B$5*$B$5</f>
        <v>1957.2633600000001</v>
      </c>
      <c r="N102" s="176"/>
      <c r="O102" s="178">
        <f>N102*$F102*$C102*$B$5*$B$5*$B$5*$B$5</f>
        <v>0</v>
      </c>
      <c r="P102" s="179">
        <f>SUM(G102,I102,K102,M102,O102)</f>
        <v>11080.431360000002</v>
      </c>
      <c r="Q102" s="177">
        <v>0</v>
      </c>
      <c r="R102" s="180">
        <f>SUM(P102:Q102)</f>
        <v>11080.431360000002</v>
      </c>
    </row>
    <row r="103" spans="1:18" x14ac:dyDescent="0.4">
      <c r="A103" s="130" t="s">
        <v>297</v>
      </c>
      <c r="B103" s="21" t="s">
        <v>98</v>
      </c>
      <c r="C103" s="258">
        <v>1</v>
      </c>
      <c r="D103" s="22" t="s">
        <v>43</v>
      </c>
      <c r="E103" s="176">
        <v>6</v>
      </c>
      <c r="F103" s="177">
        <v>140</v>
      </c>
      <c r="G103" s="178">
        <f>F103*E103*C103</f>
        <v>840</v>
      </c>
      <c r="H103" s="177">
        <v>12</v>
      </c>
      <c r="I103" s="177">
        <f>H103*$F103*$C103*$B$5</f>
        <v>1747.2</v>
      </c>
      <c r="J103" s="176">
        <v>12</v>
      </c>
      <c r="K103" s="177">
        <f>J103*$F103*$C103*$B$5*$B$5</f>
        <v>1817.0880000000002</v>
      </c>
      <c r="L103" s="176">
        <v>6</v>
      </c>
      <c r="M103" s="177">
        <f>L103*$F103*$C103*$B$5*$B$5*$B$5</f>
        <v>944.88576000000012</v>
      </c>
      <c r="N103" s="176"/>
      <c r="O103" s="178">
        <f>N103*$F103*$C103*$B$5*$B$5*$B$5*$B$5</f>
        <v>0</v>
      </c>
      <c r="P103" s="179">
        <f>SUM(G103,I103,K103,M103,O103)</f>
        <v>5349.1737600000006</v>
      </c>
      <c r="Q103" s="177">
        <v>0</v>
      </c>
      <c r="R103" s="180">
        <f>SUM(P103:Q103)</f>
        <v>5349.1737600000006</v>
      </c>
    </row>
    <row r="104" spans="1:18" ht="15.6" thickBot="1" x14ac:dyDescent="0.45">
      <c r="A104" s="168" t="s">
        <v>250</v>
      </c>
      <c r="B104" s="171"/>
      <c r="C104" s="172"/>
      <c r="D104" s="172"/>
      <c r="E104" s="241"/>
      <c r="F104" s="242"/>
      <c r="G104" s="243">
        <f>SUM(G99:G103)</f>
        <v>11400</v>
      </c>
      <c r="H104" s="242"/>
      <c r="I104" s="242">
        <f>SUM(I99:I103)</f>
        <v>23712</v>
      </c>
      <c r="J104" s="241"/>
      <c r="K104" s="242">
        <f>SUM(K99:K103)</f>
        <v>24660.48</v>
      </c>
      <c r="L104" s="241"/>
      <c r="M104" s="242">
        <f>SUM(M99:M103)</f>
        <v>12823.449600000004</v>
      </c>
      <c r="N104" s="241"/>
      <c r="O104" s="243">
        <f>SUM(O99:O103)</f>
        <v>0</v>
      </c>
      <c r="P104" s="316">
        <f>SUM(P99:P103)</f>
        <v>72595.929600000018</v>
      </c>
      <c r="Q104" s="242">
        <f>SUM(Q99:Q103)</f>
        <v>0</v>
      </c>
      <c r="R104" s="244">
        <f>SUM(R99:R103)</f>
        <v>72595.929600000018</v>
      </c>
    </row>
    <row r="105" spans="1:18" x14ac:dyDescent="0.4">
      <c r="A105" s="143"/>
      <c r="B105" s="144"/>
      <c r="C105" s="145"/>
      <c r="D105" s="145"/>
      <c r="E105" s="322"/>
      <c r="F105" s="323"/>
      <c r="G105" s="324"/>
      <c r="H105" s="323"/>
      <c r="I105" s="323"/>
      <c r="J105" s="322"/>
      <c r="K105" s="323"/>
      <c r="L105" s="322"/>
      <c r="M105" s="323"/>
      <c r="N105" s="322"/>
      <c r="O105" s="324"/>
      <c r="P105" s="325"/>
      <c r="Q105" s="323"/>
      <c r="R105" s="326"/>
    </row>
    <row r="106" spans="1:18" ht="15.6" thickBot="1" x14ac:dyDescent="0.45">
      <c r="A106" s="148" t="s">
        <v>264</v>
      </c>
      <c r="B106" s="79"/>
      <c r="C106" s="79"/>
      <c r="D106" s="79"/>
      <c r="E106" s="327"/>
      <c r="F106" s="328"/>
      <c r="G106" s="329">
        <f>SUM(G99:G104)/2</f>
        <v>11400</v>
      </c>
      <c r="H106" s="327"/>
      <c r="I106" s="329">
        <f>SUM(I99:I104)/2</f>
        <v>23712</v>
      </c>
      <c r="J106" s="327"/>
      <c r="K106" s="329">
        <f>SUM(K99:K104)/2</f>
        <v>24660.48</v>
      </c>
      <c r="L106" s="327"/>
      <c r="M106" s="329">
        <f>SUM(M99:M104)/2</f>
        <v>12823.449600000004</v>
      </c>
      <c r="N106" s="327"/>
      <c r="O106" s="329">
        <f>SUM(O99:O104)/2</f>
        <v>0</v>
      </c>
      <c r="P106" s="330">
        <f>SUM(P99:P104)/2</f>
        <v>72595.929600000018</v>
      </c>
      <c r="Q106" s="328">
        <f>SUM(Q99:Q104)/2</f>
        <v>0</v>
      </c>
      <c r="R106" s="331">
        <f>SUM(R99:R104)/2</f>
        <v>72595.929600000018</v>
      </c>
    </row>
    <row r="107" spans="1:18" x14ac:dyDescent="0.4">
      <c r="A107" s="132"/>
      <c r="B107" s="35"/>
      <c r="C107" s="35"/>
      <c r="E107" s="206"/>
      <c r="F107" s="196"/>
      <c r="G107" s="304"/>
      <c r="H107" s="196"/>
      <c r="I107" s="196"/>
      <c r="J107" s="303"/>
      <c r="K107" s="196"/>
      <c r="L107" s="303"/>
      <c r="M107" s="196"/>
      <c r="N107" s="303"/>
      <c r="O107" s="304"/>
      <c r="P107" s="305"/>
      <c r="Q107" s="196"/>
      <c r="R107" s="306"/>
    </row>
    <row r="108" spans="1:18" ht="15.6" thickBot="1" x14ac:dyDescent="0.45">
      <c r="A108" s="138" t="s">
        <v>265</v>
      </c>
      <c r="B108" s="94"/>
      <c r="C108" s="94"/>
      <c r="D108" s="94"/>
      <c r="E108" s="201"/>
      <c r="F108" s="202"/>
      <c r="G108" s="253">
        <f>SUM(G14+G17+G61+G67++G106+G93+G64)</f>
        <v>213286.58</v>
      </c>
      <c r="H108" s="202"/>
      <c r="I108" s="202">
        <f>SUM(I14+I17+I61+I67++I106+I93+I64)</f>
        <v>851631.66</v>
      </c>
      <c r="J108" s="254"/>
      <c r="K108" s="202">
        <f>SUM(K14+K17+K61+K67++K106+K93+K64)</f>
        <v>772016.28812000016</v>
      </c>
      <c r="L108" s="254"/>
      <c r="M108" s="202">
        <f>SUM(M14+M17+M61+M67++M106+M93+M64)</f>
        <v>553181.18175800005</v>
      </c>
      <c r="N108" s="254"/>
      <c r="O108" s="253">
        <f>SUM(O14+O17+O61+O67++O106+O93+O64)</f>
        <v>0</v>
      </c>
      <c r="P108" s="332">
        <f>SUM(P14+P17+P61+P67++P106+P93+P64)</f>
        <v>2390115.709878</v>
      </c>
      <c r="Q108" s="202">
        <f>SUM(Q14+Q17+Q61+Q67++Q106+Q93+Q64)</f>
        <v>0</v>
      </c>
      <c r="R108" s="255">
        <f>SUM(R14+R17+R61+R67++R106+R93+R64)</f>
        <v>2390115.709878</v>
      </c>
    </row>
    <row r="109" spans="1:18" x14ac:dyDescent="0.4">
      <c r="A109" s="34"/>
      <c r="B109" s="30"/>
      <c r="C109" s="30"/>
      <c r="E109" s="206"/>
      <c r="F109" s="196"/>
      <c r="G109" s="304"/>
      <c r="H109" s="196"/>
      <c r="I109" s="196"/>
      <c r="J109" s="303"/>
      <c r="K109" s="196"/>
      <c r="L109" s="303"/>
      <c r="M109" s="196"/>
      <c r="N109" s="303"/>
      <c r="O109" s="304"/>
      <c r="P109" s="305"/>
      <c r="Q109" s="196"/>
      <c r="R109" s="306"/>
    </row>
    <row r="110" spans="1:18" x14ac:dyDescent="0.4">
      <c r="A110" s="133" t="s">
        <v>266</v>
      </c>
      <c r="B110" s="147" t="s">
        <v>267</v>
      </c>
      <c r="D110" s="35"/>
      <c r="E110" s="206"/>
      <c r="F110" s="36">
        <v>0.1</v>
      </c>
      <c r="G110" s="178">
        <f>(G108)*$F$110</f>
        <v>21328.657999999999</v>
      </c>
      <c r="H110" s="177"/>
      <c r="I110" s="178">
        <f>(I108)*$F$110</f>
        <v>85163.166000000012</v>
      </c>
      <c r="J110" s="176"/>
      <c r="K110" s="178">
        <f>(K108)*$F$110</f>
        <v>77201.628812000024</v>
      </c>
      <c r="L110" s="224"/>
      <c r="M110" s="178">
        <f>(M108)*$F$110</f>
        <v>55318.118175800009</v>
      </c>
      <c r="N110" s="224"/>
      <c r="O110" s="178">
        <f>(O108)*$F$110</f>
        <v>0</v>
      </c>
      <c r="P110" s="179">
        <f>SUM(G110,I110,K110,M110,O110)</f>
        <v>239011.57098780005</v>
      </c>
      <c r="Q110" s="177">
        <v>0</v>
      </c>
      <c r="R110" s="180">
        <f>SUM(P110:Q110)</f>
        <v>239011.57098780005</v>
      </c>
    </row>
    <row r="111" spans="1:18" x14ac:dyDescent="0.4">
      <c r="A111" s="133"/>
      <c r="B111" s="147"/>
      <c r="D111" s="35"/>
      <c r="E111" s="206"/>
      <c r="F111" s="177"/>
      <c r="G111" s="178"/>
      <c r="H111" s="177"/>
      <c r="I111" s="177"/>
      <c r="J111" s="176"/>
      <c r="K111" s="177"/>
      <c r="L111" s="224"/>
      <c r="M111" s="177"/>
      <c r="N111" s="224"/>
      <c r="O111" s="178"/>
      <c r="P111" s="179"/>
      <c r="Q111" s="177"/>
      <c r="R111" s="180"/>
    </row>
    <row r="112" spans="1:18" x14ac:dyDescent="0.4">
      <c r="A112" s="95"/>
      <c r="B112" s="86"/>
      <c r="C112" s="86"/>
      <c r="D112" s="96"/>
      <c r="E112" s="195"/>
      <c r="F112" s="196"/>
      <c r="G112" s="304"/>
      <c r="H112" s="196"/>
      <c r="I112" s="196"/>
      <c r="J112" s="303"/>
      <c r="K112" s="196"/>
      <c r="L112" s="303"/>
      <c r="M112" s="196"/>
      <c r="N112" s="303"/>
      <c r="O112" s="304"/>
      <c r="P112" s="305"/>
      <c r="Q112" s="196"/>
      <c r="R112" s="306"/>
    </row>
    <row r="113" spans="1:18" ht="15.6" thickBot="1" x14ac:dyDescent="0.45">
      <c r="A113" s="138" t="s">
        <v>268</v>
      </c>
      <c r="B113" s="94"/>
      <c r="C113" s="94"/>
      <c r="D113" s="94"/>
      <c r="E113" s="201"/>
      <c r="F113" s="202"/>
      <c r="G113" s="203">
        <f>G108+G110+G111</f>
        <v>234615.23799999998</v>
      </c>
      <c r="H113" s="204"/>
      <c r="I113" s="203">
        <f>I108+I110+I111</f>
        <v>936794.826</v>
      </c>
      <c r="J113" s="205"/>
      <c r="K113" s="203">
        <f>K108+K110+K111</f>
        <v>849217.9169320002</v>
      </c>
      <c r="L113" s="205"/>
      <c r="M113" s="203">
        <f>M108+M110+M111</f>
        <v>608499.29993380001</v>
      </c>
      <c r="N113" s="205"/>
      <c r="O113" s="203">
        <f>O108+O110+O111</f>
        <v>0</v>
      </c>
      <c r="P113" s="203">
        <f>P108+P110+P111</f>
        <v>2629127.2808658001</v>
      </c>
      <c r="Q113" s="204">
        <f>Q108+Q110+Q111</f>
        <v>0</v>
      </c>
      <c r="R113" s="307">
        <f>R108+R110+R111</f>
        <v>2629127.2808658001</v>
      </c>
    </row>
    <row r="115" spans="1:18" x14ac:dyDescent="0.4">
      <c r="R115" s="98"/>
    </row>
    <row r="116" spans="1:18" x14ac:dyDescent="0.4">
      <c r="P116" s="33"/>
      <c r="Q116" s="33"/>
      <c r="R116" s="302"/>
    </row>
    <row r="117" spans="1:18" x14ac:dyDescent="0.4">
      <c r="A117" s="99"/>
      <c r="B117" s="99"/>
      <c r="C117" s="99"/>
      <c r="D117" s="75"/>
      <c r="P117" s="33"/>
      <c r="Q117" s="33"/>
      <c r="R117" s="33"/>
    </row>
    <row r="118" spans="1:18" x14ac:dyDescent="0.4">
      <c r="A118" s="99"/>
      <c r="B118" s="99"/>
      <c r="C118" s="99"/>
      <c r="D118" s="100"/>
      <c r="J118" s="33"/>
      <c r="P118" s="33"/>
      <c r="Q118" s="33"/>
      <c r="R118" s="33"/>
    </row>
    <row r="119" spans="1:18" x14ac:dyDescent="0.4">
      <c r="J119" s="33"/>
      <c r="P119" s="33"/>
      <c r="Q119" s="33"/>
      <c r="R119" s="33"/>
    </row>
    <row r="120" spans="1:18" x14ac:dyDescent="0.4">
      <c r="J120" s="33"/>
      <c r="P120" s="33"/>
      <c r="Q120" s="33"/>
      <c r="R120" s="33"/>
    </row>
  </sheetData>
  <mergeCells count="4">
    <mergeCell ref="A1:R1"/>
    <mergeCell ref="A2:R2"/>
    <mergeCell ref="A3:R3"/>
    <mergeCell ref="A4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C93F-382C-4F2A-B1D4-55F5098F8F57}">
  <sheetPr>
    <tabColor rgb="FF70A8E0"/>
    <pageSetUpPr fitToPage="1"/>
  </sheetPr>
  <dimension ref="A3:G22"/>
  <sheetViews>
    <sheetView topLeftCell="A3" zoomScaleNormal="100" workbookViewId="0">
      <selection activeCell="K9" sqref="K9"/>
    </sheetView>
  </sheetViews>
  <sheetFormatPr defaultColWidth="8.71875" defaultRowHeight="12.6" x14ac:dyDescent="0.45"/>
  <cols>
    <col min="1" max="1" width="41" style="3" bestFit="1" customWidth="1"/>
    <col min="2" max="2" width="13" style="3" bestFit="1" customWidth="1"/>
    <col min="3" max="4" width="12.83203125" style="3" bestFit="1" customWidth="1"/>
    <col min="5" max="5" width="13.71875" style="3" bestFit="1" customWidth="1"/>
    <col min="6" max="6" width="13.5546875" style="3" customWidth="1"/>
    <col min="7" max="7" width="24.44140625" style="3" customWidth="1"/>
    <col min="8" max="16384" width="8.71875" style="3"/>
  </cols>
  <sheetData>
    <row r="3" spans="1:7" ht="16.149999999999999" customHeight="1" x14ac:dyDescent="0.45">
      <c r="A3" s="423" t="s">
        <v>0</v>
      </c>
      <c r="B3" s="423"/>
      <c r="C3" s="423"/>
      <c r="D3" s="423"/>
      <c r="E3" s="423"/>
      <c r="F3" s="423"/>
      <c r="G3" s="423"/>
    </row>
    <row r="4" spans="1:7" ht="15.6" customHeight="1" x14ac:dyDescent="0.45">
      <c r="A4" s="424" t="s">
        <v>1</v>
      </c>
      <c r="B4" s="424"/>
      <c r="C4" s="424"/>
      <c r="D4" s="424"/>
      <c r="E4" s="424"/>
      <c r="F4" s="424"/>
      <c r="G4" s="424"/>
    </row>
    <row r="5" spans="1:7" ht="15.3" x14ac:dyDescent="0.45">
      <c r="A5" s="425" t="s">
        <v>215</v>
      </c>
      <c r="B5" s="425"/>
      <c r="C5" s="425"/>
      <c r="D5" s="425"/>
      <c r="E5" s="425"/>
      <c r="F5" s="425"/>
      <c r="G5" s="425"/>
    </row>
    <row r="6" spans="1:7" ht="15.6" customHeight="1" x14ac:dyDescent="0.45">
      <c r="A6" s="424" t="s">
        <v>216</v>
      </c>
      <c r="B6" s="424"/>
      <c r="C6" s="424"/>
      <c r="D6" s="424"/>
      <c r="E6" s="424"/>
      <c r="F6" s="424"/>
      <c r="G6" s="424"/>
    </row>
    <row r="7" spans="1:7" ht="12.9" thickBot="1" x14ac:dyDescent="0.5">
      <c r="A7" s="4"/>
      <c r="B7" s="4"/>
      <c r="C7" s="4"/>
      <c r="D7" s="4"/>
      <c r="E7" s="5"/>
      <c r="F7" s="5"/>
    </row>
    <row r="8" spans="1:7" ht="30.3" thickBot="1" x14ac:dyDescent="0.55000000000000004">
      <c r="A8" s="6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19" t="s">
        <v>9</v>
      </c>
    </row>
    <row r="9" spans="1:7" ht="15" x14ac:dyDescent="0.5">
      <c r="A9" s="8"/>
      <c r="B9" s="9"/>
      <c r="C9" s="9"/>
      <c r="D9" s="10"/>
      <c r="E9" s="10"/>
      <c r="F9" s="9"/>
      <c r="G9" s="11"/>
    </row>
    <row r="10" spans="1:7" ht="15.3" x14ac:dyDescent="0.55000000000000004">
      <c r="A10" s="12" t="s">
        <v>10</v>
      </c>
      <c r="B10" s="102">
        <f>+'FES Sub Budget'!G14</f>
        <v>31380</v>
      </c>
      <c r="C10" s="102">
        <f>+'FES Sub Budget'!I14</f>
        <v>91476</v>
      </c>
      <c r="D10" s="102">
        <f>+'FES Sub Budget'!K14</f>
        <v>96049.8</v>
      </c>
      <c r="E10" s="102">
        <f>+'FES Sub Budget'!M14</f>
        <v>54130.545000000006</v>
      </c>
      <c r="F10" s="102">
        <f>+'FES Sub Budget'!O14</f>
        <v>0</v>
      </c>
      <c r="G10" s="103">
        <f t="shared" ref="G10:G17" si="0">SUM(B10:F10)</f>
        <v>273036.34499999997</v>
      </c>
    </row>
    <row r="11" spans="1:7" ht="15.3" x14ac:dyDescent="0.55000000000000004">
      <c r="A11" s="12" t="s">
        <v>11</v>
      </c>
      <c r="B11" s="102">
        <f>+'FES Sub Budget'!G17</f>
        <v>12235.062</v>
      </c>
      <c r="C11" s="102">
        <f>+'FES Sub Budget'!I17</f>
        <v>35666.492400000003</v>
      </c>
      <c r="D11" s="102">
        <f>+'FES Sub Budget'!K17</f>
        <v>37449.817020000002</v>
      </c>
      <c r="E11" s="102">
        <f>+'FES Sub Budget'!M17</f>
        <v>21105.499495500004</v>
      </c>
      <c r="F11" s="102">
        <f>+'FES Sub Budget'!O17</f>
        <v>0</v>
      </c>
      <c r="G11" s="103">
        <f t="shared" si="0"/>
        <v>106456.87091550001</v>
      </c>
    </row>
    <row r="12" spans="1:7" ht="15.3" x14ac:dyDescent="0.55000000000000004">
      <c r="A12" s="12" t="s">
        <v>12</v>
      </c>
      <c r="B12" s="102">
        <f>+'FES Sub Budget'!G27</f>
        <v>0</v>
      </c>
      <c r="C12" s="102">
        <f>+'FES Sub Budget'!I27</f>
        <v>23316.390733590732</v>
      </c>
      <c r="D12" s="102">
        <f>+'FES Sub Budget'!K27</f>
        <v>24249.046362934361</v>
      </c>
      <c r="E12" s="102">
        <f>+'FES Sub Budget'!M27</f>
        <v>10945.183756602317</v>
      </c>
      <c r="F12" s="102">
        <f>+'FES Sub Budget'!O27</f>
        <v>0</v>
      </c>
      <c r="G12" s="103">
        <f t="shared" si="0"/>
        <v>58510.62085312741</v>
      </c>
    </row>
    <row r="13" spans="1:7" ht="15.3" x14ac:dyDescent="0.55000000000000004">
      <c r="A13" s="12" t="s">
        <v>13</v>
      </c>
      <c r="B13" s="102">
        <f>+'FES Sub Budget'!G30</f>
        <v>0</v>
      </c>
      <c r="C13" s="102">
        <f>+'FES Sub Budget'!I30</f>
        <v>0</v>
      </c>
      <c r="D13" s="102">
        <f>+'FES Sub Budget'!K30</f>
        <v>0</v>
      </c>
      <c r="E13" s="102">
        <f>+'FES Sub Budget'!M30</f>
        <v>0</v>
      </c>
      <c r="F13" s="102">
        <f>+'FES Sub Budget'!O30</f>
        <v>0</v>
      </c>
      <c r="G13" s="103">
        <f t="shared" si="0"/>
        <v>0</v>
      </c>
    </row>
    <row r="14" spans="1:7" ht="15.3" x14ac:dyDescent="0.55000000000000004">
      <c r="A14" s="12" t="s">
        <v>14</v>
      </c>
      <c r="B14" s="102">
        <f>+'FES Sub Budget'!G34</f>
        <v>4200</v>
      </c>
      <c r="C14" s="102">
        <f>+'FES Sub Budget'!I34</f>
        <v>1872</v>
      </c>
      <c r="D14" s="102">
        <f>+'FES Sub Budget'!K34</f>
        <v>1946.88</v>
      </c>
      <c r="E14" s="102">
        <f>+'FES Sub Budget'!M34</f>
        <v>1181.1072000000001</v>
      </c>
      <c r="F14" s="102">
        <f>+'FES Sub Budget'!O34</f>
        <v>0</v>
      </c>
      <c r="G14" s="103">
        <f t="shared" si="0"/>
        <v>9199.9871999999996</v>
      </c>
    </row>
    <row r="15" spans="1:7" ht="15.3" x14ac:dyDescent="0.55000000000000004">
      <c r="A15" s="12" t="s">
        <v>15</v>
      </c>
      <c r="B15" s="102">
        <f>+'FES Sub Budget'!G38</f>
        <v>0</v>
      </c>
      <c r="C15" s="102">
        <f>+'FES Sub Budget'!I38</f>
        <v>39000</v>
      </c>
      <c r="D15" s="102">
        <f>+'FES Sub Budget'!K38</f>
        <v>43680</v>
      </c>
      <c r="E15" s="102">
        <f>+'FES Sub Budget'!M38</f>
        <v>25958.400000000001</v>
      </c>
      <c r="F15" s="102">
        <f>+'FES Sub Budget'!O38</f>
        <v>0</v>
      </c>
      <c r="G15" s="103">
        <f t="shared" si="0"/>
        <v>108638.39999999999</v>
      </c>
    </row>
    <row r="16" spans="1:7" ht="15.3" x14ac:dyDescent="0.55000000000000004">
      <c r="A16" s="12" t="s">
        <v>16</v>
      </c>
      <c r="B16" s="102">
        <f>+'FES Sub Budget'!G41</f>
        <v>0</v>
      </c>
      <c r="C16" s="102">
        <f>+'FES Sub Budget'!I41</f>
        <v>0</v>
      </c>
      <c r="D16" s="102">
        <f>+'FES Sub Budget'!K41</f>
        <v>0</v>
      </c>
      <c r="E16" s="102">
        <f>+'FES Sub Budget'!M41</f>
        <v>0</v>
      </c>
      <c r="F16" s="102">
        <f>+'FES Sub Budget'!O41</f>
        <v>0</v>
      </c>
      <c r="G16" s="103">
        <f t="shared" si="0"/>
        <v>0</v>
      </c>
    </row>
    <row r="17" spans="1:7" ht="15.3" x14ac:dyDescent="0.55000000000000004">
      <c r="A17" s="12" t="s">
        <v>17</v>
      </c>
      <c r="B17" s="102">
        <f>+'FES Sub Budget'!G61</f>
        <v>1500</v>
      </c>
      <c r="C17" s="102">
        <f>+'FES Sub Budget'!I61</f>
        <v>23270</v>
      </c>
      <c r="D17" s="102">
        <f>+'FES Sub Budget'!K61</f>
        <v>47256.800000000003</v>
      </c>
      <c r="E17" s="102">
        <f>+'FES Sub Budget'!M61</f>
        <v>67323.872000000003</v>
      </c>
      <c r="F17" s="102">
        <f>+'FES Sub Budget'!O61</f>
        <v>0</v>
      </c>
      <c r="G17" s="103">
        <f t="shared" si="0"/>
        <v>139350.67200000002</v>
      </c>
    </row>
    <row r="18" spans="1:7" ht="15.6" thickBot="1" x14ac:dyDescent="0.6">
      <c r="A18" s="12"/>
      <c r="B18" s="102"/>
      <c r="C18" s="102"/>
      <c r="D18" s="102"/>
      <c r="E18" s="102"/>
      <c r="F18" s="102"/>
      <c r="G18" s="104"/>
    </row>
    <row r="19" spans="1:7" ht="15.3" thickBot="1" x14ac:dyDescent="0.55000000000000004">
      <c r="A19" s="13" t="s">
        <v>18</v>
      </c>
      <c r="B19" s="105">
        <f t="shared" ref="B19:G19" si="1">SUM(B10:B17)</f>
        <v>49315.061999999998</v>
      </c>
      <c r="C19" s="105">
        <f t="shared" si="1"/>
        <v>214600.88313359075</v>
      </c>
      <c r="D19" s="105">
        <f t="shared" si="1"/>
        <v>250632.3433829344</v>
      </c>
      <c r="E19" s="105">
        <f t="shared" si="1"/>
        <v>180644.60745210233</v>
      </c>
      <c r="F19" s="105">
        <f t="shared" si="1"/>
        <v>0</v>
      </c>
      <c r="G19" s="106">
        <f t="shared" si="1"/>
        <v>695192.8959686273</v>
      </c>
    </row>
    <row r="20" spans="1:7" ht="15.6" thickBot="1" x14ac:dyDescent="0.6">
      <c r="A20" s="12" t="s">
        <v>217</v>
      </c>
      <c r="B20" s="102">
        <f>+B19*0.15</f>
        <v>7397.2592999999997</v>
      </c>
      <c r="C20" s="102">
        <f>+C19*0.15</f>
        <v>32190.13247003861</v>
      </c>
      <c r="D20" s="102">
        <f>+D19*0.15</f>
        <v>37594.851507440158</v>
      </c>
      <c r="E20" s="102">
        <f>+E19*0.15</f>
        <v>27096.69111781535</v>
      </c>
      <c r="F20" s="102">
        <f>+F19*0.15</f>
        <v>0</v>
      </c>
      <c r="G20" s="104">
        <f>SUM(B20:F20)</f>
        <v>104278.93439529411</v>
      </c>
    </row>
    <row r="21" spans="1:7" ht="15.3" thickBot="1" x14ac:dyDescent="0.55000000000000004">
      <c r="A21" s="14" t="s">
        <v>20</v>
      </c>
      <c r="B21" s="107">
        <f t="shared" ref="B21:G21" si="2">SUM(B19:B20)</f>
        <v>56712.321299999996</v>
      </c>
      <c r="C21" s="107">
        <f t="shared" si="2"/>
        <v>246791.01560362935</v>
      </c>
      <c r="D21" s="107">
        <f t="shared" si="2"/>
        <v>288227.19489037455</v>
      </c>
      <c r="E21" s="107">
        <f t="shared" si="2"/>
        <v>207741.29856991768</v>
      </c>
      <c r="F21" s="107">
        <f t="shared" si="2"/>
        <v>0</v>
      </c>
      <c r="G21" s="108">
        <f t="shared" si="2"/>
        <v>799471.83036392136</v>
      </c>
    </row>
    <row r="22" spans="1:7" x14ac:dyDescent="0.45">
      <c r="B22" s="15"/>
    </row>
  </sheetData>
  <mergeCells count="4">
    <mergeCell ref="A3:G3"/>
    <mergeCell ref="A4:G4"/>
    <mergeCell ref="A5:G5"/>
    <mergeCell ref="A6:G6"/>
  </mergeCells>
  <pageMargins left="0.7" right="0.7" top="0.75" bottom="0.75" header="0.3" footer="0.3"/>
  <pageSetup paperSize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DAE0-D564-4D27-8DDC-2CFCB610F911}">
  <sheetPr>
    <tabColor theme="5" tint="0.39997558519241921"/>
  </sheetPr>
  <dimension ref="A1:T72"/>
  <sheetViews>
    <sheetView zoomScale="70" zoomScaleNormal="70" workbookViewId="0">
      <pane xSplit="4" ySplit="8" topLeftCell="E55" activePane="bottomRight" state="frozen"/>
      <selection pane="topRight" activeCell="A116" sqref="A116:A119"/>
      <selection pane="bottomLeft" activeCell="A116" sqref="A116:A119"/>
      <selection pane="bottomRight" activeCell="F68" sqref="F68"/>
    </sheetView>
  </sheetViews>
  <sheetFormatPr defaultColWidth="11.44140625" defaultRowHeight="15.3" x14ac:dyDescent="0.4"/>
  <cols>
    <col min="1" max="1" width="46.1640625" style="134" customWidth="1"/>
    <col min="2" max="2" width="16.5546875" style="134" customWidth="1"/>
    <col min="3" max="3" width="16.44140625" style="134" customWidth="1"/>
    <col min="4" max="4" width="13.71875" style="134" customWidth="1"/>
    <col min="5" max="5" width="12.71875" style="134" customWidth="1"/>
    <col min="6" max="6" width="19.71875" style="135" customWidth="1"/>
    <col min="7" max="7" width="12.44140625" style="136" customWidth="1"/>
    <col min="8" max="8" width="12.71875" style="136" customWidth="1"/>
    <col min="9" max="9" width="12.44140625" style="136" customWidth="1"/>
    <col min="10" max="10" width="12.71875" style="136" customWidth="1"/>
    <col min="11" max="11" width="16.27734375" style="136" customWidth="1"/>
    <col min="12" max="12" width="12.83203125" style="136" customWidth="1"/>
    <col min="13" max="13" width="12.44140625" style="136" customWidth="1"/>
    <col min="14" max="14" width="12.83203125" style="136" customWidth="1"/>
    <col min="15" max="15" width="12.44140625" style="136" customWidth="1"/>
    <col min="16" max="16" width="19.71875" style="137" customWidth="1"/>
    <col min="17" max="17" width="23.83203125" style="136" customWidth="1"/>
    <col min="18" max="18" width="21.1640625" style="137" customWidth="1"/>
    <col min="19" max="16384" width="11.44140625" style="121"/>
  </cols>
  <sheetData>
    <row r="1" spans="1:20" x14ac:dyDescent="0.4">
      <c r="A1" s="423" t="s">
        <v>220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</row>
    <row r="2" spans="1:20" x14ac:dyDescent="0.4">
      <c r="A2" s="426" t="s">
        <v>215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</row>
    <row r="3" spans="1:20" x14ac:dyDescent="0.4">
      <c r="A3" s="426" t="s">
        <v>216</v>
      </c>
      <c r="B3" s="426"/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</row>
    <row r="4" spans="1:20" x14ac:dyDescent="0.4">
      <c r="A4" s="427" t="s">
        <v>221</v>
      </c>
      <c r="B4" s="42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20" x14ac:dyDescent="0.4">
      <c r="A5" s="17" t="s">
        <v>348</v>
      </c>
      <c r="B5" s="18">
        <v>1.04</v>
      </c>
      <c r="C5" s="37"/>
      <c r="D5" s="38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20" x14ac:dyDescent="0.4">
      <c r="A6" s="17" t="s">
        <v>222</v>
      </c>
      <c r="B6" s="18">
        <v>1.05</v>
      </c>
      <c r="C6" s="37"/>
      <c r="D6" s="5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spans="1:20" ht="15.6" thickBot="1" x14ac:dyDescent="0.45">
      <c r="A7" s="21"/>
      <c r="B7" s="124"/>
      <c r="C7" s="54"/>
      <c r="D7" s="53"/>
      <c r="E7" s="21"/>
      <c r="F7" s="55"/>
      <c r="G7" s="56"/>
      <c r="H7" s="57"/>
      <c r="I7" s="56"/>
      <c r="J7" s="56"/>
      <c r="K7" s="57"/>
      <c r="L7" s="56"/>
      <c r="M7" s="56"/>
      <c r="N7" s="56"/>
      <c r="O7" s="56"/>
      <c r="P7" s="56"/>
      <c r="Q7" s="57"/>
      <c r="R7" s="56"/>
    </row>
    <row r="8" spans="1:20" ht="30.3" thickBot="1" x14ac:dyDescent="0.45">
      <c r="A8" s="125" t="s">
        <v>223</v>
      </c>
      <c r="B8" s="126" t="s">
        <v>26</v>
      </c>
      <c r="C8" s="43" t="s">
        <v>224</v>
      </c>
      <c r="D8" s="127" t="s">
        <v>225</v>
      </c>
      <c r="E8" s="44" t="s">
        <v>226</v>
      </c>
      <c r="F8" s="51" t="s">
        <v>30</v>
      </c>
      <c r="G8" s="46" t="s">
        <v>227</v>
      </c>
      <c r="H8" s="47" t="s">
        <v>29</v>
      </c>
      <c r="I8" s="48" t="s">
        <v>228</v>
      </c>
      <c r="J8" s="49" t="s">
        <v>29</v>
      </c>
      <c r="K8" s="128" t="s">
        <v>229</v>
      </c>
      <c r="L8" s="47" t="s">
        <v>29</v>
      </c>
      <c r="M8" s="48" t="s">
        <v>34</v>
      </c>
      <c r="N8" s="49" t="s">
        <v>29</v>
      </c>
      <c r="O8" s="46" t="s">
        <v>35</v>
      </c>
      <c r="P8" s="50" t="s">
        <v>230</v>
      </c>
      <c r="Q8" s="51" t="s">
        <v>231</v>
      </c>
      <c r="R8" s="129" t="s">
        <v>38</v>
      </c>
    </row>
    <row r="9" spans="1:20" x14ac:dyDescent="0.4">
      <c r="A9" s="32" t="s">
        <v>39</v>
      </c>
      <c r="B9" s="16"/>
      <c r="C9" s="16"/>
      <c r="D9" s="16"/>
      <c r="E9" s="188"/>
      <c r="F9" s="189"/>
      <c r="G9" s="190"/>
      <c r="H9" s="191"/>
      <c r="I9" s="191"/>
      <c r="J9" s="192"/>
      <c r="K9" s="191"/>
      <c r="L9" s="192"/>
      <c r="M9" s="191"/>
      <c r="N9" s="192"/>
      <c r="O9" s="190"/>
      <c r="P9" s="193"/>
      <c r="Q9" s="191"/>
      <c r="R9" s="194"/>
    </row>
    <row r="10" spans="1:20" x14ac:dyDescent="0.4">
      <c r="A10" s="139" t="s">
        <v>232</v>
      </c>
      <c r="B10" s="146"/>
      <c r="C10" s="65"/>
      <c r="D10" s="73"/>
      <c r="E10" s="333"/>
      <c r="F10" s="182"/>
      <c r="G10" s="334"/>
      <c r="H10" s="335"/>
      <c r="I10" s="335"/>
      <c r="J10" s="333"/>
      <c r="K10" s="335"/>
      <c r="L10" s="333"/>
      <c r="M10" s="335"/>
      <c r="N10" s="333"/>
      <c r="O10" s="334"/>
      <c r="P10" s="336"/>
      <c r="Q10" s="335"/>
      <c r="R10" s="337"/>
    </row>
    <row r="11" spans="1:20" x14ac:dyDescent="0.4">
      <c r="A11" s="130" t="s">
        <v>233</v>
      </c>
      <c r="B11" s="21" t="s">
        <v>42</v>
      </c>
      <c r="C11" s="28">
        <v>1</v>
      </c>
      <c r="D11" s="27" t="s">
        <v>43</v>
      </c>
      <c r="E11" s="176">
        <v>6</v>
      </c>
      <c r="F11" s="177">
        <v>3200</v>
      </c>
      <c r="G11" s="178">
        <f>F11*$E11*$C11</f>
        <v>19200</v>
      </c>
      <c r="H11" s="177">
        <v>12</v>
      </c>
      <c r="I11" s="178">
        <f>H11*$F11*$C11*$B$6</f>
        <v>40320</v>
      </c>
      <c r="J11" s="176">
        <v>12</v>
      </c>
      <c r="K11" s="178">
        <f>J11*$F11*$C11*$B$6*$B$6</f>
        <v>42336</v>
      </c>
      <c r="L11" s="176">
        <v>7</v>
      </c>
      <c r="M11" s="178">
        <f>L11*$F11*$C11*$B$6*$B$6*$B$6</f>
        <v>25930.800000000003</v>
      </c>
      <c r="N11" s="176"/>
      <c r="O11" s="178">
        <f>N11*$F11*$C11*$B$6*$B$6*$B$6*$B$6</f>
        <v>0</v>
      </c>
      <c r="P11" s="179">
        <f>SUM(G11,I11,K11,M11,O11)</f>
        <v>127786.8</v>
      </c>
      <c r="Q11" s="177">
        <v>0</v>
      </c>
      <c r="R11" s="180">
        <f t="shared" ref="R11:R12" si="0">SUM(P11:Q11)</f>
        <v>127786.8</v>
      </c>
      <c r="T11" s="33"/>
    </row>
    <row r="12" spans="1:20" x14ac:dyDescent="0.4">
      <c r="A12" s="131" t="s">
        <v>234</v>
      </c>
      <c r="B12" s="21" t="s">
        <v>42</v>
      </c>
      <c r="C12" s="28">
        <v>1</v>
      </c>
      <c r="D12" s="27" t="s">
        <v>43</v>
      </c>
      <c r="E12" s="176">
        <v>3</v>
      </c>
      <c r="F12" s="177">
        <v>2400</v>
      </c>
      <c r="G12" s="178">
        <f t="shared" ref="G12:G13" si="1">F12*$E12*C12</f>
        <v>7200</v>
      </c>
      <c r="H12" s="177">
        <v>12</v>
      </c>
      <c r="I12" s="177">
        <f t="shared" ref="I12:I13" si="2">H12*$F12*$C12*$B$6</f>
        <v>30240</v>
      </c>
      <c r="J12" s="176">
        <v>12</v>
      </c>
      <c r="K12" s="178">
        <f t="shared" ref="K12:K13" si="3">J12*$F12*$C12*$B$6*$B$6</f>
        <v>31752</v>
      </c>
      <c r="L12" s="176">
        <v>6</v>
      </c>
      <c r="M12" s="178">
        <f t="shared" ref="M12:M13" si="4">L12*$F12*$C12*$B$6*$B$6*$B$6</f>
        <v>16669.8</v>
      </c>
      <c r="N12" s="176"/>
      <c r="O12" s="178">
        <f t="shared" ref="O12:O13" si="5">N12*$F12*$C12*$B$6*$B$6*$B$6*$B$6</f>
        <v>0</v>
      </c>
      <c r="P12" s="179">
        <f t="shared" ref="P12:P13" si="6">SUM(G12,I12,K12,M12,O12)</f>
        <v>85861.8</v>
      </c>
      <c r="Q12" s="177">
        <v>0</v>
      </c>
      <c r="R12" s="180">
        <f t="shared" si="0"/>
        <v>85861.8</v>
      </c>
      <c r="T12" s="33"/>
    </row>
    <row r="13" spans="1:20" x14ac:dyDescent="0.4">
      <c r="A13" s="131" t="s">
        <v>235</v>
      </c>
      <c r="B13" s="21" t="s">
        <v>42</v>
      </c>
      <c r="C13" s="28">
        <v>1</v>
      </c>
      <c r="D13" s="27" t="s">
        <v>43</v>
      </c>
      <c r="E13" s="176">
        <v>3</v>
      </c>
      <c r="F13" s="177">
        <v>1660</v>
      </c>
      <c r="G13" s="178">
        <f t="shared" si="1"/>
        <v>4980</v>
      </c>
      <c r="H13" s="177">
        <v>12</v>
      </c>
      <c r="I13" s="177">
        <f t="shared" si="2"/>
        <v>20916</v>
      </c>
      <c r="J13" s="176">
        <v>12</v>
      </c>
      <c r="K13" s="178">
        <f t="shared" si="3"/>
        <v>21961.8</v>
      </c>
      <c r="L13" s="176">
        <v>6</v>
      </c>
      <c r="M13" s="178">
        <f t="shared" si="4"/>
        <v>11529.945</v>
      </c>
      <c r="N13" s="176"/>
      <c r="O13" s="178">
        <f t="shared" si="5"/>
        <v>0</v>
      </c>
      <c r="P13" s="179">
        <f t="shared" si="6"/>
        <v>59387.745000000003</v>
      </c>
      <c r="Q13" s="177">
        <v>0</v>
      </c>
      <c r="R13" s="180">
        <f>SUM(P13:Q13)</f>
        <v>59387.745000000003</v>
      </c>
      <c r="T13" s="33"/>
    </row>
    <row r="14" spans="1:20" ht="15.6" thickBot="1" x14ac:dyDescent="0.45">
      <c r="A14" s="262" t="s">
        <v>236</v>
      </c>
      <c r="B14" s="153"/>
      <c r="C14" s="155"/>
      <c r="D14" s="260"/>
      <c r="E14" s="197"/>
      <c r="F14" s="198"/>
      <c r="G14" s="199">
        <f>SUM(G11:G13)</f>
        <v>31380</v>
      </c>
      <c r="H14" s="198"/>
      <c r="I14" s="199">
        <f>SUM(I11:I13)</f>
        <v>91476</v>
      </c>
      <c r="J14" s="197"/>
      <c r="K14" s="199">
        <f>SUM(K11:K13)</f>
        <v>96049.8</v>
      </c>
      <c r="L14" s="197"/>
      <c r="M14" s="199">
        <f>SUM(M11:M13)</f>
        <v>54130.545000000006</v>
      </c>
      <c r="N14" s="197"/>
      <c r="O14" s="199">
        <f>SUM(O11:O13)</f>
        <v>0</v>
      </c>
      <c r="P14" s="199">
        <f>SUM(P11:P13)</f>
        <v>273036.34500000003</v>
      </c>
      <c r="Q14" s="198">
        <f>SUM(Q11:Q13)</f>
        <v>0</v>
      </c>
      <c r="R14" s="200">
        <f>SUM(R11:R13)</f>
        <v>273036.34500000003</v>
      </c>
    </row>
    <row r="15" spans="1:20" x14ac:dyDescent="0.4">
      <c r="A15" s="31" t="s">
        <v>237</v>
      </c>
      <c r="B15" s="16"/>
      <c r="C15" s="16"/>
      <c r="D15" s="16"/>
      <c r="E15" s="188"/>
      <c r="F15" s="189"/>
      <c r="G15" s="309"/>
      <c r="H15" s="310"/>
      <c r="I15" s="310"/>
      <c r="J15" s="311"/>
      <c r="K15" s="310"/>
      <c r="L15" s="311"/>
      <c r="M15" s="310"/>
      <c r="N15" s="311"/>
      <c r="O15" s="309"/>
      <c r="P15" s="210"/>
      <c r="Q15" s="310"/>
      <c r="R15" s="211"/>
    </row>
    <row r="16" spans="1:20" x14ac:dyDescent="0.4">
      <c r="A16" s="131" t="s">
        <v>238</v>
      </c>
      <c r="B16" s="21" t="s">
        <v>56</v>
      </c>
      <c r="C16" s="22"/>
      <c r="D16" s="27" t="s">
        <v>43</v>
      </c>
      <c r="E16" s="176"/>
      <c r="F16" s="77">
        <v>0.38990000000000002</v>
      </c>
      <c r="G16" s="178">
        <f>G14*F16</f>
        <v>12235.062</v>
      </c>
      <c r="H16" s="77">
        <f>+F16</f>
        <v>0.38990000000000002</v>
      </c>
      <c r="I16" s="178">
        <f>I14*H16</f>
        <v>35666.492400000003</v>
      </c>
      <c r="J16" s="77">
        <f>+H16</f>
        <v>0.38990000000000002</v>
      </c>
      <c r="K16" s="178">
        <f>K14*J16</f>
        <v>37449.817020000002</v>
      </c>
      <c r="L16" s="77">
        <f>+J16</f>
        <v>0.38990000000000002</v>
      </c>
      <c r="M16" s="178">
        <f>M14*L16</f>
        <v>21105.499495500004</v>
      </c>
      <c r="N16" s="77">
        <f>+L16</f>
        <v>0.38990000000000002</v>
      </c>
      <c r="O16" s="178">
        <f>O14*N16</f>
        <v>0</v>
      </c>
      <c r="P16" s="179">
        <f t="shared" ref="P16" si="7">SUM(G16,I16,K16,M16,O16)</f>
        <v>106456.87091550001</v>
      </c>
      <c r="Q16" s="177">
        <v>0</v>
      </c>
      <c r="R16" s="180">
        <f>SUM(P16:Q16)</f>
        <v>106456.87091550001</v>
      </c>
    </row>
    <row r="17" spans="1:18" ht="15.6" thickBot="1" x14ac:dyDescent="0.45">
      <c r="A17" s="156" t="s">
        <v>239</v>
      </c>
      <c r="B17" s="153"/>
      <c r="C17" s="153"/>
      <c r="D17" s="154"/>
      <c r="E17" s="197"/>
      <c r="F17" s="198"/>
      <c r="G17" s="199">
        <f>SUM(G16:G16)</f>
        <v>12235.062</v>
      </c>
      <c r="H17" s="198"/>
      <c r="I17" s="198">
        <f>SUM(I16:I16)</f>
        <v>35666.492400000003</v>
      </c>
      <c r="J17" s="197"/>
      <c r="K17" s="198">
        <f>SUM(K16:K16)</f>
        <v>37449.817020000002</v>
      </c>
      <c r="L17" s="197"/>
      <c r="M17" s="198">
        <f>SUM(M16:M16)</f>
        <v>21105.499495500004</v>
      </c>
      <c r="N17" s="197"/>
      <c r="O17" s="199">
        <f>SUM(O16:O16)</f>
        <v>0</v>
      </c>
      <c r="P17" s="308">
        <f>SUM(P16:P16)</f>
        <v>106456.87091550001</v>
      </c>
      <c r="Q17" s="198">
        <f>SUM(Q16:Q16)</f>
        <v>0</v>
      </c>
      <c r="R17" s="200">
        <f>SUM(R16:R16)</f>
        <v>106456.87091550001</v>
      </c>
    </row>
    <row r="18" spans="1:18" x14ac:dyDescent="0.4">
      <c r="A18" s="32" t="s">
        <v>60</v>
      </c>
      <c r="B18" s="16"/>
      <c r="C18" s="16"/>
      <c r="D18" s="109"/>
      <c r="E18" s="207"/>
      <c r="F18" s="208"/>
      <c r="G18" s="209"/>
      <c r="H18" s="208"/>
      <c r="I18" s="208"/>
      <c r="J18" s="207"/>
      <c r="K18" s="208"/>
      <c r="L18" s="207"/>
      <c r="M18" s="208"/>
      <c r="N18" s="207"/>
      <c r="O18" s="209"/>
      <c r="P18" s="210"/>
      <c r="Q18" s="208"/>
      <c r="R18" s="211"/>
    </row>
    <row r="19" spans="1:18" ht="45.9" x14ac:dyDescent="0.4">
      <c r="A19" s="149" t="s">
        <v>338</v>
      </c>
      <c r="B19" s="150"/>
      <c r="C19" s="150"/>
      <c r="D19" s="85"/>
      <c r="E19" s="217"/>
      <c r="F19" s="218"/>
      <c r="G19" s="219"/>
      <c r="H19" s="218"/>
      <c r="I19" s="218"/>
      <c r="J19" s="217"/>
      <c r="K19" s="218"/>
      <c r="L19" s="217"/>
      <c r="M19" s="218"/>
      <c r="N19" s="217"/>
      <c r="O19" s="219"/>
      <c r="P19" s="220"/>
      <c r="Q19" s="218"/>
      <c r="R19" s="221"/>
    </row>
    <row r="20" spans="1:18" s="377" customFormat="1" x14ac:dyDescent="0.4">
      <c r="A20" s="376" t="s">
        <v>77</v>
      </c>
      <c r="B20" s="363" t="s">
        <v>60</v>
      </c>
      <c r="C20" s="374">
        <v>1</v>
      </c>
      <c r="D20" s="363" t="s">
        <v>63</v>
      </c>
      <c r="E20" s="367">
        <v>0</v>
      </c>
      <c r="F20" s="365">
        <f>+Travel!$D$11</f>
        <v>363.30878378378378</v>
      </c>
      <c r="G20" s="366">
        <f>F20*E20*C20</f>
        <v>0</v>
      </c>
      <c r="H20" s="367">
        <v>20</v>
      </c>
      <c r="I20" s="366">
        <f t="shared" ref="I20:I22" si="8">H20*$F20*$C20</f>
        <v>7266.1756756756758</v>
      </c>
      <c r="J20" s="367">
        <v>20</v>
      </c>
      <c r="K20" s="366">
        <f t="shared" ref="K20:K22" si="9">J20*$F20*$C20*$B$5</f>
        <v>7556.8227027027033</v>
      </c>
      <c r="L20" s="367">
        <v>8</v>
      </c>
      <c r="M20" s="366">
        <f t="shared" ref="M20:M22" si="10">L20*$F20*$C20*$B$5*$B$5</f>
        <v>3143.6382443243242</v>
      </c>
      <c r="N20" s="367"/>
      <c r="O20" s="365">
        <f>N20*$F20*$C20*$B$5*$B$5*$B$5*$B$5</f>
        <v>0</v>
      </c>
      <c r="P20" s="368">
        <f t="shared" ref="P20:P22" si="11">SUM(G20,I20,K20,M20,O20)</f>
        <v>17966.636622702703</v>
      </c>
      <c r="Q20" s="365">
        <v>0</v>
      </c>
      <c r="R20" s="369">
        <f t="shared" ref="R20:R22" si="12">SUM(P20:Q20)</f>
        <v>17966.636622702703</v>
      </c>
    </row>
    <row r="21" spans="1:18" s="377" customFormat="1" x14ac:dyDescent="0.4">
      <c r="A21" s="376" t="s">
        <v>78</v>
      </c>
      <c r="B21" s="363" t="s">
        <v>60</v>
      </c>
      <c r="C21" s="374">
        <v>1</v>
      </c>
      <c r="D21" s="363" t="s">
        <v>65</v>
      </c>
      <c r="E21" s="367">
        <v>0</v>
      </c>
      <c r="F21" s="365">
        <f>+Travel!$B$11+Travel!$C$12</f>
        <v>153.03503861003861</v>
      </c>
      <c r="G21" s="366">
        <f>F21*E21*C21</f>
        <v>0</v>
      </c>
      <c r="H21" s="367">
        <f>2*20</f>
        <v>40</v>
      </c>
      <c r="I21" s="366">
        <f t="shared" si="8"/>
        <v>6121.401544401544</v>
      </c>
      <c r="J21" s="367">
        <f>2*20</f>
        <v>40</v>
      </c>
      <c r="K21" s="366">
        <f t="shared" si="9"/>
        <v>6366.2576061776062</v>
      </c>
      <c r="L21" s="367">
        <v>16</v>
      </c>
      <c r="M21" s="366">
        <f t="shared" si="10"/>
        <v>2648.3631641698844</v>
      </c>
      <c r="N21" s="367"/>
      <c r="O21" s="365">
        <f>N21*$F21*$C21*$B$5*$B$5*$B$5*$B$5</f>
        <v>0</v>
      </c>
      <c r="P21" s="368">
        <f t="shared" si="11"/>
        <v>15136.022314749036</v>
      </c>
      <c r="Q21" s="365">
        <v>0</v>
      </c>
      <c r="R21" s="369">
        <f t="shared" si="12"/>
        <v>15136.022314749036</v>
      </c>
    </row>
    <row r="22" spans="1:18" s="377" customFormat="1" x14ac:dyDescent="0.4">
      <c r="A22" s="376" t="s">
        <v>79</v>
      </c>
      <c r="B22" s="363" t="s">
        <v>60</v>
      </c>
      <c r="C22" s="374">
        <v>1</v>
      </c>
      <c r="D22" s="363" t="s">
        <v>65</v>
      </c>
      <c r="E22" s="367">
        <v>0</v>
      </c>
      <c r="F22" s="365">
        <v>50</v>
      </c>
      <c r="G22" s="366">
        <f>F22*E22*C22</f>
        <v>0</v>
      </c>
      <c r="H22" s="367">
        <f>2*20</f>
        <v>40</v>
      </c>
      <c r="I22" s="366">
        <f t="shared" si="8"/>
        <v>2000</v>
      </c>
      <c r="J22" s="367">
        <f>2*20</f>
        <v>40</v>
      </c>
      <c r="K22" s="366">
        <f t="shared" si="9"/>
        <v>2080</v>
      </c>
      <c r="L22" s="367">
        <v>16</v>
      </c>
      <c r="M22" s="366">
        <f t="shared" si="10"/>
        <v>865.28</v>
      </c>
      <c r="N22" s="367"/>
      <c r="O22" s="365">
        <f>N22*$F22*$C22*$B$5*$B$5*$B$5*$B$5</f>
        <v>0</v>
      </c>
      <c r="P22" s="368">
        <f t="shared" si="11"/>
        <v>4945.28</v>
      </c>
      <c r="Q22" s="365">
        <v>0</v>
      </c>
      <c r="R22" s="369">
        <f t="shared" si="12"/>
        <v>4945.28</v>
      </c>
    </row>
    <row r="23" spans="1:18" ht="30.6" x14ac:dyDescent="0.4">
      <c r="A23" s="149" t="s">
        <v>171</v>
      </c>
      <c r="B23" s="150"/>
      <c r="C23" s="150"/>
      <c r="D23" s="85"/>
      <c r="E23" s="217"/>
      <c r="F23" s="218"/>
      <c r="G23" s="219"/>
      <c r="H23" s="218"/>
      <c r="I23" s="218"/>
      <c r="J23" s="217"/>
      <c r="K23" s="218"/>
      <c r="L23" s="217"/>
      <c r="M23" s="218"/>
      <c r="N23" s="217"/>
      <c r="O23" s="219"/>
      <c r="P23" s="220"/>
      <c r="Q23" s="218"/>
      <c r="R23" s="221"/>
    </row>
    <row r="24" spans="1:18" s="377" customFormat="1" ht="30.6" x14ac:dyDescent="0.4">
      <c r="A24" s="376" t="s">
        <v>196</v>
      </c>
      <c r="B24" s="339" t="s">
        <v>60</v>
      </c>
      <c r="C24" s="374">
        <v>1</v>
      </c>
      <c r="D24" s="363" t="s">
        <v>63</v>
      </c>
      <c r="E24" s="367">
        <v>0</v>
      </c>
      <c r="F24" s="365">
        <f>+Travel!$D$11</f>
        <v>363.30878378378378</v>
      </c>
      <c r="G24" s="366">
        <f>F24*E24*C24</f>
        <v>0</v>
      </c>
      <c r="H24" s="365">
        <f>((2*2)+(4*2)+(2*1))</f>
        <v>14</v>
      </c>
      <c r="I24" s="366">
        <f>H24*$F24*$C24</f>
        <v>5086.3229729729728</v>
      </c>
      <c r="J24" s="365">
        <f>((2*2)+(4*2)+(2*1))</f>
        <v>14</v>
      </c>
      <c r="K24" s="366">
        <f>J24*$F24*$C24*$B$5</f>
        <v>5289.7758918918917</v>
      </c>
      <c r="L24" s="365">
        <v>7</v>
      </c>
      <c r="M24" s="366">
        <f>L24*$F24*$C24*$B$5*$B$5</f>
        <v>2750.6834637837837</v>
      </c>
      <c r="N24" s="367"/>
      <c r="O24" s="366">
        <f>N24*$F24*$C24*$B$5*$B$5*$B$5*$B$5</f>
        <v>0</v>
      </c>
      <c r="P24" s="368">
        <f t="shared" ref="P24:P26" si="13">SUM(G24,I24,K24,M24,O24)</f>
        <v>13126.782328648647</v>
      </c>
      <c r="Q24" s="365">
        <v>0</v>
      </c>
      <c r="R24" s="369">
        <f t="shared" ref="R24:R26" si="14">SUM(P24:Q24)</f>
        <v>13126.782328648647</v>
      </c>
    </row>
    <row r="25" spans="1:18" s="377" customFormat="1" ht="30.6" x14ac:dyDescent="0.4">
      <c r="A25" s="376" t="s">
        <v>197</v>
      </c>
      <c r="B25" s="339" t="s">
        <v>60</v>
      </c>
      <c r="C25" s="374">
        <v>1</v>
      </c>
      <c r="D25" s="363" t="s">
        <v>65</v>
      </c>
      <c r="E25" s="367">
        <v>0</v>
      </c>
      <c r="F25" s="365">
        <f>+Travel!$B$11+Travel!$C$12</f>
        <v>153.03503861003861</v>
      </c>
      <c r="G25" s="366">
        <f>F25*E25*C25</f>
        <v>0</v>
      </c>
      <c r="H25" s="365">
        <f t="shared" ref="H25:J26" si="15">((2*2)+(4*2)+(2*1))</f>
        <v>14</v>
      </c>
      <c r="I25" s="366">
        <f>H25*$F25*$C25</f>
        <v>2142.4905405405407</v>
      </c>
      <c r="J25" s="365">
        <f t="shared" si="15"/>
        <v>14</v>
      </c>
      <c r="K25" s="366">
        <f>J25*$F25*$C25*$B$5</f>
        <v>2228.1901621621623</v>
      </c>
      <c r="L25" s="365">
        <v>7</v>
      </c>
      <c r="M25" s="366">
        <f>L25*$F25*$C25*$B$5*$B$5</f>
        <v>1158.6588843243244</v>
      </c>
      <c r="N25" s="367"/>
      <c r="O25" s="366">
        <f>N25*$F25*$C25*$B$5*$B$5*$B$5*$B$5</f>
        <v>0</v>
      </c>
      <c r="P25" s="368">
        <f t="shared" si="13"/>
        <v>5529.3395870270269</v>
      </c>
      <c r="Q25" s="365">
        <v>0</v>
      </c>
      <c r="R25" s="369">
        <f t="shared" si="14"/>
        <v>5529.3395870270269</v>
      </c>
    </row>
    <row r="26" spans="1:18" s="377" customFormat="1" ht="30.6" x14ac:dyDescent="0.4">
      <c r="A26" s="376" t="s">
        <v>198</v>
      </c>
      <c r="B26" s="339" t="s">
        <v>60</v>
      </c>
      <c r="C26" s="374">
        <v>1</v>
      </c>
      <c r="D26" s="363" t="s">
        <v>65</v>
      </c>
      <c r="E26" s="367">
        <v>0</v>
      </c>
      <c r="F26" s="365">
        <v>50</v>
      </c>
      <c r="G26" s="366">
        <f>F26*E26*C26</f>
        <v>0</v>
      </c>
      <c r="H26" s="365">
        <f t="shared" si="15"/>
        <v>14</v>
      </c>
      <c r="I26" s="366">
        <f>H26*$F26*$C26</f>
        <v>700</v>
      </c>
      <c r="J26" s="365">
        <f t="shared" si="15"/>
        <v>14</v>
      </c>
      <c r="K26" s="366">
        <f>J26*$F26*$C26*$B$5</f>
        <v>728</v>
      </c>
      <c r="L26" s="365">
        <v>7</v>
      </c>
      <c r="M26" s="366">
        <f>L26*$F26*$C26*$B$5*$B$5</f>
        <v>378.56</v>
      </c>
      <c r="N26" s="367"/>
      <c r="O26" s="366">
        <f>N26*$F26*$C26*$B$5*$B$5*$B$5*$B$5</f>
        <v>0</v>
      </c>
      <c r="P26" s="368">
        <f t="shared" si="13"/>
        <v>1806.56</v>
      </c>
      <c r="Q26" s="365">
        <v>0</v>
      </c>
      <c r="R26" s="369">
        <f t="shared" si="14"/>
        <v>1806.56</v>
      </c>
    </row>
    <row r="27" spans="1:18" ht="15.6" thickBot="1" x14ac:dyDescent="0.45">
      <c r="A27" s="166" t="s">
        <v>240</v>
      </c>
      <c r="B27" s="153"/>
      <c r="C27" s="153"/>
      <c r="D27" s="154"/>
      <c r="E27" s="197"/>
      <c r="F27" s="198"/>
      <c r="G27" s="199">
        <f>SUM(G19:G26)</f>
        <v>0</v>
      </c>
      <c r="H27" s="198"/>
      <c r="I27" s="198">
        <f>SUM(I19:I26)</f>
        <v>23316.390733590732</v>
      </c>
      <c r="J27" s="197"/>
      <c r="K27" s="198">
        <f>SUM(K19:K26)</f>
        <v>24249.046362934361</v>
      </c>
      <c r="L27" s="197"/>
      <c r="M27" s="198">
        <f>SUM(M19:M26)</f>
        <v>10945.183756602317</v>
      </c>
      <c r="N27" s="197"/>
      <c r="O27" s="199">
        <f>SUM(O19:O26)</f>
        <v>0</v>
      </c>
      <c r="P27" s="308">
        <f>SUM(P19:P26)</f>
        <v>58510.620853127402</v>
      </c>
      <c r="Q27" s="198">
        <f>SUM(Q19:Q26)</f>
        <v>0</v>
      </c>
      <c r="R27" s="200">
        <f>SUM(R19:R26)</f>
        <v>58510.620853127402</v>
      </c>
    </row>
    <row r="28" spans="1:18" x14ac:dyDescent="0.4">
      <c r="A28" s="32" t="s">
        <v>241</v>
      </c>
      <c r="B28" s="16"/>
      <c r="C28" s="16"/>
      <c r="D28" s="16"/>
      <c r="E28" s="188"/>
      <c r="F28" s="189"/>
      <c r="G28" s="309"/>
      <c r="H28" s="310"/>
      <c r="I28" s="310"/>
      <c r="J28" s="311"/>
      <c r="K28" s="310"/>
      <c r="L28" s="311"/>
      <c r="M28" s="310"/>
      <c r="N28" s="311"/>
      <c r="O28" s="309"/>
      <c r="P28" s="210"/>
      <c r="Q28" s="310"/>
      <c r="R28" s="211"/>
    </row>
    <row r="29" spans="1:18" s="33" customFormat="1" x14ac:dyDescent="0.4">
      <c r="A29" s="92" t="s">
        <v>96</v>
      </c>
      <c r="B29" s="21"/>
      <c r="C29" s="22"/>
      <c r="D29" s="21"/>
      <c r="E29" s="176">
        <v>0</v>
      </c>
      <c r="F29" s="177">
        <v>0</v>
      </c>
      <c r="G29" s="178">
        <v>0</v>
      </c>
      <c r="H29" s="177">
        <v>0</v>
      </c>
      <c r="I29" s="177">
        <v>0</v>
      </c>
      <c r="J29" s="176">
        <v>0</v>
      </c>
      <c r="K29" s="177">
        <v>0</v>
      </c>
      <c r="L29" s="176">
        <v>0</v>
      </c>
      <c r="M29" s="177">
        <v>0</v>
      </c>
      <c r="N29" s="176">
        <v>0</v>
      </c>
      <c r="O29" s="178">
        <v>0</v>
      </c>
      <c r="P29" s="179">
        <f>SUM(G29,I29,K29,M29,O29)</f>
        <v>0</v>
      </c>
      <c r="Q29" s="177">
        <v>0</v>
      </c>
      <c r="R29" s="180">
        <f>SUM(P29:Q29)</f>
        <v>0</v>
      </c>
    </row>
    <row r="30" spans="1:18" ht="15.6" thickBot="1" x14ac:dyDescent="0.45">
      <c r="A30" s="156" t="s">
        <v>242</v>
      </c>
      <c r="B30" s="153"/>
      <c r="C30" s="153"/>
      <c r="D30" s="154"/>
      <c r="E30" s="197"/>
      <c r="F30" s="198"/>
      <c r="G30" s="199">
        <f>SUM(G29)</f>
        <v>0</v>
      </c>
      <c r="H30" s="198"/>
      <c r="I30" s="198">
        <f>SUM(I29)</f>
        <v>0</v>
      </c>
      <c r="J30" s="197"/>
      <c r="K30" s="198">
        <f>SUM(K29)</f>
        <v>0</v>
      </c>
      <c r="L30" s="197"/>
      <c r="M30" s="198">
        <f>SUM(M29)</f>
        <v>0</v>
      </c>
      <c r="N30" s="197"/>
      <c r="O30" s="199">
        <f>SUM(O29)</f>
        <v>0</v>
      </c>
      <c r="P30" s="308">
        <f>SUM(P29)</f>
        <v>0</v>
      </c>
      <c r="Q30" s="198">
        <f>SUM(Q29)</f>
        <v>0</v>
      </c>
      <c r="R30" s="200">
        <f>SUM(P30:Q30)</f>
        <v>0</v>
      </c>
    </row>
    <row r="31" spans="1:18" x14ac:dyDescent="0.4">
      <c r="A31" s="32" t="s">
        <v>98</v>
      </c>
      <c r="B31" s="16"/>
      <c r="C31" s="16"/>
      <c r="D31" s="16"/>
      <c r="E31" s="188"/>
      <c r="F31" s="189"/>
      <c r="G31" s="309"/>
      <c r="H31" s="310"/>
      <c r="I31" s="310"/>
      <c r="J31" s="311"/>
      <c r="K31" s="310"/>
      <c r="L31" s="311"/>
      <c r="M31" s="310"/>
      <c r="N31" s="311"/>
      <c r="O31" s="309"/>
      <c r="P31" s="210"/>
      <c r="Q31" s="310"/>
      <c r="R31" s="211"/>
    </row>
    <row r="32" spans="1:18" s="33" customFormat="1" x14ac:dyDescent="0.4">
      <c r="A32" s="130" t="s">
        <v>243</v>
      </c>
      <c r="B32" s="21" t="s">
        <v>244</v>
      </c>
      <c r="C32" s="258">
        <v>1</v>
      </c>
      <c r="D32" s="22" t="s">
        <v>43</v>
      </c>
      <c r="E32" s="176">
        <v>6</v>
      </c>
      <c r="F32" s="177">
        <v>150</v>
      </c>
      <c r="G32" s="178">
        <f>F32*E32*C32</f>
        <v>900</v>
      </c>
      <c r="H32" s="177">
        <v>12</v>
      </c>
      <c r="I32" s="177">
        <f>H32*$F32*$C32*$B$5</f>
        <v>1872</v>
      </c>
      <c r="J32" s="176">
        <v>12</v>
      </c>
      <c r="K32" s="177">
        <f>J32*$F32*$C32*$B$5*$B$5</f>
        <v>1946.88</v>
      </c>
      <c r="L32" s="176">
        <v>7</v>
      </c>
      <c r="M32" s="177">
        <f>L32*$F32*$C32*$B$5*$B$5*$B$5</f>
        <v>1181.1072000000001</v>
      </c>
      <c r="N32" s="176"/>
      <c r="O32" s="177">
        <f>N32*$F32*$C32*$B$5*$B$5*$B$5*$B$5</f>
        <v>0</v>
      </c>
      <c r="P32" s="179">
        <f>SUM(G32,I32,K32,M32,O32)</f>
        <v>5899.9872000000005</v>
      </c>
      <c r="Q32" s="177">
        <v>0</v>
      </c>
      <c r="R32" s="180">
        <f>SUM(P32:Q32)</f>
        <v>5899.9872000000005</v>
      </c>
    </row>
    <row r="33" spans="1:18" x14ac:dyDescent="0.4">
      <c r="A33" s="130" t="s">
        <v>245</v>
      </c>
      <c r="B33" s="21" t="s">
        <v>244</v>
      </c>
      <c r="C33" s="28">
        <v>1</v>
      </c>
      <c r="D33" s="22" t="s">
        <v>43</v>
      </c>
      <c r="E33" s="176">
        <v>3</v>
      </c>
      <c r="F33" s="177">
        <v>1100</v>
      </c>
      <c r="G33" s="178">
        <f t="shared" ref="G33" si="16">F33*E33*C33</f>
        <v>3300</v>
      </c>
      <c r="H33" s="177">
        <v>0</v>
      </c>
      <c r="I33" s="177">
        <f t="shared" ref="I33" si="17">H33*$F33*$C33*$B$5</f>
        <v>0</v>
      </c>
      <c r="J33" s="176">
        <v>0</v>
      </c>
      <c r="K33" s="177">
        <f t="shared" ref="K33" si="18">J33*$F33*$C33*$B$5*$B$5</f>
        <v>0</v>
      </c>
      <c r="L33" s="176">
        <v>0</v>
      </c>
      <c r="M33" s="177">
        <f t="shared" ref="M33" si="19">L33*$F33*$C33*$B$5*$B$5*$B$5</f>
        <v>0</v>
      </c>
      <c r="N33" s="176"/>
      <c r="O33" s="178">
        <f t="shared" ref="O33" si="20">N33*$F33*$C33*$B$5*$B$5*$B$5*$B$5</f>
        <v>0</v>
      </c>
      <c r="P33" s="179">
        <f t="shared" ref="P33" si="21">SUM(G33,I33,K33,M33,O33)</f>
        <v>3300</v>
      </c>
      <c r="Q33" s="177">
        <v>0</v>
      </c>
      <c r="R33" s="180">
        <f t="shared" ref="R33" si="22">SUM(P33:Q33)</f>
        <v>3300</v>
      </c>
    </row>
    <row r="34" spans="1:18" ht="15.6" thickBot="1" x14ac:dyDescent="0.45">
      <c r="A34" s="167" t="s">
        <v>102</v>
      </c>
      <c r="B34" s="153"/>
      <c r="C34" s="155"/>
      <c r="D34" s="153"/>
      <c r="E34" s="225"/>
      <c r="F34" s="226"/>
      <c r="G34" s="227">
        <f>SUM(G32:G33)</f>
        <v>4200</v>
      </c>
      <c r="H34" s="228"/>
      <c r="I34" s="227">
        <f>SUM(I32:I33)</f>
        <v>1872</v>
      </c>
      <c r="J34" s="229"/>
      <c r="K34" s="227">
        <f>SUM(K32:K33)</f>
        <v>1946.88</v>
      </c>
      <c r="L34" s="229"/>
      <c r="M34" s="227">
        <f>SUM(M32:M33)</f>
        <v>1181.1072000000001</v>
      </c>
      <c r="N34" s="229"/>
      <c r="O34" s="227">
        <f>SUM(O32:O33)</f>
        <v>0</v>
      </c>
      <c r="P34" s="312">
        <f>SUM(P32:P33)</f>
        <v>9199.9871999999996</v>
      </c>
      <c r="Q34" s="228">
        <f>SUM(Q32:Q33)</f>
        <v>0</v>
      </c>
      <c r="R34" s="230">
        <f>SUM(R32:R33)</f>
        <v>9199.9871999999996</v>
      </c>
    </row>
    <row r="35" spans="1:18" x14ac:dyDescent="0.4">
      <c r="A35" s="118" t="s">
        <v>103</v>
      </c>
      <c r="B35" s="81"/>
      <c r="C35" s="81"/>
      <c r="D35" s="81"/>
      <c r="E35" s="231"/>
      <c r="F35" s="232"/>
      <c r="G35" s="233"/>
      <c r="H35" s="232"/>
      <c r="I35" s="232"/>
      <c r="J35" s="231"/>
      <c r="K35" s="232"/>
      <c r="L35" s="231"/>
      <c r="M35" s="232"/>
      <c r="N35" s="231"/>
      <c r="O35" s="233"/>
      <c r="P35" s="234"/>
      <c r="Q35" s="232"/>
      <c r="R35" s="235"/>
    </row>
    <row r="36" spans="1:18" s="377" customFormat="1" ht="61.5" customHeight="1" x14ac:dyDescent="0.4">
      <c r="A36" s="378" t="s">
        <v>339</v>
      </c>
      <c r="B36" s="363" t="s">
        <v>110</v>
      </c>
      <c r="C36" s="374">
        <v>1</v>
      </c>
      <c r="D36" s="370" t="s">
        <v>110</v>
      </c>
      <c r="E36" s="367">
        <v>0</v>
      </c>
      <c r="F36" s="365">
        <v>1500</v>
      </c>
      <c r="G36" s="366">
        <v>0</v>
      </c>
      <c r="H36" s="365">
        <v>2</v>
      </c>
      <c r="I36" s="366">
        <f>H36*$F36*$C36</f>
        <v>3000</v>
      </c>
      <c r="J36" s="367">
        <v>4</v>
      </c>
      <c r="K36" s="366">
        <f>J36*$F36*$C36*$B$5</f>
        <v>6240</v>
      </c>
      <c r="L36" s="367">
        <v>4</v>
      </c>
      <c r="M36" s="366">
        <f t="shared" ref="M36:M37" si="23">L36*$F36*$C36*$B$5*$B$5</f>
        <v>6489.6</v>
      </c>
      <c r="N36" s="367"/>
      <c r="O36" s="366">
        <v>0</v>
      </c>
      <c r="P36" s="368">
        <f t="shared" ref="P36" si="24">SUM(G36,I36,K36,M36,O36)</f>
        <v>15729.6</v>
      </c>
      <c r="Q36" s="365">
        <v>0</v>
      </c>
      <c r="R36" s="369">
        <f t="shared" ref="R36" si="25">SUM(P36:Q36)</f>
        <v>15729.6</v>
      </c>
    </row>
    <row r="37" spans="1:18" s="377" customFormat="1" ht="25.5" customHeight="1" x14ac:dyDescent="0.4">
      <c r="A37" s="378" t="s">
        <v>340</v>
      </c>
      <c r="B37" s="363" t="s">
        <v>110</v>
      </c>
      <c r="C37" s="374">
        <v>1</v>
      </c>
      <c r="D37" s="370" t="s">
        <v>110</v>
      </c>
      <c r="E37" s="367">
        <v>0</v>
      </c>
      <c r="F37" s="365">
        <v>3000</v>
      </c>
      <c r="G37" s="366">
        <v>0</v>
      </c>
      <c r="H37" s="365">
        <v>12</v>
      </c>
      <c r="I37" s="366">
        <f>H37*$F37*$C37</f>
        <v>36000</v>
      </c>
      <c r="J37" s="367">
        <v>12</v>
      </c>
      <c r="K37" s="366">
        <f>J37*$F37*$C37*$B$5</f>
        <v>37440</v>
      </c>
      <c r="L37" s="367">
        <v>6</v>
      </c>
      <c r="M37" s="366">
        <f t="shared" si="23"/>
        <v>19468.8</v>
      </c>
      <c r="N37" s="367"/>
      <c r="O37" s="366">
        <v>0</v>
      </c>
      <c r="P37" s="368">
        <f t="shared" ref="P37" si="26">SUM(G37,I37,K37,M37,O37)</f>
        <v>92908.800000000003</v>
      </c>
      <c r="Q37" s="365">
        <v>0</v>
      </c>
      <c r="R37" s="369">
        <f t="shared" ref="R37" si="27">SUM(P37:Q37)</f>
        <v>92908.800000000003</v>
      </c>
    </row>
    <row r="38" spans="1:18" ht="15.6" thickBot="1" x14ac:dyDescent="0.45">
      <c r="A38" s="167" t="s">
        <v>116</v>
      </c>
      <c r="B38" s="153"/>
      <c r="C38" s="155"/>
      <c r="D38" s="153"/>
      <c r="E38" s="225"/>
      <c r="F38" s="226"/>
      <c r="G38" s="227">
        <f>SUM(G36:G37)</f>
        <v>0</v>
      </c>
      <c r="H38" s="228"/>
      <c r="I38" s="227">
        <f>SUM(I36:I37)</f>
        <v>39000</v>
      </c>
      <c r="J38" s="229"/>
      <c r="K38" s="227">
        <f>SUM(K36:K37)</f>
        <v>43680</v>
      </c>
      <c r="L38" s="229"/>
      <c r="M38" s="227">
        <f>SUM(M36:M37)</f>
        <v>25958.400000000001</v>
      </c>
      <c r="N38" s="229"/>
      <c r="O38" s="227">
        <f>SUM(O36:O37)</f>
        <v>0</v>
      </c>
      <c r="P38" s="312">
        <f>SUM(P36:P37)</f>
        <v>108638.40000000001</v>
      </c>
      <c r="Q38" s="228">
        <f>SUM(Q36:Q37)</f>
        <v>0</v>
      </c>
      <c r="R38" s="230">
        <f>SUM(R36:R37)</f>
        <v>108638.40000000001</v>
      </c>
    </row>
    <row r="39" spans="1:18" x14ac:dyDescent="0.4">
      <c r="A39" s="32" t="s">
        <v>117</v>
      </c>
      <c r="B39" s="16"/>
      <c r="C39" s="16"/>
      <c r="D39" s="16"/>
      <c r="E39" s="188"/>
      <c r="F39" s="189"/>
      <c r="G39" s="309"/>
      <c r="H39" s="310"/>
      <c r="I39" s="310"/>
      <c r="J39" s="311"/>
      <c r="K39" s="310"/>
      <c r="L39" s="311"/>
      <c r="M39" s="310"/>
      <c r="N39" s="311"/>
      <c r="O39" s="309"/>
      <c r="P39" s="210"/>
      <c r="Q39" s="310"/>
      <c r="R39" s="211"/>
    </row>
    <row r="40" spans="1:18" s="33" customFormat="1" x14ac:dyDescent="0.4">
      <c r="A40" s="92" t="s">
        <v>96</v>
      </c>
      <c r="B40" s="21"/>
      <c r="C40" s="22"/>
      <c r="D40" s="21"/>
      <c r="E40" s="176">
        <v>0</v>
      </c>
      <c r="F40" s="177">
        <v>0</v>
      </c>
      <c r="G40" s="178">
        <v>0</v>
      </c>
      <c r="H40" s="177">
        <v>0</v>
      </c>
      <c r="I40" s="177">
        <v>0</v>
      </c>
      <c r="J40" s="176">
        <v>0</v>
      </c>
      <c r="K40" s="177">
        <v>0</v>
      </c>
      <c r="L40" s="176">
        <v>0</v>
      </c>
      <c r="M40" s="177">
        <v>0</v>
      </c>
      <c r="N40" s="176">
        <v>0</v>
      </c>
      <c r="O40" s="178">
        <v>0</v>
      </c>
      <c r="P40" s="179">
        <f>SUM(G40,I40,K40,M40,O40)</f>
        <v>0</v>
      </c>
      <c r="Q40" s="177">
        <v>0</v>
      </c>
      <c r="R40" s="180">
        <f>SUM(P40:Q40)</f>
        <v>0</v>
      </c>
    </row>
    <row r="41" spans="1:18" ht="15.6" thickBot="1" x14ac:dyDescent="0.45">
      <c r="A41" s="156" t="s">
        <v>246</v>
      </c>
      <c r="B41" s="153"/>
      <c r="C41" s="153"/>
      <c r="D41" s="154"/>
      <c r="E41" s="197"/>
      <c r="F41" s="198"/>
      <c r="G41" s="199">
        <f>SUM(G40)</f>
        <v>0</v>
      </c>
      <c r="H41" s="198"/>
      <c r="I41" s="198">
        <f>SUM(I40)</f>
        <v>0</v>
      </c>
      <c r="J41" s="197"/>
      <c r="K41" s="198">
        <f>SUM(K40)</f>
        <v>0</v>
      </c>
      <c r="L41" s="197"/>
      <c r="M41" s="198">
        <f>SUM(M40)</f>
        <v>0</v>
      </c>
      <c r="N41" s="197"/>
      <c r="O41" s="199">
        <f>SUM(O40)</f>
        <v>0</v>
      </c>
      <c r="P41" s="308">
        <f>SUM(P40)</f>
        <v>0</v>
      </c>
      <c r="Q41" s="198">
        <f>SUM(Q40)</f>
        <v>0</v>
      </c>
      <c r="R41" s="200">
        <f>SUM(P41:Q41)</f>
        <v>0</v>
      </c>
    </row>
    <row r="42" spans="1:18" x14ac:dyDescent="0.4">
      <c r="A42" s="118" t="s">
        <v>247</v>
      </c>
      <c r="B42" s="81"/>
      <c r="C42" s="81"/>
      <c r="D42" s="81"/>
      <c r="E42" s="231"/>
      <c r="F42" s="232"/>
      <c r="G42" s="233"/>
      <c r="H42" s="232"/>
      <c r="I42" s="232"/>
      <c r="J42" s="231"/>
      <c r="K42" s="232"/>
      <c r="L42" s="231"/>
      <c r="M42" s="232"/>
      <c r="N42" s="231"/>
      <c r="O42" s="233"/>
      <c r="P42" s="234"/>
      <c r="Q42" s="232"/>
      <c r="R42" s="235"/>
    </row>
    <row r="43" spans="1:18" x14ac:dyDescent="0.4">
      <c r="A43" s="140" t="s">
        <v>120</v>
      </c>
      <c r="B43" s="83"/>
      <c r="C43" s="83"/>
      <c r="D43" s="83"/>
      <c r="E43" s="236"/>
      <c r="F43" s="237"/>
      <c r="G43" s="313"/>
      <c r="H43" s="314"/>
      <c r="I43" s="314"/>
      <c r="J43" s="315"/>
      <c r="K43" s="314"/>
      <c r="L43" s="315"/>
      <c r="M43" s="314"/>
      <c r="N43" s="315"/>
      <c r="O43" s="313"/>
      <c r="P43" s="215"/>
      <c r="Q43" s="314"/>
      <c r="R43" s="216"/>
    </row>
    <row r="44" spans="1:18" s="377" customFormat="1" x14ac:dyDescent="0.4">
      <c r="A44" s="378" t="s">
        <v>248</v>
      </c>
      <c r="B44" s="363" t="s">
        <v>122</v>
      </c>
      <c r="C44" s="374">
        <v>1</v>
      </c>
      <c r="D44" s="370" t="s">
        <v>43</v>
      </c>
      <c r="E44" s="367">
        <v>6</v>
      </c>
      <c r="F44" s="365">
        <v>50</v>
      </c>
      <c r="G44" s="366">
        <f t="shared" ref="G44" si="28">F44*E44*C44</f>
        <v>300</v>
      </c>
      <c r="H44" s="365">
        <v>12</v>
      </c>
      <c r="I44" s="365">
        <f t="shared" ref="I44:I45" si="29">H44*$F44*$C44*$B$5</f>
        <v>624</v>
      </c>
      <c r="J44" s="367">
        <v>12</v>
      </c>
      <c r="K44" s="365">
        <f t="shared" ref="K44:K45" si="30">J44*$F44*$C44*$B$5*$B$5</f>
        <v>648.96</v>
      </c>
      <c r="L44" s="367">
        <v>7</v>
      </c>
      <c r="M44" s="365">
        <f t="shared" ref="M44:M45" si="31">L44*$F44*$C44*$B$5*$B$5*$B$5</f>
        <v>393.70240000000001</v>
      </c>
      <c r="N44" s="367"/>
      <c r="O44" s="366">
        <f t="shared" ref="O44:O45" si="32">N44*$F44*$C44*$B$5*$B$5*$B$5*$B$5</f>
        <v>0</v>
      </c>
      <c r="P44" s="368">
        <f t="shared" ref="P44:P45" si="33">SUM(G44,I44,K44,M44,O44)</f>
        <v>1966.6624000000002</v>
      </c>
      <c r="Q44" s="365">
        <v>0</v>
      </c>
      <c r="R44" s="369">
        <f t="shared" ref="R44:R45" si="34">SUM(P44:Q44)</f>
        <v>1966.6624000000002</v>
      </c>
    </row>
    <row r="45" spans="1:18" s="377" customFormat="1" ht="30.6" x14ac:dyDescent="0.4">
      <c r="A45" s="378" t="s">
        <v>249</v>
      </c>
      <c r="B45" s="363" t="s">
        <v>122</v>
      </c>
      <c r="C45" s="374">
        <v>1</v>
      </c>
      <c r="D45" s="370" t="s">
        <v>43</v>
      </c>
      <c r="E45" s="367">
        <v>6</v>
      </c>
      <c r="F45" s="365">
        <v>200</v>
      </c>
      <c r="G45" s="366">
        <f>F45*E45*C45</f>
        <v>1200</v>
      </c>
      <c r="H45" s="365">
        <v>12</v>
      </c>
      <c r="I45" s="365">
        <f t="shared" si="29"/>
        <v>2496</v>
      </c>
      <c r="J45" s="367">
        <v>12</v>
      </c>
      <c r="K45" s="365">
        <f t="shared" si="30"/>
        <v>2595.84</v>
      </c>
      <c r="L45" s="367">
        <v>7</v>
      </c>
      <c r="M45" s="365">
        <f t="shared" si="31"/>
        <v>1574.8096</v>
      </c>
      <c r="N45" s="367"/>
      <c r="O45" s="366">
        <f t="shared" si="32"/>
        <v>0</v>
      </c>
      <c r="P45" s="368">
        <f t="shared" si="33"/>
        <v>7866.6496000000006</v>
      </c>
      <c r="Q45" s="365">
        <v>0</v>
      </c>
      <c r="R45" s="369">
        <f t="shared" si="34"/>
        <v>7866.6496000000006</v>
      </c>
    </row>
    <row r="46" spans="1:18" x14ac:dyDescent="0.4">
      <c r="A46" s="168" t="s">
        <v>250</v>
      </c>
      <c r="B46" s="171"/>
      <c r="C46" s="172"/>
      <c r="D46" s="172"/>
      <c r="E46" s="241"/>
      <c r="F46" s="242"/>
      <c r="G46" s="243">
        <f>SUM(G44:G45)</f>
        <v>1500</v>
      </c>
      <c r="H46" s="242"/>
      <c r="I46" s="242">
        <f>SUM(I44:I45)</f>
        <v>3120</v>
      </c>
      <c r="J46" s="241"/>
      <c r="K46" s="242">
        <f>SUM(K44:K45)</f>
        <v>3244.8</v>
      </c>
      <c r="L46" s="241"/>
      <c r="M46" s="242">
        <f>SUM(M44:M45)</f>
        <v>1968.5120000000002</v>
      </c>
      <c r="N46" s="241"/>
      <c r="O46" s="243">
        <f>SUM(O44:O45)</f>
        <v>0</v>
      </c>
      <c r="P46" s="316">
        <f>SUM(P44:P45)</f>
        <v>9833.3120000000017</v>
      </c>
      <c r="Q46" s="242">
        <f>SUM(Q44:Q45)</f>
        <v>0</v>
      </c>
      <c r="R46" s="244">
        <f>SUM(R44:R45)</f>
        <v>9833.3120000000017</v>
      </c>
    </row>
    <row r="47" spans="1:18" s="122" customFormat="1" ht="75" x14ac:dyDescent="0.4">
      <c r="A47" s="120" t="s">
        <v>160</v>
      </c>
      <c r="B47" s="90"/>
      <c r="C47" s="90"/>
      <c r="D47" s="90"/>
      <c r="E47" s="217"/>
      <c r="F47" s="218"/>
      <c r="G47" s="219"/>
      <c r="H47" s="218"/>
      <c r="I47" s="218"/>
      <c r="J47" s="217"/>
      <c r="K47" s="218"/>
      <c r="L47" s="217"/>
      <c r="M47" s="218"/>
      <c r="N47" s="217"/>
      <c r="O47" s="219"/>
      <c r="P47" s="220"/>
      <c r="Q47" s="218"/>
      <c r="R47" s="221"/>
    </row>
    <row r="48" spans="1:18" s="123" customFormat="1" ht="30" x14ac:dyDescent="0.4">
      <c r="A48" s="141" t="s">
        <v>81</v>
      </c>
      <c r="B48" s="173"/>
      <c r="C48" s="174"/>
      <c r="D48" s="173"/>
      <c r="E48" s="317"/>
      <c r="F48" s="318"/>
      <c r="G48" s="319"/>
      <c r="H48" s="318"/>
      <c r="I48" s="319"/>
      <c r="J48" s="317"/>
      <c r="K48" s="319"/>
      <c r="L48" s="317"/>
      <c r="M48" s="319"/>
      <c r="N48" s="317"/>
      <c r="O48" s="319"/>
      <c r="P48" s="320"/>
      <c r="Q48" s="318"/>
      <c r="R48" s="321"/>
    </row>
    <row r="49" spans="1:18" s="379" customFormat="1" x14ac:dyDescent="0.4">
      <c r="A49" s="378" t="s">
        <v>251</v>
      </c>
      <c r="B49" s="339" t="s">
        <v>162</v>
      </c>
      <c r="C49" s="374">
        <v>1</v>
      </c>
      <c r="D49" s="339" t="s">
        <v>252</v>
      </c>
      <c r="E49" s="367">
        <v>0</v>
      </c>
      <c r="F49" s="365">
        <f>'Expenses - Unit Costs'!$K$4</f>
        <v>360</v>
      </c>
      <c r="G49" s="366">
        <f>F49*E49*C49</f>
        <v>0</v>
      </c>
      <c r="H49" s="365">
        <v>10</v>
      </c>
      <c r="I49" s="366">
        <f>H49*$F49*$C49</f>
        <v>3600</v>
      </c>
      <c r="J49" s="367">
        <v>5</v>
      </c>
      <c r="K49" s="366">
        <f>J49*$F49*$C49*$B$5</f>
        <v>1872</v>
      </c>
      <c r="L49" s="367">
        <v>5</v>
      </c>
      <c r="M49" s="366">
        <f t="shared" ref="M49" si="35">L49*$F49*$C49*$B$5*$B$5</f>
        <v>1946.88</v>
      </c>
      <c r="N49" s="367"/>
      <c r="O49" s="366">
        <f t="shared" ref="O49:O58" si="36">N49*$F49*$C49*$B$5*$B$5*$B$5*$B$5</f>
        <v>0</v>
      </c>
      <c r="P49" s="368">
        <f t="shared" ref="P49:P50" si="37">SUM(G49,I49,K49,M49,O49)</f>
        <v>7418.88</v>
      </c>
      <c r="Q49" s="365">
        <v>0</v>
      </c>
      <c r="R49" s="369">
        <f t="shared" ref="R49:R50" si="38">SUM(P49:Q49)</f>
        <v>7418.88</v>
      </c>
    </row>
    <row r="50" spans="1:18" s="379" customFormat="1" x14ac:dyDescent="0.4">
      <c r="A50" s="378" t="s">
        <v>253</v>
      </c>
      <c r="B50" s="339" t="s">
        <v>162</v>
      </c>
      <c r="C50" s="374">
        <v>1</v>
      </c>
      <c r="D50" s="339" t="s">
        <v>254</v>
      </c>
      <c r="E50" s="367">
        <v>0</v>
      </c>
      <c r="F50" s="365">
        <v>1800</v>
      </c>
      <c r="G50" s="366">
        <f t="shared" ref="G50" si="39">F50*E50*C50</f>
        <v>0</v>
      </c>
      <c r="H50" s="365">
        <v>0</v>
      </c>
      <c r="I50" s="365">
        <f t="shared" ref="I50" si="40">H50*$F50*$C50*$B$5</f>
        <v>0</v>
      </c>
      <c r="J50" s="367">
        <v>12</v>
      </c>
      <c r="K50" s="365">
        <f>J50*$F50*$C50</f>
        <v>21600</v>
      </c>
      <c r="L50" s="367">
        <v>7</v>
      </c>
      <c r="M50" s="365">
        <f>L50*$F50*$C50*$B$5</f>
        <v>13104</v>
      </c>
      <c r="N50" s="367"/>
      <c r="O50" s="366">
        <f t="shared" si="36"/>
        <v>0</v>
      </c>
      <c r="P50" s="368">
        <f t="shared" si="37"/>
        <v>34704</v>
      </c>
      <c r="Q50" s="365">
        <v>0</v>
      </c>
      <c r="R50" s="369">
        <f t="shared" si="38"/>
        <v>34704</v>
      </c>
    </row>
    <row r="51" spans="1:18" s="379" customFormat="1" ht="30.6" x14ac:dyDescent="0.4">
      <c r="A51" s="378" t="s">
        <v>255</v>
      </c>
      <c r="B51" s="339" t="s">
        <v>162</v>
      </c>
      <c r="C51" s="374">
        <v>1</v>
      </c>
      <c r="D51" s="339" t="s">
        <v>256</v>
      </c>
      <c r="E51" s="367">
        <v>0</v>
      </c>
      <c r="F51" s="365">
        <f>'Expenses - Unit Costs'!$K$5</f>
        <v>5940</v>
      </c>
      <c r="G51" s="366">
        <f>F51*E51*C51</f>
        <v>0</v>
      </c>
      <c r="H51" s="365">
        <v>0</v>
      </c>
      <c r="I51" s="366">
        <f t="shared" ref="I51" si="41">H51*$F51*$C51*$B$5</f>
        <v>0</v>
      </c>
      <c r="J51" s="367">
        <v>0</v>
      </c>
      <c r="K51" s="366">
        <f>J51*$F51*$C51*$B$5*$B$5</f>
        <v>0</v>
      </c>
      <c r="L51" s="367">
        <v>5</v>
      </c>
      <c r="M51" s="366">
        <f>L51*$F51*$C51</f>
        <v>29700</v>
      </c>
      <c r="N51" s="367"/>
      <c r="O51" s="366">
        <f t="shared" si="36"/>
        <v>0</v>
      </c>
      <c r="P51" s="368">
        <f t="shared" ref="P51" si="42">SUM(G51,I51,K51,M51,O51)</f>
        <v>29700</v>
      </c>
      <c r="Q51" s="365">
        <v>0</v>
      </c>
      <c r="R51" s="369">
        <f t="shared" ref="R51" si="43">SUM(P51:Q51)</f>
        <v>29700</v>
      </c>
    </row>
    <row r="52" spans="1:18" s="123" customFormat="1" ht="45" x14ac:dyDescent="0.4">
      <c r="A52" s="141" t="s">
        <v>82</v>
      </c>
      <c r="B52" s="173"/>
      <c r="C52" s="174"/>
      <c r="D52" s="173"/>
      <c r="E52" s="317"/>
      <c r="F52" s="318"/>
      <c r="G52" s="319"/>
      <c r="H52" s="318"/>
      <c r="I52" s="319"/>
      <c r="J52" s="317"/>
      <c r="K52" s="319"/>
      <c r="L52" s="317"/>
      <c r="M52" s="319"/>
      <c r="N52" s="317"/>
      <c r="O52" s="319"/>
      <c r="P52" s="320"/>
      <c r="Q52" s="318"/>
      <c r="R52" s="321"/>
    </row>
    <row r="53" spans="1:18" s="380" customFormat="1" ht="45.9" x14ac:dyDescent="0.4">
      <c r="A53" s="378" t="s">
        <v>257</v>
      </c>
      <c r="B53" s="339" t="s">
        <v>162</v>
      </c>
      <c r="C53" s="374">
        <v>1</v>
      </c>
      <c r="D53" s="339" t="s">
        <v>164</v>
      </c>
      <c r="E53" s="367">
        <v>0</v>
      </c>
      <c r="F53" s="365">
        <f>'Expenses - Unit Costs'!$K$12</f>
        <v>1600</v>
      </c>
      <c r="G53" s="366">
        <v>0</v>
      </c>
      <c r="H53" s="365">
        <v>2</v>
      </c>
      <c r="I53" s="366">
        <f>H53*$F53*$C53</f>
        <v>3200</v>
      </c>
      <c r="J53" s="367">
        <v>4</v>
      </c>
      <c r="K53" s="366">
        <f>J53*$F53*$C53*$B$5</f>
        <v>6656</v>
      </c>
      <c r="L53" s="367">
        <v>4</v>
      </c>
      <c r="M53" s="366">
        <f t="shared" ref="M53" si="44">L53*$F53*$C53*$B$5*$B$5</f>
        <v>6922.24</v>
      </c>
      <c r="N53" s="367"/>
      <c r="O53" s="366"/>
      <c r="P53" s="368">
        <f t="shared" ref="P53" si="45">SUM(G53,I53,K53,M53,O53)</f>
        <v>16778.239999999998</v>
      </c>
      <c r="Q53" s="365">
        <v>0</v>
      </c>
      <c r="R53" s="369">
        <f t="shared" ref="R53" si="46">SUM(P53:Q53)</f>
        <v>16778.239999999998</v>
      </c>
    </row>
    <row r="54" spans="1:18" s="123" customFormat="1" ht="30" x14ac:dyDescent="0.4">
      <c r="A54" s="141" t="s">
        <v>84</v>
      </c>
      <c r="B54" s="173"/>
      <c r="C54" s="174"/>
      <c r="D54" s="173"/>
      <c r="E54" s="317"/>
      <c r="F54" s="318"/>
      <c r="G54" s="319"/>
      <c r="H54" s="318"/>
      <c r="I54" s="319"/>
      <c r="J54" s="317"/>
      <c r="K54" s="319"/>
      <c r="L54" s="317"/>
      <c r="M54" s="319"/>
      <c r="N54" s="317"/>
      <c r="O54" s="319"/>
      <c r="P54" s="320"/>
      <c r="Q54" s="318"/>
      <c r="R54" s="321"/>
    </row>
    <row r="55" spans="1:18" s="380" customFormat="1" x14ac:dyDescent="0.4">
      <c r="A55" s="378" t="s">
        <v>258</v>
      </c>
      <c r="B55" s="339" t="s">
        <v>259</v>
      </c>
      <c r="C55" s="374">
        <v>1</v>
      </c>
      <c r="D55" s="339" t="s">
        <v>167</v>
      </c>
      <c r="E55" s="367"/>
      <c r="F55" s="365">
        <v>1500</v>
      </c>
      <c r="G55" s="366">
        <f>F55*E55*C55</f>
        <v>0</v>
      </c>
      <c r="H55" s="365">
        <v>1</v>
      </c>
      <c r="I55" s="366">
        <f>H55*$F55*$C55</f>
        <v>1500</v>
      </c>
      <c r="J55" s="365">
        <v>1</v>
      </c>
      <c r="K55" s="366">
        <f>J55*$F55*$C55*$B$5</f>
        <v>1560</v>
      </c>
      <c r="L55" s="365">
        <v>1</v>
      </c>
      <c r="M55" s="366">
        <f t="shared" ref="M55:M58" si="47">L55*$F55*$C55*$B$5*$B$5</f>
        <v>1622.4</v>
      </c>
      <c r="N55" s="365"/>
      <c r="O55" s="366">
        <f t="shared" si="36"/>
        <v>0</v>
      </c>
      <c r="P55" s="368">
        <f t="shared" ref="P55" si="48">SUM(G55,I55,K55,M55,O55)</f>
        <v>4682.3999999999996</v>
      </c>
      <c r="Q55" s="365">
        <v>0</v>
      </c>
      <c r="R55" s="369">
        <f t="shared" ref="R55" si="49">SUM(P55:Q55)</f>
        <v>4682.3999999999996</v>
      </c>
    </row>
    <row r="56" spans="1:18" s="380" customFormat="1" x14ac:dyDescent="0.4">
      <c r="A56" s="378" t="s">
        <v>260</v>
      </c>
      <c r="B56" s="339" t="s">
        <v>259</v>
      </c>
      <c r="C56" s="374">
        <v>1</v>
      </c>
      <c r="D56" s="339" t="s">
        <v>167</v>
      </c>
      <c r="E56" s="367"/>
      <c r="F56" s="365">
        <v>35</v>
      </c>
      <c r="G56" s="366">
        <f>F56*E56*C56</f>
        <v>0</v>
      </c>
      <c r="H56" s="365">
        <v>40</v>
      </c>
      <c r="I56" s="366">
        <f t="shared" ref="I56:I58" si="50">H56*$F56*$C56</f>
        <v>1400</v>
      </c>
      <c r="J56" s="365">
        <v>40</v>
      </c>
      <c r="K56" s="366">
        <f t="shared" ref="K56:K58" si="51">J56*$F56*$C56*$B$5</f>
        <v>1456</v>
      </c>
      <c r="L56" s="365">
        <v>20</v>
      </c>
      <c r="M56" s="366">
        <f t="shared" si="47"/>
        <v>757.12</v>
      </c>
      <c r="N56" s="365"/>
      <c r="O56" s="366">
        <f t="shared" si="36"/>
        <v>0</v>
      </c>
      <c r="P56" s="368">
        <f t="shared" ref="P56:P58" si="52">SUM(G56,I56,K56,M56,O56)</f>
        <v>3613.12</v>
      </c>
      <c r="Q56" s="365">
        <v>0</v>
      </c>
      <c r="R56" s="369">
        <f t="shared" ref="R56:R58" si="53">SUM(P56:Q56)</f>
        <v>3613.12</v>
      </c>
    </row>
    <row r="57" spans="1:18" s="380" customFormat="1" x14ac:dyDescent="0.4">
      <c r="A57" s="378" t="s">
        <v>261</v>
      </c>
      <c r="B57" s="339" t="s">
        <v>259</v>
      </c>
      <c r="C57" s="374">
        <v>1</v>
      </c>
      <c r="D57" s="339" t="s">
        <v>167</v>
      </c>
      <c r="E57" s="367"/>
      <c r="F57" s="365">
        <v>2280</v>
      </c>
      <c r="G57" s="366">
        <f>F57*E57*C57</f>
        <v>0</v>
      </c>
      <c r="H57" s="365">
        <v>1</v>
      </c>
      <c r="I57" s="366">
        <f t="shared" si="50"/>
        <v>2280</v>
      </c>
      <c r="J57" s="365">
        <v>1</v>
      </c>
      <c r="K57" s="366">
        <f t="shared" si="51"/>
        <v>2371.2000000000003</v>
      </c>
      <c r="L57" s="365">
        <v>1</v>
      </c>
      <c r="M57" s="366">
        <f t="shared" si="47"/>
        <v>2466.0480000000002</v>
      </c>
      <c r="N57" s="365"/>
      <c r="O57" s="366">
        <f t="shared" si="36"/>
        <v>0</v>
      </c>
      <c r="P57" s="368">
        <f t="shared" si="52"/>
        <v>7117.2480000000014</v>
      </c>
      <c r="Q57" s="365">
        <v>0</v>
      </c>
      <c r="R57" s="369">
        <f t="shared" si="53"/>
        <v>7117.2480000000014</v>
      </c>
    </row>
    <row r="58" spans="1:18" s="380" customFormat="1" x14ac:dyDescent="0.4">
      <c r="A58" s="378" t="s">
        <v>262</v>
      </c>
      <c r="B58" s="339" t="s">
        <v>259</v>
      </c>
      <c r="C58" s="374">
        <v>1</v>
      </c>
      <c r="D58" s="339" t="s">
        <v>142</v>
      </c>
      <c r="E58" s="367"/>
      <c r="F58" s="365">
        <f>190*43</f>
        <v>8170</v>
      </c>
      <c r="G58" s="366">
        <f t="shared" ref="G58" si="54">F58*E58*C58</f>
        <v>0</v>
      </c>
      <c r="H58" s="365">
        <v>1</v>
      </c>
      <c r="I58" s="366">
        <f t="shared" si="50"/>
        <v>8170</v>
      </c>
      <c r="J58" s="365">
        <v>1</v>
      </c>
      <c r="K58" s="366">
        <f t="shared" si="51"/>
        <v>8496.8000000000011</v>
      </c>
      <c r="L58" s="365">
        <v>1</v>
      </c>
      <c r="M58" s="366">
        <f t="shared" si="47"/>
        <v>8836.6720000000023</v>
      </c>
      <c r="N58" s="365"/>
      <c r="O58" s="366">
        <f t="shared" si="36"/>
        <v>0</v>
      </c>
      <c r="P58" s="368">
        <f t="shared" si="52"/>
        <v>25503.472000000005</v>
      </c>
      <c r="Q58" s="365">
        <v>0</v>
      </c>
      <c r="R58" s="369">
        <f t="shared" si="53"/>
        <v>25503.472000000005</v>
      </c>
    </row>
    <row r="59" spans="1:18" ht="15.6" thickBot="1" x14ac:dyDescent="0.45">
      <c r="A59" s="168" t="s">
        <v>263</v>
      </c>
      <c r="B59" s="169"/>
      <c r="C59" s="170"/>
      <c r="D59" s="170"/>
      <c r="E59" s="241"/>
      <c r="F59" s="242"/>
      <c r="G59" s="243">
        <f>SUM(G48:G58)</f>
        <v>0</v>
      </c>
      <c r="H59" s="242"/>
      <c r="I59" s="243">
        <f>SUM(I48:I58)</f>
        <v>20150</v>
      </c>
      <c r="J59" s="241"/>
      <c r="K59" s="243">
        <f>SUM(K48:K58)</f>
        <v>44012</v>
      </c>
      <c r="L59" s="241"/>
      <c r="M59" s="243">
        <f>SUM(M48:M58)</f>
        <v>65355.360000000015</v>
      </c>
      <c r="N59" s="241"/>
      <c r="O59" s="243">
        <f>SUM(O48:O58)</f>
        <v>0</v>
      </c>
      <c r="P59" s="316">
        <f>SUM(P48:P58)</f>
        <v>129517.36</v>
      </c>
      <c r="Q59" s="242">
        <f>SUM(Q48:Q58)</f>
        <v>0</v>
      </c>
      <c r="R59" s="244">
        <f>SUM(R48:R58)</f>
        <v>129517.36</v>
      </c>
    </row>
    <row r="60" spans="1:18" x14ac:dyDescent="0.4">
      <c r="A60" s="143"/>
      <c r="B60" s="144"/>
      <c r="C60" s="145"/>
      <c r="D60" s="145"/>
      <c r="E60" s="322"/>
      <c r="F60" s="323"/>
      <c r="G60" s="324"/>
      <c r="H60" s="323"/>
      <c r="I60" s="323"/>
      <c r="J60" s="322"/>
      <c r="K60" s="323"/>
      <c r="L60" s="322"/>
      <c r="M60" s="323"/>
      <c r="N60" s="322"/>
      <c r="O60" s="324"/>
      <c r="P60" s="325"/>
      <c r="Q60" s="323"/>
      <c r="R60" s="326"/>
    </row>
    <row r="61" spans="1:18" ht="15.6" thickBot="1" x14ac:dyDescent="0.45">
      <c r="A61" s="148" t="s">
        <v>264</v>
      </c>
      <c r="B61" s="79"/>
      <c r="C61" s="79"/>
      <c r="D61" s="79"/>
      <c r="E61" s="327"/>
      <c r="F61" s="328"/>
      <c r="G61" s="329">
        <f>SUM(G44:G59)/2</f>
        <v>1500</v>
      </c>
      <c r="H61" s="327"/>
      <c r="I61" s="329">
        <f>SUM(I44:I59)/2</f>
        <v>23270</v>
      </c>
      <c r="J61" s="327"/>
      <c r="K61" s="329">
        <f>SUM(K44:K59)/2</f>
        <v>47256.800000000003</v>
      </c>
      <c r="L61" s="327"/>
      <c r="M61" s="329">
        <f>SUM(M44:M59)/2</f>
        <v>67323.872000000003</v>
      </c>
      <c r="N61" s="327"/>
      <c r="O61" s="329">
        <f>SUM(O44:O59)/2</f>
        <v>0</v>
      </c>
      <c r="P61" s="330">
        <f>SUM(P44:P59)/2</f>
        <v>139350.67199999999</v>
      </c>
      <c r="Q61" s="328">
        <f>SUM(Q44:Q59)/2</f>
        <v>0</v>
      </c>
      <c r="R61" s="331">
        <f>SUM(R44:R59)/2</f>
        <v>139350.67199999999</v>
      </c>
    </row>
    <row r="62" spans="1:18" x14ac:dyDescent="0.4">
      <c r="A62" s="132"/>
      <c r="B62" s="35"/>
      <c r="C62" s="35"/>
      <c r="D62" s="21"/>
      <c r="E62" s="206"/>
      <c r="F62" s="196"/>
      <c r="G62" s="304"/>
      <c r="H62" s="196"/>
      <c r="I62" s="196"/>
      <c r="J62" s="303"/>
      <c r="K62" s="196"/>
      <c r="L62" s="303"/>
      <c r="M62" s="196"/>
      <c r="N62" s="303"/>
      <c r="O62" s="304"/>
      <c r="P62" s="305"/>
      <c r="Q62" s="196"/>
      <c r="R62" s="306"/>
    </row>
    <row r="63" spans="1:18" ht="15.6" thickBot="1" x14ac:dyDescent="0.45">
      <c r="A63" s="138" t="s">
        <v>265</v>
      </c>
      <c r="B63" s="94"/>
      <c r="C63" s="94"/>
      <c r="D63" s="94"/>
      <c r="E63" s="201"/>
      <c r="F63" s="202"/>
      <c r="G63" s="253">
        <f>SUM(G14+G17+G27+G34++G61+G38+G30+G41)</f>
        <v>49315.061999999998</v>
      </c>
      <c r="H63" s="202"/>
      <c r="I63" s="202">
        <f>SUM(I14+I17+I27+I34++I61+I38+I30+I41)</f>
        <v>214600.88313359075</v>
      </c>
      <c r="J63" s="254"/>
      <c r="K63" s="202">
        <f>SUM(K14+K17+K27+K34++K61+K38+K30+K41)</f>
        <v>250632.3433829344</v>
      </c>
      <c r="L63" s="254"/>
      <c r="M63" s="202">
        <f>SUM(M14+M17+M27+M34++M61+M38+M30+M41)</f>
        <v>180644.60745210233</v>
      </c>
      <c r="N63" s="254"/>
      <c r="O63" s="253">
        <f>SUM(O14+O17+O27+O34++O61+O38+O30+O41)</f>
        <v>0</v>
      </c>
      <c r="P63" s="332">
        <f>SUM(P14+P17+P27+P34++P61+P38+P30+P41)</f>
        <v>695192.89596862742</v>
      </c>
      <c r="Q63" s="202">
        <f>SUM(Q14+Q17+Q27+Q34++Q61+Q38+Q30+Q41)</f>
        <v>0</v>
      </c>
      <c r="R63" s="255">
        <f>SUM(R14+R17+R27+R34++R61+R38+R30+R41)</f>
        <v>695192.89596862742</v>
      </c>
    </row>
    <row r="64" spans="1:18" x14ac:dyDescent="0.4">
      <c r="A64" s="34"/>
      <c r="B64" s="30"/>
      <c r="C64" s="30"/>
      <c r="D64" s="21"/>
      <c r="E64" s="206"/>
      <c r="F64" s="196"/>
      <c r="G64" s="304"/>
      <c r="H64" s="196"/>
      <c r="I64" s="196"/>
      <c r="J64" s="303"/>
      <c r="K64" s="196"/>
      <c r="L64" s="303"/>
      <c r="M64" s="196"/>
      <c r="N64" s="303"/>
      <c r="O64" s="304"/>
      <c r="P64" s="305"/>
      <c r="Q64" s="196"/>
      <c r="R64" s="306"/>
    </row>
    <row r="65" spans="1:18" x14ac:dyDescent="0.4">
      <c r="A65" s="133" t="s">
        <v>266</v>
      </c>
      <c r="B65" s="147" t="s">
        <v>267</v>
      </c>
      <c r="C65" s="21"/>
      <c r="D65" s="35"/>
      <c r="E65" s="206"/>
      <c r="F65" s="36">
        <v>0.15</v>
      </c>
      <c r="G65" s="178">
        <f>(G63)*$F$65</f>
        <v>7397.2592999999997</v>
      </c>
      <c r="H65" s="177"/>
      <c r="I65" s="178">
        <f>(I63)*$F$65</f>
        <v>32190.13247003861</v>
      </c>
      <c r="J65" s="176"/>
      <c r="K65" s="178">
        <f>(K63)*$F$65</f>
        <v>37594.851507440158</v>
      </c>
      <c r="L65" s="224"/>
      <c r="M65" s="178">
        <f>(M63)*$F$65</f>
        <v>27096.69111781535</v>
      </c>
      <c r="N65" s="224"/>
      <c r="O65" s="178">
        <f>(O63)*$F$65</f>
        <v>0</v>
      </c>
      <c r="P65" s="179">
        <f>SUM(G65,I65,K65,M65,O65)</f>
        <v>104278.93439529411</v>
      </c>
      <c r="Q65" s="177">
        <v>0</v>
      </c>
      <c r="R65" s="180">
        <f t="shared" ref="R65" si="55">SUM(P65:Q65)</f>
        <v>104278.93439529411</v>
      </c>
    </row>
    <row r="66" spans="1:18" x14ac:dyDescent="0.4">
      <c r="A66" s="95"/>
      <c r="B66" s="86"/>
      <c r="C66" s="86"/>
      <c r="D66" s="96"/>
      <c r="E66" s="195"/>
      <c r="F66" s="196"/>
      <c r="G66" s="304"/>
      <c r="H66" s="196"/>
      <c r="I66" s="196"/>
      <c r="J66" s="303"/>
      <c r="K66" s="196"/>
      <c r="L66" s="303"/>
      <c r="M66" s="196"/>
      <c r="N66" s="303"/>
      <c r="O66" s="304"/>
      <c r="P66" s="305"/>
      <c r="Q66" s="196"/>
      <c r="R66" s="306"/>
    </row>
    <row r="67" spans="1:18" ht="15.6" thickBot="1" x14ac:dyDescent="0.45">
      <c r="A67" s="138" t="s">
        <v>268</v>
      </c>
      <c r="B67" s="94"/>
      <c r="C67" s="94"/>
      <c r="D67" s="94"/>
      <c r="E67" s="201"/>
      <c r="F67" s="202"/>
      <c r="G67" s="203">
        <f>G63+G65</f>
        <v>56712.321299999996</v>
      </c>
      <c r="H67" s="204"/>
      <c r="I67" s="204">
        <f>I63+I65</f>
        <v>246791.01560362935</v>
      </c>
      <c r="J67" s="205"/>
      <c r="K67" s="204">
        <f>K63+K65</f>
        <v>288227.19489037455</v>
      </c>
      <c r="L67" s="205"/>
      <c r="M67" s="204">
        <f>M63+M65</f>
        <v>207741.29856991768</v>
      </c>
      <c r="N67" s="205"/>
      <c r="O67" s="203">
        <f>O63+O65</f>
        <v>0</v>
      </c>
      <c r="P67" s="382">
        <f>P63+P65</f>
        <v>799471.83036392159</v>
      </c>
      <c r="Q67" s="204">
        <f>Q63+Q65</f>
        <v>0</v>
      </c>
      <c r="R67" s="307">
        <f>SUM(P67:Q67)</f>
        <v>799471.83036392159</v>
      </c>
    </row>
    <row r="68" spans="1:18" x14ac:dyDescent="0.4">
      <c r="A68" s="21"/>
      <c r="B68" s="21"/>
      <c r="C68" s="21"/>
      <c r="D68" s="21"/>
      <c r="E68" s="21"/>
      <c r="F68" s="55"/>
      <c r="G68" s="56"/>
      <c r="H68" s="56"/>
      <c r="I68" s="56"/>
      <c r="J68" s="56"/>
      <c r="K68" s="56"/>
      <c r="L68" s="56"/>
      <c r="M68" s="56"/>
      <c r="N68" s="56"/>
      <c r="O68" s="56"/>
      <c r="P68" s="78"/>
      <c r="Q68" s="56"/>
      <c r="R68" s="78"/>
    </row>
    <row r="69" spans="1:18" x14ac:dyDescent="0.4">
      <c r="A69" s="21"/>
      <c r="B69" s="21"/>
      <c r="C69" s="21"/>
      <c r="D69" s="21"/>
      <c r="E69" s="21"/>
      <c r="F69" s="55"/>
      <c r="G69" s="56"/>
      <c r="H69" s="56"/>
      <c r="I69" s="56"/>
      <c r="J69" s="56"/>
      <c r="K69" s="56"/>
      <c r="L69" s="56"/>
      <c r="M69" s="56"/>
      <c r="N69" s="56"/>
      <c r="O69" s="56"/>
      <c r="P69" s="78"/>
      <c r="Q69" s="56"/>
      <c r="R69" s="98"/>
    </row>
    <row r="70" spans="1:18" x14ac:dyDescent="0.4">
      <c r="A70" s="21"/>
      <c r="B70" s="21"/>
      <c r="C70" s="21"/>
      <c r="D70" s="21"/>
      <c r="E70" s="21"/>
      <c r="F70" s="55"/>
      <c r="G70" s="56"/>
      <c r="H70" s="56"/>
      <c r="I70" s="56"/>
      <c r="J70" s="56"/>
      <c r="K70" s="56"/>
      <c r="L70" s="56"/>
      <c r="M70" s="56"/>
      <c r="N70" s="56"/>
      <c r="O70" s="56"/>
      <c r="P70" s="78"/>
      <c r="Q70" s="56"/>
      <c r="R70" s="78"/>
    </row>
    <row r="71" spans="1:18" x14ac:dyDescent="0.4">
      <c r="A71" s="99"/>
      <c r="B71" s="99"/>
      <c r="C71" s="99"/>
      <c r="D71" s="75"/>
      <c r="E71" s="21"/>
      <c r="F71" s="55"/>
      <c r="G71" s="56"/>
      <c r="H71" s="56"/>
      <c r="I71" s="56"/>
      <c r="J71" s="56"/>
      <c r="K71" s="56"/>
      <c r="L71" s="56"/>
      <c r="M71" s="56"/>
      <c r="N71" s="56"/>
      <c r="O71" s="56"/>
      <c r="P71" s="78"/>
      <c r="Q71" s="56"/>
      <c r="R71" s="78"/>
    </row>
    <row r="72" spans="1:18" x14ac:dyDescent="0.4">
      <c r="A72" s="99"/>
      <c r="B72" s="99"/>
      <c r="C72" s="99"/>
      <c r="D72" s="100"/>
      <c r="E72" s="21"/>
      <c r="F72" s="55"/>
      <c r="G72" s="56"/>
      <c r="H72" s="56"/>
      <c r="I72" s="56"/>
      <c r="J72" s="56"/>
      <c r="K72" s="56"/>
      <c r="L72" s="56"/>
      <c r="M72" s="56"/>
      <c r="N72" s="56"/>
      <c r="O72" s="56"/>
      <c r="P72" s="78"/>
      <c r="Q72" s="56"/>
      <c r="R72" s="78"/>
    </row>
  </sheetData>
  <mergeCells count="4">
    <mergeCell ref="A1:R1"/>
    <mergeCell ref="A2:R2"/>
    <mergeCell ref="A3:R3"/>
    <mergeCell ref="A4: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6543-2FE0-4BED-A7CC-59FAB596646A}">
  <dimension ref="A1:L36"/>
  <sheetViews>
    <sheetView topLeftCell="A9" workbookViewId="0">
      <selection activeCell="C12" sqref="C12"/>
    </sheetView>
  </sheetViews>
  <sheetFormatPr defaultColWidth="10.71875" defaultRowHeight="12.3" x14ac:dyDescent="0.4"/>
  <cols>
    <col min="1" max="1" width="18.44140625" bestFit="1" customWidth="1"/>
    <col min="2" max="2" width="11.44140625" customWidth="1"/>
    <col min="5" max="5" width="14.1640625" customWidth="1"/>
    <col min="7" max="7" width="12" bestFit="1" customWidth="1"/>
    <col min="10" max="10" width="12.71875" bestFit="1" customWidth="1"/>
  </cols>
  <sheetData>
    <row r="1" spans="1:6" x14ac:dyDescent="0.4">
      <c r="A1" s="1" t="s">
        <v>298</v>
      </c>
      <c r="B1">
        <v>18.5</v>
      </c>
    </row>
    <row r="4" spans="1:6" x14ac:dyDescent="0.4">
      <c r="A4" s="2" t="s">
        <v>299</v>
      </c>
    </row>
    <row r="5" spans="1:6" ht="36.9" x14ac:dyDescent="0.4">
      <c r="A5" s="270"/>
      <c r="B5" s="270" t="s">
        <v>202</v>
      </c>
      <c r="C5" s="270" t="s">
        <v>204</v>
      </c>
      <c r="D5" s="270" t="s">
        <v>346</v>
      </c>
      <c r="E5" s="270" t="s">
        <v>300</v>
      </c>
      <c r="F5" s="270" t="s">
        <v>301</v>
      </c>
    </row>
    <row r="6" spans="1:6" x14ac:dyDescent="0.4">
      <c r="A6" s="265" t="s">
        <v>302</v>
      </c>
      <c r="B6" s="266"/>
      <c r="C6" s="266"/>
      <c r="D6" s="267"/>
      <c r="E6" s="267"/>
      <c r="F6" s="267"/>
    </row>
    <row r="7" spans="1:6" x14ac:dyDescent="0.4">
      <c r="A7" s="265" t="s">
        <v>303</v>
      </c>
      <c r="B7" s="266">
        <f>AVERAGE(2100,1750,1662,788,1746)/$B$1</f>
        <v>86.983783783783792</v>
      </c>
      <c r="C7" s="266">
        <f>123</f>
        <v>123</v>
      </c>
      <c r="D7" s="266">
        <f>AVERAGE(10117,11683)/$B$1</f>
        <v>589.18918918918916</v>
      </c>
      <c r="E7" s="267">
        <v>50</v>
      </c>
      <c r="F7" s="266">
        <v>210</v>
      </c>
    </row>
    <row r="8" spans="1:6" x14ac:dyDescent="0.4">
      <c r="A8" s="265" t="s">
        <v>304</v>
      </c>
      <c r="B8" s="266">
        <f>AVERAGE(2343,2933,2273,1562,1889,2014)/$B$1</f>
        <v>117.24324324324324</v>
      </c>
      <c r="C8" s="266">
        <f>101</f>
        <v>101</v>
      </c>
      <c r="D8" s="266">
        <f>AVERAGE(4274,4439,4532,4536,4547)/$B$1</f>
        <v>241.3837837837838</v>
      </c>
      <c r="E8" s="266">
        <v>50</v>
      </c>
      <c r="F8" s="266">
        <v>193</v>
      </c>
    </row>
    <row r="9" spans="1:6" x14ac:dyDescent="0.4">
      <c r="A9" s="265" t="s">
        <v>305</v>
      </c>
      <c r="B9" s="266">
        <f>AVERAGE(2075,601,1984,777,1283,2355,2455)/$B$1</f>
        <v>89.034749034749026</v>
      </c>
      <c r="C9" s="266">
        <f>110</f>
        <v>110</v>
      </c>
      <c r="D9" s="266">
        <f>AVERAGE(7356,7820,10470,10682)/$B$1</f>
        <v>490.91891891891891</v>
      </c>
      <c r="E9" s="266">
        <v>50</v>
      </c>
      <c r="F9" s="266">
        <v>141</v>
      </c>
    </row>
    <row r="10" spans="1:6" x14ac:dyDescent="0.4">
      <c r="A10" s="265" t="s">
        <v>306</v>
      </c>
      <c r="B10" s="266">
        <f>AVERAGE(1203,2371,906,858,2371,2434)/$B$1</f>
        <v>91.378378378378372</v>
      </c>
      <c r="C10" s="266">
        <f>121</f>
        <v>121</v>
      </c>
      <c r="D10" s="266">
        <f>AVERAGE(1543,2444,2879,2883)/$B$1</f>
        <v>131.74324324324326</v>
      </c>
      <c r="E10" s="266">
        <v>50</v>
      </c>
      <c r="F10" s="266">
        <v>241</v>
      </c>
    </row>
    <row r="11" spans="1:6" x14ac:dyDescent="0.4">
      <c r="A11" s="265" t="s">
        <v>344</v>
      </c>
      <c r="B11" s="268">
        <f>AVERAGE(B6:B10)</f>
        <v>96.160038610038612</v>
      </c>
      <c r="C11" s="266">
        <f>AVERAGE(C6:C10)</f>
        <v>113.75</v>
      </c>
      <c r="D11" s="268">
        <f>AVERAGE(D6:D10)</f>
        <v>363.30878378378378</v>
      </c>
      <c r="E11" s="268">
        <f t="shared" ref="E11" si="0">AVERAGE(E6:E10)</f>
        <v>50</v>
      </c>
      <c r="F11" s="268">
        <f>AVERAGE(F6:F10)</f>
        <v>196.25</v>
      </c>
    </row>
    <row r="12" spans="1:6" x14ac:dyDescent="0.4">
      <c r="A12" s="269">
        <v>0.5</v>
      </c>
      <c r="B12" s="266"/>
      <c r="C12" s="268">
        <f>+C11*0.5</f>
        <v>56.875</v>
      </c>
      <c r="D12" s="266"/>
      <c r="E12" s="266"/>
      <c r="F12" s="267"/>
    </row>
    <row r="16" spans="1:6" x14ac:dyDescent="0.4">
      <c r="A16" s="2" t="s">
        <v>307</v>
      </c>
    </row>
    <row r="18" spans="1:12" x14ac:dyDescent="0.4">
      <c r="A18" s="1" t="s">
        <v>308</v>
      </c>
      <c r="B18" s="278">
        <f>AVERAGE(14811,19251)/$B$1</f>
        <v>920.59459459459458</v>
      </c>
    </row>
    <row r="19" spans="1:12" x14ac:dyDescent="0.4">
      <c r="A19" s="1" t="s">
        <v>309</v>
      </c>
      <c r="B19" s="278">
        <f>AVERAGE(3680,1721,1092,2233)/$B$1</f>
        <v>117.91891891891892</v>
      </c>
    </row>
    <row r="20" spans="1:12" x14ac:dyDescent="0.4">
      <c r="A20" s="1" t="s">
        <v>310</v>
      </c>
      <c r="B20" s="278">
        <f>126*0.9</f>
        <v>113.4</v>
      </c>
    </row>
    <row r="21" spans="1:12" x14ac:dyDescent="0.4">
      <c r="A21" s="1" t="s">
        <v>311</v>
      </c>
      <c r="B21" s="278">
        <v>183</v>
      </c>
      <c r="C21" s="341"/>
      <c r="D21" s="341"/>
      <c r="E21" s="341"/>
      <c r="F21" s="341"/>
      <c r="G21" s="341"/>
      <c r="H21" s="341"/>
      <c r="I21" s="341"/>
      <c r="J21" s="341"/>
      <c r="K21" s="341"/>
      <c r="L21" s="341"/>
    </row>
    <row r="22" spans="1:12" x14ac:dyDescent="0.4">
      <c r="A22" s="1" t="s">
        <v>312</v>
      </c>
      <c r="B22" s="278">
        <f>92*0.9</f>
        <v>82.8</v>
      </c>
    </row>
    <row r="27" spans="1:12" x14ac:dyDescent="0.4">
      <c r="A27" s="2" t="s">
        <v>313</v>
      </c>
    </row>
    <row r="28" spans="1:12" x14ac:dyDescent="0.4">
      <c r="A28" t="s">
        <v>314</v>
      </c>
      <c r="B28" s="300">
        <f>AVERAGE(9986,10307,11289)</f>
        <v>10527.333333333334</v>
      </c>
    </row>
    <row r="29" spans="1:12" x14ac:dyDescent="0.4">
      <c r="A29" s="1" t="s">
        <v>315</v>
      </c>
      <c r="B29" s="300">
        <f>AVERAGE(14336,14605,16704)</f>
        <v>15215</v>
      </c>
    </row>
    <row r="30" spans="1:12" x14ac:dyDescent="0.4">
      <c r="A30" s="1" t="s">
        <v>316</v>
      </c>
      <c r="B30" s="300">
        <f>AVERAGE(16220,17106,18138,20211,21372)</f>
        <v>18609.400000000001</v>
      </c>
    </row>
    <row r="31" spans="1:12" x14ac:dyDescent="0.4">
      <c r="A31" s="1" t="s">
        <v>317</v>
      </c>
      <c r="B31" s="300">
        <f>AVERAGE(17095,18998)</f>
        <v>18046.5</v>
      </c>
    </row>
    <row r="32" spans="1:12" x14ac:dyDescent="0.4">
      <c r="A32" s="1" t="s">
        <v>318</v>
      </c>
      <c r="B32" s="300">
        <f>AVERAGE(11637,12408,13044,13990)</f>
        <v>12769.75</v>
      </c>
    </row>
    <row r="33" spans="1:2" x14ac:dyDescent="0.4">
      <c r="A33" s="1" t="s">
        <v>343</v>
      </c>
      <c r="B33" s="300">
        <f>AVERAGE(9364,9410,13836)</f>
        <v>10870</v>
      </c>
    </row>
    <row r="34" spans="1:2" x14ac:dyDescent="0.4">
      <c r="A34" s="1" t="s">
        <v>319</v>
      </c>
      <c r="B34" s="300">
        <v>17031</v>
      </c>
    </row>
    <row r="35" spans="1:2" x14ac:dyDescent="0.4">
      <c r="A35" s="2" t="s">
        <v>344</v>
      </c>
      <c r="B35" s="301">
        <f>AVERAGE(B28:B34)</f>
        <v>14724.140476190476</v>
      </c>
    </row>
    <row r="36" spans="1:2" x14ac:dyDescent="0.4">
      <c r="A36" s="2" t="s">
        <v>345</v>
      </c>
      <c r="B36" s="301">
        <f>+B35/$B$1</f>
        <v>795.89948519948518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09D9-3306-48C2-89A9-0E0C9C58AB98}">
  <dimension ref="A1:K17"/>
  <sheetViews>
    <sheetView zoomScaleNormal="100" workbookViewId="0">
      <selection activeCell="A6" sqref="A6"/>
    </sheetView>
  </sheetViews>
  <sheetFormatPr defaultColWidth="11.44140625" defaultRowHeight="12.3" x14ac:dyDescent="0.4"/>
  <cols>
    <col min="1" max="2" width="45.71875" style="263" customWidth="1"/>
    <col min="3" max="16384" width="11.44140625" style="263"/>
  </cols>
  <sheetData>
    <row r="1" spans="1:11" ht="15" x14ac:dyDescent="0.4">
      <c r="A1" s="274" t="s">
        <v>320</v>
      </c>
    </row>
    <row r="3" spans="1:11" ht="49.2" x14ac:dyDescent="0.4">
      <c r="A3" s="273" t="s">
        <v>321</v>
      </c>
      <c r="B3" s="273" t="s">
        <v>252</v>
      </c>
      <c r="C3" s="273" t="s">
        <v>91</v>
      </c>
      <c r="D3" s="273" t="s">
        <v>322</v>
      </c>
      <c r="E3" s="273" t="s">
        <v>323</v>
      </c>
      <c r="F3" s="273" t="s">
        <v>324</v>
      </c>
      <c r="G3" s="273" t="s">
        <v>169</v>
      </c>
      <c r="H3" s="273" t="s">
        <v>325</v>
      </c>
      <c r="I3" s="273" t="s">
        <v>326</v>
      </c>
      <c r="J3" s="273" t="s">
        <v>341</v>
      </c>
      <c r="K3" s="273" t="s">
        <v>327</v>
      </c>
    </row>
    <row r="4" spans="1:11" ht="24.6" x14ac:dyDescent="0.4">
      <c r="A4" s="338" t="s">
        <v>328</v>
      </c>
      <c r="B4" s="338" t="s">
        <v>140</v>
      </c>
      <c r="C4" s="271" t="s">
        <v>142</v>
      </c>
      <c r="D4" s="271">
        <v>15</v>
      </c>
      <c r="E4" s="272">
        <v>5</v>
      </c>
      <c r="F4" s="272">
        <v>14</v>
      </c>
      <c r="G4" s="272">
        <v>5</v>
      </c>
      <c r="H4" s="272"/>
      <c r="I4" s="272"/>
      <c r="J4" s="272"/>
      <c r="K4" s="272">
        <f t="shared" ref="K4:K13" si="0">(SUM(E4:H4)*D4)+SUM(I4:J4)</f>
        <v>360</v>
      </c>
    </row>
    <row r="5" spans="1:11" ht="24.6" x14ac:dyDescent="0.4">
      <c r="A5" s="338" t="s">
        <v>329</v>
      </c>
      <c r="B5" s="338" t="s">
        <v>144</v>
      </c>
      <c r="C5" s="271" t="s">
        <v>142</v>
      </c>
      <c r="D5" s="271">
        <v>60</v>
      </c>
      <c r="E5" s="272">
        <v>5</v>
      </c>
      <c r="F5" s="272">
        <v>14</v>
      </c>
      <c r="G5" s="272">
        <v>5</v>
      </c>
      <c r="H5" s="272"/>
      <c r="I5" s="272">
        <v>500</v>
      </c>
      <c r="J5" s="272">
        <v>4000</v>
      </c>
      <c r="K5" s="272">
        <f t="shared" si="0"/>
        <v>5940</v>
      </c>
    </row>
    <row r="6" spans="1:11" ht="36.9" x14ac:dyDescent="0.4">
      <c r="A6" s="338" t="s">
        <v>342</v>
      </c>
      <c r="B6" s="338" t="s">
        <v>146</v>
      </c>
      <c r="C6" s="271" t="s">
        <v>142</v>
      </c>
      <c r="D6" s="271">
        <v>15</v>
      </c>
      <c r="E6" s="272">
        <v>5</v>
      </c>
      <c r="F6" s="272">
        <v>14</v>
      </c>
      <c r="G6" s="272">
        <v>5</v>
      </c>
      <c r="H6" s="272"/>
      <c r="I6" s="272"/>
      <c r="J6" s="272"/>
      <c r="K6" s="272">
        <f t="shared" si="0"/>
        <v>360</v>
      </c>
    </row>
    <row r="7" spans="1:11" ht="24.6" x14ac:dyDescent="0.4">
      <c r="A7" s="338" t="s">
        <v>330</v>
      </c>
      <c r="B7" s="338" t="s">
        <v>148</v>
      </c>
      <c r="C7" s="338" t="s">
        <v>149</v>
      </c>
      <c r="D7" s="271">
        <v>50</v>
      </c>
      <c r="E7" s="272">
        <v>5</v>
      </c>
      <c r="F7" s="272">
        <v>14</v>
      </c>
      <c r="G7" s="272">
        <v>10</v>
      </c>
      <c r="H7" s="272"/>
      <c r="I7" s="272"/>
      <c r="J7" s="272">
        <v>2500</v>
      </c>
      <c r="K7" s="272">
        <f t="shared" si="0"/>
        <v>3950</v>
      </c>
    </row>
    <row r="8" spans="1:11" ht="24.6" x14ac:dyDescent="0.4">
      <c r="A8" s="271" t="s">
        <v>331</v>
      </c>
      <c r="B8" s="271" t="s">
        <v>152</v>
      </c>
      <c r="C8" s="271" t="s">
        <v>154</v>
      </c>
      <c r="D8" s="271">
        <v>100</v>
      </c>
      <c r="E8" s="272">
        <v>5</v>
      </c>
      <c r="F8" s="272">
        <v>14</v>
      </c>
      <c r="G8" s="272">
        <v>10</v>
      </c>
      <c r="H8" s="272"/>
      <c r="I8" s="272">
        <v>500</v>
      </c>
      <c r="J8" s="272">
        <v>4000</v>
      </c>
      <c r="K8" s="272">
        <f t="shared" si="0"/>
        <v>7400</v>
      </c>
    </row>
    <row r="9" spans="1:11" ht="36.9" x14ac:dyDescent="0.4">
      <c r="A9" s="271" t="s">
        <v>332</v>
      </c>
      <c r="B9" s="271" t="s">
        <v>155</v>
      </c>
      <c r="C9" s="271" t="s">
        <v>156</v>
      </c>
      <c r="D9" s="271">
        <v>30</v>
      </c>
      <c r="E9" s="272">
        <v>5</v>
      </c>
      <c r="F9" s="272">
        <v>14</v>
      </c>
      <c r="G9" s="272">
        <v>5</v>
      </c>
      <c r="H9" s="272"/>
      <c r="I9" s="272"/>
      <c r="J9" s="272">
        <v>1500</v>
      </c>
      <c r="K9" s="272">
        <f t="shared" si="0"/>
        <v>2220</v>
      </c>
    </row>
    <row r="10" spans="1:11" ht="36.9" x14ac:dyDescent="0.4">
      <c r="A10" s="271" t="s">
        <v>333</v>
      </c>
      <c r="B10" s="271" t="s">
        <v>157</v>
      </c>
      <c r="C10" s="271" t="s">
        <v>158</v>
      </c>
      <c r="D10" s="271">
        <v>10</v>
      </c>
      <c r="E10" s="272">
        <v>5</v>
      </c>
      <c r="F10" s="272">
        <v>14</v>
      </c>
      <c r="G10" s="272">
        <v>5</v>
      </c>
      <c r="H10" s="272"/>
      <c r="I10" s="272"/>
      <c r="J10" s="272"/>
      <c r="K10" s="272">
        <f t="shared" si="0"/>
        <v>240</v>
      </c>
    </row>
    <row r="11" spans="1:11" ht="49.2" x14ac:dyDescent="0.4">
      <c r="A11" s="271" t="s">
        <v>334</v>
      </c>
      <c r="B11" s="271" t="s">
        <v>161</v>
      </c>
      <c r="C11" s="271" t="s">
        <v>142</v>
      </c>
      <c r="D11" s="271">
        <v>10</v>
      </c>
      <c r="E11" s="272">
        <v>5</v>
      </c>
      <c r="F11" s="272">
        <v>14</v>
      </c>
      <c r="G11" s="272">
        <v>5</v>
      </c>
      <c r="H11" s="272"/>
      <c r="I11" s="272"/>
      <c r="J11" s="272"/>
      <c r="K11" s="272">
        <f t="shared" si="0"/>
        <v>240</v>
      </c>
    </row>
    <row r="12" spans="1:11" ht="49.2" x14ac:dyDescent="0.4">
      <c r="A12" s="271" t="s">
        <v>334</v>
      </c>
      <c r="B12" s="271" t="s">
        <v>163</v>
      </c>
      <c r="C12" s="338" t="s">
        <v>164</v>
      </c>
      <c r="D12" s="271">
        <v>25</v>
      </c>
      <c r="E12" s="272">
        <v>5</v>
      </c>
      <c r="F12" s="272">
        <v>14</v>
      </c>
      <c r="G12" s="272">
        <v>5</v>
      </c>
      <c r="H12" s="272"/>
      <c r="I12" s="272"/>
      <c r="J12" s="272">
        <v>1000</v>
      </c>
      <c r="K12" s="272">
        <f t="shared" si="0"/>
        <v>1600</v>
      </c>
    </row>
    <row r="13" spans="1:11" ht="36.9" x14ac:dyDescent="0.4">
      <c r="A13" s="271" t="s">
        <v>335</v>
      </c>
      <c r="B13" s="338" t="s">
        <v>165</v>
      </c>
      <c r="C13" s="338" t="s">
        <v>164</v>
      </c>
      <c r="D13" s="271">
        <v>10</v>
      </c>
      <c r="E13" s="272">
        <v>5</v>
      </c>
      <c r="F13" s="272">
        <v>14</v>
      </c>
      <c r="G13" s="272">
        <v>5</v>
      </c>
      <c r="H13" s="272"/>
      <c r="I13" s="272"/>
      <c r="J13" s="272"/>
      <c r="K13" s="272">
        <f t="shared" si="0"/>
        <v>240</v>
      </c>
    </row>
    <row r="14" spans="1:11" ht="36.9" x14ac:dyDescent="0.4">
      <c r="A14" s="271" t="s">
        <v>335</v>
      </c>
      <c r="B14" s="271" t="s">
        <v>166</v>
      </c>
      <c r="C14" s="271" t="s">
        <v>167</v>
      </c>
      <c r="D14" s="271">
        <v>700</v>
      </c>
      <c r="E14" s="272"/>
      <c r="F14" s="272"/>
      <c r="G14" s="272">
        <v>10</v>
      </c>
      <c r="H14" s="272"/>
      <c r="I14" s="272"/>
      <c r="J14" s="272"/>
      <c r="K14" s="272">
        <f t="shared" ref="K14" si="1">(SUM(E14:H14)*D14)+SUM(I14:J14)</f>
        <v>7000</v>
      </c>
    </row>
    <row r="15" spans="1:11" ht="24.6" x14ac:dyDescent="0.4">
      <c r="A15" s="271" t="s">
        <v>336</v>
      </c>
      <c r="B15" s="271" t="s">
        <v>168</v>
      </c>
      <c r="C15" s="271" t="s">
        <v>164</v>
      </c>
      <c r="D15" s="271">
        <v>100</v>
      </c>
      <c r="E15" s="272">
        <v>5</v>
      </c>
      <c r="F15" s="272">
        <v>14</v>
      </c>
      <c r="G15" s="272">
        <v>10</v>
      </c>
      <c r="H15" s="272">
        <v>30</v>
      </c>
      <c r="I15" s="272">
        <v>500</v>
      </c>
      <c r="J15" s="272">
        <v>4000</v>
      </c>
      <c r="K15" s="272">
        <f>(SUM(E15:H15)*D15)+SUM(I15:J15)</f>
        <v>10400</v>
      </c>
    </row>
    <row r="16" spans="1:11" ht="24.6" x14ac:dyDescent="0.4">
      <c r="A16" s="271" t="s">
        <v>336</v>
      </c>
      <c r="B16" s="271" t="s">
        <v>169</v>
      </c>
      <c r="C16" s="271" t="s">
        <v>167</v>
      </c>
      <c r="D16" s="271">
        <v>50</v>
      </c>
      <c r="E16" s="272"/>
      <c r="F16" s="272"/>
      <c r="G16" s="272">
        <v>10</v>
      </c>
      <c r="H16" s="272"/>
      <c r="I16" s="272"/>
      <c r="J16" s="272"/>
      <c r="K16" s="272">
        <f>(SUM(E16:H16)*D16)+SUM(I16:J16)</f>
        <v>500</v>
      </c>
    </row>
    <row r="17" spans="1:11" ht="24.6" x14ac:dyDescent="0.4">
      <c r="A17" s="271" t="s">
        <v>337</v>
      </c>
      <c r="B17" s="271" t="s">
        <v>178</v>
      </c>
      <c r="C17" s="271" t="s">
        <v>142</v>
      </c>
      <c r="D17" s="271">
        <v>15</v>
      </c>
      <c r="E17" s="272">
        <v>5</v>
      </c>
      <c r="F17" s="272">
        <v>14</v>
      </c>
      <c r="G17" s="272">
        <v>5</v>
      </c>
      <c r="H17" s="272"/>
      <c r="I17" s="272"/>
      <c r="J17" s="272">
        <v>1000</v>
      </c>
      <c r="K17" s="272">
        <f>(SUM(E17:H17)*D17)+SUM(I17:J17)</f>
        <v>1360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SharedWithUsers xmlns="dc808d36-874f-4b27-aec2-2fd649817929">
      <UserInfo>
        <DisplayName/>
        <AccountId xsi:nil="true"/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3F04E4-7B0E-40C3-A2AA-4FD3884C18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5D101D-F38C-4A99-8C8F-5BE1931D56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684526-136E-4762-8725-48AE18EB803A}">
  <ds:schemaRefs>
    <ds:schemaRef ds:uri="1ae44f9a-9a67-4ef9-a793-7a625a6828c5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ceb09a40-ef32-4a87-9fbf-fded1049908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dc808d36-874f-4b27-aec2-2fd649817929"/>
    <ds:schemaRef ds:uri="f2466082-b6bf-4153-98c3-3c41e85fda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Budget Summary</vt:lpstr>
      <vt:lpstr>POA General Budget</vt:lpstr>
      <vt:lpstr>M&amp;E Budget</vt:lpstr>
      <vt:lpstr>ITAM Sub Budget Summary</vt:lpstr>
      <vt:lpstr>ITAM Sub Budget</vt:lpstr>
      <vt:lpstr>FES Sub Budget Summary</vt:lpstr>
      <vt:lpstr>FES Sub Budget</vt:lpstr>
      <vt:lpstr>Travel</vt:lpstr>
      <vt:lpstr>Expenses - Unit Costs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KQW</dc:creator>
  <cp:keywords/>
  <dc:description/>
  <cp:lastModifiedBy>Danielle Martin</cp:lastModifiedBy>
  <cp:revision/>
  <dcterms:created xsi:type="dcterms:W3CDTF">2000-03-08T19:32:49Z</dcterms:created>
  <dcterms:modified xsi:type="dcterms:W3CDTF">2026-05-28T20:28:03Z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