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rtnersnet107.sharepoint.com/sites/FA/Finance  Operational/Budgets/"/>
    </mc:Choice>
  </mc:AlternateContent>
  <xr:revisionPtr revIDLastSave="282" documentId="13_ncr:1_{38593E4A-BE23-409E-BE00-A81F7736DC45}" xr6:coauthVersionLast="47" xr6:coauthVersionMax="47" xr10:uidLastSave="{75111B59-F955-46C4-BB44-E803CFF2B7E9}"/>
  <bookViews>
    <workbookView xWindow="-96" yWindow="-96" windowWidth="23232" windowHeight="12552" tabRatio="792" firstSheet="1" activeTab="1" xr2:uid="{00000000-000D-0000-FFFF-FFFF00000000}"/>
  </bookViews>
  <sheets>
    <sheet name="1. Summary Budget" sheetId="3" r:id="rId1"/>
    <sheet name="2. Detailed Budget" sheetId="5" r:id="rId2"/>
  </sheets>
  <definedNames>
    <definedName name="_xlnm.Print_Area" localSheetId="0">'1. Summary Budget'!$A$1:$D$18</definedName>
    <definedName name="_xlnm.Print_Area" localSheetId="1">'2. Detailed Budget'!$D$1:$K$29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21" i="5" l="1"/>
  <c r="K25" i="5"/>
  <c r="K26" i="5" s="1"/>
  <c r="H13" i="5" l="1"/>
  <c r="K13" i="5" s="1"/>
  <c r="H14" i="5" l="1"/>
  <c r="H15" i="5"/>
  <c r="K15" i="5" l="1"/>
  <c r="K14" i="5"/>
  <c r="K12" i="5"/>
  <c r="K16" i="5" l="1"/>
  <c r="D10" i="3"/>
  <c r="D15" i="3" l="1"/>
  <c r="K22" i="5" l="1"/>
  <c r="K27" i="5" s="1"/>
  <c r="K28" i="5" s="1"/>
  <c r="D13" i="3" l="1"/>
  <c r="D16" i="3"/>
  <c r="D17" i="3" l="1"/>
  <c r="K29" i="5" l="1"/>
  <c r="D18" i="3" l="1"/>
</calcChain>
</file>

<file path=xl/sharedStrings.xml><?xml version="1.0" encoding="utf-8"?>
<sst xmlns="http://schemas.openxmlformats.org/spreadsheetml/2006/main" count="130" uniqueCount="103">
  <si>
    <t>SUMMARY BUDGET</t>
  </si>
  <si>
    <t>Partners of the Americas</t>
  </si>
  <si>
    <t>100,000 Strong in the Americas</t>
  </si>
  <si>
    <t>24 Months</t>
  </si>
  <si>
    <t xml:space="preserve">        </t>
  </si>
  <si>
    <t>Original Budget</t>
  </si>
  <si>
    <t>A</t>
  </si>
  <si>
    <t>Personnel</t>
  </si>
  <si>
    <t>B</t>
  </si>
  <si>
    <t>Fringe Benefits</t>
  </si>
  <si>
    <t>C</t>
  </si>
  <si>
    <t xml:space="preserve">Travel </t>
  </si>
  <si>
    <t>D</t>
  </si>
  <si>
    <t>Equipment</t>
  </si>
  <si>
    <t>E</t>
  </si>
  <si>
    <t>Supplies</t>
  </si>
  <si>
    <t>F</t>
  </si>
  <si>
    <t>Contractual</t>
  </si>
  <si>
    <t>G</t>
  </si>
  <si>
    <t>Construction</t>
  </si>
  <si>
    <t>H</t>
  </si>
  <si>
    <t>Other Direct Costs</t>
  </si>
  <si>
    <t>I</t>
  </si>
  <si>
    <t>Total Direct charges</t>
  </si>
  <si>
    <t>J</t>
  </si>
  <si>
    <t>Total Indirect costs</t>
  </si>
  <si>
    <t>K</t>
  </si>
  <si>
    <t xml:space="preserve">Total Project Cost </t>
  </si>
  <si>
    <t>L</t>
  </si>
  <si>
    <t>Cost Share (if applicable)</t>
  </si>
  <si>
    <t>* line item amounts auto-fill from "Detailed Grant Budget Template" tab</t>
  </si>
  <si>
    <t xml:space="preserve"> LINE-ITEM BUDGET</t>
  </si>
  <si>
    <t>Partners of the Americas,100,000 Strong in the Americas - EOY 2023 Funds PAS-Brazil</t>
  </si>
  <si>
    <t>Project Title</t>
  </si>
  <si>
    <t>Project Duration: 24 months</t>
  </si>
  <si>
    <t>Project duration</t>
  </si>
  <si>
    <t>Unit Cost</t>
  </si>
  <si>
    <t>Original Budget Federal Share</t>
  </si>
  <si>
    <t>Unit</t>
  </si>
  <si>
    <t>Number</t>
  </si>
  <si>
    <t xml:space="preserve"> Amount  </t>
  </si>
  <si>
    <t>Rate</t>
  </si>
  <si>
    <t>months or years</t>
  </si>
  <si>
    <t>salary           (monthly)</t>
  </si>
  <si>
    <r>
      <t xml:space="preserve">% effort for Personnel </t>
    </r>
    <r>
      <rPr>
        <u/>
        <sz val="12"/>
        <color theme="1"/>
        <rFont val="Times New Roman"/>
        <family val="1"/>
      </rPr>
      <t>only</t>
    </r>
    <r>
      <rPr>
        <sz val="12"/>
        <color theme="1"/>
        <rFont val="Times New Roman"/>
        <family val="1"/>
      </rPr>
      <t xml:space="preserve"> </t>
    </r>
  </si>
  <si>
    <t>Fringe</t>
  </si>
  <si>
    <t># people</t>
  </si>
  <si>
    <t># units</t>
  </si>
  <si>
    <t>unit Cost</t>
  </si>
  <si>
    <t>C.1</t>
  </si>
  <si>
    <t>Staff/Consultant Travel</t>
  </si>
  <si>
    <t>C.1.1</t>
  </si>
  <si>
    <t>International Round Trip Airfare</t>
  </si>
  <si>
    <t>trips</t>
  </si>
  <si>
    <t>C.1.2</t>
  </si>
  <si>
    <t xml:space="preserve">International M&amp;IE </t>
  </si>
  <si>
    <t>days</t>
  </si>
  <si>
    <t>C.1.3</t>
  </si>
  <si>
    <t>International Lodging</t>
  </si>
  <si>
    <t>nights</t>
  </si>
  <si>
    <t>C.1.4</t>
  </si>
  <si>
    <t>International Local Transportation</t>
  </si>
  <si>
    <t>Subtotal Travel</t>
  </si>
  <si>
    <t>Equipment  (&gt; $5,000 per unit )</t>
  </si>
  <si>
    <t>unit cost</t>
  </si>
  <si>
    <t>Supplies  (&lt; $5,000 per unit)</t>
  </si>
  <si>
    <t>Contractual (Subrecipients, Subcontracts, and Consultant fees)</t>
  </si>
  <si>
    <t>F.1</t>
  </si>
  <si>
    <t>Sub-grants</t>
  </si>
  <si>
    <t xml:space="preserve">     daily rate</t>
  </si>
  <si>
    <t>F.1.1</t>
  </si>
  <si>
    <t>HEI Sub-grants</t>
  </si>
  <si>
    <t>grants</t>
  </si>
  <si>
    <t>Subtotal Contractual</t>
  </si>
  <si>
    <t>H.1</t>
  </si>
  <si>
    <t>Translation Costs</t>
  </si>
  <si>
    <t>documents</t>
  </si>
  <si>
    <t>Subtotal Other Direct Costs</t>
  </si>
  <si>
    <t>Total Direct Costs</t>
  </si>
  <si>
    <t xml:space="preserve">Indirect Costs </t>
  </si>
  <si>
    <t>Entity:</t>
  </si>
  <si>
    <t>P</t>
  </si>
  <si>
    <t>Program-Dept.:</t>
  </si>
  <si>
    <t>Funder-Grant:</t>
  </si>
  <si>
    <t>Country Code</t>
  </si>
  <si>
    <t>Account Code</t>
  </si>
  <si>
    <t>Budget Code</t>
  </si>
  <si>
    <t>89000</t>
  </si>
  <si>
    <t>USA</t>
  </si>
  <si>
    <t>GRANTS</t>
  </si>
  <si>
    <t>TRANS</t>
  </si>
  <si>
    <t>81021</t>
  </si>
  <si>
    <t>IDC</t>
  </si>
  <si>
    <t>94050</t>
  </si>
  <si>
    <t>86030</t>
  </si>
  <si>
    <t>86000</t>
  </si>
  <si>
    <t>86040</t>
  </si>
  <si>
    <t>86050</t>
  </si>
  <si>
    <t>STFTRAVEL</t>
  </si>
  <si>
    <t>STFCN DIEM</t>
  </si>
  <si>
    <t>LODGING</t>
  </si>
  <si>
    <t>LOCAL TRVL</t>
  </si>
  <si>
    <t>DOS266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</si>
</sst>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0.0%"/>
  </numFmts>
  <fonts count="2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8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2"/>
      <name val="Calibri"/>
      <family val="2"/>
      <scheme val="minor"/>
    </font>
    <font>
      <sz val="12"/>
      <color theme="1"/>
      <name val="Times New Roman"/>
      <family val="1"/>
    </font>
    <font>
      <u/>
      <sz val="12"/>
      <color theme="1"/>
      <name val="Times New Roman"/>
      <family val="1"/>
    </font>
    <font>
      <sz val="12"/>
      <name val="Times New Roman"/>
      <family val="1"/>
    </font>
    <font>
      <i/>
      <sz val="12"/>
      <color theme="1"/>
      <name val="Times New Roman"/>
      <family val="1"/>
    </font>
    <font>
      <b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4" fontId="12" fillId="0" borderId="0" applyFont="0" applyFill="0" applyBorder="0" applyAlignment="0" applyProtection="0"/>
    <xf numFmtId="9" fontId="12" fillId="0" borderId="0" applyFont="0" applyFill="0" applyBorder="0" applyAlignment="0" applyProtection="0"/>
  </cellStyleXfs>
  <cellXfs count="126">
    <xf numFmtId="0" fontId="0" fillId="0" borderId="0" xfId="0"/>
    <xf numFmtId="49" fontId="5" fillId="0" borderId="0" xfId="0" applyNumberFormat="1" applyFont="1"/>
    <xf numFmtId="0" fontId="6" fillId="3" borderId="6" xfId="0" applyFont="1" applyFill="1" applyBorder="1" applyAlignment="1">
      <alignment vertical="center" wrapText="1"/>
    </xf>
    <xf numFmtId="0" fontId="0" fillId="0" borderId="0" xfId="0" applyAlignment="1">
      <alignment vertical="center"/>
    </xf>
    <xf numFmtId="49" fontId="3" fillId="3" borderId="2" xfId="0" applyNumberFormat="1" applyFont="1" applyFill="1" applyBorder="1" applyAlignment="1">
      <alignment vertical="center"/>
    </xf>
    <xf numFmtId="49" fontId="3" fillId="3" borderId="7" xfId="0" applyNumberFormat="1" applyFont="1" applyFill="1" applyBorder="1" applyAlignment="1">
      <alignment vertical="center"/>
    </xf>
    <xf numFmtId="0" fontId="6" fillId="3" borderId="8" xfId="0" applyFont="1" applyFill="1" applyBorder="1" applyAlignment="1">
      <alignment vertical="center" wrapText="1"/>
    </xf>
    <xf numFmtId="0" fontId="6" fillId="3" borderId="0" xfId="0" applyFont="1" applyFill="1" applyAlignment="1">
      <alignment vertical="center" wrapText="1"/>
    </xf>
    <xf numFmtId="49" fontId="3" fillId="3" borderId="9" xfId="0" applyNumberFormat="1" applyFont="1" applyFill="1" applyBorder="1" applyAlignment="1">
      <alignment vertical="center"/>
    </xf>
    <xf numFmtId="49" fontId="0" fillId="3" borderId="6" xfId="0" applyNumberFormat="1" applyFill="1" applyBorder="1" applyAlignment="1">
      <alignment vertical="center"/>
    </xf>
    <xf numFmtId="49" fontId="3" fillId="3" borderId="8" xfId="0" applyNumberFormat="1" applyFont="1" applyFill="1" applyBorder="1" applyAlignment="1">
      <alignment vertical="center"/>
    </xf>
    <xf numFmtId="49" fontId="3" fillId="3" borderId="0" xfId="0" applyNumberFormat="1" applyFont="1" applyFill="1" applyAlignment="1">
      <alignment vertical="center"/>
    </xf>
    <xf numFmtId="49" fontId="3" fillId="3" borderId="6" xfId="0" applyNumberFormat="1" applyFont="1" applyFill="1" applyBorder="1" applyAlignment="1">
      <alignment vertical="center"/>
    </xf>
    <xf numFmtId="0" fontId="4" fillId="4" borderId="6" xfId="0" applyFont="1" applyFill="1" applyBorder="1" applyAlignment="1">
      <alignment vertical="center" wrapText="1"/>
    </xf>
    <xf numFmtId="49" fontId="7" fillId="4" borderId="2" xfId="0" applyNumberFormat="1" applyFont="1" applyFill="1" applyBorder="1" applyAlignment="1">
      <alignment vertical="center"/>
    </xf>
    <xf numFmtId="49" fontId="7" fillId="4" borderId="6" xfId="0" applyNumberFormat="1" applyFont="1" applyFill="1" applyBorder="1" applyAlignment="1">
      <alignment vertical="center"/>
    </xf>
    <xf numFmtId="4" fontId="4" fillId="4" borderId="3" xfId="0" applyNumberFormat="1" applyFont="1" applyFill="1" applyBorder="1" applyAlignment="1">
      <alignment horizontal="right" vertical="center" wrapText="1"/>
    </xf>
    <xf numFmtId="0" fontId="9" fillId="0" borderId="0" xfId="0" applyFont="1"/>
    <xf numFmtId="0" fontId="6" fillId="3" borderId="3" xfId="0" applyFont="1" applyFill="1" applyBorder="1" applyAlignment="1">
      <alignment vertical="center" wrapText="1"/>
    </xf>
    <xf numFmtId="0" fontId="11" fillId="0" borderId="0" xfId="0" applyFont="1"/>
    <xf numFmtId="164" fontId="4" fillId="4" borderId="3" xfId="1" applyNumberFormat="1" applyFont="1" applyFill="1" applyBorder="1" applyAlignment="1">
      <alignment horizontal="right" vertical="center" wrapText="1"/>
    </xf>
    <xf numFmtId="0" fontId="2" fillId="0" borderId="0" xfId="0" applyFont="1"/>
    <xf numFmtId="0" fontId="4" fillId="4" borderId="4" xfId="0" applyFont="1" applyFill="1" applyBorder="1" applyAlignment="1">
      <alignment horizontal="center" vertical="center" wrapText="1"/>
    </xf>
    <xf numFmtId="49" fontId="7" fillId="3" borderId="2" xfId="0" applyNumberFormat="1" applyFont="1" applyFill="1" applyBorder="1" applyAlignment="1">
      <alignment vertical="center"/>
    </xf>
    <xf numFmtId="0" fontId="4" fillId="3" borderId="6" xfId="0" applyFont="1" applyFill="1" applyBorder="1" applyAlignment="1">
      <alignment vertical="center" wrapText="1"/>
    </xf>
    <xf numFmtId="0" fontId="17" fillId="3" borderId="6" xfId="0" applyFont="1" applyFill="1" applyBorder="1" applyAlignment="1">
      <alignment horizontal="center" vertical="center" wrapText="1"/>
    </xf>
    <xf numFmtId="0" fontId="17" fillId="3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49" fontId="7" fillId="3" borderId="6" xfId="0" applyNumberFormat="1" applyFont="1" applyFill="1" applyBorder="1" applyAlignment="1">
      <alignment vertical="center"/>
    </xf>
    <xf numFmtId="4" fontId="17" fillId="3" borderId="6" xfId="0" applyNumberFormat="1" applyFont="1" applyFill="1" applyBorder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20" fillId="2" borderId="6" xfId="0" applyFont="1" applyFill="1" applyBorder="1" applyAlignment="1">
      <alignment wrapText="1"/>
    </xf>
    <xf numFmtId="0" fontId="17" fillId="2" borderId="6" xfId="0" applyFont="1" applyFill="1" applyBorder="1" applyAlignment="1">
      <alignment wrapText="1"/>
    </xf>
    <xf numFmtId="0" fontId="17" fillId="2" borderId="6" xfId="0" applyFont="1" applyFill="1" applyBorder="1" applyAlignment="1">
      <alignment horizontal="right" wrapText="1"/>
    </xf>
    <xf numFmtId="4" fontId="17" fillId="2" borderId="6" xfId="0" applyNumberFormat="1" applyFont="1" applyFill="1" applyBorder="1" applyAlignment="1">
      <alignment wrapText="1"/>
    </xf>
    <xf numFmtId="0" fontId="17" fillId="2" borderId="3" xfId="0" applyFont="1" applyFill="1" applyBorder="1" applyAlignment="1">
      <alignment wrapText="1"/>
    </xf>
    <xf numFmtId="0" fontId="19" fillId="0" borderId="11" xfId="0" applyFont="1" applyBorder="1" applyAlignment="1">
      <alignment wrapText="1"/>
    </xf>
    <xf numFmtId="0" fontId="17" fillId="0" borderId="5" xfId="0" applyFont="1" applyBorder="1" applyAlignment="1">
      <alignment horizontal="center" wrapText="1"/>
    </xf>
    <xf numFmtId="44" fontId="17" fillId="0" borderId="5" xfId="1" applyFont="1" applyBorder="1" applyAlignment="1">
      <alignment wrapText="1"/>
    </xf>
    <xf numFmtId="0" fontId="17" fillId="0" borderId="5" xfId="0" applyFont="1" applyBorder="1" applyAlignment="1">
      <alignment wrapText="1"/>
    </xf>
    <xf numFmtId="0" fontId="19" fillId="0" borderId="3" xfId="0" applyFont="1" applyBorder="1" applyAlignment="1">
      <alignment wrapText="1"/>
    </xf>
    <xf numFmtId="0" fontId="19" fillId="0" borderId="6" xfId="0" applyFont="1" applyBorder="1" applyAlignment="1">
      <alignment vertical="center" wrapText="1"/>
    </xf>
    <xf numFmtId="49" fontId="11" fillId="5" borderId="2" xfId="0" applyNumberFormat="1" applyFont="1" applyFill="1" applyBorder="1"/>
    <xf numFmtId="49" fontId="11" fillId="5" borderId="6" xfId="0" applyNumberFormat="1" applyFont="1" applyFill="1" applyBorder="1"/>
    <xf numFmtId="0" fontId="19" fillId="0" borderId="3" xfId="0" applyFont="1" applyBorder="1" applyAlignment="1">
      <alignment vertical="center" wrapText="1"/>
    </xf>
    <xf numFmtId="0" fontId="4" fillId="2" borderId="6" xfId="0" applyFont="1" applyFill="1" applyBorder="1"/>
    <xf numFmtId="4" fontId="4" fillId="2" borderId="6" xfId="0" applyNumberFormat="1" applyFont="1" applyFill="1" applyBorder="1"/>
    <xf numFmtId="49" fontId="7" fillId="3" borderId="9" xfId="0" applyNumberFormat="1" applyFont="1" applyFill="1" applyBorder="1" applyAlignment="1">
      <alignment vertical="center"/>
    </xf>
    <xf numFmtId="49" fontId="7" fillId="3" borderId="0" xfId="0" applyNumberFormat="1" applyFont="1" applyFill="1" applyAlignment="1">
      <alignment vertical="center"/>
    </xf>
    <xf numFmtId="0" fontId="4" fillId="3" borderId="0" xfId="0" applyFont="1" applyFill="1" applyAlignment="1">
      <alignment vertical="center" wrapText="1"/>
    </xf>
    <xf numFmtId="4" fontId="17" fillId="3" borderId="0" xfId="0" applyNumberFormat="1" applyFont="1" applyFill="1" applyAlignment="1">
      <alignment horizontal="center" vertical="center" wrapText="1"/>
    </xf>
    <xf numFmtId="0" fontId="17" fillId="3" borderId="10" xfId="0" applyFont="1" applyFill="1" applyBorder="1" applyAlignment="1">
      <alignment horizontal="center" vertical="center" wrapText="1"/>
    </xf>
    <xf numFmtId="0" fontId="17" fillId="3" borderId="11" xfId="0" applyFont="1" applyFill="1" applyBorder="1" applyAlignment="1">
      <alignment horizontal="center" vertical="center" wrapText="1"/>
    </xf>
    <xf numFmtId="0" fontId="20" fillId="2" borderId="6" xfId="0" applyFont="1" applyFill="1" applyBorder="1" applyAlignment="1">
      <alignment horizontal="left" indent="1"/>
    </xf>
    <xf numFmtId="0" fontId="17" fillId="2" borderId="6" xfId="0" applyFont="1" applyFill="1" applyBorder="1"/>
    <xf numFmtId="4" fontId="17" fillId="2" borderId="6" xfId="0" applyNumberFormat="1" applyFont="1" applyFill="1" applyBorder="1"/>
    <xf numFmtId="0" fontId="17" fillId="2" borderId="3" xfId="0" applyFont="1" applyFill="1" applyBorder="1"/>
    <xf numFmtId="0" fontId="17" fillId="5" borderId="3" xfId="0" applyFont="1" applyFill="1" applyBorder="1" applyAlignment="1">
      <alignment horizontal="left" vertical="center" wrapText="1" indent="1"/>
    </xf>
    <xf numFmtId="0" fontId="17" fillId="0" borderId="4" xfId="0" applyFont="1" applyBorder="1" applyAlignment="1">
      <alignment horizontal="center"/>
    </xf>
    <xf numFmtId="44" fontId="17" fillId="0" borderId="4" xfId="1" applyFont="1" applyBorder="1"/>
    <xf numFmtId="9" fontId="19" fillId="0" borderId="1" xfId="0" applyNumberFormat="1" applyFont="1" applyBorder="1" applyAlignment="1">
      <alignment horizontal="center" vertical="center"/>
    </xf>
    <xf numFmtId="0" fontId="19" fillId="0" borderId="8" xfId="0" applyFont="1" applyBorder="1" applyAlignment="1">
      <alignment vertical="center" wrapText="1"/>
    </xf>
    <xf numFmtId="0" fontId="19" fillId="0" borderId="1" xfId="0" applyFont="1" applyBorder="1" applyAlignment="1">
      <alignment horizontal="center" vertical="center"/>
    </xf>
    <xf numFmtId="44" fontId="19" fillId="0" borderId="1" xfId="1" applyFont="1" applyBorder="1" applyAlignment="1">
      <alignment horizontal="center" vertical="center"/>
    </xf>
    <xf numFmtId="0" fontId="17" fillId="4" borderId="6" xfId="0" applyFont="1" applyFill="1" applyBorder="1" applyAlignment="1">
      <alignment horizontal="left" vertical="center"/>
    </xf>
    <xf numFmtId="0" fontId="17" fillId="4" borderId="6" xfId="0" applyFont="1" applyFill="1" applyBorder="1" applyAlignment="1">
      <alignment horizontal="center" vertical="center" wrapText="1"/>
    </xf>
    <xf numFmtId="4" fontId="17" fillId="4" borderId="6" xfId="0" applyNumberFormat="1" applyFont="1" applyFill="1" applyBorder="1" applyAlignment="1">
      <alignment horizontal="center" vertical="center" wrapText="1"/>
    </xf>
    <xf numFmtId="49" fontId="2" fillId="0" borderId="0" xfId="0" applyNumberFormat="1" applyFont="1"/>
    <xf numFmtId="0" fontId="14" fillId="0" borderId="0" xfId="0" applyFont="1"/>
    <xf numFmtId="0" fontId="2" fillId="5" borderId="0" xfId="0" applyFont="1" applyFill="1"/>
    <xf numFmtId="0" fontId="17" fillId="3" borderId="6" xfId="0" applyFont="1" applyFill="1" applyBorder="1" applyAlignment="1">
      <alignment horizontal="center" vertical="top" wrapText="1"/>
    </xf>
    <xf numFmtId="49" fontId="1" fillId="5" borderId="2" xfId="0" applyNumberFormat="1" applyFont="1" applyFill="1" applyBorder="1" applyAlignment="1">
      <alignment vertical="center"/>
    </xf>
    <xf numFmtId="49" fontId="8" fillId="0" borderId="0" xfId="0" applyNumberFormat="1" applyFont="1" applyAlignment="1">
      <alignment horizontal="center"/>
    </xf>
    <xf numFmtId="164" fontId="10" fillId="5" borderId="1" xfId="1" applyNumberFormat="1" applyFont="1" applyFill="1" applyBorder="1" applyAlignment="1">
      <alignment vertical="center" wrapText="1"/>
    </xf>
    <xf numFmtId="4" fontId="14" fillId="0" borderId="0" xfId="0" applyNumberFormat="1" applyFont="1"/>
    <xf numFmtId="44" fontId="17" fillId="5" borderId="5" xfId="1" applyFont="1" applyFill="1" applyBorder="1" applyAlignment="1">
      <alignment wrapText="1"/>
    </xf>
    <xf numFmtId="44" fontId="4" fillId="2" borderId="3" xfId="1" applyFont="1" applyFill="1" applyBorder="1" applyAlignment="1"/>
    <xf numFmtId="164" fontId="17" fillId="5" borderId="1" xfId="1" applyNumberFormat="1" applyFont="1" applyFill="1" applyBorder="1" applyAlignment="1"/>
    <xf numFmtId="164" fontId="4" fillId="2" borderId="3" xfId="1" applyNumberFormat="1" applyFont="1" applyFill="1" applyBorder="1" applyAlignment="1">
      <alignment vertical="center" wrapText="1"/>
    </xf>
    <xf numFmtId="164" fontId="4" fillId="3" borderId="3" xfId="1" applyNumberFormat="1" applyFont="1" applyFill="1" applyBorder="1" applyAlignment="1">
      <alignment vertical="center" wrapText="1"/>
    </xf>
    <xf numFmtId="164" fontId="4" fillId="4" borderId="3" xfId="1" applyNumberFormat="1" applyFont="1" applyFill="1" applyBorder="1" applyAlignment="1">
      <alignment vertical="center" wrapText="1"/>
    </xf>
    <xf numFmtId="0" fontId="1" fillId="0" borderId="0" xfId="0" applyFont="1"/>
    <xf numFmtId="49" fontId="1" fillId="3" borderId="6" xfId="0" applyNumberFormat="1" applyFont="1" applyFill="1" applyBorder="1" applyAlignment="1">
      <alignment vertical="center"/>
    </xf>
    <xf numFmtId="0" fontId="1" fillId="0" borderId="0" xfId="0" applyFont="1" applyAlignment="1">
      <alignment vertical="center"/>
    </xf>
    <xf numFmtId="49" fontId="1" fillId="2" borderId="2" xfId="0" applyNumberFormat="1" applyFont="1" applyFill="1" applyBorder="1"/>
    <xf numFmtId="49" fontId="1" fillId="2" borderId="6" xfId="0" applyNumberFormat="1" applyFont="1" applyFill="1" applyBorder="1"/>
    <xf numFmtId="49" fontId="1" fillId="5" borderId="7" xfId="0" applyNumberFormat="1" applyFont="1" applyFill="1" applyBorder="1" applyAlignment="1">
      <alignment vertical="center"/>
    </xf>
    <xf numFmtId="49" fontId="1" fillId="5" borderId="8" xfId="0" applyNumberFormat="1" applyFont="1" applyFill="1" applyBorder="1" applyAlignment="1">
      <alignment vertical="center"/>
    </xf>
    <xf numFmtId="49" fontId="1" fillId="5" borderId="6" xfId="0" applyNumberFormat="1" applyFont="1" applyFill="1" applyBorder="1" applyAlignment="1">
      <alignment vertical="center"/>
    </xf>
    <xf numFmtId="49" fontId="1" fillId="5" borderId="2" xfId="0" applyNumberFormat="1" applyFont="1" applyFill="1" applyBorder="1"/>
    <xf numFmtId="49" fontId="1" fillId="5" borderId="6" xfId="0" applyNumberFormat="1" applyFont="1" applyFill="1" applyBorder="1"/>
    <xf numFmtId="165" fontId="1" fillId="0" borderId="0" xfId="2" applyNumberFormat="1" applyFont="1"/>
    <xf numFmtId="49" fontId="1" fillId="2" borderId="2" xfId="0" applyNumberFormat="1" applyFont="1" applyFill="1" applyBorder="1" applyAlignment="1">
      <alignment horizontal="left"/>
    </xf>
    <xf numFmtId="49" fontId="1" fillId="2" borderId="6" xfId="0" applyNumberFormat="1" applyFont="1" applyFill="1" applyBorder="1" applyAlignment="1">
      <alignment horizontal="left" indent="1"/>
    </xf>
    <xf numFmtId="49" fontId="1" fillId="2" borderId="7" xfId="0" applyNumberFormat="1" applyFont="1" applyFill="1" applyBorder="1" applyAlignment="1">
      <alignment horizontal="left"/>
    </xf>
    <xf numFmtId="49" fontId="1" fillId="2" borderId="8" xfId="0" applyNumberFormat="1" applyFont="1" applyFill="1" applyBorder="1" applyAlignment="1">
      <alignment horizontal="left" indent="1"/>
    </xf>
    <xf numFmtId="49" fontId="1" fillId="0" borderId="0" xfId="0" applyNumberFormat="1" applyFont="1"/>
    <xf numFmtId="44" fontId="1" fillId="0" borderId="0" xfId="0" applyNumberFormat="1" applyFont="1"/>
    <xf numFmtId="0" fontId="4" fillId="4" borderId="1" xfId="0" applyFont="1" applyFill="1" applyBorder="1" applyAlignment="1">
      <alignment horizontal="center" wrapText="1"/>
    </xf>
    <xf numFmtId="0" fontId="4" fillId="4" borderId="4" xfId="0" applyFont="1" applyFill="1" applyBorder="1" applyAlignment="1">
      <alignment horizontal="center" wrapText="1"/>
    </xf>
    <xf numFmtId="49" fontId="7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center"/>
    </xf>
    <xf numFmtId="10" fontId="4" fillId="0" borderId="6" xfId="0" applyNumberFormat="1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17" fillId="2" borderId="2" xfId="0" applyFont="1" applyFill="1" applyBorder="1" applyAlignment="1">
      <alignment horizontal="left"/>
    </xf>
    <xf numFmtId="0" fontId="17" fillId="2" borderId="6" xfId="0" applyFont="1" applyFill="1" applyBorder="1" applyAlignment="1">
      <alignment horizontal="left"/>
    </xf>
    <xf numFmtId="0" fontId="4" fillId="3" borderId="8" xfId="0" applyFont="1" applyFill="1" applyBorder="1" applyAlignment="1">
      <alignment horizontal="left" vertical="center" wrapText="1"/>
    </xf>
    <xf numFmtId="0" fontId="17" fillId="2" borderId="2" xfId="0" applyFont="1" applyFill="1" applyBorder="1" applyAlignment="1">
      <alignment horizontal="left" wrapText="1"/>
    </xf>
    <xf numFmtId="0" fontId="17" fillId="2" borderId="6" xfId="0" applyFont="1" applyFill="1" applyBorder="1" applyAlignment="1">
      <alignment horizontal="left" wrapText="1"/>
    </xf>
    <xf numFmtId="49" fontId="15" fillId="0" borderId="0" xfId="0" applyNumberFormat="1" applyFont="1" applyAlignment="1">
      <alignment horizontal="center"/>
    </xf>
    <xf numFmtId="49" fontId="16" fillId="0" borderId="0" xfId="0" applyNumberFormat="1" applyFont="1" applyAlignment="1">
      <alignment horizont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21" fillId="0" borderId="12" xfId="0" applyFont="1" applyBorder="1" applyAlignment="1">
      <alignment horizontal="left" vertical="center"/>
    </xf>
    <xf numFmtId="0" fontId="21" fillId="0" borderId="13" xfId="0" applyFont="1" applyBorder="1" applyAlignment="1">
      <alignment horizontal="left" vertical="center"/>
    </xf>
    <xf numFmtId="0" fontId="21" fillId="0" borderId="14" xfId="0" applyFont="1" applyBorder="1" applyAlignment="1">
      <alignment horizontal="left" vertical="center"/>
    </xf>
    <xf numFmtId="0" fontId="21" fillId="0" borderId="15" xfId="0" applyFont="1" applyBorder="1" applyAlignment="1">
      <alignment horizontal="left" vertical="center"/>
    </xf>
    <xf numFmtId="0" fontId="21" fillId="0" borderId="16" xfId="0" applyFont="1" applyBorder="1" applyAlignment="1">
      <alignment horizontal="left" vertical="center"/>
    </xf>
    <xf numFmtId="0" fontId="21" fillId="0" borderId="17" xfId="0" applyFont="1" applyBorder="1" applyAlignment="1">
      <alignment horizontal="left" vertical="center"/>
    </xf>
    <xf numFmtId="49" fontId="7" fillId="3" borderId="4" xfId="0" applyNumberFormat="1" applyFont="1" applyFill="1" applyBorder="1" applyAlignment="1">
      <alignment horizontal="center" vertical="center" wrapText="1"/>
    </xf>
    <xf numFmtId="49" fontId="7" fillId="3" borderId="19" xfId="0" applyNumberFormat="1" applyFont="1" applyFill="1" applyBorder="1" applyAlignment="1">
      <alignment horizontal="center" vertical="center" wrapText="1"/>
    </xf>
    <xf numFmtId="49" fontId="7" fillId="3" borderId="5" xfId="0" applyNumberFormat="1" applyFont="1" applyFill="1" applyBorder="1" applyAlignment="1">
      <alignment horizontal="center" vertical="center" wrapText="1"/>
    </xf>
    <xf numFmtId="49" fontId="7" fillId="3" borderId="18" xfId="0" applyNumberFormat="1" applyFont="1" applyFill="1" applyBorder="1" applyAlignment="1">
      <alignment horizontal="center" vertical="center" wrapText="1"/>
    </xf>
    <xf numFmtId="49" fontId="1" fillId="5" borderId="1" xfId="0" applyNumberFormat="1" applyFont="1" applyFill="1" applyBorder="1" applyAlignment="1">
      <alignment vertical="center"/>
    </xf>
    <xf numFmtId="49" fontId="11" fillId="5" borderId="1" xfId="0" applyNumberFormat="1" applyFont="1" applyFill="1" applyBorder="1" applyAlignment="1">
      <alignment vertical="center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1"/>
  <sheetViews>
    <sheetView workbookViewId="0">
      <selection activeCell="G13" sqref="G13"/>
    </sheetView>
  </sheetViews>
  <sheetFormatPr defaultColWidth="8.68359375" defaultRowHeight="14.4" x14ac:dyDescent="0.55000000000000004"/>
  <cols>
    <col min="1" max="1" width="3.15625" style="1" customWidth="1"/>
    <col min="2" max="2" width="0.68359375" style="1" customWidth="1"/>
    <col min="3" max="3" width="26.26171875" customWidth="1"/>
    <col min="4" max="4" width="22.26171875" customWidth="1"/>
  </cols>
  <sheetData>
    <row r="1" spans="1:4" s="17" customFormat="1" ht="15.6" x14ac:dyDescent="0.6">
      <c r="A1" s="100" t="s">
        <v>0</v>
      </c>
      <c r="B1" s="100"/>
      <c r="C1" s="100"/>
      <c r="D1" s="100"/>
    </row>
    <row r="2" spans="1:4" s="17" customFormat="1" ht="15.6" x14ac:dyDescent="0.6">
      <c r="A2" s="101" t="s">
        <v>1</v>
      </c>
      <c r="B2" s="101"/>
      <c r="C2" s="101"/>
      <c r="D2" s="101"/>
    </row>
    <row r="3" spans="1:4" s="17" customFormat="1" ht="15.6" x14ac:dyDescent="0.6">
      <c r="A3" s="101" t="s">
        <v>2</v>
      </c>
      <c r="B3" s="101"/>
      <c r="C3" s="101"/>
      <c r="D3" s="101"/>
    </row>
    <row r="4" spans="1:4" s="17" customFormat="1" ht="15.6" x14ac:dyDescent="0.6">
      <c r="A4" s="101" t="s">
        <v>3</v>
      </c>
      <c r="B4" s="101"/>
      <c r="C4" s="101"/>
      <c r="D4" s="101"/>
    </row>
    <row r="5" spans="1:4" ht="3.75" customHeight="1" x14ac:dyDescent="0.55000000000000004"/>
    <row r="6" spans="1:4" s="17" customFormat="1" ht="15" customHeight="1" x14ac:dyDescent="0.6">
      <c r="A6" s="98" t="s">
        <v>4</v>
      </c>
      <c r="B6" s="98"/>
      <c r="C6" s="98"/>
      <c r="D6" s="98" t="s">
        <v>5</v>
      </c>
    </row>
    <row r="7" spans="1:4" s="17" customFormat="1" ht="15.6" x14ac:dyDescent="0.6">
      <c r="A7" s="98"/>
      <c r="B7" s="98"/>
      <c r="C7" s="98"/>
      <c r="D7" s="99"/>
    </row>
    <row r="8" spans="1:4" s="3" customFormat="1" x14ac:dyDescent="0.55000000000000004">
      <c r="A8" s="5" t="s">
        <v>6</v>
      </c>
      <c r="B8" s="9"/>
      <c r="C8" s="2" t="s">
        <v>7</v>
      </c>
      <c r="D8" s="73">
        <v>0</v>
      </c>
    </row>
    <row r="9" spans="1:4" s="3" customFormat="1" x14ac:dyDescent="0.55000000000000004">
      <c r="A9" s="5" t="s">
        <v>8</v>
      </c>
      <c r="B9" s="10"/>
      <c r="C9" s="6" t="s">
        <v>9</v>
      </c>
      <c r="D9" s="73">
        <v>0</v>
      </c>
    </row>
    <row r="10" spans="1:4" ht="15.75" customHeight="1" x14ac:dyDescent="0.55000000000000004">
      <c r="A10" s="5" t="s">
        <v>10</v>
      </c>
      <c r="B10" s="10"/>
      <c r="C10" s="6" t="s">
        <v>11</v>
      </c>
      <c r="D10" s="73">
        <f>'2. Detailed Budget'!K16</f>
        <v>2389</v>
      </c>
    </row>
    <row r="11" spans="1:4" ht="17.25" customHeight="1" x14ac:dyDescent="0.55000000000000004">
      <c r="A11" s="5" t="s">
        <v>12</v>
      </c>
      <c r="B11" s="10"/>
      <c r="C11" s="6" t="s">
        <v>13</v>
      </c>
      <c r="D11" s="73">
        <v>0</v>
      </c>
    </row>
    <row r="12" spans="1:4" x14ac:dyDescent="0.55000000000000004">
      <c r="A12" s="5" t="s">
        <v>14</v>
      </c>
      <c r="B12" s="10"/>
      <c r="C12" s="6" t="s">
        <v>15</v>
      </c>
      <c r="D12" s="73">
        <v>0</v>
      </c>
    </row>
    <row r="13" spans="1:4" x14ac:dyDescent="0.55000000000000004">
      <c r="A13" s="8" t="s">
        <v>16</v>
      </c>
      <c r="B13" s="11"/>
      <c r="C13" s="7" t="s">
        <v>17</v>
      </c>
      <c r="D13" s="73">
        <f>'2. Detailed Budget'!K22</f>
        <v>114000</v>
      </c>
    </row>
    <row r="14" spans="1:4" ht="16.5" customHeight="1" x14ac:dyDescent="0.55000000000000004">
      <c r="A14" s="4" t="s">
        <v>18</v>
      </c>
      <c r="B14" s="12"/>
      <c r="C14" s="2" t="s">
        <v>19</v>
      </c>
      <c r="D14" s="73">
        <v>0</v>
      </c>
    </row>
    <row r="15" spans="1:4" x14ac:dyDescent="0.55000000000000004">
      <c r="A15" s="4" t="s">
        <v>20</v>
      </c>
      <c r="B15" s="12"/>
      <c r="C15" s="2" t="s">
        <v>21</v>
      </c>
      <c r="D15" s="73">
        <f>'2. Detailed Budget'!K26</f>
        <v>543</v>
      </c>
    </row>
    <row r="16" spans="1:4" x14ac:dyDescent="0.55000000000000004">
      <c r="A16" s="4" t="s">
        <v>22</v>
      </c>
      <c r="B16" s="12"/>
      <c r="C16" s="18" t="s">
        <v>23</v>
      </c>
      <c r="D16" s="73">
        <f>'2. Detailed Budget'!K27</f>
        <v>116932</v>
      </c>
    </row>
    <row r="17" spans="1:4" x14ac:dyDescent="0.55000000000000004">
      <c r="A17" s="8" t="s">
        <v>24</v>
      </c>
      <c r="B17" s="11"/>
      <c r="C17" s="7" t="s">
        <v>25</v>
      </c>
      <c r="D17" s="73">
        <f>'2. Detailed Budget'!K28</f>
        <v>33068</v>
      </c>
    </row>
    <row r="18" spans="1:4" s="17" customFormat="1" ht="15.6" x14ac:dyDescent="0.6">
      <c r="A18" s="14" t="s">
        <v>26</v>
      </c>
      <c r="B18" s="15"/>
      <c r="C18" s="13" t="s">
        <v>27</v>
      </c>
      <c r="D18" s="20">
        <f>'2. Detailed Budget'!K29</f>
        <v>150000</v>
      </c>
    </row>
    <row r="19" spans="1:4" s="17" customFormat="1" ht="15.6" x14ac:dyDescent="0.6">
      <c r="A19" s="14" t="s">
        <v>28</v>
      </c>
      <c r="B19" s="15"/>
      <c r="C19" s="13" t="s">
        <v>29</v>
      </c>
      <c r="D19" s="16"/>
    </row>
    <row r="20" spans="1:4" ht="12" customHeight="1" x14ac:dyDescent="0.55000000000000004"/>
    <row r="21" spans="1:4" ht="15.6" x14ac:dyDescent="0.6">
      <c r="A21" s="19" t="s">
        <v>30</v>
      </c>
    </row>
  </sheetData>
  <mergeCells count="6">
    <mergeCell ref="A6:C7"/>
    <mergeCell ref="D6:D7"/>
    <mergeCell ref="A1:D1"/>
    <mergeCell ref="A2:D2"/>
    <mergeCell ref="A4:D4"/>
    <mergeCell ref="A3:D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63502-6F25-4DA0-B47D-EB18F0E15673}">
  <dimension ref="A1:L58"/>
  <sheetViews>
    <sheetView tabSelected="1" zoomScale="110" zoomScaleNormal="110" workbookViewId="0">
      <selection activeCell="F17" sqref="F17"/>
    </sheetView>
  </sheetViews>
  <sheetFormatPr defaultColWidth="8.68359375" defaultRowHeight="15.6" x14ac:dyDescent="0.6"/>
  <cols>
    <col min="1" max="1" width="15.1015625" style="67" bestFit="1" customWidth="1"/>
    <col min="2" max="3" width="10.3671875" style="67" customWidth="1"/>
    <col min="4" max="4" width="4.41796875" style="67" customWidth="1"/>
    <col min="5" max="5" width="1.41796875" style="67" customWidth="1"/>
    <col min="6" max="6" width="32.15625" style="21" customWidth="1"/>
    <col min="7" max="7" width="49.41796875" style="21" customWidth="1"/>
    <col min="8" max="8" width="9.68359375" style="21" customWidth="1"/>
    <col min="9" max="9" width="19.7890625" style="21" bestFit="1" customWidth="1"/>
    <col min="10" max="10" width="11.68359375" style="21" customWidth="1"/>
    <col min="11" max="11" width="14.68359375" style="69" customWidth="1"/>
    <col min="12" max="12" width="12" style="21" bestFit="1" customWidth="1"/>
    <col min="13" max="16384" width="8.68359375" style="21"/>
  </cols>
  <sheetData>
    <row r="1" spans="1:12" x14ac:dyDescent="0.6">
      <c r="A1" s="21"/>
      <c r="B1" s="21"/>
      <c r="C1" s="21"/>
      <c r="D1" s="100" t="s">
        <v>31</v>
      </c>
      <c r="E1" s="100"/>
      <c r="F1" s="100"/>
      <c r="G1" s="100"/>
      <c r="H1" s="100"/>
      <c r="I1" s="100"/>
      <c r="J1" s="100"/>
      <c r="K1" s="100"/>
      <c r="L1" s="81"/>
    </row>
    <row r="2" spans="1:12" x14ac:dyDescent="0.6">
      <c r="A2" s="21"/>
      <c r="B2" s="21"/>
      <c r="C2" s="21"/>
      <c r="D2" s="101"/>
      <c r="E2" s="101"/>
      <c r="F2" s="101"/>
      <c r="G2" s="101"/>
      <c r="H2" s="101"/>
      <c r="I2" s="101"/>
      <c r="J2" s="101"/>
      <c r="K2" s="101"/>
      <c r="L2" s="81"/>
    </row>
    <row r="3" spans="1:12" x14ac:dyDescent="0.6">
      <c r="A3" s="21"/>
      <c r="B3" s="21"/>
      <c r="C3" s="21"/>
      <c r="D3" s="109" t="s">
        <v>32</v>
      </c>
      <c r="E3" s="101"/>
      <c r="F3" s="101"/>
      <c r="G3" s="101"/>
      <c r="H3" s="101"/>
      <c r="I3" s="101" t="s">
        <v>33</v>
      </c>
      <c r="J3" s="101"/>
      <c r="K3" s="101"/>
      <c r="L3" s="81"/>
    </row>
    <row r="4" spans="1:12" ht="15.9" thickBot="1" x14ac:dyDescent="0.65">
      <c r="A4" s="19"/>
      <c r="B4" s="19"/>
      <c r="C4" s="21"/>
      <c r="D4" s="110" t="s">
        <v>34</v>
      </c>
      <c r="E4" s="110"/>
      <c r="F4" s="110"/>
      <c r="G4" s="110"/>
      <c r="H4" s="110"/>
      <c r="I4" s="110" t="s">
        <v>35</v>
      </c>
      <c r="J4" s="110"/>
      <c r="K4" s="110"/>
      <c r="L4" s="81"/>
    </row>
    <row r="5" spans="1:12" ht="15" customHeight="1" x14ac:dyDescent="0.6">
      <c r="A5" s="114" t="s">
        <v>80</v>
      </c>
      <c r="B5" s="115" t="s">
        <v>81</v>
      </c>
      <c r="C5" s="72"/>
      <c r="D5" s="72"/>
      <c r="E5" s="72"/>
      <c r="F5" s="72"/>
      <c r="G5" s="72"/>
      <c r="H5" s="72"/>
      <c r="I5" s="72"/>
      <c r="J5" s="72"/>
      <c r="K5" s="72"/>
      <c r="L5" s="81"/>
    </row>
    <row r="6" spans="1:12" ht="14.85" customHeight="1" x14ac:dyDescent="0.6">
      <c r="A6" s="116" t="s">
        <v>82</v>
      </c>
      <c r="B6" s="117">
        <v>40100</v>
      </c>
      <c r="C6" s="21"/>
      <c r="D6" s="98" t="s">
        <v>4</v>
      </c>
      <c r="E6" s="98"/>
      <c r="F6" s="98"/>
      <c r="G6" s="111" t="s">
        <v>36</v>
      </c>
      <c r="H6" s="111"/>
      <c r="I6" s="111"/>
      <c r="J6" s="111"/>
      <c r="K6" s="112" t="s">
        <v>37</v>
      </c>
      <c r="L6" s="81"/>
    </row>
    <row r="7" spans="1:12" ht="15.9" thickBot="1" x14ac:dyDescent="0.65">
      <c r="A7" s="118" t="s">
        <v>83</v>
      </c>
      <c r="B7" s="119" t="s">
        <v>102</v>
      </c>
      <c r="C7" s="21"/>
      <c r="D7" s="98"/>
      <c r="E7" s="98"/>
      <c r="F7" s="98"/>
      <c r="G7" s="22" t="s">
        <v>38</v>
      </c>
      <c r="H7" s="22" t="s">
        <v>39</v>
      </c>
      <c r="I7" s="22" t="s">
        <v>40</v>
      </c>
      <c r="J7" s="22" t="s">
        <v>41</v>
      </c>
      <c r="K7" s="113"/>
      <c r="L7" s="81"/>
    </row>
    <row r="8" spans="1:12" s="27" customFormat="1" ht="21" customHeight="1" x14ac:dyDescent="0.55000000000000004">
      <c r="A8" s="123" t="s">
        <v>86</v>
      </c>
      <c r="B8" s="123" t="s">
        <v>85</v>
      </c>
      <c r="C8" s="120" t="s">
        <v>84</v>
      </c>
      <c r="D8" s="23" t="s">
        <v>6</v>
      </c>
      <c r="E8" s="82"/>
      <c r="F8" s="24" t="s">
        <v>7</v>
      </c>
      <c r="G8" s="25" t="s">
        <v>42</v>
      </c>
      <c r="H8" s="25"/>
      <c r="I8" s="70" t="s">
        <v>43</v>
      </c>
      <c r="J8" s="70" t="s">
        <v>44</v>
      </c>
      <c r="K8" s="26"/>
      <c r="L8" s="83"/>
    </row>
    <row r="9" spans="1:12" s="27" customFormat="1" ht="19" customHeight="1" x14ac:dyDescent="0.55000000000000004">
      <c r="A9" s="121"/>
      <c r="B9" s="121"/>
      <c r="C9" s="121"/>
      <c r="D9" s="23" t="s">
        <v>8</v>
      </c>
      <c r="E9" s="82"/>
      <c r="F9" s="24" t="s">
        <v>45</v>
      </c>
      <c r="G9" s="25"/>
      <c r="H9" s="25"/>
      <c r="I9" s="25"/>
      <c r="J9" s="25"/>
      <c r="K9" s="26"/>
      <c r="L9" s="83"/>
    </row>
    <row r="10" spans="1:12" x14ac:dyDescent="0.6">
      <c r="A10" s="122"/>
      <c r="B10" s="122"/>
      <c r="C10" s="122"/>
      <c r="D10" s="23" t="s">
        <v>10</v>
      </c>
      <c r="E10" s="28"/>
      <c r="F10" s="24" t="s">
        <v>11</v>
      </c>
      <c r="G10" s="25" t="s">
        <v>46</v>
      </c>
      <c r="H10" s="30" t="s">
        <v>47</v>
      </c>
      <c r="I10" s="29" t="s">
        <v>48</v>
      </c>
      <c r="J10" s="25"/>
      <c r="K10" s="26"/>
      <c r="L10" s="81"/>
    </row>
    <row r="11" spans="1:12" x14ac:dyDescent="0.6">
      <c r="A11" s="84"/>
      <c r="B11" s="84"/>
      <c r="C11" s="84"/>
      <c r="D11" s="84" t="s">
        <v>49</v>
      </c>
      <c r="E11" s="85"/>
      <c r="F11" s="31" t="s">
        <v>50</v>
      </c>
      <c r="G11" s="32"/>
      <c r="H11" s="33"/>
      <c r="I11" s="34"/>
      <c r="J11" s="32"/>
      <c r="K11" s="35"/>
      <c r="L11" s="81"/>
    </row>
    <row r="12" spans="1:12" x14ac:dyDescent="0.6">
      <c r="A12" s="124" t="s">
        <v>98</v>
      </c>
      <c r="B12" s="86" t="s">
        <v>96</v>
      </c>
      <c r="C12" s="86" t="s">
        <v>88</v>
      </c>
      <c r="D12" s="86" t="s">
        <v>51</v>
      </c>
      <c r="E12" s="87"/>
      <c r="F12" s="36" t="s">
        <v>52</v>
      </c>
      <c r="G12" s="37" t="s">
        <v>53</v>
      </c>
      <c r="H12" s="37">
        <v>1</v>
      </c>
      <c r="I12" s="38">
        <v>1400</v>
      </c>
      <c r="J12" s="39"/>
      <c r="K12" s="75">
        <f>H12*I12</f>
        <v>1400</v>
      </c>
      <c r="L12" s="81"/>
    </row>
    <row r="13" spans="1:12" x14ac:dyDescent="0.6">
      <c r="A13" s="124" t="s">
        <v>99</v>
      </c>
      <c r="B13" s="71" t="s">
        <v>97</v>
      </c>
      <c r="C13" s="71" t="s">
        <v>88</v>
      </c>
      <c r="D13" s="71" t="s">
        <v>54</v>
      </c>
      <c r="E13" s="88"/>
      <c r="F13" s="40" t="s">
        <v>55</v>
      </c>
      <c r="G13" s="37" t="s">
        <v>56</v>
      </c>
      <c r="H13" s="37">
        <f>H12*4</f>
        <v>4</v>
      </c>
      <c r="I13" s="38">
        <v>96</v>
      </c>
      <c r="J13" s="39"/>
      <c r="K13" s="75">
        <f>H13*I13</f>
        <v>384</v>
      </c>
      <c r="L13" s="81"/>
    </row>
    <row r="14" spans="1:12" x14ac:dyDescent="0.6">
      <c r="A14" s="124" t="s">
        <v>100</v>
      </c>
      <c r="B14" s="89" t="s">
        <v>94</v>
      </c>
      <c r="C14" s="89" t="s">
        <v>88</v>
      </c>
      <c r="D14" s="89" t="s">
        <v>57</v>
      </c>
      <c r="E14" s="90"/>
      <c r="F14" s="41" t="s">
        <v>58</v>
      </c>
      <c r="G14" s="37" t="s">
        <v>59</v>
      </c>
      <c r="H14" s="37">
        <f>H13-1</f>
        <v>3</v>
      </c>
      <c r="I14" s="38">
        <v>135</v>
      </c>
      <c r="J14" s="39"/>
      <c r="K14" s="75">
        <f>H14*I14</f>
        <v>405</v>
      </c>
      <c r="L14" s="81"/>
    </row>
    <row r="15" spans="1:12" ht="17.100000000000001" customHeight="1" x14ac:dyDescent="0.6">
      <c r="A15" s="125" t="s">
        <v>101</v>
      </c>
      <c r="B15" s="42" t="s">
        <v>95</v>
      </c>
      <c r="C15" s="42" t="s">
        <v>88</v>
      </c>
      <c r="D15" s="42" t="s">
        <v>60</v>
      </c>
      <c r="E15" s="43"/>
      <c r="F15" s="44" t="s">
        <v>61</v>
      </c>
      <c r="G15" s="37" t="s">
        <v>56</v>
      </c>
      <c r="H15" s="37">
        <f>H13</f>
        <v>4</v>
      </c>
      <c r="I15" s="38">
        <v>50</v>
      </c>
      <c r="J15" s="39"/>
      <c r="K15" s="75">
        <f>H15*I15</f>
        <v>200</v>
      </c>
      <c r="L15" s="81"/>
    </row>
    <row r="16" spans="1:12" x14ac:dyDescent="0.6">
      <c r="A16" s="21"/>
      <c r="B16" s="21"/>
      <c r="C16" s="21"/>
      <c r="D16" s="107" t="s">
        <v>62</v>
      </c>
      <c r="E16" s="108"/>
      <c r="F16" s="108"/>
      <c r="G16" s="45"/>
      <c r="H16" s="45"/>
      <c r="I16" s="46"/>
      <c r="J16" s="45"/>
      <c r="K16" s="76">
        <f>SUM(K12:K15)</f>
        <v>2389</v>
      </c>
      <c r="L16" s="91"/>
    </row>
    <row r="17" spans="1:12" x14ac:dyDescent="0.6">
      <c r="A17" s="47"/>
      <c r="B17" s="47"/>
      <c r="C17" s="47"/>
      <c r="D17" s="47" t="s">
        <v>12</v>
      </c>
      <c r="E17" s="48"/>
      <c r="F17" s="49" t="s">
        <v>63</v>
      </c>
      <c r="G17" s="30"/>
      <c r="H17" s="30" t="s">
        <v>47</v>
      </c>
      <c r="I17" s="50" t="s">
        <v>64</v>
      </c>
      <c r="J17" s="30"/>
      <c r="K17" s="51"/>
      <c r="L17" s="91"/>
    </row>
    <row r="18" spans="1:12" x14ac:dyDescent="0.6">
      <c r="A18" s="23"/>
      <c r="B18" s="23"/>
      <c r="C18" s="23"/>
      <c r="D18" s="23" t="s">
        <v>14</v>
      </c>
      <c r="E18" s="28"/>
      <c r="F18" s="24" t="s">
        <v>65</v>
      </c>
      <c r="G18" s="25"/>
      <c r="H18" s="25" t="s">
        <v>47</v>
      </c>
      <c r="I18" s="29" t="s">
        <v>64</v>
      </c>
      <c r="J18" s="25"/>
      <c r="K18" s="26"/>
      <c r="L18" s="91"/>
    </row>
    <row r="19" spans="1:12" x14ac:dyDescent="0.6">
      <c r="A19" s="47"/>
      <c r="B19" s="47"/>
      <c r="C19" s="47"/>
      <c r="D19" s="47" t="s">
        <v>16</v>
      </c>
      <c r="E19" s="48"/>
      <c r="F19" s="106" t="s">
        <v>66</v>
      </c>
      <c r="G19" s="106"/>
      <c r="H19" s="106"/>
      <c r="I19" s="106"/>
      <c r="J19" s="30"/>
      <c r="K19" s="52"/>
      <c r="L19" s="91"/>
    </row>
    <row r="20" spans="1:12" x14ac:dyDescent="0.6">
      <c r="A20" s="92"/>
      <c r="B20" s="92"/>
      <c r="C20" s="92"/>
      <c r="D20" s="92" t="s">
        <v>67</v>
      </c>
      <c r="E20" s="93"/>
      <c r="F20" s="53" t="s">
        <v>68</v>
      </c>
      <c r="G20" s="54"/>
      <c r="H20" s="54"/>
      <c r="I20" s="55" t="s">
        <v>69</v>
      </c>
      <c r="J20" s="54"/>
      <c r="K20" s="56"/>
      <c r="L20" s="91"/>
    </row>
    <row r="21" spans="1:12" x14ac:dyDescent="0.6">
      <c r="A21" s="94" t="s">
        <v>89</v>
      </c>
      <c r="B21" s="94" t="s">
        <v>87</v>
      </c>
      <c r="C21" s="94" t="s">
        <v>88</v>
      </c>
      <c r="D21" s="94" t="s">
        <v>70</v>
      </c>
      <c r="E21" s="95"/>
      <c r="F21" s="57" t="s">
        <v>71</v>
      </c>
      <c r="G21" s="58" t="s">
        <v>72</v>
      </c>
      <c r="H21" s="58">
        <v>3</v>
      </c>
      <c r="I21" s="59">
        <v>38000</v>
      </c>
      <c r="J21" s="58"/>
      <c r="K21" s="75">
        <f>H21*I21</f>
        <v>114000</v>
      </c>
      <c r="L21" s="91"/>
    </row>
    <row r="22" spans="1:12" x14ac:dyDescent="0.6">
      <c r="A22" s="21"/>
      <c r="B22" s="21"/>
      <c r="C22" s="21"/>
      <c r="D22" s="104" t="s">
        <v>73</v>
      </c>
      <c r="E22" s="105"/>
      <c r="F22" s="105"/>
      <c r="G22" s="45"/>
      <c r="H22" s="45"/>
      <c r="I22" s="46"/>
      <c r="J22" s="45"/>
      <c r="K22" s="76">
        <f>SUM(K21:K21)</f>
        <v>114000</v>
      </c>
      <c r="L22" s="91"/>
    </row>
    <row r="23" spans="1:12" x14ac:dyDescent="0.6">
      <c r="A23" s="47"/>
      <c r="B23" s="47"/>
      <c r="C23" s="47"/>
      <c r="D23" s="47" t="s">
        <v>18</v>
      </c>
      <c r="E23" s="48"/>
      <c r="F23" s="49" t="s">
        <v>19</v>
      </c>
      <c r="G23" s="30"/>
      <c r="H23" s="30"/>
      <c r="I23" s="50"/>
      <c r="J23" s="30"/>
      <c r="K23" s="51"/>
      <c r="L23" s="91"/>
    </row>
    <row r="24" spans="1:12" x14ac:dyDescent="0.6">
      <c r="A24" s="23"/>
      <c r="B24" s="23"/>
      <c r="C24" s="23"/>
      <c r="D24" s="23" t="s">
        <v>20</v>
      </c>
      <c r="E24" s="28"/>
      <c r="F24" s="24" t="s">
        <v>21</v>
      </c>
      <c r="G24" s="25"/>
      <c r="H24" s="25"/>
      <c r="I24" s="29"/>
      <c r="J24" s="25"/>
      <c r="K24" s="26"/>
      <c r="L24" s="91"/>
    </row>
    <row r="25" spans="1:12" x14ac:dyDescent="0.6">
      <c r="A25" s="71" t="s">
        <v>90</v>
      </c>
      <c r="B25" s="71" t="s">
        <v>91</v>
      </c>
      <c r="C25" s="71" t="s">
        <v>88</v>
      </c>
      <c r="D25" s="71" t="s">
        <v>74</v>
      </c>
      <c r="E25" s="88"/>
      <c r="F25" s="61" t="s">
        <v>75</v>
      </c>
      <c r="G25" s="62" t="s">
        <v>76</v>
      </c>
      <c r="H25" s="62">
        <v>3</v>
      </c>
      <c r="I25" s="63">
        <v>181</v>
      </c>
      <c r="J25" s="60"/>
      <c r="K25" s="77">
        <f>H25*I25</f>
        <v>543</v>
      </c>
      <c r="L25" s="91"/>
    </row>
    <row r="26" spans="1:12" x14ac:dyDescent="0.6">
      <c r="A26" s="21"/>
      <c r="B26" s="21"/>
      <c r="C26" s="21"/>
      <c r="D26" s="104" t="s">
        <v>77</v>
      </c>
      <c r="E26" s="105"/>
      <c r="F26" s="105"/>
      <c r="G26" s="45"/>
      <c r="H26" s="45"/>
      <c r="I26" s="46"/>
      <c r="J26" s="45"/>
      <c r="K26" s="78">
        <f>SUM(K25:K25)</f>
        <v>543</v>
      </c>
      <c r="L26" s="91"/>
    </row>
    <row r="27" spans="1:12" x14ac:dyDescent="0.6">
      <c r="A27" s="23"/>
      <c r="B27" s="23"/>
      <c r="C27" s="23"/>
      <c r="D27" s="23" t="s">
        <v>22</v>
      </c>
      <c r="E27" s="28"/>
      <c r="F27" s="24" t="s">
        <v>78</v>
      </c>
      <c r="G27" s="25"/>
      <c r="H27" s="25"/>
      <c r="I27" s="29"/>
      <c r="J27" s="25"/>
      <c r="K27" s="79">
        <f>K16+K22+K26</f>
        <v>116932</v>
      </c>
      <c r="L27" s="81"/>
    </row>
    <row r="28" spans="1:12" x14ac:dyDescent="0.6">
      <c r="A28" s="23" t="s">
        <v>92</v>
      </c>
      <c r="B28" s="23" t="s">
        <v>93</v>
      </c>
      <c r="C28" s="23" t="s">
        <v>88</v>
      </c>
      <c r="D28" s="23" t="s">
        <v>24</v>
      </c>
      <c r="E28" s="28"/>
      <c r="F28" s="24" t="s">
        <v>79</v>
      </c>
      <c r="G28" s="102">
        <v>0.2828</v>
      </c>
      <c r="H28" s="103"/>
      <c r="I28" s="103"/>
      <c r="J28" s="103"/>
      <c r="K28" s="79">
        <f>ROUND(K27*G28,0)</f>
        <v>33068</v>
      </c>
      <c r="L28" s="91"/>
    </row>
    <row r="29" spans="1:12" x14ac:dyDescent="0.6">
      <c r="A29" s="14"/>
      <c r="B29" s="14"/>
      <c r="C29" s="14"/>
      <c r="D29" s="14" t="s">
        <v>26</v>
      </c>
      <c r="E29" s="15"/>
      <c r="F29" s="13" t="s">
        <v>27</v>
      </c>
      <c r="G29" s="64"/>
      <c r="H29" s="65"/>
      <c r="I29" s="66"/>
      <c r="J29" s="65"/>
      <c r="K29" s="80">
        <f>SUM(K27:K28)</f>
        <v>150000</v>
      </c>
      <c r="L29" s="81"/>
    </row>
    <row r="30" spans="1:12" x14ac:dyDescent="0.6">
      <c r="A30" s="96"/>
      <c r="B30" s="96"/>
      <c r="C30" s="96"/>
      <c r="D30" s="96"/>
      <c r="E30" s="96"/>
      <c r="F30" s="81"/>
      <c r="G30" s="81"/>
      <c r="H30" s="81"/>
      <c r="I30" s="81"/>
      <c r="J30" s="81"/>
      <c r="K30" s="81"/>
      <c r="L30" s="81"/>
    </row>
    <row r="31" spans="1:12" x14ac:dyDescent="0.6">
      <c r="A31" s="96"/>
      <c r="B31" s="96"/>
      <c r="C31" s="96"/>
      <c r="D31" s="96"/>
      <c r="E31" s="96"/>
      <c r="F31" s="81"/>
      <c r="G31" s="81"/>
      <c r="H31" s="81"/>
      <c r="I31" s="97"/>
      <c r="J31" s="81"/>
      <c r="K31" s="81"/>
      <c r="L31" s="81"/>
    </row>
    <row r="32" spans="1:12" x14ac:dyDescent="0.6">
      <c r="A32" s="96"/>
      <c r="B32" s="96"/>
      <c r="C32" s="96"/>
      <c r="D32" s="96"/>
      <c r="E32" s="96"/>
      <c r="F32" s="81"/>
      <c r="G32" s="81"/>
      <c r="H32" s="81"/>
      <c r="I32" s="81"/>
      <c r="J32" s="81"/>
      <c r="K32" s="81"/>
      <c r="L32" s="81"/>
    </row>
    <row r="33" spans="7:12" x14ac:dyDescent="0.6">
      <c r="G33" s="81"/>
      <c r="H33" s="81"/>
      <c r="I33" s="81"/>
      <c r="J33" s="81"/>
      <c r="K33" s="81"/>
      <c r="L33" s="81"/>
    </row>
    <row r="34" spans="7:12" x14ac:dyDescent="0.6">
      <c r="G34" s="68"/>
      <c r="H34" s="68"/>
      <c r="I34" s="68"/>
      <c r="J34" s="68"/>
      <c r="K34" s="74"/>
      <c r="L34" s="81"/>
    </row>
    <row r="35" spans="7:12" x14ac:dyDescent="0.6">
      <c r="G35" s="81"/>
      <c r="H35" s="81"/>
      <c r="I35" s="81"/>
      <c r="J35" s="81"/>
      <c r="K35" s="81"/>
      <c r="L35" s="81"/>
    </row>
    <row r="36" spans="7:12" x14ac:dyDescent="0.6">
      <c r="G36" s="81"/>
      <c r="H36" s="81"/>
      <c r="I36" s="81"/>
      <c r="J36" s="81"/>
      <c r="K36" s="81"/>
      <c r="L36" s="81"/>
    </row>
    <row r="37" spans="7:12" x14ac:dyDescent="0.6">
      <c r="G37" s="81"/>
      <c r="H37" s="81"/>
      <c r="I37" s="81"/>
      <c r="J37" s="81"/>
      <c r="K37" s="81"/>
      <c r="L37" s="81"/>
    </row>
    <row r="38" spans="7:12" x14ac:dyDescent="0.6">
      <c r="G38" s="81"/>
      <c r="H38" s="81"/>
      <c r="I38" s="81"/>
      <c r="J38" s="81"/>
      <c r="K38" s="81"/>
      <c r="L38" s="81"/>
    </row>
    <row r="39" spans="7:12" x14ac:dyDescent="0.6">
      <c r="G39" s="81"/>
      <c r="H39" s="81"/>
      <c r="I39" s="81"/>
      <c r="J39" s="81"/>
      <c r="K39" s="81"/>
      <c r="L39" s="81"/>
    </row>
    <row r="40" spans="7:12" x14ac:dyDescent="0.6">
      <c r="G40" s="81"/>
      <c r="H40" s="81"/>
      <c r="I40" s="81"/>
      <c r="J40" s="81"/>
      <c r="K40" s="81"/>
      <c r="L40" s="81"/>
    </row>
    <row r="41" spans="7:12" x14ac:dyDescent="0.6">
      <c r="G41" s="81"/>
      <c r="H41" s="81"/>
      <c r="I41" s="81"/>
      <c r="J41" s="81"/>
      <c r="K41" s="81"/>
      <c r="L41" s="81"/>
    </row>
    <row r="42" spans="7:12" x14ac:dyDescent="0.6">
      <c r="G42" s="81"/>
      <c r="H42" s="81"/>
      <c r="I42" s="81"/>
      <c r="J42" s="81"/>
      <c r="K42" s="81"/>
      <c r="L42" s="81"/>
    </row>
    <row r="43" spans="7:12" x14ac:dyDescent="0.6">
      <c r="G43" s="81"/>
      <c r="H43" s="81"/>
      <c r="I43" s="81"/>
      <c r="J43" s="81"/>
      <c r="K43" s="81"/>
      <c r="L43" s="81"/>
    </row>
    <row r="44" spans="7:12" x14ac:dyDescent="0.6">
      <c r="G44" s="81"/>
      <c r="H44" s="81"/>
      <c r="I44" s="81"/>
      <c r="J44" s="81"/>
      <c r="K44" s="81"/>
      <c r="L44" s="81"/>
    </row>
    <row r="45" spans="7:12" x14ac:dyDescent="0.6">
      <c r="G45" s="81"/>
      <c r="H45" s="81"/>
      <c r="I45" s="81"/>
      <c r="J45" s="81"/>
      <c r="K45" s="81"/>
      <c r="L45" s="81"/>
    </row>
    <row r="46" spans="7:12" x14ac:dyDescent="0.6">
      <c r="G46" s="81"/>
      <c r="H46" s="81"/>
      <c r="I46" s="81"/>
      <c r="J46" s="81"/>
      <c r="K46" s="81"/>
      <c r="L46" s="81"/>
    </row>
    <row r="47" spans="7:12" x14ac:dyDescent="0.6">
      <c r="G47" s="81"/>
      <c r="H47" s="81"/>
      <c r="I47" s="81"/>
      <c r="J47" s="81"/>
      <c r="K47" s="81"/>
      <c r="L47" s="81"/>
    </row>
    <row r="48" spans="7:12" x14ac:dyDescent="0.6">
      <c r="G48" s="81"/>
      <c r="H48" s="81"/>
      <c r="I48" s="81"/>
      <c r="J48" s="81"/>
      <c r="K48" s="81"/>
      <c r="L48" s="81"/>
    </row>
    <row r="49" spans="10:12" x14ac:dyDescent="0.6">
      <c r="J49" s="81"/>
      <c r="K49" s="81"/>
      <c r="L49" s="81"/>
    </row>
    <row r="50" spans="10:12" x14ac:dyDescent="0.6">
      <c r="J50" s="81"/>
      <c r="K50" s="81"/>
      <c r="L50" s="81"/>
    </row>
    <row r="51" spans="10:12" x14ac:dyDescent="0.6">
      <c r="J51" s="81"/>
      <c r="K51" s="81"/>
      <c r="L51" s="81"/>
    </row>
    <row r="52" spans="10:12" x14ac:dyDescent="0.6">
      <c r="J52" s="81"/>
      <c r="K52" s="81"/>
      <c r="L52" s="81"/>
    </row>
    <row r="53" spans="10:12" x14ac:dyDescent="0.6">
      <c r="J53" s="81"/>
      <c r="K53" s="81"/>
      <c r="L53" s="81"/>
    </row>
    <row r="54" spans="10:12" x14ac:dyDescent="0.6">
      <c r="J54" s="81"/>
      <c r="K54" s="81"/>
      <c r="L54" s="81"/>
    </row>
    <row r="55" spans="10:12" x14ac:dyDescent="0.6">
      <c r="J55" s="81"/>
      <c r="K55" s="81"/>
      <c r="L55" s="81"/>
    </row>
    <row r="56" spans="10:12" x14ac:dyDescent="0.6">
      <c r="J56" s="81"/>
      <c r="K56" s="81"/>
      <c r="L56" s="81"/>
    </row>
    <row r="57" spans="10:12" x14ac:dyDescent="0.6">
      <c r="J57" s="81"/>
      <c r="K57" s="81"/>
      <c r="L57" s="81"/>
    </row>
    <row r="58" spans="10:12" x14ac:dyDescent="0.6">
      <c r="J58" s="81"/>
      <c r="K58" s="81"/>
      <c r="L58" s="81"/>
    </row>
  </sheetData>
  <mergeCells count="15">
    <mergeCell ref="A8:A10"/>
    <mergeCell ref="B8:B10"/>
    <mergeCell ref="C8:C10"/>
    <mergeCell ref="D1:K1"/>
    <mergeCell ref="D2:K2"/>
    <mergeCell ref="D3:K3"/>
    <mergeCell ref="D4:K4"/>
    <mergeCell ref="D6:F7"/>
    <mergeCell ref="G6:J6"/>
    <mergeCell ref="K6:K7"/>
    <mergeCell ref="G28:J28"/>
    <mergeCell ref="D26:F26"/>
    <mergeCell ref="F19:I19"/>
    <mergeCell ref="D22:F22"/>
    <mergeCell ref="D16:F16"/>
  </mergeCells>
  <phoneticPr fontId="13" type="noConversion"/>
  <pageMargins left="0.25" right="0.25" top="0.25" bottom="0.25" header="0.05" footer="0.05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c808d36-874f-4b27-aec2-2fd649817929">
      <UserInfo>
        <DisplayName/>
        <AccountId xsi:nil="true"/>
        <AccountType/>
      </UserInfo>
    </SharedWithUsers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efd9b4af885478ed0a3e84c6362c6fb3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3b6abc503e38a49174dd9e5072c65339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71461A-AAE4-4A65-8DF2-9702D1169F22}">
  <ds:schemaRefs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purl.org/dc/dcmitype/"/>
    <ds:schemaRef ds:uri="http://schemas.openxmlformats.org/package/2006/metadata/core-properties"/>
    <ds:schemaRef ds:uri="http://purl.org/dc/terms/"/>
    <ds:schemaRef ds:uri="dc808d36-874f-4b27-aec2-2fd649817929"/>
    <ds:schemaRef ds:uri="1a9bbbe1-7cae-48c1-93ed-4785e360835f"/>
    <ds:schemaRef ds:uri="http://www.w3.org/XML/1998/namespace"/>
    <ds:schemaRef ds:uri="f8135ccf-0908-4d8c-8b6a-2ec449ff78ed"/>
  </ds:schemaRefs>
</ds:datastoreItem>
</file>

<file path=customXml/itemProps2.xml><?xml version="1.0" encoding="utf-8"?>
<ds:datastoreItem xmlns:ds="http://schemas.openxmlformats.org/officeDocument/2006/customXml" ds:itemID="{12B46EBA-CC5A-4D3A-A948-EDE0270BDF1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1E7581B-5F31-492C-B9A2-CF69CD68CD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1. Summary Budget</vt:lpstr>
      <vt:lpstr>2. Detailed Budget</vt:lpstr>
      <vt:lpstr>'1. Summary Budget'!Print_Area</vt:lpstr>
      <vt:lpstr>'2. Detailed Budget'!Print_Area</vt:lpstr>
    </vt:vector>
  </TitlesOfParts>
  <Manager/>
  <Company>U.S. Department of State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ThompsonLD</dc:creator>
  <cp:keywords/>
  <dc:description/>
  <cp:lastModifiedBy>Danielle Martin</cp:lastModifiedBy>
  <cp:revision/>
  <dcterms:created xsi:type="dcterms:W3CDTF">2011-04-25T16:36:39Z</dcterms:created>
  <dcterms:modified xsi:type="dcterms:W3CDTF">2023-11-03T03:11:44Z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665d9ee-429a-4d5f-97cc-cfb56e044a6e_Enabled">
    <vt:lpwstr>True</vt:lpwstr>
  </property>
  <property fmtid="{D5CDD505-2E9C-101B-9397-08002B2CF9AE}" pid="3" name="MSIP_Label_1665d9ee-429a-4d5f-97cc-cfb56e044a6e_SiteId">
    <vt:lpwstr>66cf5074-5afe-48d1-a691-a12b2121f44b</vt:lpwstr>
  </property>
  <property fmtid="{D5CDD505-2E9C-101B-9397-08002B2CF9AE}" pid="4" name="MSIP_Label_1665d9ee-429a-4d5f-97cc-cfb56e044a6e_Owner">
    <vt:lpwstr>ProctorME@state.gov</vt:lpwstr>
  </property>
  <property fmtid="{D5CDD505-2E9C-101B-9397-08002B2CF9AE}" pid="5" name="MSIP_Label_1665d9ee-429a-4d5f-97cc-cfb56e044a6e_SetDate">
    <vt:lpwstr>2020-05-22T16:53:29.0373647Z</vt:lpwstr>
  </property>
  <property fmtid="{D5CDD505-2E9C-101B-9397-08002B2CF9AE}" pid="6" name="MSIP_Label_1665d9ee-429a-4d5f-97cc-cfb56e044a6e_Name">
    <vt:lpwstr>Unclassified</vt:lpwstr>
  </property>
  <property fmtid="{D5CDD505-2E9C-101B-9397-08002B2CF9AE}" pid="7" name="MSIP_Label_1665d9ee-429a-4d5f-97cc-cfb56e044a6e_Application">
    <vt:lpwstr>Microsoft Azure Information Protection</vt:lpwstr>
  </property>
  <property fmtid="{D5CDD505-2E9C-101B-9397-08002B2CF9AE}" pid="8" name="MSIP_Label_1665d9ee-429a-4d5f-97cc-cfb56e044a6e_ActionId">
    <vt:lpwstr>ac692d21-a394-4b6a-96e9-b3db398d30ac</vt:lpwstr>
  </property>
  <property fmtid="{D5CDD505-2E9C-101B-9397-08002B2CF9AE}" pid="9" name="MSIP_Label_1665d9ee-429a-4d5f-97cc-cfb56e044a6e_Extended_MSFT_Method">
    <vt:lpwstr>Manual</vt:lpwstr>
  </property>
  <property fmtid="{D5CDD505-2E9C-101B-9397-08002B2CF9AE}" pid="10" name="Sensitivity">
    <vt:lpwstr>Unclassified</vt:lpwstr>
  </property>
  <property fmtid="{D5CDD505-2E9C-101B-9397-08002B2CF9AE}" pid="11" name="ContentTypeId">
    <vt:lpwstr>0x01010088F1EB5E9B11544BADA958034EDEEA96</vt:lpwstr>
  </property>
  <property fmtid="{D5CDD505-2E9C-101B-9397-08002B2CF9AE}" pid="12" name="Order">
    <vt:r8>11853400</vt:r8>
  </property>
  <property fmtid="{D5CDD505-2E9C-101B-9397-08002B2CF9AE}" pid="13" name="xd_Signature">
    <vt:bool>false</vt:bool>
  </property>
  <property fmtid="{D5CDD505-2E9C-101B-9397-08002B2CF9AE}" pid="14" name="xd_ProgID">
    <vt:lpwstr/>
  </property>
  <property fmtid="{D5CDD505-2E9C-101B-9397-08002B2CF9AE}" pid="15" name="ComplianceAssetId">
    <vt:lpwstr/>
  </property>
  <property fmtid="{D5CDD505-2E9C-101B-9397-08002B2CF9AE}" pid="16" name="TemplateUrl">
    <vt:lpwstr/>
  </property>
  <property fmtid="{D5CDD505-2E9C-101B-9397-08002B2CF9AE}" pid="17" name="MediaServiceImageTags">
    <vt:lpwstr/>
  </property>
</Properties>
</file>