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267/"/>
    </mc:Choice>
  </mc:AlternateContent>
  <xr:revisionPtr revIDLastSave="0" documentId="8_{CA96F8CD-A6B5-4914-A9D4-B977D8E1CC4B}" xr6:coauthVersionLast="47" xr6:coauthVersionMax="47" xr10:uidLastSave="{00000000-0000-0000-0000-000000000000}"/>
  <bookViews>
    <workbookView xWindow="-96" yWindow="-96" windowWidth="23232" windowHeight="12552" tabRatio="792" activeTab="1" xr2:uid="{00000000-000D-0000-FFFF-FFFF00000000}"/>
  </bookViews>
  <sheets>
    <sheet name="1. Summary Budget" sheetId="3" r:id="rId1"/>
    <sheet name="2. Detailed Budget" sheetId="5" r:id="rId2"/>
    <sheet name="2. REV Detailed Budget" sheetId="6" state="hidden" r:id="rId3"/>
  </sheets>
  <definedNames>
    <definedName name="_xlnm.Print_Area" localSheetId="0">'1. Summary Budget'!$A$1:$D$18</definedName>
    <definedName name="_xlnm.Print_Area" localSheetId="1">'2. Detailed Budget'!$C$1:$J$35</definedName>
    <definedName name="_xlnm.Print_Area" localSheetId="2">'2. REV Detailed Budget'!$C$1:$J$35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6" l="1"/>
  <c r="G29" i="6" s="1"/>
  <c r="J11" i="6"/>
  <c r="J12" i="6"/>
  <c r="J13" i="6"/>
  <c r="J14" i="6" s="1"/>
  <c r="J20" i="6"/>
  <c r="G21" i="6"/>
  <c r="G23" i="6" s="1"/>
  <c r="J23" i="6" s="1"/>
  <c r="J21" i="6"/>
  <c r="G22" i="6"/>
  <c r="J22" i="6" s="1"/>
  <c r="J29" i="5"/>
  <c r="J30" i="5" s="1"/>
  <c r="J11" i="5"/>
  <c r="J13" i="5"/>
  <c r="J12" i="5"/>
  <c r="J14" i="5"/>
  <c r="J16" i="5" s="1"/>
  <c r="J17" i="5" s="1"/>
  <c r="D9" i="3" s="1"/>
  <c r="J20" i="5"/>
  <c r="G21" i="5"/>
  <c r="J21" i="5"/>
  <c r="J24" i="5" s="1"/>
  <c r="G22" i="5"/>
  <c r="J22" i="5"/>
  <c r="G23" i="5"/>
  <c r="J23" i="5" s="1"/>
  <c r="D10" i="3"/>
  <c r="D8" i="3" l="1"/>
  <c r="J33" i="5"/>
  <c r="J24" i="6"/>
  <c r="J16" i="6"/>
  <c r="J30" i="6"/>
  <c r="J34" i="5" l="1"/>
  <c r="D17" i="3" s="1"/>
  <c r="J17" i="6"/>
  <c r="J33" i="6"/>
  <c r="J35" i="5" l="1"/>
  <c r="D18" i="3" s="1"/>
  <c r="J34" i="6"/>
  <c r="J35" i="6" l="1"/>
  <c r="L24" i="6" l="1"/>
  <c r="L14" i="6"/>
  <c r="L16" i="6"/>
  <c r="L30" i="6"/>
  <c r="L34" i="6"/>
</calcChain>
</file>

<file path=xl/sharedStrings.xml><?xml version="1.0" encoding="utf-8"?>
<sst xmlns="http://schemas.openxmlformats.org/spreadsheetml/2006/main" count="237" uniqueCount="107">
  <si>
    <t>SUMMARY BUDGET</t>
  </si>
  <si>
    <t>Partners of the Americas</t>
  </si>
  <si>
    <t>100,000 Strong in the Americas</t>
  </si>
  <si>
    <t>24 Months</t>
  </si>
  <si>
    <t xml:space="preserve">        </t>
  </si>
  <si>
    <t>Original Budget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</si>
  <si>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</si>
  <si>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</si>
  <si>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</si>
  <si>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</si>
  <si>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</si>
  <si>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</si>
  <si>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</si>
  <si>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</si>
  <si>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</si>
  <si>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</si>
  <si>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</si>
  <si>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</si>
  <si>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</si>
  <si>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</si>
  <si>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</si>
  <si>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</si>
  <si>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</si>
  <si>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</si>
  <si>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</si>
  <si>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</si>
  <si>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</si>
  <si>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</si>
  <si>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</si>
  <si>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</si>
  <si>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 amounts auto-fill from "Detailed Grant Budget Template" tab</t>
  </si>
  <si>
    <t xml:space="preserve"> LINE-ITEM BUDGET</t>
  </si>
  <si>
    <t>Project Title</t>
  </si>
  <si>
    <t>Project Duration: 24 months</t>
  </si>
  <si>
    <t>Project duration</t>
  </si>
  <si>
    <t>Unit Cost</t>
  </si>
  <si>
    <t>Original Budget Federal Share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</si>
  <si>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</si>
  <si>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</si>
  <si>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</si>
  <si>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</si>
  <si>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</si>
  <si>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</si>
  <si>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Personnel </t>
    </r>
    <r>
      <rPr>
        <u/>
        <sz val="12"/>
        <color theme="1"/>
        <rFont val="Times New Roman"/>
        <family val="1"/>
      </rPr>
      <t>only</t>
    </r>
    <r>
      <rPr>
        <sz val="12"/>
        <color theme="1"/>
        <rFont val="Times New Roman"/>
        <family val="1"/>
      </rPr>
      <t xml:space="preserve"> </t>
    </r>
  </si>
  <si>
    <t>Fringe</t>
  </si>
  <si>
    <t># units</t>
  </si>
  <si>
    <t>Equipment  (&gt; $5,000 per unit )</t>
  </si>
  <si>
    <t>unit cost</t>
  </si>
  <si>
    <t>Supplies  (&lt; $5,000 per unit)</t>
  </si>
  <si>
    <t>Contractual (Subrecipients, Subcontracts, and Consultant fees)</t>
  </si>
  <si>
    <t>Total Direct Costs</t>
  </si>
  <si>
    <t xml:space="preserve">Indirect Costs </t>
  </si>
  <si>
    <t>Program Officer</t>
  </si>
  <si>
    <t>months</t>
  </si>
  <si>
    <t>Communications Officer</t>
  </si>
  <si>
    <t>A.1.1</t>
  </si>
  <si>
    <t>A.1.2</t>
  </si>
  <si>
    <t>A.1</t>
  </si>
  <si>
    <t>US-Based personnel</t>
  </si>
  <si>
    <t>B.1</t>
  </si>
  <si>
    <t>US-Based Personnel Fringe Benefits</t>
  </si>
  <si>
    <t>Subtotal Fringe Benefits</t>
  </si>
  <si>
    <t>Subtotal Personnel</t>
  </si>
  <si>
    <t>A.1.3</t>
  </si>
  <si>
    <t>MEL Officer</t>
  </si>
  <si>
    <t>C.1</t>
  </si>
  <si>
    <t>C.1.1</t>
  </si>
  <si>
    <t>International Round Trip Airfare</t>
  </si>
  <si>
    <t>trips</t>
  </si>
  <si>
    <t>C.1.2</t>
  </si>
  <si>
    <t xml:space="preserve">International M&amp;IE </t>
  </si>
  <si>
    <t>days</t>
  </si>
  <si>
    <t>C.1.3</t>
  </si>
  <si>
    <t>International Lodging</t>
  </si>
  <si>
    <t>nights</t>
  </si>
  <si>
    <t>C.1.4</t>
  </si>
  <si>
    <t>International Local Transportation</t>
  </si>
  <si>
    <t>Subtotal Travel</t>
  </si>
  <si>
    <t># people</t>
  </si>
  <si>
    <t># days</t>
  </si>
  <si>
    <t>Cost</t>
  </si>
  <si>
    <t>Staff Travel</t>
  </si>
  <si>
    <t>Expanding Colombia-U.S. Higher Education Climate Cooperation and Inclusive Education Exchanges 
through 100K Strong Americas</t>
  </si>
  <si>
    <t>F.1</t>
  </si>
  <si>
    <t>Sub-grants</t>
  </si>
  <si>
    <t xml:space="preserve">     daily rate</t>
  </si>
  <si>
    <t>F.1.1</t>
  </si>
  <si>
    <t>HEI Sub-grants</t>
  </si>
  <si>
    <t>grants</t>
  </si>
  <si>
    <t>Subtotal Contractual</t>
  </si>
  <si>
    <t>Program/Dept.</t>
  </si>
  <si>
    <t>Funder/Grant:</t>
  </si>
  <si>
    <t>DOS267</t>
  </si>
  <si>
    <t>Activity (Budget) Code</t>
  </si>
  <si>
    <t>Account Code</t>
  </si>
  <si>
    <t>PERSNL</t>
  </si>
  <si>
    <t>50000</t>
  </si>
  <si>
    <t>FRINGE</t>
  </si>
  <si>
    <t>IDC</t>
  </si>
  <si>
    <t>STFTRAVEL</t>
  </si>
  <si>
    <t>STFCN DIEM</t>
  </si>
  <si>
    <t>LODGING</t>
  </si>
  <si>
    <t>86030</t>
  </si>
  <si>
    <t>LOCAL TRVL</t>
  </si>
  <si>
    <t>86000</t>
  </si>
  <si>
    <t>89000</t>
  </si>
  <si>
    <t>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</si>
</sst>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&quot;$&quot;#,##0.0000_);[Red]\(&quot;$&quot;#,##0.0000\)"/>
    <numFmt numFmtId="168" formatCode="0.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44">
    <xf numFmtId="0" fontId="0" fillId="0" borderId="0" xfId="0"/>
    <xf numFmtId="49" fontId="6" fillId="0" borderId="0" xfId="0" applyNumberFormat="1" applyFont="1"/>
    <xf numFmtId="0" fontId="7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49" fontId="4" fillId="3" borderId="9" xfId="0" applyNumberFormat="1" applyFont="1" applyFill="1" applyBorder="1" applyAlignment="1">
      <alignment vertical="center"/>
    </xf>
    <xf numFmtId="49" fontId="0" fillId="3" borderId="6" xfId="0" applyNumberFormat="1" applyFill="1" applyBorder="1" applyAlignment="1">
      <alignment vertical="center"/>
    </xf>
    <xf numFmtId="49" fontId="4" fillId="3" borderId="8" xfId="0" applyNumberFormat="1" applyFont="1" applyFill="1" applyBorder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3" borderId="6" xfId="0" applyNumberFormat="1" applyFont="1" applyFill="1" applyBorder="1" applyAlignment="1">
      <alignment vertical="center"/>
    </xf>
    <xf numFmtId="0" fontId="5" fillId="4" borderId="6" xfId="0" applyFont="1" applyFill="1" applyBorder="1" applyAlignment="1">
      <alignment vertical="center" wrapText="1"/>
    </xf>
    <xf numFmtId="49" fontId="8" fillId="4" borderId="2" xfId="0" applyNumberFormat="1" applyFont="1" applyFill="1" applyBorder="1" applyAlignment="1">
      <alignment vertical="center"/>
    </xf>
    <xf numFmtId="49" fontId="8" fillId="4" borderId="6" xfId="0" applyNumberFormat="1" applyFont="1" applyFill="1" applyBorder="1" applyAlignment="1">
      <alignment vertical="center"/>
    </xf>
    <xf numFmtId="4" fontId="5" fillId="4" borderId="3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7" fillId="3" borderId="3" xfId="0" applyFont="1" applyFill="1" applyBorder="1" applyAlignment="1">
      <alignment vertical="center" wrapText="1"/>
    </xf>
    <xf numFmtId="0" fontId="12" fillId="0" borderId="0" xfId="0" applyFont="1"/>
    <xf numFmtId="164" fontId="5" fillId="4" borderId="3" xfId="1" applyNumberFormat="1" applyFont="1" applyFill="1" applyBorder="1" applyAlignment="1">
      <alignment horizontal="right" vertical="center" wrapText="1"/>
    </xf>
    <xf numFmtId="0" fontId="3" fillId="0" borderId="0" xfId="0" applyFont="1"/>
    <xf numFmtId="0" fontId="5" fillId="4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" fontId="18" fillId="3" borderId="6" xfId="0" applyNumberFormat="1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15" fillId="0" borderId="0" xfId="0" applyFont="1"/>
    <xf numFmtId="0" fontId="3" fillId="5" borderId="0" xfId="0" applyFont="1" applyFill="1"/>
    <xf numFmtId="0" fontId="18" fillId="3" borderId="6" xfId="0" applyFont="1" applyFill="1" applyBorder="1" applyAlignment="1">
      <alignment horizontal="center" vertical="top" wrapText="1"/>
    </xf>
    <xf numFmtId="49" fontId="9" fillId="0" borderId="0" xfId="0" applyNumberFormat="1" applyFont="1" applyAlignment="1">
      <alignment horizontal="center"/>
    </xf>
    <xf numFmtId="164" fontId="11" fillId="5" borderId="1" xfId="1" applyNumberFormat="1" applyFont="1" applyFill="1" applyBorder="1" applyAlignment="1">
      <alignment vertical="center" wrapText="1"/>
    </xf>
    <xf numFmtId="4" fontId="15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center"/>
    </xf>
    <xf numFmtId="165" fontId="2" fillId="0" borderId="0" xfId="2" applyNumberFormat="1" applyFont="1"/>
    <xf numFmtId="49" fontId="2" fillId="0" borderId="0" xfId="0" applyNumberFormat="1" applyFont="1"/>
    <xf numFmtId="44" fontId="2" fillId="0" borderId="0" xfId="0" applyNumberFormat="1" applyFont="1"/>
    <xf numFmtId="49" fontId="16" fillId="0" borderId="0" xfId="0" applyNumberFormat="1" applyFont="1" applyAlignment="1">
      <alignment horizontal="center"/>
    </xf>
    <xf numFmtId="0" fontId="18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4" fontId="18" fillId="3" borderId="0" xfId="0" applyNumberFormat="1" applyFont="1" applyFill="1" applyAlignment="1">
      <alignment horizontal="center" vertical="center" wrapText="1"/>
    </xf>
    <xf numFmtId="0" fontId="18" fillId="2" borderId="6" xfId="0" applyFont="1" applyFill="1" applyBorder="1" applyAlignment="1">
      <alignment wrapText="1"/>
    </xf>
    <xf numFmtId="0" fontId="18" fillId="2" borderId="6" xfId="0" applyFont="1" applyFill="1" applyBorder="1" applyAlignment="1">
      <alignment horizontal="right" wrapText="1"/>
    </xf>
    <xf numFmtId="4" fontId="18" fillId="2" borderId="6" xfId="0" applyNumberFormat="1" applyFont="1" applyFill="1" applyBorder="1" applyAlignment="1">
      <alignment wrapText="1"/>
    </xf>
    <xf numFmtId="0" fontId="18" fillId="0" borderId="5" xfId="0" applyFont="1" applyBorder="1" applyAlignment="1">
      <alignment wrapText="1"/>
    </xf>
    <xf numFmtId="0" fontId="5" fillId="2" borderId="6" xfId="0" applyFont="1" applyFill="1" applyBorder="1"/>
    <xf numFmtId="4" fontId="5" fillId="2" borderId="6" xfId="0" applyNumberFormat="1" applyFont="1" applyFill="1" applyBorder="1"/>
    <xf numFmtId="0" fontId="20" fillId="2" borderId="6" xfId="0" applyFont="1" applyFill="1" applyBorder="1" applyAlignment="1">
      <alignment horizontal="left" indent="1"/>
    </xf>
    <xf numFmtId="0" fontId="18" fillId="2" borderId="6" xfId="0" applyFont="1" applyFill="1" applyBorder="1"/>
    <xf numFmtId="4" fontId="18" fillId="2" borderId="6" xfId="0" applyNumberFormat="1" applyFont="1" applyFill="1" applyBorder="1"/>
    <xf numFmtId="0" fontId="18" fillId="2" borderId="3" xfId="0" applyFont="1" applyFill="1" applyBorder="1"/>
    <xf numFmtId="0" fontId="18" fillId="5" borderId="3" xfId="0" applyFont="1" applyFill="1" applyBorder="1" applyAlignment="1">
      <alignment horizontal="left" vertical="center" wrapText="1" indent="1"/>
    </xf>
    <xf numFmtId="0" fontId="18" fillId="0" borderId="4" xfId="0" applyFont="1" applyBorder="1" applyAlignment="1">
      <alignment horizontal="center"/>
    </xf>
    <xf numFmtId="44" fontId="18" fillId="0" borderId="4" xfId="1" applyFont="1" applyBorder="1"/>
    <xf numFmtId="0" fontId="21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/>
    </xf>
    <xf numFmtId="166" fontId="18" fillId="0" borderId="3" xfId="3" applyNumberFormat="1" applyFont="1" applyFill="1" applyBorder="1" applyAlignment="1">
      <alignment horizontal="right" vertical="center" wrapText="1"/>
    </xf>
    <xf numFmtId="0" fontId="21" fillId="0" borderId="3" xfId="0" applyFont="1" applyBorder="1" applyAlignment="1">
      <alignment vertical="center" wrapText="1"/>
    </xf>
    <xf numFmtId="0" fontId="18" fillId="2" borderId="0" xfId="0" applyFont="1" applyFill="1" applyAlignment="1">
      <alignment wrapText="1"/>
    </xf>
    <xf numFmtId="166" fontId="5" fillId="2" borderId="14" xfId="3" applyNumberFormat="1" applyFont="1" applyFill="1" applyBorder="1" applyAlignment="1">
      <alignment horizontal="right" wrapText="1"/>
    </xf>
    <xf numFmtId="0" fontId="20" fillId="2" borderId="12" xfId="0" applyFont="1" applyFill="1" applyBorder="1" applyAlignment="1">
      <alignment wrapText="1"/>
    </xf>
    <xf numFmtId="0" fontId="20" fillId="2" borderId="10" xfId="0" applyFont="1" applyFill="1" applyBorder="1" applyAlignment="1">
      <alignment wrapText="1"/>
    </xf>
    <xf numFmtId="44" fontId="21" fillId="0" borderId="1" xfId="1" applyFont="1" applyFill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/>
    </xf>
    <xf numFmtId="166" fontId="5" fillId="0" borderId="3" xfId="3" applyNumberFormat="1" applyFont="1" applyFill="1" applyBorder="1" applyAlignment="1">
      <alignment horizontal="right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4" fontId="5" fillId="2" borderId="0" xfId="0" applyNumberFormat="1" applyFont="1" applyFill="1" applyAlignment="1">
      <alignment wrapText="1"/>
    </xf>
    <xf numFmtId="0" fontId="20" fillId="2" borderId="6" xfId="0" applyFont="1" applyFill="1" applyBorder="1" applyAlignment="1">
      <alignment wrapText="1"/>
    </xf>
    <xf numFmtId="166" fontId="18" fillId="2" borderId="14" xfId="3" applyNumberFormat="1" applyFont="1" applyFill="1" applyBorder="1" applyAlignment="1">
      <alignment horizontal="right" vertical="center" wrapText="1"/>
    </xf>
    <xf numFmtId="166" fontId="18" fillId="0" borderId="1" xfId="3" applyNumberFormat="1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66" fontId="5" fillId="3" borderId="3" xfId="3" applyNumberFormat="1" applyFont="1" applyFill="1" applyBorder="1" applyAlignment="1">
      <alignment vertical="center" wrapText="1"/>
    </xf>
    <xf numFmtId="0" fontId="18" fillId="4" borderId="6" xfId="0" applyFont="1" applyFill="1" applyBorder="1" applyAlignment="1">
      <alignment horizontal="left" vertical="center"/>
    </xf>
    <xf numFmtId="0" fontId="18" fillId="4" borderId="6" xfId="0" applyFont="1" applyFill="1" applyBorder="1" applyAlignment="1">
      <alignment horizontal="center" vertical="center" wrapText="1"/>
    </xf>
    <xf numFmtId="4" fontId="18" fillId="4" borderId="6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vertical="center"/>
    </xf>
    <xf numFmtId="49" fontId="18" fillId="3" borderId="6" xfId="0" applyNumberFormat="1" applyFont="1" applyFill="1" applyBorder="1" applyAlignment="1">
      <alignment vertical="center"/>
    </xf>
    <xf numFmtId="49" fontId="5" fillId="3" borderId="6" xfId="0" applyNumberFormat="1" applyFont="1" applyFill="1" applyBorder="1" applyAlignment="1">
      <alignment vertical="center"/>
    </xf>
    <xf numFmtId="49" fontId="18" fillId="2" borderId="2" xfId="0" applyNumberFormat="1" applyFont="1" applyFill="1" applyBorder="1"/>
    <xf numFmtId="49" fontId="18" fillId="2" borderId="6" xfId="0" applyNumberFormat="1" applyFont="1" applyFill="1" applyBorder="1"/>
    <xf numFmtId="49" fontId="18" fillId="5" borderId="7" xfId="0" applyNumberFormat="1" applyFont="1" applyFill="1" applyBorder="1" applyAlignment="1">
      <alignment vertical="center"/>
    </xf>
    <xf numFmtId="49" fontId="18" fillId="5" borderId="8" xfId="0" applyNumberFormat="1" applyFont="1" applyFill="1" applyBorder="1" applyAlignment="1">
      <alignment vertical="center"/>
    </xf>
    <xf numFmtId="49" fontId="18" fillId="5" borderId="2" xfId="0" applyNumberFormat="1" applyFont="1" applyFill="1" applyBorder="1" applyAlignment="1">
      <alignment vertical="center"/>
    </xf>
    <xf numFmtId="49" fontId="18" fillId="5" borderId="6" xfId="0" applyNumberFormat="1" applyFont="1" applyFill="1" applyBorder="1" applyAlignment="1">
      <alignment vertical="center"/>
    </xf>
    <xf numFmtId="49" fontId="18" fillId="5" borderId="2" xfId="0" applyNumberFormat="1" applyFont="1" applyFill="1" applyBorder="1"/>
    <xf numFmtId="49" fontId="18" fillId="5" borderId="6" xfId="0" applyNumberFormat="1" applyFont="1" applyFill="1" applyBorder="1"/>
    <xf numFmtId="49" fontId="21" fillId="5" borderId="2" xfId="0" applyNumberFormat="1" applyFont="1" applyFill="1" applyBorder="1"/>
    <xf numFmtId="49" fontId="21" fillId="5" borderId="6" xfId="0" applyNumberFormat="1" applyFont="1" applyFill="1" applyBorder="1"/>
    <xf numFmtId="49" fontId="5" fillId="3" borderId="9" xfId="0" applyNumberFormat="1" applyFont="1" applyFill="1" applyBorder="1" applyAlignment="1">
      <alignment vertical="center"/>
    </xf>
    <xf numFmtId="49" fontId="5" fillId="3" borderId="0" xfId="0" applyNumberFormat="1" applyFont="1" applyFill="1" applyAlignment="1">
      <alignment vertical="center"/>
    </xf>
    <xf numFmtId="49" fontId="18" fillId="2" borderId="2" xfId="0" applyNumberFormat="1" applyFont="1" applyFill="1" applyBorder="1" applyAlignment="1">
      <alignment horizontal="left"/>
    </xf>
    <xf numFmtId="49" fontId="18" fillId="2" borderId="6" xfId="0" applyNumberFormat="1" applyFont="1" applyFill="1" applyBorder="1" applyAlignment="1">
      <alignment horizontal="left" indent="1"/>
    </xf>
    <xf numFmtId="49" fontId="18" fillId="2" borderId="7" xfId="0" applyNumberFormat="1" applyFont="1" applyFill="1" applyBorder="1" applyAlignment="1">
      <alignment horizontal="left"/>
    </xf>
    <xf numFmtId="49" fontId="18" fillId="2" borderId="8" xfId="0" applyNumberFormat="1" applyFont="1" applyFill="1" applyBorder="1" applyAlignment="1">
      <alignment horizontal="left" indent="1"/>
    </xf>
    <xf numFmtId="49" fontId="5" fillId="4" borderId="2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vertical="center"/>
    </xf>
    <xf numFmtId="166" fontId="5" fillId="4" borderId="3" xfId="3" applyNumberFormat="1" applyFont="1" applyFill="1" applyBorder="1" applyAlignment="1">
      <alignment vertical="center" wrapText="1"/>
    </xf>
    <xf numFmtId="164" fontId="18" fillId="5" borderId="5" xfId="1" applyNumberFormat="1" applyFont="1" applyFill="1" applyBorder="1" applyAlignment="1">
      <alignment wrapText="1"/>
    </xf>
    <xf numFmtId="164" fontId="5" fillId="2" borderId="3" xfId="1" applyNumberFormat="1" applyFont="1" applyFill="1" applyBorder="1" applyAlignment="1"/>
    <xf numFmtId="8" fontId="0" fillId="0" borderId="0" xfId="0" applyNumberFormat="1"/>
    <xf numFmtId="43" fontId="3" fillId="0" borderId="0" xfId="0" applyNumberFormat="1" applyFont="1"/>
    <xf numFmtId="0" fontId="1" fillId="0" borderId="0" xfId="0" applyFont="1" applyAlignment="1">
      <alignment vertical="center"/>
    </xf>
    <xf numFmtId="167" fontId="0" fillId="0" borderId="0" xfId="0" applyNumberFormat="1"/>
    <xf numFmtId="168" fontId="18" fillId="0" borderId="4" xfId="0" applyNumberFormat="1" applyFont="1" applyBorder="1" applyAlignment="1">
      <alignment horizontal="center"/>
    </xf>
    <xf numFmtId="9" fontId="3" fillId="0" borderId="0" xfId="2" applyFont="1" applyAlignment="1">
      <alignment vertical="center"/>
    </xf>
    <xf numFmtId="0" fontId="5" fillId="4" borderId="1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left" wrapText="1"/>
    </xf>
    <xf numFmtId="49" fontId="21" fillId="0" borderId="2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49" fontId="9" fillId="0" borderId="0" xfId="0" applyNumberFormat="1" applyFont="1" applyAlignment="1">
      <alignment horizontal="center" wrapText="1"/>
    </xf>
    <xf numFmtId="0" fontId="18" fillId="2" borderId="9" xfId="0" applyFont="1" applyFill="1" applyBorder="1" applyAlignment="1">
      <alignment horizontal="left" wrapText="1"/>
    </xf>
    <xf numFmtId="49" fontId="21" fillId="0" borderId="13" xfId="0" applyNumberFormat="1" applyFont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21" fillId="2" borderId="13" xfId="0" applyNumberFormat="1" applyFont="1" applyFill="1" applyBorder="1"/>
    <xf numFmtId="49" fontId="21" fillId="0" borderId="2" xfId="0" applyNumberFormat="1" applyFont="1" applyBorder="1" applyAlignment="1">
      <alignment horizontal="left" vertical="center"/>
    </xf>
    <xf numFmtId="49" fontId="21" fillId="0" borderId="6" xfId="0" applyNumberFormat="1" applyFont="1" applyBorder="1" applyAlignment="1">
      <alignment horizontal="left" vertical="center"/>
    </xf>
    <xf numFmtId="0" fontId="18" fillId="2" borderId="2" xfId="0" applyFont="1" applyFill="1" applyBorder="1" applyAlignment="1">
      <alignment horizontal="left" wrapText="1"/>
    </xf>
    <xf numFmtId="0" fontId="18" fillId="2" borderId="6" xfId="0" applyFont="1" applyFill="1" applyBorder="1" applyAlignment="1">
      <alignment horizontal="left" wrapText="1"/>
    </xf>
    <xf numFmtId="0" fontId="18" fillId="2" borderId="2" xfId="0" applyFont="1" applyFill="1" applyBorder="1" applyAlignment="1">
      <alignment horizontal="left"/>
    </xf>
    <xf numFmtId="0" fontId="18" fillId="2" borderId="6" xfId="0" applyFont="1" applyFill="1" applyBorder="1" applyAlignment="1">
      <alignment horizontal="left"/>
    </xf>
    <xf numFmtId="49" fontId="16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7" fillId="3" borderId="1" xfId="0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8" fillId="3" borderId="2" xfId="0" applyNumberFormat="1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G17" sqref="G16:G17"/>
    </sheetView>
  </sheetViews>
  <sheetFormatPr defaultColWidth="8.68359375" defaultRowHeight="14.4" x14ac:dyDescent="0.55000000000000004"/>
  <cols>
    <col min="1" max="1" width="3.15625" style="1" customWidth="1"/>
    <col min="2" max="2" width="0.68359375" style="1" customWidth="1"/>
    <col min="3" max="3" width="26.3125" customWidth="1"/>
    <col min="4" max="4" width="22.3125" customWidth="1"/>
  </cols>
  <sheetData>
    <row r="1" spans="1:4" s="17" customFormat="1" ht="15.6" x14ac:dyDescent="0.6">
      <c r="A1" s="113" t="s">
        <v>0</v>
      </c>
      <c r="B1" s="113"/>
      <c r="C1" s="113"/>
      <c r="D1" s="113"/>
    </row>
    <row r="2" spans="1:4" s="17" customFormat="1" ht="15.6" x14ac:dyDescent="0.6">
      <c r="A2" s="114" t="s">
        <v>1</v>
      </c>
      <c r="B2" s="114"/>
      <c r="C2" s="114"/>
      <c r="D2" s="114"/>
    </row>
    <row r="3" spans="1:4" s="17" customFormat="1" ht="15.6" x14ac:dyDescent="0.6">
      <c r="A3" s="114" t="s">
        <v>2</v>
      </c>
      <c r="B3" s="114"/>
      <c r="C3" s="114"/>
      <c r="D3" s="114"/>
    </row>
    <row r="4" spans="1:4" s="17" customFormat="1" ht="15.6" x14ac:dyDescent="0.6">
      <c r="A4" s="114" t="s">
        <v>3</v>
      </c>
      <c r="B4" s="114"/>
      <c r="C4" s="114"/>
      <c r="D4" s="114"/>
    </row>
    <row r="5" spans="1:4" ht="3.75" customHeight="1" x14ac:dyDescent="0.55000000000000004"/>
    <row r="6" spans="1:4" s="17" customFormat="1" ht="15" customHeight="1" x14ac:dyDescent="0.6">
      <c r="A6" s="111" t="s">
        <v>4</v>
      </c>
      <c r="B6" s="111"/>
      <c r="C6" s="111"/>
      <c r="D6" s="111" t="s">
        <v>5</v>
      </c>
    </row>
    <row r="7" spans="1:4" s="17" customFormat="1" ht="15.6" x14ac:dyDescent="0.6">
      <c r="A7" s="111"/>
      <c r="B7" s="111"/>
      <c r="C7" s="111"/>
      <c r="D7" s="112"/>
    </row>
    <row r="8" spans="1:4" s="3" customFormat="1" x14ac:dyDescent="0.55000000000000004">
      <c r="A8" s="5" t="s">
        <v>6</v>
      </c>
      <c r="B8" s="9"/>
      <c r="C8" s="2" t="s">
        <v>7</v>
      </c>
      <c r="D8" s="34">
        <f>'2. Detailed Budget'!J14</f>
        <v>38959.956000000006</v>
      </c>
    </row>
    <row r="9" spans="1:4" s="3" customFormat="1" x14ac:dyDescent="0.55000000000000004">
      <c r="A9" s="5" t="s">
        <v>8</v>
      </c>
      <c r="B9" s="10"/>
      <c r="C9" s="6" t="s">
        <v>9</v>
      </c>
      <c r="D9" s="34">
        <f>'2. Detailed Budget'!J17</f>
        <v>9143.9016732000018</v>
      </c>
    </row>
    <row r="10" spans="1:4" ht="15.75" customHeight="1" x14ac:dyDescent="0.55000000000000004">
      <c r="A10" s="5" t="s">
        <v>10</v>
      </c>
      <c r="B10" s="10"/>
      <c r="C10" s="6" t="s">
        <v>11</v>
      </c>
      <c r="D10" s="34">
        <f>'2. Detailed Budget'!J18</f>
        <v>0</v>
      </c>
    </row>
    <row r="11" spans="1:4" ht="17.25" customHeight="1" x14ac:dyDescent="0.55000000000000004">
      <c r="A11" s="5" t="s">
        <v>12</v>
      </c>
      <c r="B11" s="10"/>
      <c r="C11" s="6" t="s">
        <v>13</v>
      </c>
      <c r="D11" s="34">
        <v>0</v>
      </c>
    </row>
    <row r="12" spans="1:4" x14ac:dyDescent="0.55000000000000004">
      <c r="A12" s="5" t="s">
        <v>14</v>
      </c>
      <c r="B12" s="10"/>
      <c r="C12" s="6" t="s">
        <v>15</v>
      </c>
      <c r="D12" s="34">
        <v>0</v>
      </c>
    </row>
    <row r="13" spans="1:4" x14ac:dyDescent="0.55000000000000004">
      <c r="A13" s="8" t="s">
        <v>16</v>
      </c>
      <c r="B13" s="11"/>
      <c r="C13" s="7" t="s">
        <v>17</v>
      </c>
      <c r="D13" s="34">
        <v>0</v>
      </c>
    </row>
    <row r="14" spans="1:4" ht="16.5" customHeight="1" x14ac:dyDescent="0.55000000000000004">
      <c r="A14" s="4" t="s">
        <v>18</v>
      </c>
      <c r="B14" s="12"/>
      <c r="C14" s="2" t="s">
        <v>19</v>
      </c>
      <c r="D14" s="34">
        <v>0</v>
      </c>
    </row>
    <row r="15" spans="1:4" x14ac:dyDescent="0.55000000000000004">
      <c r="A15" s="4" t="s">
        <v>20</v>
      </c>
      <c r="B15" s="12"/>
      <c r="C15" s="2" t="s">
        <v>21</v>
      </c>
      <c r="D15" s="34">
        <v>0</v>
      </c>
    </row>
    <row r="16" spans="1:4" x14ac:dyDescent="0.55000000000000004">
      <c r="A16" s="4" t="s">
        <v>22</v>
      </c>
      <c r="B16" s="12"/>
      <c r="C16" s="18" t="s">
        <v>23</v>
      </c>
      <c r="D16" s="34">
        <v>0</v>
      </c>
    </row>
    <row r="17" spans="1:4" x14ac:dyDescent="0.55000000000000004">
      <c r="A17" s="8" t="s">
        <v>24</v>
      </c>
      <c r="B17" s="11"/>
      <c r="C17" s="7" t="s">
        <v>25</v>
      </c>
      <c r="D17" s="34">
        <f>'2. Detailed Budget'!J34</f>
        <v>17636</v>
      </c>
    </row>
    <row r="18" spans="1:4" s="17" customFormat="1" ht="15.6" x14ac:dyDescent="0.6">
      <c r="A18" s="14" t="s">
        <v>26</v>
      </c>
      <c r="B18" s="15"/>
      <c r="C18" s="13" t="s">
        <v>27</v>
      </c>
      <c r="D18" s="20">
        <f>'2. Detailed Budget'!J35</f>
        <v>79999.857673200007</v>
      </c>
    </row>
    <row r="19" spans="1:4" s="17" customFormat="1" ht="15.6" x14ac:dyDescent="0.6">
      <c r="A19" s="14" t="s">
        <v>28</v>
      </c>
      <c r="B19" s="15"/>
      <c r="C19" s="13" t="s">
        <v>29</v>
      </c>
      <c r="D19" s="16"/>
    </row>
    <row r="20" spans="1:4" ht="12" customHeight="1" x14ac:dyDescent="0.55000000000000004"/>
    <row r="21" spans="1:4" ht="15.6" x14ac:dyDescent="0.6">
      <c r="A21" s="19" t="s">
        <v>30</v>
      </c>
    </row>
  </sheetData>
  <mergeCells count="6">
    <mergeCell ref="A6:C7"/>
    <mergeCell ref="D6:D7"/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3502-6F25-4DA0-B47D-EB18F0E15673}">
  <dimension ref="A1:M64"/>
  <sheetViews>
    <sheetView tabSelected="1" zoomScale="55" zoomScaleNormal="55" workbookViewId="0">
      <selection activeCell="B38" sqref="B38"/>
    </sheetView>
  </sheetViews>
  <sheetFormatPr defaultColWidth="8.68359375" defaultRowHeight="15.6" x14ac:dyDescent="0.6"/>
  <cols>
    <col min="1" max="2" width="12.5234375" style="29" customWidth="1"/>
    <col min="3" max="3" width="4.47265625" style="29" customWidth="1"/>
    <col min="4" max="4" width="1.47265625" style="29" customWidth="1"/>
    <col min="5" max="5" width="32.15625" style="21" customWidth="1"/>
    <col min="6" max="6" width="13.47265625" style="21" customWidth="1"/>
    <col min="7" max="7" width="9.68359375" style="21" customWidth="1"/>
    <col min="8" max="8" width="16.3125" style="21" customWidth="1"/>
    <col min="9" max="9" width="11.68359375" style="21" customWidth="1"/>
    <col min="10" max="10" width="14.68359375" style="31" customWidth="1"/>
    <col min="11" max="11" width="6.68359375" style="21" customWidth="1"/>
    <col min="12" max="12" width="10.68359375" style="21" bestFit="1" customWidth="1"/>
    <col min="13" max="16384" width="8.68359375" style="21"/>
  </cols>
  <sheetData>
    <row r="1" spans="1:13" x14ac:dyDescent="0.6">
      <c r="A1" s="21"/>
      <c r="B1" s="21"/>
      <c r="C1" s="113" t="s">
        <v>31</v>
      </c>
      <c r="D1" s="113"/>
      <c r="E1" s="113"/>
      <c r="F1" s="113"/>
      <c r="G1" s="113"/>
      <c r="H1" s="113"/>
      <c r="I1" s="113"/>
      <c r="J1" s="113"/>
      <c r="K1" s="36"/>
    </row>
    <row r="2" spans="1:13" x14ac:dyDescent="0.6">
      <c r="A2" s="21"/>
      <c r="B2" s="21"/>
      <c r="C2" s="114"/>
      <c r="D2" s="114"/>
      <c r="E2" s="114"/>
      <c r="F2" s="114"/>
      <c r="G2" s="114"/>
      <c r="H2" s="114"/>
      <c r="I2" s="114"/>
      <c r="J2" s="114"/>
      <c r="K2" s="36"/>
    </row>
    <row r="3" spans="1:13" x14ac:dyDescent="0.6">
      <c r="A3" s="21"/>
      <c r="B3" s="21"/>
      <c r="C3" s="132" t="s">
        <v>1</v>
      </c>
      <c r="D3" s="114"/>
      <c r="E3" s="114"/>
      <c r="F3" s="114"/>
      <c r="G3" s="114"/>
      <c r="H3" s="114" t="s">
        <v>32</v>
      </c>
      <c r="I3" s="114"/>
      <c r="J3" s="114"/>
      <c r="K3" s="36"/>
    </row>
    <row r="4" spans="1:13" ht="35.049999999999997" customHeight="1" x14ac:dyDescent="0.6">
      <c r="A4" t="s">
        <v>90</v>
      </c>
      <c r="B4" s="137">
        <v>40100</v>
      </c>
      <c r="C4" s="41"/>
      <c r="D4" s="33"/>
      <c r="E4" s="121" t="s">
        <v>82</v>
      </c>
      <c r="F4" s="121"/>
      <c r="G4" s="121"/>
      <c r="H4" s="121"/>
      <c r="I4" s="121"/>
      <c r="J4" s="121"/>
      <c r="K4" s="36"/>
    </row>
    <row r="5" spans="1:13" x14ac:dyDescent="0.6">
      <c r="A5" s="138" t="s">
        <v>91</v>
      </c>
      <c r="B5" s="138" t="s">
        <v>92</v>
      </c>
      <c r="C5" s="133" t="s">
        <v>33</v>
      </c>
      <c r="D5" s="133"/>
      <c r="E5" s="133"/>
      <c r="F5" s="133"/>
      <c r="G5" s="133"/>
      <c r="H5" s="133" t="s">
        <v>34</v>
      </c>
      <c r="I5" s="133"/>
      <c r="J5" s="133"/>
      <c r="K5" s="36"/>
    </row>
    <row r="6" spans="1:13" ht="15" customHeight="1" x14ac:dyDescent="0.6">
      <c r="A6" s="33"/>
      <c r="B6" s="33"/>
      <c r="C6" s="33"/>
      <c r="D6" s="33"/>
      <c r="E6" s="33"/>
      <c r="F6" s="33"/>
      <c r="G6" s="33"/>
      <c r="H6" s="33"/>
      <c r="I6" s="33"/>
      <c r="J6" s="33"/>
      <c r="K6" s="36"/>
    </row>
    <row r="7" spans="1:13" ht="14.8" customHeight="1" x14ac:dyDescent="0.6">
      <c r="A7" s="111"/>
      <c r="B7" s="111"/>
      <c r="C7" s="111" t="s">
        <v>4</v>
      </c>
      <c r="D7" s="111"/>
      <c r="E7" s="111"/>
      <c r="F7" s="134" t="s">
        <v>35</v>
      </c>
      <c r="G7" s="134"/>
      <c r="H7" s="134"/>
      <c r="I7" s="134"/>
      <c r="J7" s="135" t="s">
        <v>36</v>
      </c>
      <c r="K7" s="36"/>
    </row>
    <row r="8" spans="1:13" x14ac:dyDescent="0.6">
      <c r="A8" s="111"/>
      <c r="B8" s="111"/>
      <c r="C8" s="111"/>
      <c r="D8" s="111"/>
      <c r="E8" s="111"/>
      <c r="F8" s="22" t="s">
        <v>37</v>
      </c>
      <c r="G8" s="22" t="s">
        <v>38</v>
      </c>
      <c r="H8" s="22" t="s">
        <v>39</v>
      </c>
      <c r="I8" s="22" t="s">
        <v>40</v>
      </c>
      <c r="J8" s="136"/>
      <c r="K8" s="36"/>
    </row>
    <row r="9" spans="1:13" s="26" customFormat="1" ht="34" customHeight="1" x14ac:dyDescent="0.55000000000000004">
      <c r="A9" s="139" t="s">
        <v>93</v>
      </c>
      <c r="B9" s="139" t="s">
        <v>94</v>
      </c>
      <c r="C9" s="81" t="s">
        <v>6</v>
      </c>
      <c r="D9" s="82"/>
      <c r="E9" s="23" t="s">
        <v>7</v>
      </c>
      <c r="F9" s="24" t="s">
        <v>41</v>
      </c>
      <c r="G9" s="24"/>
      <c r="H9" s="32" t="s">
        <v>42</v>
      </c>
      <c r="I9" s="32" t="s">
        <v>43</v>
      </c>
      <c r="J9" s="25"/>
      <c r="K9" s="37"/>
    </row>
    <row r="10" spans="1:13" s="26" customFormat="1" ht="19" customHeight="1" x14ac:dyDescent="0.55000000000000004">
      <c r="A10" s="125"/>
      <c r="B10" s="125"/>
      <c r="C10" s="125" t="s">
        <v>57</v>
      </c>
      <c r="D10" s="125"/>
      <c r="E10" s="65" t="s">
        <v>58</v>
      </c>
      <c r="F10" s="65"/>
      <c r="G10" s="65"/>
      <c r="H10" s="65"/>
      <c r="I10" s="65"/>
      <c r="J10" s="66"/>
      <c r="K10" s="37"/>
    </row>
    <row r="11" spans="1:13" s="26" customFormat="1" ht="17.05" customHeight="1" x14ac:dyDescent="0.55000000000000004">
      <c r="A11" s="140" t="s">
        <v>95</v>
      </c>
      <c r="B11" s="140" t="s">
        <v>96</v>
      </c>
      <c r="C11" s="123" t="s">
        <v>55</v>
      </c>
      <c r="D11" s="124"/>
      <c r="E11" s="58" t="s">
        <v>52</v>
      </c>
      <c r="F11" s="59" t="s">
        <v>53</v>
      </c>
      <c r="G11" s="59">
        <v>24</v>
      </c>
      <c r="H11" s="75">
        <v>5005.3500000000004</v>
      </c>
      <c r="I11" s="60">
        <v>0.15</v>
      </c>
      <c r="J11" s="61">
        <f>G11*H11*I11</f>
        <v>18019.260000000002</v>
      </c>
      <c r="K11" s="37"/>
    </row>
    <row r="12" spans="1:13" s="26" customFormat="1" ht="20.05" customHeight="1" x14ac:dyDescent="0.55000000000000004">
      <c r="A12" s="140" t="s">
        <v>95</v>
      </c>
      <c r="B12" s="140" t="s">
        <v>96</v>
      </c>
      <c r="C12" s="116" t="s">
        <v>56</v>
      </c>
      <c r="D12" s="117"/>
      <c r="E12" s="62" t="s">
        <v>54</v>
      </c>
      <c r="F12" s="59" t="s">
        <v>53</v>
      </c>
      <c r="G12" s="59">
        <v>24</v>
      </c>
      <c r="H12" s="75">
        <v>3802.49</v>
      </c>
      <c r="I12" s="60">
        <v>0.1</v>
      </c>
      <c r="J12" s="61">
        <f>G12*H12*I12</f>
        <v>9125.9760000000006</v>
      </c>
      <c r="K12" s="37"/>
    </row>
    <row r="13" spans="1:13" s="26" customFormat="1" ht="16" customHeight="1" x14ac:dyDescent="0.55000000000000004">
      <c r="A13" s="140" t="s">
        <v>95</v>
      </c>
      <c r="B13" s="140" t="s">
        <v>96</v>
      </c>
      <c r="C13" s="116" t="s">
        <v>63</v>
      </c>
      <c r="D13" s="117"/>
      <c r="E13" s="62" t="s">
        <v>64</v>
      </c>
      <c r="F13" s="59" t="s">
        <v>53</v>
      </c>
      <c r="G13" s="59">
        <v>24</v>
      </c>
      <c r="H13" s="75">
        <v>4922.8</v>
      </c>
      <c r="I13" s="60">
        <v>0.1</v>
      </c>
      <c r="J13" s="61">
        <f t="shared" ref="J13" si="0">G13*H13*I13</f>
        <v>11814.720000000001</v>
      </c>
      <c r="K13" s="37"/>
    </row>
    <row r="14" spans="1:13" s="26" customFormat="1" ht="15" customHeight="1" x14ac:dyDescent="0.55000000000000004">
      <c r="A14" s="122"/>
      <c r="B14" s="115"/>
      <c r="C14" s="122" t="s">
        <v>62</v>
      </c>
      <c r="D14" s="115"/>
      <c r="E14" s="115"/>
      <c r="F14" s="115"/>
      <c r="G14" s="115"/>
      <c r="H14" s="115"/>
      <c r="I14" s="63"/>
      <c r="J14" s="64">
        <f>SUM(J11:J13)</f>
        <v>38959.956000000006</v>
      </c>
      <c r="K14" s="37"/>
    </row>
    <row r="15" spans="1:13" s="26" customFormat="1" ht="19" customHeight="1" x14ac:dyDescent="0.55000000000000004">
      <c r="A15" s="81"/>
      <c r="B15" s="82"/>
      <c r="C15" s="81" t="s">
        <v>8</v>
      </c>
      <c r="D15" s="82"/>
      <c r="E15" s="23" t="s">
        <v>44</v>
      </c>
      <c r="F15" s="24"/>
      <c r="G15" s="24"/>
      <c r="H15" s="24"/>
      <c r="I15" s="24"/>
      <c r="J15" s="25"/>
      <c r="K15" s="37"/>
      <c r="L15" s="105"/>
      <c r="M15" s="107"/>
    </row>
    <row r="16" spans="1:13" s="26" customFormat="1" ht="19" customHeight="1" x14ac:dyDescent="0.5">
      <c r="A16" s="141" t="s">
        <v>97</v>
      </c>
      <c r="B16" s="140">
        <v>50900</v>
      </c>
      <c r="C16" s="126" t="s">
        <v>59</v>
      </c>
      <c r="D16" s="127"/>
      <c r="E16" s="62" t="s">
        <v>60</v>
      </c>
      <c r="F16" s="59"/>
      <c r="G16" s="59"/>
      <c r="H16" s="67"/>
      <c r="I16" s="68">
        <v>0.23469999999999999</v>
      </c>
      <c r="J16" s="69">
        <f>J14*I16</f>
        <v>9143.9016732000018</v>
      </c>
      <c r="K16" s="37"/>
    </row>
    <row r="17" spans="1:12" s="26" customFormat="1" ht="17.05" customHeight="1" x14ac:dyDescent="0.55000000000000004">
      <c r="A17" s="122"/>
      <c r="B17" s="115"/>
      <c r="C17" s="122" t="s">
        <v>61</v>
      </c>
      <c r="D17" s="115"/>
      <c r="E17" s="115"/>
      <c r="F17" s="70"/>
      <c r="G17" s="71"/>
      <c r="H17" s="72"/>
      <c r="I17" s="70"/>
      <c r="J17" s="64">
        <f>J16</f>
        <v>9143.9016732000018</v>
      </c>
      <c r="K17" s="37"/>
    </row>
    <row r="18" spans="1:12" x14ac:dyDescent="0.6">
      <c r="A18" s="81"/>
      <c r="B18" s="83"/>
      <c r="C18" s="81" t="s">
        <v>10</v>
      </c>
      <c r="D18" s="83"/>
      <c r="E18" s="23" t="s">
        <v>11</v>
      </c>
      <c r="F18" s="24" t="s">
        <v>78</v>
      </c>
      <c r="G18" s="24" t="s">
        <v>79</v>
      </c>
      <c r="H18" s="27" t="s">
        <v>80</v>
      </c>
      <c r="I18" s="24"/>
      <c r="J18" s="25"/>
      <c r="K18" s="36"/>
    </row>
    <row r="19" spans="1:12" x14ac:dyDescent="0.6">
      <c r="A19" s="84"/>
      <c r="B19" s="85"/>
      <c r="C19" s="84" t="s">
        <v>65</v>
      </c>
      <c r="D19" s="85"/>
      <c r="E19" s="73" t="s">
        <v>81</v>
      </c>
      <c r="F19" s="45"/>
      <c r="G19" s="46"/>
      <c r="H19" s="47"/>
      <c r="I19" s="45"/>
      <c r="J19" s="74"/>
      <c r="K19" s="36"/>
    </row>
    <row r="20" spans="1:12" x14ac:dyDescent="0.6">
      <c r="A20" s="140" t="s">
        <v>99</v>
      </c>
      <c r="B20" s="143">
        <v>86040</v>
      </c>
      <c r="C20" s="86" t="s">
        <v>66</v>
      </c>
      <c r="D20" s="87"/>
      <c r="E20" s="62" t="s">
        <v>67</v>
      </c>
      <c r="F20" s="59" t="s">
        <v>68</v>
      </c>
      <c r="G20" s="59">
        <v>2</v>
      </c>
      <c r="H20" s="75">
        <v>800</v>
      </c>
      <c r="I20" s="48"/>
      <c r="J20" s="61">
        <f>G20*H20</f>
        <v>1600</v>
      </c>
      <c r="K20" s="36"/>
      <c r="L20" s="106"/>
    </row>
    <row r="21" spans="1:12" x14ac:dyDescent="0.6">
      <c r="A21" s="140" t="s">
        <v>100</v>
      </c>
      <c r="B21" s="143">
        <v>86050</v>
      </c>
      <c r="C21" s="88" t="s">
        <v>69</v>
      </c>
      <c r="D21" s="89"/>
      <c r="E21" s="62" t="s">
        <v>70</v>
      </c>
      <c r="F21" s="59" t="s">
        <v>71</v>
      </c>
      <c r="G21" s="59">
        <f>G20*5</f>
        <v>10</v>
      </c>
      <c r="H21" s="75">
        <v>156</v>
      </c>
      <c r="I21" s="48"/>
      <c r="J21" s="61">
        <f>G21*H21</f>
        <v>1560</v>
      </c>
      <c r="K21" s="36"/>
    </row>
    <row r="22" spans="1:12" x14ac:dyDescent="0.6">
      <c r="A22" s="140" t="s">
        <v>101</v>
      </c>
      <c r="B22" s="143" t="s">
        <v>102</v>
      </c>
      <c r="C22" s="90" t="s">
        <v>72</v>
      </c>
      <c r="D22" s="91"/>
      <c r="E22" s="62" t="s">
        <v>73</v>
      </c>
      <c r="F22" s="59" t="s">
        <v>74</v>
      </c>
      <c r="G22" s="59">
        <f>G20*4</f>
        <v>8</v>
      </c>
      <c r="H22" s="75">
        <v>200</v>
      </c>
      <c r="I22" s="48"/>
      <c r="J22" s="61">
        <f>G22*H22</f>
        <v>1600</v>
      </c>
      <c r="K22" s="36"/>
    </row>
    <row r="23" spans="1:12" x14ac:dyDescent="0.6">
      <c r="A23" s="143" t="s">
        <v>103</v>
      </c>
      <c r="B23" s="143" t="s">
        <v>104</v>
      </c>
      <c r="C23" s="92" t="s">
        <v>75</v>
      </c>
      <c r="D23" s="93"/>
      <c r="E23" s="62" t="s">
        <v>76</v>
      </c>
      <c r="F23" s="59" t="s">
        <v>71</v>
      </c>
      <c r="G23" s="59">
        <f>G21</f>
        <v>10</v>
      </c>
      <c r="H23" s="75">
        <v>50</v>
      </c>
      <c r="I23" s="48"/>
      <c r="J23" s="61">
        <f>G23*H23</f>
        <v>500</v>
      </c>
      <c r="K23" s="36"/>
    </row>
    <row r="24" spans="1:12" x14ac:dyDescent="0.6">
      <c r="A24" s="128"/>
      <c r="B24" s="129"/>
      <c r="C24" s="128" t="s">
        <v>77</v>
      </c>
      <c r="D24" s="129"/>
      <c r="E24" s="129"/>
      <c r="F24" s="49"/>
      <c r="G24" s="49"/>
      <c r="H24" s="50"/>
      <c r="I24" s="49"/>
      <c r="J24" s="64">
        <f>SUM(J20:J23)</f>
        <v>5260</v>
      </c>
      <c r="K24" s="36"/>
    </row>
    <row r="25" spans="1:12" x14ac:dyDescent="0.6">
      <c r="A25" s="94"/>
      <c r="B25" s="95"/>
      <c r="C25" s="94" t="s">
        <v>12</v>
      </c>
      <c r="D25" s="95"/>
      <c r="E25" s="43" t="s">
        <v>46</v>
      </c>
      <c r="F25" s="42"/>
      <c r="G25" s="42" t="s">
        <v>45</v>
      </c>
      <c r="H25" s="44" t="s">
        <v>47</v>
      </c>
      <c r="I25" s="42"/>
      <c r="J25" s="25"/>
      <c r="K25" s="38"/>
    </row>
    <row r="26" spans="1:12" x14ac:dyDescent="0.6">
      <c r="A26" s="81"/>
      <c r="B26" s="83"/>
      <c r="C26" s="81" t="s">
        <v>14</v>
      </c>
      <c r="D26" s="83"/>
      <c r="E26" s="23" t="s">
        <v>48</v>
      </c>
      <c r="F26" s="24"/>
      <c r="G26" s="24" t="s">
        <v>45</v>
      </c>
      <c r="H26" s="27" t="s">
        <v>47</v>
      </c>
      <c r="I26" s="24"/>
      <c r="J26" s="25"/>
      <c r="K26" s="38"/>
    </row>
    <row r="27" spans="1:12" x14ac:dyDescent="0.6">
      <c r="A27" s="81"/>
      <c r="B27" s="83"/>
      <c r="C27" s="81" t="s">
        <v>16</v>
      </c>
      <c r="D27" s="83"/>
      <c r="E27" s="120" t="s">
        <v>49</v>
      </c>
      <c r="F27" s="120"/>
      <c r="G27" s="120"/>
      <c r="H27" s="120"/>
      <c r="I27" s="24"/>
      <c r="J27" s="28"/>
      <c r="K27" s="38"/>
    </row>
    <row r="28" spans="1:12" x14ac:dyDescent="0.6">
      <c r="A28" s="96"/>
      <c r="B28" s="97"/>
      <c r="C28" s="96" t="s">
        <v>83</v>
      </c>
      <c r="D28" s="97"/>
      <c r="E28" s="51" t="s">
        <v>84</v>
      </c>
      <c r="F28" s="52"/>
      <c r="G28" s="52"/>
      <c r="H28" s="53" t="s">
        <v>85</v>
      </c>
      <c r="I28" s="52"/>
      <c r="J28" s="54"/>
      <c r="K28" s="38"/>
    </row>
    <row r="29" spans="1:12" x14ac:dyDescent="0.6">
      <c r="A29" s="143" t="s">
        <v>106</v>
      </c>
      <c r="B29" s="143" t="s">
        <v>105</v>
      </c>
      <c r="C29" s="98" t="s">
        <v>86</v>
      </c>
      <c r="D29" s="99"/>
      <c r="E29" s="55" t="s">
        <v>87</v>
      </c>
      <c r="F29" s="56" t="s">
        <v>88</v>
      </c>
      <c r="G29" s="56">
        <v>1</v>
      </c>
      <c r="H29" s="57">
        <v>9000</v>
      </c>
      <c r="I29" s="56"/>
      <c r="J29" s="103">
        <f>G29*H29</f>
        <v>9000</v>
      </c>
      <c r="K29" s="38"/>
    </row>
    <row r="30" spans="1:12" x14ac:dyDescent="0.6">
      <c r="A30" s="130"/>
      <c r="B30" s="131"/>
      <c r="C30" s="130" t="s">
        <v>89</v>
      </c>
      <c r="D30" s="131"/>
      <c r="E30" s="131"/>
      <c r="F30" s="49"/>
      <c r="G30" s="49"/>
      <c r="H30" s="50"/>
      <c r="I30" s="49"/>
      <c r="J30" s="104">
        <f>SUM(J29)</f>
        <v>9000</v>
      </c>
      <c r="K30" s="38"/>
    </row>
    <row r="31" spans="1:12" x14ac:dyDescent="0.6">
      <c r="A31" s="94"/>
      <c r="B31" s="95"/>
      <c r="C31" s="94" t="s">
        <v>18</v>
      </c>
      <c r="D31" s="95"/>
      <c r="E31" s="43" t="s">
        <v>19</v>
      </c>
      <c r="F31" s="42"/>
      <c r="G31" s="42"/>
      <c r="H31" s="44"/>
      <c r="I31" s="42"/>
      <c r="J31" s="76"/>
      <c r="K31" s="38"/>
    </row>
    <row r="32" spans="1:12" x14ac:dyDescent="0.6">
      <c r="A32" s="81"/>
      <c r="B32" s="83"/>
      <c r="C32" s="81" t="s">
        <v>20</v>
      </c>
      <c r="D32" s="83"/>
      <c r="E32" s="23" t="s">
        <v>21</v>
      </c>
      <c r="F32" s="24"/>
      <c r="G32" s="24"/>
      <c r="H32" s="27"/>
      <c r="I32" s="24"/>
      <c r="J32" s="25"/>
      <c r="K32" s="38"/>
    </row>
    <row r="33" spans="1:11" x14ac:dyDescent="0.6">
      <c r="A33" s="81"/>
      <c r="B33" s="83"/>
      <c r="C33" s="81" t="s">
        <v>22</v>
      </c>
      <c r="D33" s="83"/>
      <c r="E33" s="23" t="s">
        <v>50</v>
      </c>
      <c r="F33" s="24"/>
      <c r="G33" s="24"/>
      <c r="H33" s="27"/>
      <c r="I33" s="24"/>
      <c r="J33" s="77">
        <f>J14+J16+J24+J30</f>
        <v>62363.857673200007</v>
      </c>
      <c r="K33" s="36"/>
    </row>
    <row r="34" spans="1:11" x14ac:dyDescent="0.6">
      <c r="A34" s="142" t="s">
        <v>98</v>
      </c>
      <c r="B34" s="142">
        <v>94050</v>
      </c>
      <c r="C34" s="81" t="s">
        <v>24</v>
      </c>
      <c r="D34" s="83"/>
      <c r="E34" s="23" t="s">
        <v>51</v>
      </c>
      <c r="F34" s="118">
        <v>0.2828</v>
      </c>
      <c r="G34" s="119"/>
      <c r="H34" s="119"/>
      <c r="I34" s="119"/>
      <c r="J34" s="77">
        <f>ROUND(J33*F34,0)</f>
        <v>17636</v>
      </c>
      <c r="K34" s="38"/>
    </row>
    <row r="35" spans="1:11" x14ac:dyDescent="0.6">
      <c r="A35" s="100"/>
      <c r="B35" s="101"/>
      <c r="C35" s="100" t="s">
        <v>26</v>
      </c>
      <c r="D35" s="101"/>
      <c r="E35" s="13" t="s">
        <v>27</v>
      </c>
      <c r="F35" s="78"/>
      <c r="G35" s="79"/>
      <c r="H35" s="80"/>
      <c r="I35" s="79"/>
      <c r="J35" s="102">
        <f>SUM(J33:J34)</f>
        <v>79999.857673200007</v>
      </c>
      <c r="K35" s="36"/>
    </row>
    <row r="36" spans="1:11" x14ac:dyDescent="0.6">
      <c r="A36" s="39"/>
      <c r="B36" s="39"/>
      <c r="C36" s="39"/>
      <c r="D36" s="39"/>
      <c r="E36" s="36"/>
      <c r="F36" s="36"/>
      <c r="G36" s="36"/>
      <c r="H36" s="36"/>
      <c r="I36" s="36"/>
      <c r="J36" s="36"/>
      <c r="K36" s="36"/>
    </row>
    <row r="37" spans="1:11" x14ac:dyDescent="0.6">
      <c r="A37" s="39"/>
      <c r="B37" s="39"/>
      <c r="C37" s="39"/>
      <c r="D37" s="39"/>
      <c r="E37" s="36"/>
      <c r="F37" s="36"/>
      <c r="G37" s="36"/>
      <c r="H37" s="40"/>
      <c r="I37" s="36"/>
      <c r="J37" s="36"/>
      <c r="K37" s="36"/>
    </row>
    <row r="38" spans="1:11" x14ac:dyDescent="0.6">
      <c r="A38" s="39"/>
      <c r="B38" s="39"/>
      <c r="C38" s="39"/>
      <c r="D38" s="39"/>
      <c r="E38" s="36"/>
      <c r="F38" s="36"/>
      <c r="G38" s="36"/>
      <c r="H38" s="36"/>
      <c r="I38" s="40"/>
      <c r="J38" s="36"/>
      <c r="K38" s="36"/>
    </row>
    <row r="39" spans="1:11" x14ac:dyDescent="0.6">
      <c r="F39" s="36"/>
      <c r="G39" s="36"/>
      <c r="H39" s="36"/>
      <c r="I39" s="36"/>
      <c r="J39" s="36"/>
      <c r="K39" s="36"/>
    </row>
    <row r="40" spans="1:11" x14ac:dyDescent="0.6">
      <c r="F40" s="30"/>
      <c r="G40" s="30"/>
      <c r="H40" s="30"/>
      <c r="I40" s="30"/>
      <c r="J40" s="35"/>
      <c r="K40" s="36"/>
    </row>
    <row r="41" spans="1:11" x14ac:dyDescent="0.6">
      <c r="F41" s="36"/>
      <c r="G41" s="36"/>
      <c r="H41" s="36"/>
      <c r="I41" s="36"/>
      <c r="J41" s="36"/>
      <c r="K41" s="36"/>
    </row>
    <row r="42" spans="1:11" x14ac:dyDescent="0.6">
      <c r="F42" s="36"/>
      <c r="G42" s="36"/>
      <c r="H42" s="36"/>
      <c r="I42" s="36"/>
      <c r="J42" s="36"/>
      <c r="K42" s="36"/>
    </row>
    <row r="43" spans="1:11" x14ac:dyDescent="0.6">
      <c r="F43" s="36"/>
      <c r="G43" s="36"/>
      <c r="H43" s="36"/>
      <c r="I43" s="36"/>
      <c r="J43" s="36"/>
      <c r="K43" s="36"/>
    </row>
    <row r="44" spans="1:11" x14ac:dyDescent="0.6">
      <c r="F44" s="36"/>
      <c r="G44" s="36"/>
      <c r="H44" s="36"/>
      <c r="I44" s="36"/>
      <c r="J44" s="36"/>
      <c r="K44" s="36"/>
    </row>
    <row r="45" spans="1:11" x14ac:dyDescent="0.6">
      <c r="F45" s="36"/>
      <c r="G45" s="36"/>
      <c r="H45" s="36"/>
      <c r="I45" s="36"/>
      <c r="J45" s="36"/>
      <c r="K45" s="36"/>
    </row>
    <row r="46" spans="1:11" x14ac:dyDescent="0.6">
      <c r="F46" s="36"/>
      <c r="G46" s="36"/>
      <c r="H46" s="36"/>
      <c r="I46" s="36"/>
      <c r="J46" s="36"/>
      <c r="K46" s="36"/>
    </row>
    <row r="47" spans="1:11" x14ac:dyDescent="0.6">
      <c r="F47" s="36"/>
      <c r="G47" s="36"/>
      <c r="H47" s="36"/>
      <c r="I47" s="36"/>
      <c r="J47" s="36"/>
      <c r="K47" s="36"/>
    </row>
    <row r="48" spans="1:11" x14ac:dyDescent="0.6">
      <c r="F48" s="36"/>
      <c r="G48" s="36"/>
      <c r="H48" s="36"/>
      <c r="I48" s="36"/>
      <c r="J48" s="36"/>
      <c r="K48" s="36"/>
    </row>
    <row r="49" spans="6:11" x14ac:dyDescent="0.6">
      <c r="F49" s="36"/>
      <c r="G49" s="36"/>
      <c r="H49" s="36"/>
      <c r="I49" s="36"/>
      <c r="J49" s="36"/>
      <c r="K49" s="36"/>
    </row>
    <row r="50" spans="6:11" x14ac:dyDescent="0.6">
      <c r="F50" s="36"/>
      <c r="G50" s="36"/>
      <c r="H50" s="36"/>
      <c r="I50" s="36"/>
      <c r="J50" s="36"/>
      <c r="K50" s="36"/>
    </row>
    <row r="51" spans="6:11" x14ac:dyDescent="0.6">
      <c r="F51" s="36"/>
      <c r="G51" s="36"/>
      <c r="H51" s="36"/>
      <c r="I51" s="36"/>
      <c r="J51" s="36"/>
      <c r="K51" s="36"/>
    </row>
    <row r="52" spans="6:11" x14ac:dyDescent="0.6">
      <c r="F52" s="36"/>
      <c r="G52" s="36"/>
      <c r="H52" s="36"/>
      <c r="I52" s="36"/>
      <c r="J52" s="36"/>
      <c r="K52" s="36"/>
    </row>
    <row r="53" spans="6:11" x14ac:dyDescent="0.6">
      <c r="F53" s="36"/>
      <c r="G53" s="36"/>
      <c r="H53" s="36"/>
      <c r="I53" s="36"/>
      <c r="J53" s="36"/>
      <c r="K53" s="36"/>
    </row>
    <row r="54" spans="6:11" x14ac:dyDescent="0.6">
      <c r="F54" s="36"/>
      <c r="G54" s="36"/>
      <c r="H54" s="36"/>
      <c r="I54" s="36"/>
      <c r="J54" s="36"/>
      <c r="K54" s="36"/>
    </row>
    <row r="55" spans="6:11" x14ac:dyDescent="0.6">
      <c r="I55" s="36"/>
      <c r="J55" s="36"/>
      <c r="K55" s="36"/>
    </row>
    <row r="56" spans="6:11" x14ac:dyDescent="0.6">
      <c r="I56" s="36"/>
      <c r="J56" s="36"/>
      <c r="K56" s="36"/>
    </row>
    <row r="57" spans="6:11" x14ac:dyDescent="0.6">
      <c r="I57" s="36"/>
      <c r="J57" s="36"/>
      <c r="K57" s="36"/>
    </row>
    <row r="58" spans="6:11" x14ac:dyDescent="0.6">
      <c r="I58" s="36"/>
      <c r="J58" s="36"/>
      <c r="K58" s="36"/>
    </row>
    <row r="59" spans="6:11" x14ac:dyDescent="0.6">
      <c r="I59" s="36"/>
      <c r="J59" s="36"/>
      <c r="K59" s="36"/>
    </row>
    <row r="60" spans="6:11" x14ac:dyDescent="0.6">
      <c r="I60" s="36"/>
      <c r="J60" s="36"/>
      <c r="K60" s="36"/>
    </row>
    <row r="61" spans="6:11" x14ac:dyDescent="0.6">
      <c r="I61" s="36"/>
      <c r="J61" s="36"/>
      <c r="K61" s="36"/>
    </row>
    <row r="62" spans="6:11" x14ac:dyDescent="0.6">
      <c r="I62" s="36"/>
      <c r="J62" s="36"/>
      <c r="K62" s="36"/>
    </row>
    <row r="63" spans="6:11" x14ac:dyDescent="0.6">
      <c r="I63" s="36"/>
      <c r="J63" s="36"/>
      <c r="K63" s="36"/>
    </row>
    <row r="64" spans="6:11" x14ac:dyDescent="0.6">
      <c r="I64" s="36"/>
      <c r="J64" s="36"/>
      <c r="K64" s="36"/>
    </row>
  </sheetData>
  <mergeCells count="26">
    <mergeCell ref="A7:B8"/>
    <mergeCell ref="A14:B14"/>
    <mergeCell ref="A17:B17"/>
    <mergeCell ref="A24:B24"/>
    <mergeCell ref="A30:B30"/>
    <mergeCell ref="A10:B10"/>
    <mergeCell ref="C1:J1"/>
    <mergeCell ref="C2:J2"/>
    <mergeCell ref="C3:J3"/>
    <mergeCell ref="C5:J5"/>
    <mergeCell ref="C7:E8"/>
    <mergeCell ref="F7:I7"/>
    <mergeCell ref="J7:J8"/>
    <mergeCell ref="F14:H14"/>
    <mergeCell ref="C13:D13"/>
    <mergeCell ref="F34:I34"/>
    <mergeCell ref="E27:H27"/>
    <mergeCell ref="E4:J4"/>
    <mergeCell ref="C17:E17"/>
    <mergeCell ref="C11:D11"/>
    <mergeCell ref="C12:D12"/>
    <mergeCell ref="C10:D10"/>
    <mergeCell ref="C16:D16"/>
    <mergeCell ref="C14:E14"/>
    <mergeCell ref="C24:E24"/>
    <mergeCell ref="C30:E30"/>
  </mergeCells>
  <phoneticPr fontId="14" type="noConversion"/>
  <pageMargins left="0.25" right="0.25" top="0.25" bottom="0.25" header="0.05" footer="0.0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295D-FD14-194C-B4E0-96B242D3BBD6}">
  <dimension ref="A1:M64"/>
  <sheetViews>
    <sheetView zoomScale="70" zoomScaleNormal="70" workbookViewId="0">
      <selection activeCell="A4" sqref="A4:B34"/>
    </sheetView>
  </sheetViews>
  <sheetFormatPr defaultColWidth="8.68359375" defaultRowHeight="15.6" x14ac:dyDescent="0.6"/>
  <cols>
    <col min="1" max="1" width="13.05078125" style="29" bestFit="1" customWidth="1"/>
    <col min="2" max="2" width="20.68359375" style="29" customWidth="1"/>
    <col min="3" max="3" width="4.47265625" style="29" customWidth="1"/>
    <col min="4" max="4" width="1.47265625" style="29" customWidth="1"/>
    <col min="5" max="5" width="32.15625" style="21" customWidth="1"/>
    <col min="6" max="6" width="13.47265625" style="21" customWidth="1"/>
    <col min="7" max="7" width="9.68359375" style="21" customWidth="1"/>
    <col min="8" max="8" width="16.3125" style="21" customWidth="1"/>
    <col min="9" max="9" width="11.68359375" style="21" customWidth="1"/>
    <col min="10" max="10" width="14.68359375" style="31" customWidth="1"/>
    <col min="11" max="11" width="6.68359375" style="21" customWidth="1"/>
    <col min="12" max="12" width="10.68359375" style="21" bestFit="1" customWidth="1"/>
    <col min="13" max="16384" width="8.68359375" style="21"/>
  </cols>
  <sheetData>
    <row r="1" spans="1:13" x14ac:dyDescent="0.6">
      <c r="A1" s="21"/>
      <c r="B1" s="21"/>
      <c r="C1" s="113" t="s">
        <v>31</v>
      </c>
      <c r="D1" s="113"/>
      <c r="E1" s="113"/>
      <c r="F1" s="113"/>
      <c r="G1" s="113"/>
      <c r="H1" s="113"/>
      <c r="I1" s="113"/>
      <c r="J1" s="113"/>
      <c r="K1" s="36"/>
    </row>
    <row r="2" spans="1:13" x14ac:dyDescent="0.6">
      <c r="A2" s="21"/>
      <c r="B2" s="21"/>
      <c r="C2" s="114"/>
      <c r="D2" s="114"/>
      <c r="E2" s="114"/>
      <c r="F2" s="114"/>
      <c r="G2" s="114"/>
      <c r="H2" s="114"/>
      <c r="I2" s="114"/>
      <c r="J2" s="114"/>
      <c r="K2" s="36"/>
    </row>
    <row r="3" spans="1:13" x14ac:dyDescent="0.6">
      <c r="A3" s="21"/>
      <c r="B3" s="21"/>
      <c r="C3" s="132" t="s">
        <v>1</v>
      </c>
      <c r="D3" s="114"/>
      <c r="E3" s="114"/>
      <c r="F3" s="114"/>
      <c r="G3" s="114"/>
      <c r="H3" s="114" t="s">
        <v>32</v>
      </c>
      <c r="I3" s="114"/>
      <c r="J3" s="114"/>
      <c r="K3" s="36"/>
    </row>
    <row r="4" spans="1:13" ht="35.049999999999997" customHeight="1" x14ac:dyDescent="0.6">
      <c r="A4" t="s">
        <v>90</v>
      </c>
      <c r="B4" s="137">
        <v>40100</v>
      </c>
      <c r="C4" s="41"/>
      <c r="D4" s="33"/>
      <c r="E4" s="121" t="s">
        <v>82</v>
      </c>
      <c r="F4" s="121"/>
      <c r="G4" s="121"/>
      <c r="H4" s="121"/>
      <c r="I4" s="121"/>
      <c r="J4" s="121"/>
      <c r="K4" s="36"/>
    </row>
    <row r="5" spans="1:13" x14ac:dyDescent="0.6">
      <c r="A5" s="138" t="s">
        <v>91</v>
      </c>
      <c r="B5" s="138" t="s">
        <v>92</v>
      </c>
      <c r="C5" s="133" t="s">
        <v>33</v>
      </c>
      <c r="D5" s="133"/>
      <c r="E5" s="133"/>
      <c r="F5" s="133"/>
      <c r="G5" s="133"/>
      <c r="H5" s="133" t="s">
        <v>34</v>
      </c>
      <c r="I5" s="133"/>
      <c r="J5" s="133"/>
      <c r="K5" s="36"/>
    </row>
    <row r="6" spans="1:13" ht="15" customHeight="1" x14ac:dyDescent="0.6">
      <c r="A6" s="33"/>
      <c r="B6" s="33"/>
      <c r="C6" s="33"/>
      <c r="D6" s="33"/>
      <c r="E6" s="33"/>
      <c r="F6" s="33"/>
      <c r="G6" s="33"/>
      <c r="H6" s="33"/>
      <c r="I6" s="33"/>
      <c r="J6" s="33"/>
      <c r="K6" s="36"/>
    </row>
    <row r="7" spans="1:13" ht="14.8" customHeight="1" x14ac:dyDescent="0.6">
      <c r="A7" s="111"/>
      <c r="B7" s="111"/>
      <c r="C7" s="111" t="s">
        <v>4</v>
      </c>
      <c r="D7" s="111"/>
      <c r="E7" s="111"/>
      <c r="F7" s="134" t="s">
        <v>35</v>
      </c>
      <c r="G7" s="134"/>
      <c r="H7" s="134"/>
      <c r="I7" s="134"/>
      <c r="J7" s="135" t="s">
        <v>36</v>
      </c>
      <c r="K7" s="36"/>
    </row>
    <row r="8" spans="1:13" x14ac:dyDescent="0.6">
      <c r="A8" s="111"/>
      <c r="B8" s="111"/>
      <c r="C8" s="111"/>
      <c r="D8" s="111"/>
      <c r="E8" s="111"/>
      <c r="F8" s="22" t="s">
        <v>37</v>
      </c>
      <c r="G8" s="22" t="s">
        <v>38</v>
      </c>
      <c r="H8" s="22" t="s">
        <v>39</v>
      </c>
      <c r="I8" s="22" t="s">
        <v>40</v>
      </c>
      <c r="J8" s="136"/>
      <c r="K8" s="36"/>
    </row>
    <row r="9" spans="1:13" s="26" customFormat="1" ht="34" customHeight="1" x14ac:dyDescent="0.55000000000000004">
      <c r="A9" s="139" t="s">
        <v>93</v>
      </c>
      <c r="B9" s="139" t="s">
        <v>94</v>
      </c>
      <c r="C9" s="81" t="s">
        <v>6</v>
      </c>
      <c r="D9" s="82"/>
      <c r="E9" s="23" t="s">
        <v>7</v>
      </c>
      <c r="F9" s="24" t="s">
        <v>41</v>
      </c>
      <c r="G9" s="24"/>
      <c r="H9" s="32" t="s">
        <v>42</v>
      </c>
      <c r="I9" s="32" t="s">
        <v>43</v>
      </c>
      <c r="J9" s="25"/>
      <c r="K9" s="37"/>
    </row>
    <row r="10" spans="1:13" s="26" customFormat="1" ht="19" customHeight="1" x14ac:dyDescent="0.55000000000000004">
      <c r="A10" s="125"/>
      <c r="B10" s="125"/>
      <c r="C10" s="125" t="s">
        <v>57</v>
      </c>
      <c r="D10" s="125"/>
      <c r="E10" s="65" t="s">
        <v>58</v>
      </c>
      <c r="F10" s="65"/>
      <c r="G10" s="65"/>
      <c r="H10" s="65"/>
      <c r="I10" s="65"/>
      <c r="J10" s="66"/>
      <c r="K10" s="37"/>
    </row>
    <row r="11" spans="1:13" s="26" customFormat="1" ht="17.05" customHeight="1" x14ac:dyDescent="0.55000000000000004">
      <c r="A11" s="140" t="s">
        <v>95</v>
      </c>
      <c r="B11" s="140" t="s">
        <v>96</v>
      </c>
      <c r="C11" s="123" t="s">
        <v>55</v>
      </c>
      <c r="D11" s="124"/>
      <c r="E11" s="58" t="s">
        <v>52</v>
      </c>
      <c r="F11" s="59" t="s">
        <v>53</v>
      </c>
      <c r="G11" s="59">
        <v>24</v>
      </c>
      <c r="H11" s="75">
        <v>5005.3500000000004</v>
      </c>
      <c r="I11" s="60">
        <v>0.15</v>
      </c>
      <c r="J11" s="61">
        <f>G11*H11*I11</f>
        <v>18019.260000000002</v>
      </c>
      <c r="K11" s="37"/>
    </row>
    <row r="12" spans="1:13" s="26" customFormat="1" ht="20.05" customHeight="1" x14ac:dyDescent="0.55000000000000004">
      <c r="A12" s="140" t="s">
        <v>95</v>
      </c>
      <c r="B12" s="140" t="s">
        <v>96</v>
      </c>
      <c r="C12" s="116" t="s">
        <v>56</v>
      </c>
      <c r="D12" s="117"/>
      <c r="E12" s="62" t="s">
        <v>54</v>
      </c>
      <c r="F12" s="59" t="s">
        <v>53</v>
      </c>
      <c r="G12" s="59">
        <v>24</v>
      </c>
      <c r="H12" s="75">
        <v>3802.49</v>
      </c>
      <c r="I12" s="60">
        <v>0.1</v>
      </c>
      <c r="J12" s="61">
        <f>G12*H12*I12</f>
        <v>9125.9760000000006</v>
      </c>
      <c r="K12" s="37"/>
    </row>
    <row r="13" spans="1:13" s="26" customFormat="1" ht="16" customHeight="1" x14ac:dyDescent="0.55000000000000004">
      <c r="A13" s="140" t="s">
        <v>95</v>
      </c>
      <c r="B13" s="140" t="s">
        <v>96</v>
      </c>
      <c r="C13" s="116" t="s">
        <v>63</v>
      </c>
      <c r="D13" s="117"/>
      <c r="E13" s="62" t="s">
        <v>64</v>
      </c>
      <c r="F13" s="59" t="s">
        <v>53</v>
      </c>
      <c r="G13" s="59">
        <v>24</v>
      </c>
      <c r="H13" s="75">
        <v>4922.8</v>
      </c>
      <c r="I13" s="60">
        <v>0.1</v>
      </c>
      <c r="J13" s="61">
        <f t="shared" ref="J13" si="0">G13*H13*I13</f>
        <v>11814.720000000001</v>
      </c>
      <c r="K13" s="37"/>
    </row>
    <row r="14" spans="1:13" s="26" customFormat="1" ht="15" customHeight="1" x14ac:dyDescent="0.55000000000000004">
      <c r="A14" s="122"/>
      <c r="B14" s="115"/>
      <c r="C14" s="122" t="s">
        <v>62</v>
      </c>
      <c r="D14" s="115"/>
      <c r="E14" s="115"/>
      <c r="F14" s="115"/>
      <c r="G14" s="115"/>
      <c r="H14" s="115"/>
      <c r="I14" s="63"/>
      <c r="J14" s="64">
        <f>SUM(J11:J13)</f>
        <v>38959.956000000006</v>
      </c>
      <c r="K14" s="37"/>
      <c r="L14" s="110">
        <f>J14/$J$35</f>
        <v>0.10252612508221781</v>
      </c>
    </row>
    <row r="15" spans="1:13" s="26" customFormat="1" ht="19" customHeight="1" x14ac:dyDescent="0.55000000000000004">
      <c r="A15" s="81"/>
      <c r="B15" s="82"/>
      <c r="C15" s="81" t="s">
        <v>8</v>
      </c>
      <c r="D15" s="82"/>
      <c r="E15" s="23" t="s">
        <v>44</v>
      </c>
      <c r="F15" s="24"/>
      <c r="G15" s="24"/>
      <c r="H15" s="24"/>
      <c r="I15" s="24"/>
      <c r="J15" s="25"/>
      <c r="K15" s="37"/>
      <c r="L15" s="108"/>
      <c r="M15" s="107"/>
    </row>
    <row r="16" spans="1:13" s="26" customFormat="1" ht="19" customHeight="1" x14ac:dyDescent="0.5">
      <c r="A16" s="141" t="s">
        <v>97</v>
      </c>
      <c r="B16" s="140">
        <v>50900</v>
      </c>
      <c r="C16" s="126" t="s">
        <v>59</v>
      </c>
      <c r="D16" s="127"/>
      <c r="E16" s="62" t="s">
        <v>60</v>
      </c>
      <c r="F16" s="59"/>
      <c r="G16" s="59"/>
      <c r="H16" s="67"/>
      <c r="I16" s="68">
        <v>0.23469999999999999</v>
      </c>
      <c r="J16" s="69">
        <f>J14*I16</f>
        <v>9143.9016732000018</v>
      </c>
      <c r="K16" s="37"/>
      <c r="L16" s="110">
        <f>J16/$J$35</f>
        <v>2.4062881556796523E-2</v>
      </c>
    </row>
    <row r="17" spans="1:12" s="26" customFormat="1" ht="17.05" customHeight="1" x14ac:dyDescent="0.55000000000000004">
      <c r="A17" s="122"/>
      <c r="B17" s="115"/>
      <c r="C17" s="122" t="s">
        <v>61</v>
      </c>
      <c r="D17" s="115"/>
      <c r="E17" s="115"/>
      <c r="F17" s="70"/>
      <c r="G17" s="71"/>
      <c r="H17" s="72"/>
      <c r="I17" s="70"/>
      <c r="J17" s="64">
        <f>J16</f>
        <v>9143.9016732000018</v>
      </c>
      <c r="K17" s="37"/>
    </row>
    <row r="18" spans="1:12" x14ac:dyDescent="0.6">
      <c r="A18" s="81"/>
      <c r="B18" s="83"/>
      <c r="C18" s="81" t="s">
        <v>10</v>
      </c>
      <c r="D18" s="83"/>
      <c r="E18" s="23" t="s">
        <v>11</v>
      </c>
      <c r="F18" s="24" t="s">
        <v>78</v>
      </c>
      <c r="G18" s="24" t="s">
        <v>79</v>
      </c>
      <c r="H18" s="27" t="s">
        <v>80</v>
      </c>
      <c r="I18" s="24"/>
      <c r="J18" s="25"/>
      <c r="K18" s="36"/>
    </row>
    <row r="19" spans="1:12" x14ac:dyDescent="0.6">
      <c r="A19" s="84"/>
      <c r="B19" s="85"/>
      <c r="C19" s="84" t="s">
        <v>65</v>
      </c>
      <c r="D19" s="85"/>
      <c r="E19" s="73" t="s">
        <v>81</v>
      </c>
      <c r="F19" s="45"/>
      <c r="G19" s="46"/>
      <c r="H19" s="47"/>
      <c r="I19" s="45"/>
      <c r="J19" s="74"/>
      <c r="K19" s="36"/>
    </row>
    <row r="20" spans="1:12" x14ac:dyDescent="0.6">
      <c r="A20" s="140" t="s">
        <v>99</v>
      </c>
      <c r="B20" s="143">
        <v>86040</v>
      </c>
      <c r="C20" s="86" t="s">
        <v>66</v>
      </c>
      <c r="D20" s="87"/>
      <c r="E20" s="62" t="s">
        <v>67</v>
      </c>
      <c r="F20" s="59" t="s">
        <v>68</v>
      </c>
      <c r="G20" s="59">
        <v>2</v>
      </c>
      <c r="H20" s="75">
        <v>800</v>
      </c>
      <c r="I20" s="48"/>
      <c r="J20" s="61">
        <f>G20*H20</f>
        <v>1600</v>
      </c>
      <c r="K20" s="36"/>
      <c r="L20" s="106"/>
    </row>
    <row r="21" spans="1:12" x14ac:dyDescent="0.6">
      <c r="A21" s="140" t="s">
        <v>100</v>
      </c>
      <c r="B21" s="143">
        <v>86050</v>
      </c>
      <c r="C21" s="88" t="s">
        <v>69</v>
      </c>
      <c r="D21" s="89"/>
      <c r="E21" s="62" t="s">
        <v>70</v>
      </c>
      <c r="F21" s="59" t="s">
        <v>71</v>
      </c>
      <c r="G21" s="59">
        <f>G20*5</f>
        <v>10</v>
      </c>
      <c r="H21" s="75">
        <v>156</v>
      </c>
      <c r="I21" s="48"/>
      <c r="J21" s="61">
        <f>G21*H21</f>
        <v>1560</v>
      </c>
      <c r="K21" s="36"/>
    </row>
    <row r="22" spans="1:12" x14ac:dyDescent="0.6">
      <c r="A22" s="140" t="s">
        <v>101</v>
      </c>
      <c r="B22" s="143" t="s">
        <v>102</v>
      </c>
      <c r="C22" s="90" t="s">
        <v>72</v>
      </c>
      <c r="D22" s="91"/>
      <c r="E22" s="62" t="s">
        <v>73</v>
      </c>
      <c r="F22" s="59" t="s">
        <v>74</v>
      </c>
      <c r="G22" s="59">
        <f>G20*4</f>
        <v>8</v>
      </c>
      <c r="H22" s="75">
        <v>200</v>
      </c>
      <c r="I22" s="48"/>
      <c r="J22" s="61">
        <f>G22*H22</f>
        <v>1600</v>
      </c>
      <c r="K22" s="36"/>
    </row>
    <row r="23" spans="1:12" x14ac:dyDescent="0.6">
      <c r="A23" s="143" t="s">
        <v>103</v>
      </c>
      <c r="B23" s="143" t="s">
        <v>104</v>
      </c>
      <c r="C23" s="92" t="s">
        <v>75</v>
      </c>
      <c r="D23" s="93"/>
      <c r="E23" s="62" t="s">
        <v>76</v>
      </c>
      <c r="F23" s="59" t="s">
        <v>71</v>
      </c>
      <c r="G23" s="59">
        <f>G21</f>
        <v>10</v>
      </c>
      <c r="H23" s="75">
        <v>50</v>
      </c>
      <c r="I23" s="48"/>
      <c r="J23" s="61">
        <f>G23*H23</f>
        <v>500</v>
      </c>
      <c r="K23" s="36"/>
    </row>
    <row r="24" spans="1:12" x14ac:dyDescent="0.6">
      <c r="A24" s="128"/>
      <c r="B24" s="129"/>
      <c r="C24" s="128" t="s">
        <v>77</v>
      </c>
      <c r="D24" s="129"/>
      <c r="E24" s="129"/>
      <c r="F24" s="49"/>
      <c r="G24" s="49"/>
      <c r="H24" s="50"/>
      <c r="I24" s="49"/>
      <c r="J24" s="64">
        <f>SUM(J20:J23)</f>
        <v>5260</v>
      </c>
      <c r="K24" s="36"/>
      <c r="L24" s="110">
        <f>J24/$J$35</f>
        <v>1.3842095148476698E-2</v>
      </c>
    </row>
    <row r="25" spans="1:12" x14ac:dyDescent="0.6">
      <c r="A25" s="94"/>
      <c r="B25" s="95"/>
      <c r="C25" s="94" t="s">
        <v>12</v>
      </c>
      <c r="D25" s="95"/>
      <c r="E25" s="43" t="s">
        <v>46</v>
      </c>
      <c r="F25" s="42"/>
      <c r="G25" s="42" t="s">
        <v>45</v>
      </c>
      <c r="H25" s="44" t="s">
        <v>47</v>
      </c>
      <c r="I25" s="42"/>
      <c r="J25" s="25"/>
      <c r="K25" s="38"/>
    </row>
    <row r="26" spans="1:12" x14ac:dyDescent="0.6">
      <c r="A26" s="81"/>
      <c r="B26" s="83"/>
      <c r="C26" s="81" t="s">
        <v>14</v>
      </c>
      <c r="D26" s="83"/>
      <c r="E26" s="23" t="s">
        <v>48</v>
      </c>
      <c r="F26" s="24"/>
      <c r="G26" s="24" t="s">
        <v>45</v>
      </c>
      <c r="H26" s="27" t="s">
        <v>47</v>
      </c>
      <c r="I26" s="24"/>
      <c r="J26" s="25"/>
      <c r="K26" s="38"/>
    </row>
    <row r="27" spans="1:12" x14ac:dyDescent="0.6">
      <c r="A27" s="81"/>
      <c r="B27" s="83"/>
      <c r="C27" s="81" t="s">
        <v>16</v>
      </c>
      <c r="D27" s="83"/>
      <c r="E27" s="120" t="s">
        <v>49</v>
      </c>
      <c r="F27" s="120"/>
      <c r="G27" s="120"/>
      <c r="H27" s="120"/>
      <c r="I27" s="24"/>
      <c r="J27" s="28"/>
      <c r="K27" s="38"/>
    </row>
    <row r="28" spans="1:12" x14ac:dyDescent="0.6">
      <c r="A28" s="96"/>
      <c r="B28" s="97"/>
      <c r="C28" s="96" t="s">
        <v>83</v>
      </c>
      <c r="D28" s="97"/>
      <c r="E28" s="51" t="s">
        <v>84</v>
      </c>
      <c r="F28" s="52"/>
      <c r="G28" s="52"/>
      <c r="H28" s="53" t="s">
        <v>85</v>
      </c>
      <c r="I28" s="52"/>
      <c r="J28" s="54"/>
      <c r="K28" s="38"/>
    </row>
    <row r="29" spans="1:12" x14ac:dyDescent="0.6">
      <c r="A29" s="143" t="s">
        <v>106</v>
      </c>
      <c r="B29" s="143" t="s">
        <v>105</v>
      </c>
      <c r="C29" s="98" t="s">
        <v>86</v>
      </c>
      <c r="D29" s="99"/>
      <c r="E29" s="55" t="s">
        <v>87</v>
      </c>
      <c r="F29" s="56" t="s">
        <v>88</v>
      </c>
      <c r="G29" s="109">
        <f>J29/H29</f>
        <v>4.8572684000000006</v>
      </c>
      <c r="H29" s="57">
        <v>50000</v>
      </c>
      <c r="I29" s="56"/>
      <c r="J29" s="103">
        <f>233863.42+9000</f>
        <v>242863.42</v>
      </c>
      <c r="K29" s="38"/>
    </row>
    <row r="30" spans="1:12" x14ac:dyDescent="0.6">
      <c r="A30" s="130"/>
      <c r="B30" s="131"/>
      <c r="C30" s="130" t="s">
        <v>89</v>
      </c>
      <c r="D30" s="131"/>
      <c r="E30" s="131"/>
      <c r="F30" s="49"/>
      <c r="G30" s="49"/>
      <c r="H30" s="50"/>
      <c r="I30" s="49"/>
      <c r="J30" s="104">
        <f>SUM(J29)</f>
        <v>242863.42</v>
      </c>
      <c r="K30" s="38"/>
      <c r="L30" s="110">
        <f>J30/$J$35</f>
        <v>0.63911379614533437</v>
      </c>
    </row>
    <row r="31" spans="1:12" x14ac:dyDescent="0.6">
      <c r="A31" s="94"/>
      <c r="B31" s="95"/>
      <c r="C31" s="94" t="s">
        <v>18</v>
      </c>
      <c r="D31" s="95"/>
      <c r="E31" s="43" t="s">
        <v>19</v>
      </c>
      <c r="F31" s="42"/>
      <c r="G31" s="42"/>
      <c r="H31" s="44"/>
      <c r="I31" s="42"/>
      <c r="J31" s="76"/>
      <c r="K31" s="38"/>
    </row>
    <row r="32" spans="1:12" x14ac:dyDescent="0.6">
      <c r="A32" s="81"/>
      <c r="B32" s="83"/>
      <c r="C32" s="81" t="s">
        <v>20</v>
      </c>
      <c r="D32" s="83"/>
      <c r="E32" s="23" t="s">
        <v>21</v>
      </c>
      <c r="F32" s="24"/>
      <c r="G32" s="24"/>
      <c r="H32" s="27"/>
      <c r="I32" s="24"/>
      <c r="J32" s="25"/>
      <c r="K32" s="38"/>
    </row>
    <row r="33" spans="1:12" x14ac:dyDescent="0.6">
      <c r="A33" s="81"/>
      <c r="B33" s="83"/>
      <c r="C33" s="81" t="s">
        <v>22</v>
      </c>
      <c r="D33" s="83"/>
      <c r="E33" s="23" t="s">
        <v>50</v>
      </c>
      <c r="F33" s="24"/>
      <c r="G33" s="24"/>
      <c r="H33" s="27"/>
      <c r="I33" s="24"/>
      <c r="J33" s="77">
        <f>J14+J16+J24+J30</f>
        <v>296227.27767320001</v>
      </c>
      <c r="K33" s="36"/>
    </row>
    <row r="34" spans="1:12" x14ac:dyDescent="0.6">
      <c r="A34" s="142" t="s">
        <v>98</v>
      </c>
      <c r="B34" s="142">
        <v>94050</v>
      </c>
      <c r="C34" s="81" t="s">
        <v>24</v>
      </c>
      <c r="D34" s="83"/>
      <c r="E34" s="23" t="s">
        <v>51</v>
      </c>
      <c r="F34" s="118">
        <v>0.2828</v>
      </c>
      <c r="G34" s="119"/>
      <c r="H34" s="119"/>
      <c r="I34" s="119"/>
      <c r="J34" s="77">
        <f>ROUND(J33*F34,0)</f>
        <v>83773</v>
      </c>
      <c r="K34" s="38"/>
      <c r="L34" s="110">
        <f>J34/$J$35</f>
        <v>0.22045510206717461</v>
      </c>
    </row>
    <row r="35" spans="1:12" x14ac:dyDescent="0.6">
      <c r="A35" s="100"/>
      <c r="B35" s="101"/>
      <c r="C35" s="100" t="s">
        <v>26</v>
      </c>
      <c r="D35" s="101"/>
      <c r="E35" s="13" t="s">
        <v>27</v>
      </c>
      <c r="F35" s="78"/>
      <c r="G35" s="79"/>
      <c r="H35" s="80"/>
      <c r="I35" s="79"/>
      <c r="J35" s="102">
        <f>SUM(J33:J34)</f>
        <v>380000.27767320001</v>
      </c>
      <c r="K35" s="36"/>
    </row>
    <row r="36" spans="1:12" x14ac:dyDescent="0.6">
      <c r="A36" s="39"/>
      <c r="B36" s="39"/>
      <c r="C36" s="39"/>
      <c r="D36" s="39"/>
      <c r="E36" s="36"/>
      <c r="F36" s="36"/>
      <c r="G36" s="36"/>
      <c r="H36" s="36"/>
      <c r="I36" s="36"/>
      <c r="J36" s="36"/>
      <c r="K36" s="36"/>
    </row>
    <row r="37" spans="1:12" x14ac:dyDescent="0.6">
      <c r="A37" s="39"/>
      <c r="B37" s="39"/>
      <c r="C37" s="39"/>
      <c r="D37" s="39"/>
      <c r="E37" s="36"/>
      <c r="F37" s="36"/>
      <c r="G37" s="36"/>
      <c r="H37" s="40"/>
      <c r="I37" s="36"/>
      <c r="J37" s="36"/>
      <c r="K37" s="36"/>
    </row>
    <row r="38" spans="1:12" x14ac:dyDescent="0.6">
      <c r="A38" s="39"/>
      <c r="B38" s="39"/>
      <c r="C38" s="39"/>
      <c r="D38" s="39"/>
      <c r="E38" s="36"/>
      <c r="F38" s="36"/>
      <c r="G38" s="36"/>
      <c r="H38" s="36"/>
      <c r="I38" s="40"/>
      <c r="J38" s="36"/>
      <c r="K38" s="36"/>
    </row>
    <row r="39" spans="1:12" x14ac:dyDescent="0.6">
      <c r="F39" s="36"/>
      <c r="G39" s="36"/>
      <c r="H39" s="36"/>
      <c r="I39" s="36"/>
      <c r="J39" s="36"/>
      <c r="K39" s="36"/>
    </row>
    <row r="40" spans="1:12" x14ac:dyDescent="0.6">
      <c r="F40" s="30"/>
      <c r="G40" s="30"/>
      <c r="H40" s="30"/>
      <c r="I40" s="30"/>
      <c r="J40" s="35"/>
      <c r="K40" s="36"/>
    </row>
    <row r="41" spans="1:12" x14ac:dyDescent="0.6">
      <c r="F41" s="36"/>
      <c r="G41" s="36"/>
      <c r="H41" s="36"/>
      <c r="I41" s="36"/>
      <c r="J41" s="36"/>
      <c r="K41" s="36"/>
    </row>
    <row r="42" spans="1:12" x14ac:dyDescent="0.6">
      <c r="F42" s="36"/>
      <c r="G42" s="36"/>
      <c r="H42" s="36"/>
      <c r="I42" s="36"/>
      <c r="J42" s="36"/>
      <c r="K42" s="36"/>
    </row>
    <row r="43" spans="1:12" x14ac:dyDescent="0.6">
      <c r="F43" s="36"/>
      <c r="G43" s="36"/>
      <c r="H43" s="36"/>
      <c r="I43" s="36"/>
      <c r="J43" s="36"/>
      <c r="K43" s="36"/>
    </row>
    <row r="44" spans="1:12" x14ac:dyDescent="0.6">
      <c r="F44" s="36"/>
      <c r="G44" s="36"/>
      <c r="H44" s="36"/>
      <c r="I44" s="36"/>
      <c r="J44" s="36"/>
      <c r="K44" s="36"/>
    </row>
    <row r="45" spans="1:12" x14ac:dyDescent="0.6">
      <c r="F45" s="36"/>
      <c r="G45" s="36"/>
      <c r="H45" s="36"/>
      <c r="I45" s="36"/>
      <c r="J45" s="36"/>
      <c r="K45" s="36"/>
    </row>
    <row r="46" spans="1:12" x14ac:dyDescent="0.6">
      <c r="F46" s="36"/>
      <c r="G46" s="36"/>
      <c r="H46" s="36"/>
      <c r="I46" s="36"/>
      <c r="J46" s="36"/>
      <c r="K46" s="36"/>
    </row>
    <row r="47" spans="1:12" x14ac:dyDescent="0.6">
      <c r="F47" s="36"/>
      <c r="G47" s="36"/>
      <c r="H47" s="36"/>
      <c r="I47" s="36"/>
      <c r="J47" s="36"/>
      <c r="K47" s="36"/>
    </row>
    <row r="48" spans="1:12" x14ac:dyDescent="0.6">
      <c r="F48" s="36"/>
      <c r="G48" s="36"/>
      <c r="H48" s="36"/>
      <c r="I48" s="36"/>
      <c r="J48" s="36"/>
      <c r="K48" s="36"/>
    </row>
    <row r="49" spans="6:11" x14ac:dyDescent="0.6">
      <c r="F49" s="36"/>
      <c r="G49" s="36"/>
      <c r="H49" s="36"/>
      <c r="I49" s="36"/>
      <c r="J49" s="36"/>
      <c r="K49" s="36"/>
    </row>
    <row r="50" spans="6:11" x14ac:dyDescent="0.6">
      <c r="F50" s="36"/>
      <c r="G50" s="36"/>
      <c r="H50" s="36"/>
      <c r="I50" s="36"/>
      <c r="J50" s="36"/>
      <c r="K50" s="36"/>
    </row>
    <row r="51" spans="6:11" x14ac:dyDescent="0.6">
      <c r="F51" s="36"/>
      <c r="G51" s="36"/>
      <c r="H51" s="36"/>
      <c r="I51" s="36"/>
      <c r="J51" s="36"/>
      <c r="K51" s="36"/>
    </row>
    <row r="52" spans="6:11" x14ac:dyDescent="0.6">
      <c r="F52" s="36"/>
      <c r="G52" s="36"/>
      <c r="H52" s="36"/>
      <c r="I52" s="36"/>
      <c r="J52" s="36"/>
      <c r="K52" s="36"/>
    </row>
    <row r="53" spans="6:11" x14ac:dyDescent="0.6">
      <c r="F53" s="36"/>
      <c r="G53" s="36"/>
      <c r="H53" s="36"/>
      <c r="I53" s="36"/>
      <c r="J53" s="36"/>
      <c r="K53" s="36"/>
    </row>
    <row r="54" spans="6:11" x14ac:dyDescent="0.6">
      <c r="F54" s="36"/>
      <c r="G54" s="36"/>
      <c r="H54" s="36"/>
      <c r="I54" s="36"/>
      <c r="J54" s="36"/>
      <c r="K54" s="36"/>
    </row>
    <row r="55" spans="6:11" x14ac:dyDescent="0.6">
      <c r="I55" s="36"/>
      <c r="J55" s="36"/>
      <c r="K55" s="36"/>
    </row>
    <row r="56" spans="6:11" x14ac:dyDescent="0.6">
      <c r="I56" s="36"/>
      <c r="J56" s="36"/>
      <c r="K56" s="36"/>
    </row>
    <row r="57" spans="6:11" x14ac:dyDescent="0.6">
      <c r="I57" s="36"/>
      <c r="J57" s="36"/>
      <c r="K57" s="36"/>
    </row>
    <row r="58" spans="6:11" x14ac:dyDescent="0.6">
      <c r="I58" s="36"/>
      <c r="J58" s="36"/>
      <c r="K58" s="36"/>
    </row>
    <row r="59" spans="6:11" x14ac:dyDescent="0.6">
      <c r="I59" s="36"/>
      <c r="J59" s="36"/>
      <c r="K59" s="36"/>
    </row>
    <row r="60" spans="6:11" x14ac:dyDescent="0.6">
      <c r="I60" s="36"/>
      <c r="J60" s="36"/>
      <c r="K60" s="36"/>
    </row>
    <row r="61" spans="6:11" x14ac:dyDescent="0.6">
      <c r="I61" s="36"/>
      <c r="J61" s="36"/>
      <c r="K61" s="36"/>
    </row>
    <row r="62" spans="6:11" x14ac:dyDescent="0.6">
      <c r="I62" s="36"/>
      <c r="J62" s="36"/>
      <c r="K62" s="36"/>
    </row>
    <row r="63" spans="6:11" x14ac:dyDescent="0.6">
      <c r="I63" s="36"/>
      <c r="J63" s="36"/>
      <c r="K63" s="36"/>
    </row>
    <row r="64" spans="6:11" x14ac:dyDescent="0.6">
      <c r="I64" s="36"/>
      <c r="J64" s="36"/>
      <c r="K64" s="36"/>
    </row>
  </sheetData>
  <mergeCells count="26">
    <mergeCell ref="A17:B17"/>
    <mergeCell ref="A24:B24"/>
    <mergeCell ref="A30:B30"/>
    <mergeCell ref="A14:B14"/>
    <mergeCell ref="C7:E8"/>
    <mergeCell ref="F7:I7"/>
    <mergeCell ref="J7:J8"/>
    <mergeCell ref="A7:B8"/>
    <mergeCell ref="A10:B10"/>
    <mergeCell ref="C1:J1"/>
    <mergeCell ref="C2:J2"/>
    <mergeCell ref="C3:J3"/>
    <mergeCell ref="E4:J4"/>
    <mergeCell ref="C5:J5"/>
    <mergeCell ref="F34:I34"/>
    <mergeCell ref="C10:D10"/>
    <mergeCell ref="C11:D11"/>
    <mergeCell ref="C12:D12"/>
    <mergeCell ref="C13:D13"/>
    <mergeCell ref="C14:E14"/>
    <mergeCell ref="F14:H14"/>
    <mergeCell ref="C16:D16"/>
    <mergeCell ref="C17:E17"/>
    <mergeCell ref="C24:E24"/>
    <mergeCell ref="E27:H27"/>
    <mergeCell ref="C30:E30"/>
  </mergeCells>
  <pageMargins left="0.25" right="0.25" top="0.25" bottom="0.25" header="0.05" footer="0.0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FEECE1-E03C-4A99-8147-344D0C0AB3D6}"/>
</file>

<file path=customXml/itemProps2.xml><?xml version="1.0" encoding="utf-8"?>
<ds:datastoreItem xmlns:ds="http://schemas.openxmlformats.org/officeDocument/2006/customXml" ds:itemID="{3671461A-AAE4-4A65-8DF2-9702D1169F22}">
  <ds:schemaRefs>
    <ds:schemaRef ds:uri="1a9bbbe1-7cae-48c1-93ed-4785e360835f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12B46EBA-CC5A-4D3A-A948-EDE0270BDF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1. Summary Budget</vt:lpstr>
      <vt:lpstr>2. Detailed Budget</vt:lpstr>
      <vt:lpstr>2. REV Detailed Budget</vt:lpstr>
      <vt:lpstr>'1. Summary Budget'!Print_Area</vt:lpstr>
      <vt:lpstr>'2. Detailed Budget'!Print_Area</vt:lpstr>
      <vt:lpstr>'2. REV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2024-09-23T17:06:08Z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iteId">
    <vt:lpwstr>66cf5074-5afe-48d1-a691-a12b2121f44b</vt:lpwstr>
  </property>
  <property fmtid="{D5CDD505-2E9C-101B-9397-08002B2CF9AE}" pid="4" name="MSIP_Label_1665d9ee-429a-4d5f-97cc-cfb56e044a6e_Owner">
    <vt:lpwstr>ProctorME@state.gov</vt:lpwstr>
  </property>
  <property fmtid="{D5CDD505-2E9C-101B-9397-08002B2CF9AE}" pid="5" name="MSIP_Label_1665d9ee-429a-4d5f-97cc-cfb56e044a6e_SetDate">
    <vt:lpwstr>2020-05-22T16:53:29.0373647Z</vt:lpwstr>
  </property>
  <property fmtid="{D5CDD505-2E9C-101B-9397-08002B2CF9AE}" pid="6" name="MSIP_Label_1665d9ee-429a-4d5f-97cc-cfb56e044a6e_Name">
    <vt:lpwstr>Unclassified</vt:lpwstr>
  </property>
  <property fmtid="{D5CDD505-2E9C-101B-9397-08002B2CF9AE}" pid="7" name="MSIP_Label_1665d9ee-429a-4d5f-97cc-cfb56e044a6e_Application">
    <vt:lpwstr>Microsoft Azure Information Protection</vt:lpwstr>
  </property>
  <property fmtid="{D5CDD505-2E9C-101B-9397-08002B2CF9AE}" pid="8" name="MSIP_Label_1665d9ee-429a-4d5f-97cc-cfb56e044a6e_ActionId">
    <vt:lpwstr>ac692d21-a394-4b6a-96e9-b3db398d30ac</vt:lpwstr>
  </property>
  <property fmtid="{D5CDD505-2E9C-101B-9397-08002B2CF9AE}" pid="9" name="MSIP_Label_1665d9ee-429a-4d5f-97cc-cfb56e044a6e_Extended_MSFT_Method">
    <vt:lpwstr>Manual</vt:lpwstr>
  </property>
  <property fmtid="{D5CDD505-2E9C-101B-9397-08002B2CF9AE}" pid="10" name="Sensitivity">
    <vt:lpwstr>Unclassified</vt:lpwstr>
  </property>
  <property fmtid="{D5CDD505-2E9C-101B-9397-08002B2CF9AE}" pid="11" name="ContentTypeId">
    <vt:lpwstr>0x0101003206C8355D678A459F2EF8957171B231</vt:lpwstr>
  </property>
  <property fmtid="{D5CDD505-2E9C-101B-9397-08002B2CF9AE}" pid="12" name="Order">
    <vt:r8>11853400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MediaServiceImageTags">
    <vt:lpwstr/>
  </property>
</Properties>
</file>