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DOS289/"/>
    </mc:Choice>
  </mc:AlternateContent>
  <xr:revisionPtr revIDLastSave="3" documentId="13_ncr:1_{B9BF7CA2-7E35-4315-BF00-9CD1C29DA6E2}" xr6:coauthVersionLast="47" xr6:coauthVersionMax="47" xr10:uidLastSave="{075F3B76-E7B3-4D9B-98A5-9169D45440FD}"/>
  <bookViews>
    <workbookView xWindow="-96" yWindow="-96" windowWidth="23232" windowHeight="12552" activeTab="1" xr2:uid="{00000000-000D-0000-FFFF-FFFF00000000}"/>
  </bookViews>
  <sheets>
    <sheet name="Budget Summary" sheetId="1" r:id="rId1"/>
    <sheet name="FY25 Budget Details" sheetId="5" r:id="rId2"/>
    <sheet name="Volunteer Time Cost Share" sheetId="3" r:id="rId3"/>
  </sheets>
  <definedNames>
    <definedName name="_xlnm.Print_Area" localSheetId="1">'FY25 Budget Details'!$C$1:$T$89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6" i="5" l="1"/>
  <c r="Q66" i="5"/>
  <c r="Q21" i="5"/>
  <c r="Q64" i="5"/>
  <c r="D8" i="3"/>
  <c r="E8" i="3" s="1"/>
  <c r="D15" i="3"/>
  <c r="E15" i="3" s="1"/>
  <c r="E7" i="3"/>
  <c r="D7" i="3"/>
  <c r="Q9" i="5"/>
  <c r="J73" i="5"/>
  <c r="K73" i="5" s="1"/>
  <c r="Q73" i="5"/>
  <c r="Q41" i="5"/>
  <c r="Q40" i="5"/>
  <c r="C6" i="1"/>
  <c r="B12" i="1"/>
  <c r="C26" i="1"/>
  <c r="R28" i="5"/>
  <c r="F16" i="5"/>
  <c r="F17" i="5" s="1"/>
  <c r="F18" i="5" s="1"/>
  <c r="F19" i="5" s="1"/>
  <c r="F20" i="5" s="1"/>
  <c r="Q53" i="5"/>
  <c r="S53" i="5" s="1"/>
  <c r="S54" i="5" s="1"/>
  <c r="J40" i="5"/>
  <c r="K40" i="5" s="1"/>
  <c r="N81" i="5"/>
  <c r="Q81" i="5" s="1"/>
  <c r="N46" i="5"/>
  <c r="E18" i="3"/>
  <c r="D14" i="3"/>
  <c r="E14" i="3" s="1"/>
  <c r="D17" i="3"/>
  <c r="E17" i="3" s="1"/>
  <c r="D18" i="3"/>
  <c r="D6" i="3"/>
  <c r="E6" i="3" s="1"/>
  <c r="D9" i="3"/>
  <c r="E9" i="3" s="1"/>
  <c r="D10" i="3"/>
  <c r="E10" i="3" s="1"/>
  <c r="D5" i="3"/>
  <c r="E5" i="3" s="1"/>
  <c r="G28" i="5"/>
  <c r="R54" i="5"/>
  <c r="C21" i="1" s="1"/>
  <c r="L54" i="5"/>
  <c r="K54" i="5"/>
  <c r="J54" i="5"/>
  <c r="I54" i="5"/>
  <c r="H54" i="5"/>
  <c r="G54" i="5"/>
  <c r="J56" i="5"/>
  <c r="Q30" i="5" l="1"/>
  <c r="C17" i="1"/>
  <c r="Q54" i="5"/>
  <c r="J41" i="5"/>
  <c r="K41" i="5" s="1"/>
  <c r="J36" i="5"/>
  <c r="E11" i="3"/>
  <c r="L40" i="5"/>
  <c r="I84" i="5"/>
  <c r="B21" i="1" l="1"/>
  <c r="D21" i="1" s="1"/>
  <c r="T54" i="5"/>
  <c r="K80" i="5"/>
  <c r="Q45" i="5"/>
  <c r="H50" i="5"/>
  <c r="L80" i="5" l="1"/>
  <c r="S41" i="5" l="1"/>
  <c r="H84" i="5"/>
  <c r="J59" i="5"/>
  <c r="F21" i="5" l="1"/>
  <c r="F9" i="5"/>
  <c r="F68" i="5"/>
  <c r="F69" i="5" s="1"/>
  <c r="F70" i="5" s="1"/>
  <c r="Q15" i="5"/>
  <c r="F10" i="5" l="1"/>
  <c r="F11" i="5" s="1"/>
  <c r="F12" i="5" s="1"/>
  <c r="F13" i="5" s="1"/>
  <c r="F14" i="5" s="1"/>
  <c r="F22" i="5"/>
  <c r="F23" i="5" s="1"/>
  <c r="S66" i="5"/>
  <c r="S79" i="5"/>
  <c r="S64" i="5"/>
  <c r="R60" i="5"/>
  <c r="C22" i="1" s="1"/>
  <c r="R50" i="5"/>
  <c r="R32" i="5"/>
  <c r="B23" i="1"/>
  <c r="B20" i="1"/>
  <c r="G81" i="5"/>
  <c r="G66" i="5"/>
  <c r="C18" i="1" l="1"/>
  <c r="C19" i="1"/>
  <c r="F24" i="5"/>
  <c r="F25" i="5" s="1"/>
  <c r="F26" i="5" s="1"/>
  <c r="J15" i="5"/>
  <c r="J31" i="5" s="1"/>
  <c r="J9" i="5"/>
  <c r="K9" i="5" s="1"/>
  <c r="G84" i="5"/>
  <c r="Q67" i="5"/>
  <c r="G50" i="5"/>
  <c r="Q59" i="5"/>
  <c r="S59" i="5" s="1"/>
  <c r="Q58" i="5"/>
  <c r="S58" i="5" s="1"/>
  <c r="Q57" i="5"/>
  <c r="S57" i="5" s="1"/>
  <c r="Q56" i="5"/>
  <c r="Q49" i="5"/>
  <c r="S49" i="5" s="1"/>
  <c r="S45" i="5"/>
  <c r="Q48" i="5"/>
  <c r="S48" i="5" s="1"/>
  <c r="Q47" i="5"/>
  <c r="S47" i="5" s="1"/>
  <c r="Q46" i="5"/>
  <c r="S46" i="5" s="1"/>
  <c r="Q44" i="5"/>
  <c r="B6" i="1" s="1"/>
  <c r="S40" i="5"/>
  <c r="S36" i="5"/>
  <c r="Q35" i="5"/>
  <c r="S27" i="5"/>
  <c r="J83" i="5"/>
  <c r="K81" i="5"/>
  <c r="L81" i="5" s="1"/>
  <c r="K67" i="5"/>
  <c r="K66" i="5"/>
  <c r="L66" i="5" s="1"/>
  <c r="K59" i="5"/>
  <c r="J58" i="5"/>
  <c r="K58" i="5" s="1"/>
  <c r="J57" i="5"/>
  <c r="K57" i="5" s="1"/>
  <c r="K56" i="5"/>
  <c r="J49" i="5"/>
  <c r="K49" i="5" s="1"/>
  <c r="L49" i="5" s="1"/>
  <c r="J45" i="5"/>
  <c r="K45" i="5" s="1"/>
  <c r="L45" i="5" s="1"/>
  <c r="J48" i="5"/>
  <c r="K48" i="5" s="1"/>
  <c r="J47" i="5"/>
  <c r="K47" i="5" s="1"/>
  <c r="J46" i="5"/>
  <c r="K46" i="5" s="1"/>
  <c r="J44" i="5"/>
  <c r="K44" i="5" s="1"/>
  <c r="J35" i="5"/>
  <c r="K35" i="5" s="1"/>
  <c r="K64" i="5"/>
  <c r="K27" i="5"/>
  <c r="L27" i="5" s="1"/>
  <c r="H60" i="5"/>
  <c r="I60" i="5"/>
  <c r="I50" i="5"/>
  <c r="I32" i="5"/>
  <c r="I28" i="5"/>
  <c r="H28" i="5"/>
  <c r="H32" i="5"/>
  <c r="Q50" i="5" l="1"/>
  <c r="S56" i="5"/>
  <c r="Q60" i="5"/>
  <c r="S35" i="5"/>
  <c r="S44" i="5"/>
  <c r="B7" i="1"/>
  <c r="J21" i="5"/>
  <c r="K21" i="5" s="1"/>
  <c r="K15" i="5"/>
  <c r="S73" i="5"/>
  <c r="H85" i="5"/>
  <c r="H88" i="5" s="1"/>
  <c r="I85" i="5"/>
  <c r="I87" i="5" s="1"/>
  <c r="I88" i="5" s="1"/>
  <c r="K83" i="5"/>
  <c r="L83" i="5" s="1"/>
  <c r="J84" i="5"/>
  <c r="L64" i="5"/>
  <c r="L41" i="5"/>
  <c r="K36" i="5"/>
  <c r="S9" i="5"/>
  <c r="S15" i="5"/>
  <c r="S67" i="5"/>
  <c r="J60" i="5"/>
  <c r="J50" i="5"/>
  <c r="K60" i="5"/>
  <c r="K31" i="5"/>
  <c r="S50" i="5" l="1"/>
  <c r="Q84" i="5"/>
  <c r="K28" i="5"/>
  <c r="J30" i="5"/>
  <c r="K30" i="5" s="1"/>
  <c r="K32" i="5" s="1"/>
  <c r="Q28" i="5"/>
  <c r="S21" i="5"/>
  <c r="S28" i="5" s="1"/>
  <c r="J28" i="5"/>
  <c r="K84" i="5"/>
  <c r="L84" i="5" s="1"/>
  <c r="Q31" i="5"/>
  <c r="S31" i="5" s="1"/>
  <c r="S81" i="5"/>
  <c r="B22" i="1"/>
  <c r="D22" i="1" s="1"/>
  <c r="S60" i="5"/>
  <c r="T50" i="5"/>
  <c r="B19" i="1"/>
  <c r="D19" i="1" s="1"/>
  <c r="K50" i="5"/>
  <c r="L50" i="5" s="1"/>
  <c r="B24" i="1" l="1"/>
  <c r="J32" i="5"/>
  <c r="K85" i="5"/>
  <c r="J85" i="5"/>
  <c r="J87" i="5" s="1"/>
  <c r="J88" i="5" s="1"/>
  <c r="J89" i="5" s="1"/>
  <c r="S30" i="5"/>
  <c r="S32" i="5" s="1"/>
  <c r="L56" i="5"/>
  <c r="L58" i="5"/>
  <c r="L59" i="5"/>
  <c r="K87" i="5" l="1"/>
  <c r="K88" i="5" s="1"/>
  <c r="B17" i="1"/>
  <c r="D17" i="1" s="1"/>
  <c r="Q32" i="5"/>
  <c r="Q85" i="5" s="1"/>
  <c r="Q87" i="5" s="1"/>
  <c r="L35" i="5"/>
  <c r="L57" i="5"/>
  <c r="L36" i="5"/>
  <c r="L15" i="5"/>
  <c r="L48" i="5"/>
  <c r="L44" i="5"/>
  <c r="L21" i="5"/>
  <c r="G60" i="5"/>
  <c r="L30" i="5"/>
  <c r="S86" i="5"/>
  <c r="S61" i="5"/>
  <c r="S52" i="5"/>
  <c r="S51" i="5"/>
  <c r="L73" i="5"/>
  <c r="D16" i="3"/>
  <c r="E16" i="3" s="1"/>
  <c r="Q88" i="5" l="1"/>
  <c r="B18" i="1"/>
  <c r="S87" i="5"/>
  <c r="S88" i="5" s="1"/>
  <c r="T60" i="5"/>
  <c r="L60" i="5"/>
  <c r="L46" i="5"/>
  <c r="L67" i="5"/>
  <c r="L47" i="5"/>
  <c r="L9" i="5"/>
  <c r="T84" i="5"/>
  <c r="T28" i="5"/>
  <c r="Q89" i="5" l="1"/>
  <c r="B25" i="1"/>
  <c r="D18" i="1"/>
  <c r="L28" i="5"/>
  <c r="L31" i="5"/>
  <c r="G32" i="5"/>
  <c r="D13" i="3"/>
  <c r="E13" i="3" s="1"/>
  <c r="E19" i="3" s="1"/>
  <c r="T32" i="5" l="1"/>
  <c r="L32" i="5"/>
  <c r="G85" i="5"/>
  <c r="L85" i="5" s="1"/>
  <c r="L87" i="5" s="1"/>
  <c r="G87" i="5" l="1"/>
  <c r="T85" i="5"/>
  <c r="H89" i="5"/>
  <c r="B26" i="1" l="1"/>
  <c r="B27" i="1" s="1"/>
  <c r="B8" i="1" s="1"/>
  <c r="T87" i="5"/>
  <c r="G88" i="5"/>
  <c r="T88" i="5" s="1"/>
  <c r="D26" i="1" l="1"/>
  <c r="G89" i="5"/>
  <c r="I89" i="5"/>
  <c r="B9" i="1" l="1"/>
  <c r="B11" i="1" s="1"/>
  <c r="B10" i="1"/>
  <c r="K89" i="5"/>
  <c r="T89" i="5"/>
  <c r="L89" i="5" l="1"/>
  <c r="E20" i="3" l="1"/>
  <c r="R83" i="5" s="1"/>
  <c r="R84" i="5" l="1"/>
  <c r="S83" i="5"/>
  <c r="S84" i="5" s="1"/>
  <c r="R85" i="5" l="1"/>
  <c r="C25" i="1" s="1"/>
  <c r="D25" i="1" s="1"/>
  <c r="C24" i="1"/>
  <c r="D24" i="1" s="1"/>
  <c r="S85" i="5"/>
  <c r="S89" i="5" s="1"/>
  <c r="R89" i="5" l="1"/>
  <c r="D6" i="1"/>
  <c r="C7" i="1"/>
  <c r="C27" i="1" l="1"/>
  <c r="D7" i="1"/>
  <c r="D27" i="1" l="1"/>
  <c r="C8" i="1"/>
  <c r="D8" i="1" s="1"/>
  <c r="C9" i="1" l="1"/>
  <c r="D9" i="1" s="1"/>
  <c r="C10" i="1"/>
  <c r="D10" i="1" s="1"/>
  <c r="C11" i="1" l="1"/>
  <c r="D11" i="1" s="1"/>
</calcChain>
</file>

<file path=xl/sharedStrings.xml><?xml version="1.0" encoding="utf-8"?>
<sst xmlns="http://schemas.openxmlformats.org/spreadsheetml/2006/main" count="250" uniqueCount="178">
  <si>
    <t xml:space="preserve">Partners of the Americas </t>
  </si>
  <si>
    <t>FY 2025 Educational and Cultural Exchange Programs // Partners of the Americas' Education and Culture Program</t>
  </si>
  <si>
    <t>Assistance Listing 19.415 / Funding Opportunity #DFOP0017214</t>
  </si>
  <si>
    <t>Table A1: Estimated Unobligated Funds</t>
  </si>
  <si>
    <t>Grant Program Function</t>
  </si>
  <si>
    <t>Federal</t>
  </si>
  <si>
    <t>Non-Federal</t>
  </si>
  <si>
    <t>Total</t>
  </si>
  <si>
    <t>Participant Costs</t>
  </si>
  <si>
    <t>Participant costs per participant</t>
  </si>
  <si>
    <t>Non-Participant Support Costs</t>
  </si>
  <si>
    <t>Non-Participant costs per participant</t>
  </si>
  <si>
    <t>Total Costs</t>
  </si>
  <si>
    <t>Total costs per participant</t>
  </si>
  <si>
    <t>Number of participants</t>
  </si>
  <si>
    <t>Section B: Budget Categories</t>
  </si>
  <si>
    <t>Table B1: Grant Program Function or Activity</t>
  </si>
  <si>
    <t>Budget Categories</t>
  </si>
  <si>
    <t>1. Personnel</t>
  </si>
  <si>
    <t>2. Fringe Benefits</t>
  </si>
  <si>
    <t>3. Travel</t>
  </si>
  <si>
    <t>4. Equipment</t>
  </si>
  <si>
    <t>5. Supplies</t>
  </si>
  <si>
    <t>6. Contractual</t>
  </si>
  <si>
    <t>7. Construction</t>
  </si>
  <si>
    <t>8. Other Direct Costs</t>
  </si>
  <si>
    <t>9. Total Direct Costs (lines 1-8)</t>
  </si>
  <si>
    <t>10. Indirect Costs*</t>
  </si>
  <si>
    <t>11. Total Costs (lines 9-10)</t>
  </si>
  <si>
    <t>Partners of the Americas</t>
  </si>
  <si>
    <t>FY 2025 Educational and Cultural Exchange Programs (ECE) Funds</t>
  </si>
  <si>
    <t>September 1, 2025 - February 28, 2027</t>
  </si>
  <si>
    <t>COLUMN 1</t>
  </si>
  <si>
    <t>COLUMN 2</t>
  </si>
  <si>
    <t>COLUMN 3</t>
  </si>
  <si>
    <t>COLUMN 4</t>
  </si>
  <si>
    <t>COLUMN 5</t>
  </si>
  <si>
    <t>COLUMN 6</t>
  </si>
  <si>
    <t>Budget Category FY2024</t>
  </si>
  <si>
    <t>Approved FY 2024 ECA Funding Level</t>
  </si>
  <si>
    <t>FY 2024 Cost Sharing</t>
  </si>
  <si>
    <t>FY2024 Actual Budget (ACTUALS as of APRIL 30, 2025)</t>
  </si>
  <si>
    <t>FY2024 Projected Budget (May 2025 - Apr 2026)</t>
  </si>
  <si>
    <t>FY 2024 Total Budget</t>
  </si>
  <si>
    <t>Budget Category FY2025</t>
  </si>
  <si>
    <t>FY 2025 ECA 
Funds Request</t>
  </si>
  <si>
    <t>FY 2025 Cost Sharing</t>
  </si>
  <si>
    <t>FY 2025 Total Budget</t>
  </si>
  <si>
    <t>% Change</t>
  </si>
  <si>
    <t>I. Salaries</t>
  </si>
  <si>
    <t>MONTHS</t>
  </si>
  <si>
    <t>LOE</t>
  </si>
  <si>
    <t>UNIT COST</t>
  </si>
  <si>
    <t>1. Senior Director - $12,168/Month 
Aug 2024 - Apr 2026 at 3-5% LOE</t>
  </si>
  <si>
    <t>1. Senior Director - $12,168/Month 
Sep 2025 - Feb 2027 at 5% LOE</t>
  </si>
  <si>
    <t>May 2025 - August 2025</t>
  </si>
  <si>
    <t>September 2025 - December 2025</t>
  </si>
  <si>
    <t>January 2026 - April 2026</t>
  </si>
  <si>
    <t>May 2026 - December 2026</t>
  </si>
  <si>
    <t>January 2027 - February 2027</t>
  </si>
  <si>
    <t>2. Program Director - $7,133/Month 
Aug 2024 - Apr 2026 at 10% LOE</t>
  </si>
  <si>
    <t>REMOVED</t>
  </si>
  <si>
    <t>January 2026 - April 2025</t>
  </si>
  <si>
    <t>3. Senior Program Officer - $5,358/Month 
Aug 2024 - Dec 2025 at 100% LOE
Jan 2026 - Apr 2026 at 50%</t>
  </si>
  <si>
    <t>3. Associate Director - Program Director - $6,423/month
Jan 2026 - Apr 2026 at 50%
May 2026 - Feb 2027 at 80%</t>
  </si>
  <si>
    <t>4. Program Support</t>
  </si>
  <si>
    <t>Total Salaries</t>
  </si>
  <si>
    <t>II. Fringe Benefits</t>
  </si>
  <si>
    <t>23.47% - Fringe Benefits US-based staff</t>
  </si>
  <si>
    <t>53.864% - Fringe Benefits Colombia based staff</t>
  </si>
  <si>
    <t>Total Fringe Benefits</t>
  </si>
  <si>
    <t>III. Travel</t>
  </si>
  <si>
    <t>#PAX</t>
  </si>
  <si>
    <t>1. Staff Travel</t>
  </si>
  <si>
    <t>PAX</t>
  </si>
  <si>
    <t># TRIPS / # DAYS</t>
  </si>
  <si>
    <t>a. Domestic Round Trip Airfare ($378 x 2 trip)</t>
  </si>
  <si>
    <t>b. Domestic Lodging &amp; Per Diem 
Washington, DC ($183 x 12 nights x 1 trip + $71/day x 13 days)
Other Host City ($160 x 4 nights x 1 trip + $71/day x 5 days)</t>
  </si>
  <si>
    <t xml:space="preserve">Washington, DC  ($71/day x 13 days)
</t>
  </si>
  <si>
    <t>Other Host City ($200 x 4 nights x 1 trip)</t>
  </si>
  <si>
    <t>Other Host City ($71/day x 5 days)</t>
  </si>
  <si>
    <t>c. International Round Trip Airfare ($1,467 x 2 trips)</t>
  </si>
  <si>
    <t>c. International Round Trip Airfare ($1,500 x 1 trips)</t>
  </si>
  <si>
    <t>d. International Lodging &amp; Per Diem ($50/day + $86/day) x 6 days x 2 trips</t>
  </si>
  <si>
    <t>d. International Lodging &amp; Per Diem (1 x $114/day x 5 days)</t>
  </si>
  <si>
    <t>(1 x $68/day x 6 days)</t>
  </si>
  <si>
    <t>2. Participant Travel</t>
  </si>
  <si>
    <t>a. International Round Trip Airfare ($1,650 x 24 trips)</t>
  </si>
  <si>
    <t>b. U.S. Domestic flights for Group Exchange Participants ($350 x 18 participants)</t>
  </si>
  <si>
    <t>b. U.S. Domestic flights for Group Exchange Participants ($500 x 16 participants)</t>
  </si>
  <si>
    <t>c. International/Domestic Per Diem ($50/day x 10 days x 6 trips)</t>
  </si>
  <si>
    <t>c. International/Domestic Per Diem ($80/day x 10 days x 20 trips)</t>
  </si>
  <si>
    <t>d. Visa Fees ($185 x 3 participants)</t>
  </si>
  <si>
    <t>d. Visa Fees ($160 x 4 participants)</t>
  </si>
  <si>
    <t>e. Visa Related Travel Fees ($275 x 6 participants)</t>
  </si>
  <si>
    <t>e. Visa Related Travel Fees ($250 x 4 participants)</t>
  </si>
  <si>
    <t>f. U.S. Hotel for Group Exchange Participants ($217 x 4 nights x 18 participants)</t>
  </si>
  <si>
    <t>f. U.S. Hotel for Group Exchange Participants ($224 x 2 nights x 16 participants)</t>
  </si>
  <si>
    <t>Total Travel</t>
  </si>
  <si>
    <t>IV. Equipment</t>
  </si>
  <si>
    <t>V. Supplies</t>
  </si>
  <si>
    <t>a. Supplies</t>
  </si>
  <si>
    <t>Total Supplies</t>
  </si>
  <si>
    <t>VI. Contractual</t>
  </si>
  <si>
    <t>a. Subawards (4 community-led projects x $5,000)</t>
  </si>
  <si>
    <t>a. Subawards (3 community-led projects x $5,000)</t>
  </si>
  <si>
    <t>b. Subawards (group exchanges) (2 subawards x $10,000)</t>
  </si>
  <si>
    <t>c. Technical/Operational Consultant Pool ($300/day x 40 days)</t>
  </si>
  <si>
    <t>c. Technical/Operational Consultant Pool ($300/day x 14 days)</t>
  </si>
  <si>
    <t>e. Monitoring and Evaluation Consultant ($300 x 10 days)</t>
  </si>
  <si>
    <t>Total Contractual</t>
  </si>
  <si>
    <t>VII. Construction</t>
  </si>
  <si>
    <t>VIII. Other Direct Costs</t>
  </si>
  <si>
    <t>1. Events</t>
  </si>
  <si>
    <t>a. Event Costs - One-Day, In-Person Peer Learning Event</t>
  </si>
  <si>
    <t>a. Event Costs - Exchange Activities</t>
  </si>
  <si>
    <t>2. Communications</t>
  </si>
  <si>
    <t>a. Promotion &amp; Communications</t>
  </si>
  <si>
    <t>b. Platform Subscriptions ($50/month x 17 months)
May 2024 - June 2024 at 25%
July 2024 - Sept 2024 at 50%
October 2024 - Sept 2025 at 100%</t>
  </si>
  <si>
    <t>b. Platform Subscriptions ($149/month x 18 months)
September 2025 - April 2026 at 50%
May 2026 - February 2027 at 100%</t>
  </si>
  <si>
    <t>c. Online Platform for Subaward Management ($120/month x 17 months)</t>
  </si>
  <si>
    <t>c. Online Platform for Subaward Management ($138/month x 18 months)</t>
  </si>
  <si>
    <t xml:space="preserve">3. Materials </t>
  </si>
  <si>
    <t>b. Courier</t>
  </si>
  <si>
    <t>a. Courier and printing</t>
  </si>
  <si>
    <t>4. Volunteer Time</t>
  </si>
  <si>
    <t xml:space="preserve">a.  U.S. and LAC Volunteer Time </t>
  </si>
  <si>
    <t>Total Other Direct Costs</t>
  </si>
  <si>
    <t>Total Direct Costs</t>
  </si>
  <si>
    <t>IX. Indirect Costs*</t>
  </si>
  <si>
    <t>Total Indirect Costs</t>
  </si>
  <si>
    <t>TOTAL COSTS</t>
  </si>
  <si>
    <t>U.S. and LAC Volunteer Time</t>
  </si>
  <si>
    <t xml:space="preserve">Item </t>
  </si>
  <si>
    <t># volunteers</t>
  </si>
  <si>
    <t># Vol-days</t>
  </si>
  <si>
    <t>Daily Rate</t>
  </si>
  <si>
    <t>Total Cost Share</t>
  </si>
  <si>
    <t>U.S. Volunteers</t>
  </si>
  <si>
    <t>Planning and preparation</t>
  </si>
  <si>
    <t>Orientation</t>
  </si>
  <si>
    <t>Participants</t>
  </si>
  <si>
    <t>Follow-on engagement</t>
  </si>
  <si>
    <t>Communications support</t>
  </si>
  <si>
    <t>Proposal reviewers</t>
  </si>
  <si>
    <t>Sub total</t>
  </si>
  <si>
    <t>Non-U.S. (LAC) Volunteers</t>
  </si>
  <si>
    <t>Total volunteer time match</t>
  </si>
  <si>
    <t>a. Domestic Round Trip Airfare ($500 x 4 trips)</t>
  </si>
  <si>
    <t>b. Domestic Lodging &amp; Per Diem 
Washington, DC ($224 x 2 nights x 1 trip + $83/day x 3 days) x 3 people
Other Host City ($169 x 2 nights x 1 trip + $72/day x 3 days x 1 trip)</t>
  </si>
  <si>
    <t>a. International Round Trip Airfare ($1,600 x 20 trips)</t>
  </si>
  <si>
    <t>PERSNL</t>
  </si>
  <si>
    <t>50000 (Timesheets)</t>
  </si>
  <si>
    <t>FRINGE</t>
  </si>
  <si>
    <t>50900 (Timesheets)</t>
  </si>
  <si>
    <t>STFTRAVEL</t>
  </si>
  <si>
    <t>STFCN DIEM</t>
  </si>
  <si>
    <t>86030 (Lodging) &amp; 86050 (M&amp;IE)</t>
  </si>
  <si>
    <t>PARTTRAVEL</t>
  </si>
  <si>
    <t>PARTPERDIE</t>
  </si>
  <si>
    <t>VISATRVEXP</t>
  </si>
  <si>
    <t>86000 (Transport) 86030 (Lodging) &amp; 86050 (M&amp;IE)</t>
  </si>
  <si>
    <t>IDC</t>
  </si>
  <si>
    <t>SUPPLIES</t>
  </si>
  <si>
    <t>SUBSCRIPT</t>
  </si>
  <si>
    <t>GRANTS</t>
  </si>
  <si>
    <t>IN-KIND</t>
  </si>
  <si>
    <t>COURIER</t>
  </si>
  <si>
    <t>LODGING</t>
  </si>
  <si>
    <t>CONSULT</t>
  </si>
  <si>
    <t>EVENT</t>
  </si>
  <si>
    <t>COMM</t>
  </si>
  <si>
    <t>Program/Dept.</t>
  </si>
  <si>
    <t>40300</t>
  </si>
  <si>
    <t>Grant:</t>
  </si>
  <si>
    <t>DOS289</t>
  </si>
  <si>
    <t>Budget Code</t>
  </si>
  <si>
    <t>Account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</si>
</sst>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\ * #,##0.00_-;\-&quot;$&quot;\ * #,##0.00_-;_-&quot;$&quot;\ * &quot;-&quot;??_-;_-@_-"/>
    <numFmt numFmtId="165" formatCode="&quot;$&quot;#,##0"/>
    <numFmt numFmtId="166" formatCode="#,##0.00%"/>
    <numFmt numFmtId="167" formatCode="&quot;$&quot;#,##0.00"/>
    <numFmt numFmtId="168" formatCode="_(* #,##0_);_(* \(#,##0\);_(* &quot;-&quot;??_);_(@_)"/>
    <numFmt numFmtId="169" formatCode="_(&quot;$&quot;* #,##0_);_(&quot;$&quot;* \(#,##0\);_(&quot;$&quot;* &quot;-&quot;??_);_(@_)"/>
    <numFmt numFmtId="170" formatCode="0.0%"/>
  </numFmts>
  <fonts count="33" x14ac:knownFonts="1">
    <font>
      <sz val="12"/>
      <color indexed="8"/>
      <name val="Verdana"/>
    </font>
    <font>
      <sz val="11"/>
      <color indexed="8"/>
      <name val="Calibri"/>
      <family val="2"/>
    </font>
    <font>
      <sz val="12"/>
      <color indexed="8"/>
      <name val="Verdana"/>
      <family val="2"/>
    </font>
    <font>
      <sz val="10"/>
      <color indexed="8"/>
      <name val="Helvetica"/>
      <family val="2"/>
      <scheme val="minor"/>
    </font>
    <font>
      <b/>
      <sz val="10"/>
      <color indexed="8"/>
      <name val="Helvetica"/>
      <family val="2"/>
      <scheme val="minor"/>
    </font>
    <font>
      <i/>
      <sz val="10"/>
      <color indexed="8"/>
      <name val="Helvetica"/>
      <family val="2"/>
      <scheme val="minor"/>
    </font>
    <font>
      <sz val="10"/>
      <name val="Helvetica"/>
      <family val="2"/>
      <scheme val="minor"/>
    </font>
    <font>
      <b/>
      <sz val="10"/>
      <name val="Helvetica"/>
      <family val="2"/>
      <scheme val="minor"/>
    </font>
    <font>
      <b/>
      <sz val="10"/>
      <color indexed="8"/>
      <name val="Helvetica"/>
      <family val="2"/>
      <scheme val="major"/>
    </font>
    <font>
      <sz val="11"/>
      <color indexed="8"/>
      <name val="Helvetica"/>
      <family val="2"/>
      <scheme val="major"/>
    </font>
    <font>
      <b/>
      <sz val="10"/>
      <name val="Helvetica"/>
      <family val="2"/>
      <scheme val="major"/>
    </font>
    <font>
      <u/>
      <sz val="11"/>
      <color indexed="8"/>
      <name val="Helvetica"/>
      <family val="2"/>
      <scheme val="major"/>
    </font>
    <font>
      <sz val="10"/>
      <color indexed="8"/>
      <name val="Helvetica"/>
      <family val="2"/>
      <scheme val="major"/>
    </font>
    <font>
      <b/>
      <i/>
      <sz val="11"/>
      <name val="Helvetica"/>
      <family val="2"/>
      <scheme val="major"/>
    </font>
    <font>
      <b/>
      <sz val="11"/>
      <color indexed="8"/>
      <name val="Helvetica"/>
      <family val="2"/>
      <scheme val="major"/>
    </font>
    <font>
      <b/>
      <sz val="10"/>
      <name val="Helvetica"/>
      <family val="2"/>
    </font>
    <font>
      <sz val="10"/>
      <name val="Helvetica"/>
      <family val="2"/>
    </font>
    <font>
      <sz val="10"/>
      <color theme="1"/>
      <name val="Helvetica"/>
      <family val="2"/>
      <scheme val="minor"/>
    </font>
    <font>
      <sz val="10"/>
      <color theme="1"/>
      <name val="Helvetica"/>
      <family val="2"/>
      <scheme val="major"/>
    </font>
    <font>
      <sz val="11"/>
      <name val="Calibri"/>
      <family val="2"/>
    </font>
    <font>
      <sz val="11"/>
      <name val="Calibri"/>
      <family val="2"/>
    </font>
    <font>
      <sz val="8"/>
      <name val="Verdana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2"/>
      <color rgb="FF000000"/>
      <name val="Arial"/>
      <family val="2"/>
    </font>
    <font>
      <sz val="11"/>
      <color indexed="8"/>
      <name val="Helvetica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rgb="FF000000"/>
      <name val="Helvetica"/>
      <family val="2"/>
      <scheme val="minor"/>
    </font>
    <font>
      <sz val="10"/>
      <color indexed="8"/>
      <name val="Helvetica"/>
      <family val="2"/>
    </font>
    <font>
      <b/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8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 applyNumberFormat="0" applyFill="0" applyBorder="0" applyProtection="0">
      <alignment vertical="top" wrapText="1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 applyNumberFormat="0" applyFill="0" applyBorder="0" applyProtection="0">
      <alignment vertical="top" wrapText="1"/>
    </xf>
    <xf numFmtId="9" fontId="2" fillId="0" borderId="0" applyFont="0" applyFill="0" applyBorder="0" applyAlignment="0" applyProtection="0"/>
  </cellStyleXfs>
  <cellXfs count="274">
    <xf numFmtId="0" fontId="0" fillId="0" borderId="0" xfId="0">
      <alignment vertical="top" wrapText="1"/>
    </xf>
    <xf numFmtId="0" fontId="1" fillId="0" borderId="0" xfId="0" applyFont="1" applyBorder="1" applyAlignment="1"/>
    <xf numFmtId="169" fontId="1" fillId="0" borderId="0" xfId="0" applyNumberFormat="1" applyFont="1" applyAlignment="1"/>
    <xf numFmtId="44" fontId="1" fillId="0" borderId="0" xfId="0" applyNumberFormat="1" applyFont="1" applyAlignment="1"/>
    <xf numFmtId="0" fontId="9" fillId="0" borderId="0" xfId="0" applyNumberFormat="1" applyFont="1" applyAlignment="1"/>
    <xf numFmtId="0" fontId="14" fillId="0" borderId="0" xfId="0" applyNumberFormat="1" applyFont="1" applyAlignment="1"/>
    <xf numFmtId="0" fontId="1" fillId="0" borderId="0" xfId="0" applyFont="1" applyAlignment="1"/>
    <xf numFmtId="0" fontId="1" fillId="0" borderId="0" xfId="0" applyFont="1" applyFill="1" applyAlignment="1"/>
    <xf numFmtId="0" fontId="9" fillId="0" borderId="17" xfId="0" applyNumberFormat="1" applyFont="1" applyBorder="1" applyAlignment="1"/>
    <xf numFmtId="0" fontId="14" fillId="0" borderId="17" xfId="0" applyNumberFormat="1" applyFont="1" applyBorder="1" applyAlignment="1"/>
    <xf numFmtId="0" fontId="14" fillId="0" borderId="18" xfId="0" applyNumberFormat="1" applyFont="1" applyBorder="1" applyAlignment="1"/>
    <xf numFmtId="169" fontId="3" fillId="0" borderId="21" xfId="2" applyNumberFormat="1" applyFont="1" applyFill="1" applyBorder="1" applyAlignment="1">
      <alignment vertical="center"/>
    </xf>
    <xf numFmtId="0" fontId="4" fillId="0" borderId="0" xfId="0" applyFont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7" fillId="4" borderId="24" xfId="0" applyFont="1" applyFill="1" applyBorder="1" applyAlignment="1">
      <alignment horizontal="center" vertical="center" wrapText="1"/>
    </xf>
    <xf numFmtId="42" fontId="6" fillId="0" borderId="21" xfId="2" applyNumberFormat="1" applyFont="1" applyFill="1" applyBorder="1" applyAlignment="1">
      <alignment vertical="center"/>
    </xf>
    <xf numFmtId="0" fontId="7" fillId="0" borderId="0" xfId="0" applyFont="1" applyBorder="1" applyAlignment="1">
      <alignment horizontal="center" vertical="top"/>
    </xf>
    <xf numFmtId="169" fontId="6" fillId="0" borderId="21" xfId="2" applyNumberFormat="1" applyFont="1" applyFill="1" applyBorder="1" applyAlignment="1">
      <alignment vertical="center"/>
    </xf>
    <xf numFmtId="0" fontId="20" fillId="0" borderId="0" xfId="0" applyFont="1" applyAlignment="1"/>
    <xf numFmtId="42" fontId="6" fillId="7" borderId="21" xfId="2" applyNumberFormat="1" applyFont="1" applyFill="1" applyBorder="1" applyAlignment="1">
      <alignment vertical="center"/>
    </xf>
    <xf numFmtId="9" fontId="6" fillId="7" borderId="21" xfId="4" applyFont="1" applyFill="1" applyBorder="1" applyAlignment="1">
      <alignment vertical="center"/>
    </xf>
    <xf numFmtId="169" fontId="4" fillId="7" borderId="22" xfId="2" applyNumberFormat="1" applyFont="1" applyFill="1" applyBorder="1" applyAlignment="1">
      <alignment vertical="center"/>
    </xf>
    <xf numFmtId="169" fontId="4" fillId="0" borderId="22" xfId="2" applyNumberFormat="1" applyFont="1" applyFill="1" applyBorder="1" applyAlignment="1">
      <alignment vertical="center"/>
    </xf>
    <xf numFmtId="168" fontId="3" fillId="7" borderId="21" xfId="1" applyNumberFormat="1" applyFont="1" applyFill="1" applyBorder="1" applyAlignment="1">
      <alignment vertical="center"/>
    </xf>
    <xf numFmtId="0" fontId="1" fillId="0" borderId="0" xfId="0" applyFont="1" applyFill="1" applyBorder="1" applyAlignment="1"/>
    <xf numFmtId="0" fontId="9" fillId="0" borderId="0" xfId="0" applyNumberFormat="1" applyFont="1" applyFill="1" applyAlignment="1"/>
    <xf numFmtId="169" fontId="3" fillId="7" borderId="21" xfId="2" applyNumberFormat="1" applyFont="1" applyFill="1" applyBorder="1" applyAlignment="1">
      <alignment vertical="center"/>
    </xf>
    <xf numFmtId="9" fontId="1" fillId="0" borderId="0" xfId="0" applyNumberFormat="1" applyFont="1" applyFill="1" applyAlignment="1"/>
    <xf numFmtId="0" fontId="9" fillId="0" borderId="0" xfId="0" applyFont="1" applyFill="1" applyBorder="1" applyAlignment="1"/>
    <xf numFmtId="0" fontId="11" fillId="0" borderId="0" xfId="0" applyNumberFormat="1" applyFont="1" applyFill="1" applyAlignment="1">
      <alignment horizontal="center"/>
    </xf>
    <xf numFmtId="0" fontId="9" fillId="0" borderId="0" xfId="0" quotePrefix="1" applyNumberFormat="1" applyFont="1" applyFill="1" applyAlignment="1"/>
    <xf numFmtId="0" fontId="9" fillId="0" borderId="0" xfId="0" applyFont="1" applyFill="1" applyBorder="1" applyAlignment="1">
      <alignment horizontal="right"/>
    </xf>
    <xf numFmtId="170" fontId="9" fillId="0" borderId="0" xfId="4" applyNumberFormat="1" applyFont="1" applyFill="1" applyAlignment="1"/>
    <xf numFmtId="170" fontId="9" fillId="0" borderId="0" xfId="4" applyNumberFormat="1" applyFont="1" applyFill="1" applyBorder="1" applyAlignment="1"/>
    <xf numFmtId="9" fontId="9" fillId="0" borderId="0" xfId="0" applyNumberFormat="1" applyFont="1" applyFill="1" applyAlignment="1"/>
    <xf numFmtId="0" fontId="11" fillId="0" borderId="0" xfId="0" applyNumberFormat="1" applyFont="1" applyFill="1" applyAlignment="1">
      <alignment horizontal="right"/>
    </xf>
    <xf numFmtId="168" fontId="9" fillId="0" borderId="0" xfId="1" applyNumberFormat="1" applyFont="1" applyFill="1" applyAlignment="1"/>
    <xf numFmtId="168" fontId="6" fillId="0" borderId="21" xfId="1" applyNumberFormat="1" applyFont="1" applyFill="1" applyBorder="1" applyAlignment="1">
      <alignment vertical="center"/>
    </xf>
    <xf numFmtId="168" fontId="3" fillId="0" borderId="21" xfId="1" applyNumberFormat="1" applyFont="1" applyFill="1" applyBorder="1" applyAlignment="1">
      <alignment vertical="center"/>
    </xf>
    <xf numFmtId="44" fontId="1" fillId="0" borderId="0" xfId="0" applyNumberFormat="1" applyFont="1" applyFill="1" applyAlignment="1"/>
    <xf numFmtId="0" fontId="19" fillId="0" borderId="0" xfId="0" applyFont="1" applyFill="1" applyAlignment="1"/>
    <xf numFmtId="0" fontId="3" fillId="0" borderId="21" xfId="0" applyFont="1" applyFill="1" applyBorder="1">
      <alignment vertical="top" wrapText="1"/>
    </xf>
    <xf numFmtId="0" fontId="7" fillId="7" borderId="26" xfId="0" applyFont="1" applyFill="1" applyBorder="1" applyAlignment="1">
      <alignment horizontal="center" vertical="center" wrapText="1"/>
    </xf>
    <xf numFmtId="9" fontId="7" fillId="7" borderId="26" xfId="4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168" fontId="3" fillId="7" borderId="5" xfId="1" applyNumberFormat="1" applyFont="1" applyFill="1" applyBorder="1" applyAlignment="1">
      <alignment vertical="center"/>
    </xf>
    <xf numFmtId="9" fontId="3" fillId="7" borderId="5" xfId="4" applyFont="1" applyFill="1" applyBorder="1" applyAlignment="1">
      <alignment vertical="center"/>
    </xf>
    <xf numFmtId="3" fontId="3" fillId="7" borderId="5" xfId="0" applyNumberFormat="1" applyFont="1" applyFill="1" applyBorder="1" applyAlignment="1">
      <alignment vertical="center"/>
    </xf>
    <xf numFmtId="9" fontId="3" fillId="0" borderId="12" xfId="4" applyFont="1" applyFill="1" applyBorder="1" applyAlignment="1">
      <alignment vertical="center"/>
    </xf>
    <xf numFmtId="0" fontId="4" fillId="0" borderId="18" xfId="0" applyFont="1" applyFill="1" applyBorder="1" applyAlignment="1">
      <alignment vertical="top"/>
    </xf>
    <xf numFmtId="169" fontId="7" fillId="7" borderId="29" xfId="2" applyNumberFormat="1" applyFont="1" applyFill="1" applyBorder="1" applyAlignment="1">
      <alignment vertical="center"/>
    </xf>
    <xf numFmtId="169" fontId="4" fillId="0" borderId="29" xfId="2" applyNumberFormat="1" applyFont="1" applyFill="1" applyBorder="1" applyAlignment="1">
      <alignment vertical="center"/>
    </xf>
    <xf numFmtId="0" fontId="4" fillId="0" borderId="30" xfId="0" applyFont="1" applyFill="1" applyBorder="1" applyAlignment="1">
      <alignment vertical="top"/>
    </xf>
    <xf numFmtId="165" fontId="3" fillId="7" borderId="5" xfId="0" applyNumberFormat="1" applyFont="1" applyFill="1" applyBorder="1" applyAlignment="1">
      <alignment vertical="center"/>
    </xf>
    <xf numFmtId="165" fontId="6" fillId="0" borderId="5" xfId="0" applyNumberFormat="1" applyFont="1" applyFill="1" applyBorder="1" applyAlignment="1">
      <alignment vertical="center"/>
    </xf>
    <xf numFmtId="168" fontId="3" fillId="0" borderId="5" xfId="1" applyNumberFormat="1" applyFont="1" applyFill="1" applyBorder="1" applyAlignment="1">
      <alignment vertical="center"/>
    </xf>
    <xf numFmtId="165" fontId="3" fillId="0" borderId="5" xfId="0" applyNumberFormat="1" applyFont="1" applyFill="1" applyBorder="1" applyAlignment="1">
      <alignment vertical="center"/>
    </xf>
    <xf numFmtId="9" fontId="3" fillId="0" borderId="6" xfId="0" applyNumberFormat="1" applyFont="1" applyFill="1" applyBorder="1" applyAlignment="1">
      <alignment vertical="center"/>
    </xf>
    <xf numFmtId="9" fontId="3" fillId="0" borderId="12" xfId="0" applyNumberFormat="1" applyFont="1" applyFill="1" applyBorder="1" applyAlignment="1">
      <alignment vertical="center"/>
    </xf>
    <xf numFmtId="0" fontId="4" fillId="0" borderId="31" xfId="0" applyFont="1" applyFill="1" applyBorder="1" applyAlignment="1">
      <alignment vertical="top"/>
    </xf>
    <xf numFmtId="169" fontId="7" fillId="7" borderId="22" xfId="2" applyNumberFormat="1" applyFont="1" applyFill="1" applyBorder="1" applyAlignment="1">
      <alignment vertical="center"/>
    </xf>
    <xf numFmtId="169" fontId="7" fillId="0" borderId="22" xfId="2" applyNumberFormat="1" applyFont="1" applyFill="1" applyBorder="1" applyAlignment="1">
      <alignment vertical="center"/>
    </xf>
    <xf numFmtId="168" fontId="7" fillId="0" borderId="22" xfId="1" applyNumberFormat="1" applyFont="1" applyFill="1" applyBorder="1" applyAlignment="1">
      <alignment vertical="center"/>
    </xf>
    <xf numFmtId="0" fontId="4" fillId="0" borderId="32" xfId="0" applyFont="1" applyFill="1" applyBorder="1" applyAlignment="1">
      <alignment vertical="top"/>
    </xf>
    <xf numFmtId="165" fontId="3" fillId="8" borderId="21" xfId="0" applyNumberFormat="1" applyFont="1" applyFill="1" applyBorder="1" applyAlignment="1">
      <alignment vertical="center"/>
    </xf>
    <xf numFmtId="165" fontId="6" fillId="8" borderId="21" xfId="0" applyNumberFormat="1" applyFont="1" applyFill="1" applyBorder="1" applyAlignment="1">
      <alignment vertical="center"/>
    </xf>
    <xf numFmtId="168" fontId="3" fillId="8" borderId="21" xfId="1" applyNumberFormat="1" applyFont="1" applyFill="1" applyBorder="1" applyAlignment="1">
      <alignment vertical="center"/>
    </xf>
    <xf numFmtId="0" fontId="3" fillId="0" borderId="21" xfId="0" applyFont="1" applyFill="1" applyBorder="1" applyAlignment="1">
      <alignment vertical="top"/>
    </xf>
    <xf numFmtId="0" fontId="5" fillId="8" borderId="17" xfId="0" applyFont="1" applyFill="1" applyBorder="1" applyAlignment="1">
      <alignment vertical="top"/>
    </xf>
    <xf numFmtId="9" fontId="3" fillId="8" borderId="12" xfId="0" applyNumberFormat="1" applyFont="1" applyFill="1" applyBorder="1" applyAlignment="1">
      <alignment vertical="center"/>
    </xf>
    <xf numFmtId="0" fontId="3" fillId="0" borderId="17" xfId="0" applyFont="1" applyFill="1" applyBorder="1" applyAlignment="1">
      <alignment vertical="top"/>
    </xf>
    <xf numFmtId="169" fontId="4" fillId="7" borderId="29" xfId="2" applyNumberFormat="1" applyFont="1" applyFill="1" applyBorder="1" applyAlignment="1">
      <alignment vertical="center"/>
    </xf>
    <xf numFmtId="168" fontId="4" fillId="0" borderId="29" xfId="1" applyNumberFormat="1" applyFont="1" applyFill="1" applyBorder="1" applyAlignment="1">
      <alignment vertical="center"/>
    </xf>
    <xf numFmtId="0" fontId="4" fillId="0" borderId="4" xfId="0" applyFont="1" applyBorder="1" applyAlignment="1">
      <alignment vertical="top"/>
    </xf>
    <xf numFmtId="165" fontId="3" fillId="0" borderId="6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top"/>
    </xf>
    <xf numFmtId="0" fontId="23" fillId="0" borderId="0" xfId="0" applyNumberFormat="1" applyFont="1" applyAlignment="1"/>
    <xf numFmtId="0" fontId="22" fillId="2" borderId="13" xfId="0" applyNumberFormat="1" applyFont="1" applyFill="1" applyBorder="1" applyAlignment="1">
      <alignment horizontal="center"/>
    </xf>
    <xf numFmtId="0" fontId="22" fillId="2" borderId="14" xfId="0" applyNumberFormat="1" applyFont="1" applyFill="1" applyBorder="1" applyAlignment="1"/>
    <xf numFmtId="0" fontId="22" fillId="2" borderId="14" xfId="0" applyNumberFormat="1" applyFont="1" applyFill="1" applyBorder="1" applyAlignment="1">
      <alignment horizontal="right"/>
    </xf>
    <xf numFmtId="0" fontId="22" fillId="2" borderId="20" xfId="0" applyNumberFormat="1" applyFont="1" applyFill="1" applyBorder="1" applyAlignment="1">
      <alignment horizontal="center" wrapText="1"/>
    </xf>
    <xf numFmtId="44" fontId="23" fillId="0" borderId="14" xfId="2" applyFont="1" applyBorder="1" applyAlignment="1"/>
    <xf numFmtId="169" fontId="23" fillId="0" borderId="20" xfId="2" applyNumberFormat="1" applyFont="1" applyBorder="1" applyAlignment="1"/>
    <xf numFmtId="0" fontId="24" fillId="0" borderId="13" xfId="0" applyNumberFormat="1" applyFont="1" applyBorder="1" applyAlignment="1"/>
    <xf numFmtId="44" fontId="23" fillId="0" borderId="14" xfId="2" applyFont="1" applyFill="1" applyBorder="1" applyAlignment="1">
      <alignment horizontal="center"/>
    </xf>
    <xf numFmtId="0" fontId="23" fillId="0" borderId="13" xfId="0" applyNumberFormat="1" applyFont="1" applyBorder="1" applyAlignment="1"/>
    <xf numFmtId="168" fontId="23" fillId="0" borderId="14" xfId="1" applyNumberFormat="1" applyFont="1" applyBorder="1" applyAlignment="1">
      <alignment horizontal="center"/>
    </xf>
    <xf numFmtId="169" fontId="23" fillId="0" borderId="20" xfId="1" applyNumberFormat="1" applyFont="1" applyBorder="1" applyAlignment="1">
      <alignment horizontal="center"/>
    </xf>
    <xf numFmtId="43" fontId="23" fillId="0" borderId="0" xfId="0" applyNumberFormat="1" applyFont="1" applyAlignment="1"/>
    <xf numFmtId="168" fontId="23" fillId="0" borderId="14" xfId="1" applyNumberFormat="1" applyFont="1" applyFill="1" applyBorder="1" applyAlignment="1">
      <alignment horizontal="center"/>
    </xf>
    <xf numFmtId="0" fontId="23" fillId="0" borderId="0" xfId="0" applyNumberFormat="1" applyFont="1" applyFill="1" applyAlignment="1"/>
    <xf numFmtId="0" fontId="22" fillId="3" borderId="13" xfId="0" applyNumberFormat="1" applyFont="1" applyFill="1" applyBorder="1" applyAlignment="1"/>
    <xf numFmtId="168" fontId="22" fillId="3" borderId="14" xfId="1" applyNumberFormat="1" applyFont="1" applyFill="1" applyBorder="1" applyAlignment="1">
      <alignment horizontal="center"/>
    </xf>
    <xf numFmtId="169" fontId="22" fillId="3" borderId="20" xfId="2" applyNumberFormat="1" applyFont="1" applyFill="1" applyBorder="1" applyAlignment="1">
      <alignment horizontal="center"/>
    </xf>
    <xf numFmtId="0" fontId="22" fillId="0" borderId="1" xfId="0" applyNumberFormat="1" applyFont="1" applyBorder="1" applyAlignment="1"/>
    <xf numFmtId="168" fontId="22" fillId="0" borderId="3" xfId="1" applyNumberFormat="1" applyFont="1" applyBorder="1" applyAlignment="1">
      <alignment horizontal="center"/>
    </xf>
    <xf numFmtId="168" fontId="22" fillId="0" borderId="3" xfId="1" applyNumberFormat="1" applyFont="1" applyFill="1" applyBorder="1" applyAlignment="1">
      <alignment horizontal="center"/>
    </xf>
    <xf numFmtId="169" fontId="22" fillId="0" borderId="2" xfId="2" applyNumberFormat="1" applyFont="1" applyBorder="1" applyAlignment="1">
      <alignment horizontal="center"/>
    </xf>
    <xf numFmtId="44" fontId="23" fillId="0" borderId="0" xfId="2" applyFont="1" applyAlignment="1"/>
    <xf numFmtId="44" fontId="23" fillId="0" borderId="0" xfId="0" applyNumberFormat="1" applyFont="1" applyAlignment="1"/>
    <xf numFmtId="44" fontId="22" fillId="3" borderId="14" xfId="2" applyFont="1" applyFill="1" applyBorder="1" applyAlignment="1">
      <alignment horizontal="center"/>
    </xf>
    <xf numFmtId="1" fontId="23" fillId="0" borderId="25" xfId="0" applyNumberFormat="1" applyFont="1" applyBorder="1" applyAlignment="1">
      <alignment horizontal="center"/>
    </xf>
    <xf numFmtId="44" fontId="23" fillId="0" borderId="15" xfId="2" applyFont="1" applyBorder="1" applyAlignment="1"/>
    <xf numFmtId="44" fontId="23" fillId="0" borderId="15" xfId="2" applyFont="1" applyBorder="1" applyAlignment="1">
      <alignment horizontal="center"/>
    </xf>
    <xf numFmtId="169" fontId="23" fillId="0" borderId="23" xfId="2" applyNumberFormat="1" applyFont="1" applyBorder="1" applyAlignment="1"/>
    <xf numFmtId="0" fontId="22" fillId="3" borderId="1" xfId="0" applyNumberFormat="1" applyFont="1" applyFill="1" applyBorder="1" applyAlignment="1"/>
    <xf numFmtId="168" fontId="22" fillId="3" borderId="3" xfId="1" applyNumberFormat="1" applyFont="1" applyFill="1" applyBorder="1" applyAlignment="1">
      <alignment horizontal="center"/>
    </xf>
    <xf numFmtId="169" fontId="22" fillId="3" borderId="2" xfId="2" applyNumberFormat="1" applyFont="1" applyFill="1" applyBorder="1" applyAlignment="1">
      <alignment horizontal="center"/>
    </xf>
    <xf numFmtId="0" fontId="24" fillId="0" borderId="21" xfId="0" applyNumberFormat="1" applyFont="1" applyBorder="1" applyAlignment="1"/>
    <xf numFmtId="0" fontId="23" fillId="0" borderId="21" xfId="0" applyNumberFormat="1" applyFont="1" applyBorder="1" applyAlignment="1"/>
    <xf numFmtId="168" fontId="23" fillId="0" borderId="21" xfId="2" applyNumberFormat="1" applyFont="1" applyBorder="1" applyAlignment="1">
      <alignment horizontal="center"/>
    </xf>
    <xf numFmtId="44" fontId="23" fillId="0" borderId="21" xfId="2" applyFont="1" applyFill="1" applyBorder="1" applyAlignment="1">
      <alignment horizontal="center"/>
    </xf>
    <xf numFmtId="169" fontId="23" fillId="0" borderId="21" xfId="2" applyNumberFormat="1" applyFont="1" applyBorder="1" applyAlignment="1">
      <alignment horizontal="center"/>
    </xf>
    <xf numFmtId="168" fontId="23" fillId="0" borderId="21" xfId="1" applyNumberFormat="1" applyFont="1" applyBorder="1" applyAlignment="1">
      <alignment horizontal="center"/>
    </xf>
    <xf numFmtId="44" fontId="23" fillId="0" borderId="21" xfId="2" applyFont="1" applyFill="1" applyBorder="1" applyAlignment="1"/>
    <xf numFmtId="169" fontId="23" fillId="0" borderId="21" xfId="1" applyNumberFormat="1" applyFont="1" applyBorder="1" applyAlignment="1">
      <alignment horizontal="center"/>
    </xf>
    <xf numFmtId="168" fontId="23" fillId="0" borderId="21" xfId="1" applyNumberFormat="1" applyFont="1" applyFill="1" applyBorder="1" applyAlignment="1">
      <alignment horizontal="center"/>
    </xf>
    <xf numFmtId="0" fontId="18" fillId="0" borderId="18" xfId="0" applyNumberFormat="1" applyFont="1" applyFill="1" applyBorder="1" applyAlignment="1">
      <alignment horizontal="left" vertical="top" wrapText="1"/>
    </xf>
    <xf numFmtId="168" fontId="12" fillId="0" borderId="29" xfId="1" applyNumberFormat="1" applyFont="1" applyFill="1" applyBorder="1" applyAlignment="1">
      <alignment horizontal="right"/>
    </xf>
    <xf numFmtId="165" fontId="12" fillId="0" borderId="29" xfId="0" applyNumberFormat="1" applyFont="1" applyFill="1" applyBorder="1" applyAlignment="1">
      <alignment horizontal="right"/>
    </xf>
    <xf numFmtId="165" fontId="12" fillId="0" borderId="19" xfId="0" applyNumberFormat="1" applyFont="1" applyFill="1" applyBorder="1" applyAlignment="1">
      <alignment horizontal="right"/>
    </xf>
    <xf numFmtId="0" fontId="10" fillId="0" borderId="34" xfId="0" applyNumberFormat="1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center" vertical="center" wrapText="1"/>
    </xf>
    <xf numFmtId="0" fontId="10" fillId="0" borderId="36" xfId="0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/>
    <xf numFmtId="165" fontId="8" fillId="0" borderId="5" xfId="0" applyNumberFormat="1" applyFont="1" applyFill="1" applyBorder="1" applyAlignment="1">
      <alignment horizontal="right"/>
    </xf>
    <xf numFmtId="165" fontId="8" fillId="0" borderId="6" xfId="0" applyNumberFormat="1" applyFont="1" applyFill="1" applyBorder="1" applyAlignment="1">
      <alignment horizontal="right"/>
    </xf>
    <xf numFmtId="0" fontId="12" fillId="0" borderId="18" xfId="0" applyNumberFormat="1" applyFont="1" applyFill="1" applyBorder="1" applyAlignment="1"/>
    <xf numFmtId="0" fontId="8" fillId="0" borderId="37" xfId="0" applyNumberFormat="1" applyFont="1" applyFill="1" applyBorder="1" applyAlignment="1"/>
    <xf numFmtId="165" fontId="8" fillId="0" borderId="38" xfId="0" applyNumberFormat="1" applyFont="1" applyFill="1" applyBorder="1" applyAlignment="1">
      <alignment horizontal="right"/>
    </xf>
    <xf numFmtId="165" fontId="8" fillId="0" borderId="39" xfId="0" applyNumberFormat="1" applyFont="1" applyFill="1" applyBorder="1" applyAlignment="1">
      <alignment horizontal="right"/>
    </xf>
    <xf numFmtId="0" fontId="18" fillId="0" borderId="4" xfId="0" applyNumberFormat="1" applyFont="1" applyFill="1" applyBorder="1" applyAlignment="1">
      <alignment horizontal="left" vertical="top" wrapText="1"/>
    </xf>
    <xf numFmtId="165" fontId="12" fillId="0" borderId="5" xfId="0" applyNumberFormat="1" applyFont="1" applyFill="1" applyBorder="1" applyAlignment="1">
      <alignment horizontal="right"/>
    </xf>
    <xf numFmtId="0" fontId="13" fillId="5" borderId="4" xfId="0" applyNumberFormat="1" applyFont="1" applyFill="1" applyBorder="1" applyAlignment="1">
      <alignment horizontal="center"/>
    </xf>
    <xf numFmtId="0" fontId="9" fillId="0" borderId="0" xfId="0" applyNumberFormat="1" applyFont="1" applyFill="1" applyBorder="1" applyAlignment="1"/>
    <xf numFmtId="165" fontId="3" fillId="6" borderId="38" xfId="0" applyNumberFormat="1" applyFont="1" applyFill="1" applyBorder="1" applyAlignment="1">
      <alignment vertical="center"/>
    </xf>
    <xf numFmtId="165" fontId="6" fillId="6" borderId="38" xfId="0" applyNumberFormat="1" applyFont="1" applyFill="1" applyBorder="1" applyAlignment="1">
      <alignment vertical="center"/>
    </xf>
    <xf numFmtId="168" fontId="3" fillId="6" borderId="38" xfId="1" applyNumberFormat="1" applyFont="1" applyFill="1" applyBorder="1" applyAlignment="1">
      <alignment vertical="center"/>
    </xf>
    <xf numFmtId="165" fontId="3" fillId="6" borderId="39" xfId="0" applyNumberFormat="1" applyFont="1" applyFill="1" applyBorder="1" applyAlignment="1">
      <alignment vertical="center"/>
    </xf>
    <xf numFmtId="169" fontId="4" fillId="7" borderId="38" xfId="2" applyNumberFormat="1" applyFont="1" applyFill="1" applyBorder="1" applyAlignment="1">
      <alignment vertical="center"/>
    </xf>
    <xf numFmtId="169" fontId="4" fillId="0" borderId="38" xfId="2" applyNumberFormat="1" applyFont="1" applyFill="1" applyBorder="1" applyAlignment="1">
      <alignment vertical="center"/>
    </xf>
    <xf numFmtId="168" fontId="4" fillId="0" borderId="38" xfId="1" applyNumberFormat="1" applyFont="1" applyFill="1" applyBorder="1" applyAlignment="1">
      <alignment vertical="center"/>
    </xf>
    <xf numFmtId="168" fontId="6" fillId="7" borderId="21" xfId="1" applyNumberFormat="1" applyFont="1" applyFill="1" applyBorder="1" applyAlignment="1">
      <alignment vertical="center"/>
    </xf>
    <xf numFmtId="169" fontId="6" fillId="7" borderId="21" xfId="2" applyNumberFormat="1" applyFont="1" applyFill="1" applyBorder="1" applyAlignment="1">
      <alignment vertical="center"/>
    </xf>
    <xf numFmtId="165" fontId="6" fillId="0" borderId="5" xfId="0" applyNumberFormat="1" applyFont="1" applyBorder="1" applyAlignment="1">
      <alignment vertical="center"/>
    </xf>
    <xf numFmtId="168" fontId="3" fillId="0" borderId="5" xfId="1" applyNumberFormat="1" applyFont="1" applyBorder="1" applyAlignment="1">
      <alignment vertical="center"/>
    </xf>
    <xf numFmtId="165" fontId="3" fillId="0" borderId="5" xfId="0" applyNumberFormat="1" applyFont="1" applyBorder="1" applyAlignment="1">
      <alignment vertical="center"/>
    </xf>
    <xf numFmtId="9" fontId="6" fillId="0" borderId="12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right" vertical="top"/>
    </xf>
    <xf numFmtId="14" fontId="4" fillId="0" borderId="0" xfId="0" applyNumberFormat="1" applyFont="1" applyFill="1" applyBorder="1" applyAlignment="1">
      <alignment horizontal="center" vertical="top"/>
    </xf>
    <xf numFmtId="168" fontId="9" fillId="0" borderId="0" xfId="1" applyNumberFormat="1" applyFont="1" applyFill="1" applyBorder="1" applyAlignment="1"/>
    <xf numFmtId="9" fontId="3" fillId="0" borderId="6" xfId="4" applyFont="1" applyBorder="1" applyAlignment="1">
      <alignment vertical="center"/>
    </xf>
    <xf numFmtId="169" fontId="3" fillId="0" borderId="5" xfId="2" applyNumberFormat="1" applyFont="1" applyBorder="1" applyAlignment="1">
      <alignment vertical="center"/>
    </xf>
    <xf numFmtId="169" fontId="6" fillId="0" borderId="5" xfId="2" applyNumberFormat="1" applyFont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3" fontId="6" fillId="0" borderId="5" xfId="0" applyNumberFormat="1" applyFont="1" applyBorder="1" applyAlignment="1">
      <alignment vertical="center"/>
    </xf>
    <xf numFmtId="0" fontId="3" fillId="0" borderId="21" xfId="0" applyFont="1" applyBorder="1">
      <alignment vertical="top" wrapText="1"/>
    </xf>
    <xf numFmtId="164" fontId="1" fillId="0" borderId="0" xfId="0" applyNumberFormat="1" applyFont="1" applyAlignment="1"/>
    <xf numFmtId="168" fontId="7" fillId="7" borderId="22" xfId="1" applyNumberFormat="1" applyFont="1" applyFill="1" applyBorder="1" applyAlignment="1">
      <alignment vertical="center"/>
    </xf>
    <xf numFmtId="9" fontId="7" fillId="7" borderId="22" xfId="4" applyFont="1" applyFill="1" applyBorder="1" applyAlignment="1">
      <alignment vertical="center"/>
    </xf>
    <xf numFmtId="169" fontId="4" fillId="7" borderId="33" xfId="2" applyNumberFormat="1" applyFont="1" applyFill="1" applyBorder="1" applyAlignment="1">
      <alignment vertical="center"/>
    </xf>
    <xf numFmtId="169" fontId="4" fillId="0" borderId="33" xfId="2" applyNumberFormat="1" applyFont="1" applyFill="1" applyBorder="1" applyAlignment="1">
      <alignment vertical="center"/>
    </xf>
    <xf numFmtId="168" fontId="4" fillId="0" borderId="33" xfId="1" applyNumberFormat="1" applyFont="1" applyFill="1" applyBorder="1" applyAlignment="1">
      <alignment vertical="center"/>
    </xf>
    <xf numFmtId="169" fontId="3" fillId="7" borderId="5" xfId="2" applyNumberFormat="1" applyFont="1" applyFill="1" applyBorder="1" applyAlignment="1">
      <alignment vertical="top"/>
    </xf>
    <xf numFmtId="169" fontId="6" fillId="0" borderId="5" xfId="2" applyNumberFormat="1" applyFont="1" applyFill="1" applyBorder="1" applyAlignment="1">
      <alignment vertical="top"/>
    </xf>
    <xf numFmtId="168" fontId="3" fillId="0" borderId="5" xfId="1" applyNumberFormat="1" applyFont="1" applyFill="1" applyBorder="1" applyAlignment="1">
      <alignment vertical="top"/>
    </xf>
    <xf numFmtId="169" fontId="3" fillId="0" borderId="5" xfId="2" applyNumberFormat="1" applyFont="1" applyFill="1" applyBorder="1" applyAlignment="1">
      <alignment vertical="top"/>
    </xf>
    <xf numFmtId="9" fontId="3" fillId="0" borderId="6" xfId="0" applyNumberFormat="1" applyFont="1" applyFill="1" applyBorder="1" applyAlignment="1"/>
    <xf numFmtId="169" fontId="4" fillId="7" borderId="29" xfId="2" applyNumberFormat="1" applyFont="1" applyFill="1" applyBorder="1" applyAlignment="1"/>
    <xf numFmtId="169" fontId="7" fillId="0" borderId="29" xfId="2" applyNumberFormat="1" applyFont="1" applyFill="1" applyBorder="1" applyAlignment="1"/>
    <xf numFmtId="168" fontId="7" fillId="0" borderId="29" xfId="1" applyNumberFormat="1" applyFont="1" applyFill="1" applyBorder="1" applyAlignment="1"/>
    <xf numFmtId="169" fontId="4" fillId="0" borderId="29" xfId="2" applyNumberFormat="1" applyFont="1" applyFill="1" applyBorder="1" applyAlignment="1"/>
    <xf numFmtId="0" fontId="19" fillId="0" borderId="0" xfId="0" applyFont="1" applyAlignment="1"/>
    <xf numFmtId="44" fontId="19" fillId="0" borderId="0" xfId="0" applyNumberFormat="1" applyFont="1" applyAlignment="1"/>
    <xf numFmtId="44" fontId="19" fillId="0" borderId="0" xfId="0" applyNumberFormat="1" applyFont="1" applyFill="1" applyAlignment="1"/>
    <xf numFmtId="10" fontId="19" fillId="0" borderId="0" xfId="4" applyNumberFormat="1" applyFont="1" applyAlignment="1"/>
    <xf numFmtId="169" fontId="19" fillId="0" borderId="0" xfId="0" applyNumberFormat="1" applyFont="1" applyAlignment="1"/>
    <xf numFmtId="168" fontId="19" fillId="0" borderId="0" xfId="0" applyNumberFormat="1" applyFont="1" applyAlignment="1"/>
    <xf numFmtId="169" fontId="9" fillId="0" borderId="40" xfId="2" applyNumberFormat="1" applyFont="1" applyBorder="1" applyAlignment="1"/>
    <xf numFmtId="169" fontId="9" fillId="6" borderId="40" xfId="2" applyNumberFormat="1" applyFont="1" applyFill="1" applyBorder="1" applyAlignment="1"/>
    <xf numFmtId="169" fontId="14" fillId="0" borderId="40" xfId="2" applyNumberFormat="1" applyFont="1" applyBorder="1" applyAlignment="1"/>
    <xf numFmtId="169" fontId="14" fillId="0" borderId="41" xfId="2" applyNumberFormat="1" applyFont="1" applyBorder="1" applyAlignment="1"/>
    <xf numFmtId="0" fontId="13" fillId="5" borderId="42" xfId="0" applyNumberFormat="1" applyFont="1" applyFill="1" applyBorder="1" applyAlignment="1">
      <alignment horizontal="center"/>
    </xf>
    <xf numFmtId="0" fontId="13" fillId="5" borderId="43" xfId="0" applyNumberFormat="1" applyFont="1" applyFill="1" applyBorder="1" applyAlignment="1">
      <alignment horizontal="center"/>
    </xf>
    <xf numFmtId="0" fontId="13" fillId="5" borderId="5" xfId="0" applyNumberFormat="1" applyFont="1" applyFill="1" applyBorder="1" applyAlignment="1">
      <alignment horizontal="center"/>
    </xf>
    <xf numFmtId="167" fontId="9" fillId="6" borderId="44" xfId="0" applyNumberFormat="1" applyFont="1" applyFill="1" applyBorder="1" applyAlignment="1"/>
    <xf numFmtId="44" fontId="9" fillId="0" borderId="21" xfId="2" applyFont="1" applyBorder="1" applyAlignment="1"/>
    <xf numFmtId="44" fontId="9" fillId="6" borderId="21" xfId="2" applyFont="1" applyFill="1" applyBorder="1" applyAlignment="1"/>
    <xf numFmtId="44" fontId="9" fillId="0" borderId="0" xfId="0" applyNumberFormat="1" applyFont="1" applyAlignment="1"/>
    <xf numFmtId="169" fontId="1" fillId="0" borderId="0" xfId="0" applyNumberFormat="1" applyFont="1" applyFill="1" applyBorder="1" applyAlignment="1"/>
    <xf numFmtId="9" fontId="6" fillId="0" borderId="21" xfId="4" applyFont="1" applyFill="1" applyBorder="1" applyAlignment="1">
      <alignment vertical="center"/>
    </xf>
    <xf numFmtId="9" fontId="6" fillId="0" borderId="12" xfId="4" applyFont="1" applyFill="1" applyBorder="1" applyAlignment="1">
      <alignment vertical="center"/>
    </xf>
    <xf numFmtId="42" fontId="6" fillId="0" borderId="21" xfId="2" applyNumberFormat="1" applyFont="1" applyBorder="1" applyAlignment="1">
      <alignment vertical="center"/>
    </xf>
    <xf numFmtId="169" fontId="6" fillId="0" borderId="21" xfId="2" applyNumberFormat="1" applyFont="1" applyBorder="1" applyAlignment="1">
      <alignment vertical="center"/>
    </xf>
    <xf numFmtId="9" fontId="6" fillId="0" borderId="12" xfId="4" applyFont="1" applyBorder="1" applyAlignment="1">
      <alignment vertical="center"/>
    </xf>
    <xf numFmtId="9" fontId="4" fillId="0" borderId="16" xfId="0" applyNumberFormat="1" applyFont="1" applyFill="1" applyBorder="1" applyAlignment="1">
      <alignment vertical="center"/>
    </xf>
    <xf numFmtId="9" fontId="4" fillId="0" borderId="19" xfId="0" applyNumberFormat="1" applyFont="1" applyFill="1" applyBorder="1" applyAlignment="1">
      <alignment vertical="center"/>
    </xf>
    <xf numFmtId="9" fontId="4" fillId="0" borderId="39" xfId="0" applyNumberFormat="1" applyFont="1" applyFill="1" applyBorder="1" applyAlignment="1">
      <alignment vertical="center"/>
    </xf>
    <xf numFmtId="9" fontId="4" fillId="0" borderId="19" xfId="0" applyNumberFormat="1" applyFont="1" applyFill="1" applyBorder="1" applyAlignment="1"/>
    <xf numFmtId="9" fontId="4" fillId="0" borderId="11" xfId="0" applyNumberFormat="1" applyFont="1" applyFill="1" applyBorder="1" applyAlignment="1">
      <alignment vertical="center"/>
    </xf>
    <xf numFmtId="9" fontId="3" fillId="0" borderId="12" xfId="4" applyFont="1" applyBorder="1" applyAlignment="1">
      <alignment vertical="center"/>
    </xf>
    <xf numFmtId="169" fontId="3" fillId="0" borderId="21" xfId="2" applyNumberFormat="1" applyFont="1" applyBorder="1" applyAlignment="1">
      <alignment vertical="center"/>
    </xf>
    <xf numFmtId="168" fontId="6" fillId="0" borderId="21" xfId="1" applyNumberFormat="1" applyFont="1" applyBorder="1" applyAlignment="1">
      <alignment vertical="center"/>
    </xf>
    <xf numFmtId="0" fontId="25" fillId="0" borderId="0" xfId="0" applyFont="1" applyFill="1">
      <alignment vertical="top" wrapText="1"/>
    </xf>
    <xf numFmtId="169" fontId="1" fillId="0" borderId="0" xfId="0" applyNumberFormat="1" applyFont="1" applyFill="1" applyAlignment="1"/>
    <xf numFmtId="168" fontId="3" fillId="7" borderId="21" xfId="1" applyNumberFormat="1" applyFont="1" applyFill="1" applyBorder="1" applyAlignment="1">
      <alignment horizontal="right" vertical="center"/>
    </xf>
    <xf numFmtId="0" fontId="6" fillId="0" borderId="21" xfId="0" applyFont="1" applyFill="1" applyBorder="1" applyAlignment="1">
      <alignment vertical="top"/>
    </xf>
    <xf numFmtId="0" fontId="30" fillId="0" borderId="21" xfId="0" applyFont="1" applyFill="1" applyBorder="1">
      <alignment vertical="top" wrapText="1"/>
    </xf>
    <xf numFmtId="169" fontId="3" fillId="0" borderId="21" xfId="2" applyNumberFormat="1" applyFont="1" applyFill="1" applyBorder="1" applyAlignment="1">
      <alignment horizontal="left" vertical="center" indent="1"/>
    </xf>
    <xf numFmtId="0" fontId="16" fillId="0" borderId="21" xfId="0" applyFont="1" applyFill="1" applyBorder="1">
      <alignment vertical="top" wrapText="1"/>
    </xf>
    <xf numFmtId="42" fontId="6" fillId="0" borderId="5" xfId="2" applyNumberFormat="1" applyFont="1" applyFill="1" applyBorder="1" applyAlignment="1">
      <alignment vertical="center"/>
    </xf>
    <xf numFmtId="44" fontId="27" fillId="0" borderId="0" xfId="0" applyNumberFormat="1" applyFont="1" applyFill="1" applyBorder="1" applyAlignment="1"/>
    <xf numFmtId="8" fontId="29" fillId="0" borderId="0" xfId="0" applyNumberFormat="1" applyFont="1" applyFill="1" applyBorder="1">
      <alignment vertical="top" wrapText="1"/>
    </xf>
    <xf numFmtId="43" fontId="28" fillId="0" borderId="0" xfId="1" applyFont="1" applyFill="1" applyBorder="1" applyAlignment="1"/>
    <xf numFmtId="0" fontId="27" fillId="0" borderId="0" xfId="0" applyFont="1" applyFill="1" applyBorder="1" applyAlignment="1"/>
    <xf numFmtId="0" fontId="27" fillId="0" borderId="0" xfId="0" applyFont="1" applyFill="1" applyBorder="1" applyAlignment="1">
      <alignment wrapText="1"/>
    </xf>
    <xf numFmtId="0" fontId="26" fillId="0" borderId="0" xfId="0" applyFont="1" applyFill="1" applyBorder="1" applyAlignment="1"/>
    <xf numFmtId="0" fontId="19" fillId="0" borderId="0" xfId="0" applyFont="1" applyFill="1" applyBorder="1" applyAlignment="1"/>
    <xf numFmtId="164" fontId="1" fillId="0" borderId="0" xfId="0" applyNumberFormat="1" applyFont="1" applyFill="1" applyBorder="1" applyAlignment="1"/>
    <xf numFmtId="0" fontId="9" fillId="0" borderId="0" xfId="0" applyFont="1" applyFill="1" applyBorder="1" applyAlignment="1">
      <alignment horizontal="right" wrapText="1"/>
    </xf>
    <xf numFmtId="165" fontId="9" fillId="0" borderId="44" xfId="0" applyNumberFormat="1" applyFont="1" applyBorder="1" applyAlignment="1"/>
    <xf numFmtId="165" fontId="9" fillId="0" borderId="45" xfId="0" applyNumberFormat="1" applyFont="1" applyBorder="1" applyAlignment="1"/>
    <xf numFmtId="169" fontId="9" fillId="0" borderId="21" xfId="2" applyNumberFormat="1" applyFont="1" applyBorder="1" applyAlignment="1"/>
    <xf numFmtId="169" fontId="14" fillId="0" borderId="21" xfId="2" applyNumberFormat="1" applyFont="1" applyBorder="1" applyAlignment="1"/>
    <xf numFmtId="169" fontId="14" fillId="0" borderId="29" xfId="2" applyNumberFormat="1" applyFont="1" applyBorder="1" applyAlignment="1"/>
    <xf numFmtId="0" fontId="32" fillId="0" borderId="0" xfId="0" applyFont="1" applyFill="1" applyAlignment="1"/>
    <xf numFmtId="0" fontId="4" fillId="0" borderId="0" xfId="0" applyFont="1" applyFill="1" applyAlignment="1">
      <alignment horizontal="center" vertical="top"/>
    </xf>
    <xf numFmtId="0" fontId="15" fillId="0" borderId="0" xfId="0" applyFont="1" applyFill="1" applyAlignment="1">
      <alignment horizontal="center" vertical="top"/>
    </xf>
    <xf numFmtId="0" fontId="7" fillId="0" borderId="10" xfId="0" applyFont="1" applyFill="1" applyBorder="1" applyAlignment="1">
      <alignment horizontal="center" vertical="top"/>
    </xf>
    <xf numFmtId="0" fontId="25" fillId="0" borderId="46" xfId="0" applyFont="1" applyBorder="1" applyAlignment="1">
      <alignment horizontal="center" vertical="top" wrapText="1"/>
    </xf>
    <xf numFmtId="0" fontId="25" fillId="0" borderId="47" xfId="0" applyFont="1" applyBorder="1" applyAlignment="1">
      <alignment horizontal="center" vertical="top" wrapText="1"/>
    </xf>
    <xf numFmtId="0" fontId="25" fillId="0" borderId="48" xfId="0" applyFont="1" applyBorder="1" applyAlignment="1">
      <alignment horizontal="center" vertical="top" wrapText="1"/>
    </xf>
    <xf numFmtId="0" fontId="8" fillId="0" borderId="0" xfId="0" applyNumberFormat="1" applyFont="1" applyAlignment="1">
      <alignment horizontal="center"/>
    </xf>
    <xf numFmtId="0" fontId="10" fillId="0" borderId="10" xfId="0" applyNumberFormat="1" applyFont="1" applyFill="1" applyBorder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0" xfId="0" applyNumberFormat="1" applyFont="1" applyFill="1" applyBorder="1" applyAlignment="1">
      <alignment horizontal="center"/>
    </xf>
    <xf numFmtId="0" fontId="22" fillId="4" borderId="7" xfId="0" applyNumberFormat="1" applyFont="1" applyFill="1" applyBorder="1" applyAlignment="1">
      <alignment horizontal="center"/>
    </xf>
    <xf numFmtId="1" fontId="22" fillId="4" borderId="8" xfId="0" applyNumberFormat="1" applyFont="1" applyFill="1" applyBorder="1" applyAlignment="1">
      <alignment horizontal="center"/>
    </xf>
    <xf numFmtId="1" fontId="22" fillId="4" borderId="9" xfId="0" applyNumberFormat="1" applyFont="1" applyFill="1" applyBorder="1" applyAlignment="1">
      <alignment horizontal="center"/>
    </xf>
    <xf numFmtId="0" fontId="7" fillId="4" borderId="49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vertical="top"/>
    </xf>
    <xf numFmtId="0" fontId="16" fillId="0" borderId="51" xfId="0" applyFont="1" applyFill="1" applyBorder="1">
      <alignment vertical="top" wrapText="1"/>
    </xf>
    <xf numFmtId="0" fontId="4" fillId="0" borderId="52" xfId="0" applyFont="1" applyFill="1" applyBorder="1" applyAlignment="1">
      <alignment vertical="top"/>
    </xf>
    <xf numFmtId="166" fontId="3" fillId="0" borderId="51" xfId="0" applyNumberFormat="1" applyFont="1" applyFill="1" applyBorder="1" applyAlignment="1">
      <alignment horizontal="left" vertical="top"/>
    </xf>
    <xf numFmtId="0" fontId="5" fillId="8" borderId="51" xfId="0" applyFont="1" applyFill="1" applyBorder="1" applyAlignment="1">
      <alignment vertical="top"/>
    </xf>
    <xf numFmtId="0" fontId="6" fillId="0" borderId="51" xfId="0" applyFont="1" applyFill="1" applyBorder="1" applyAlignment="1">
      <alignment vertical="top"/>
    </xf>
    <xf numFmtId="0" fontId="3" fillId="0" borderId="51" xfId="0" applyFont="1" applyFill="1" applyBorder="1">
      <alignment vertical="top" wrapText="1"/>
    </xf>
    <xf numFmtId="0" fontId="3" fillId="0" borderId="51" xfId="0" applyFont="1" applyFill="1" applyBorder="1" applyAlignment="1">
      <alignment vertical="top"/>
    </xf>
    <xf numFmtId="0" fontId="17" fillId="0" borderId="51" xfId="0" applyFont="1" applyFill="1" applyBorder="1" applyAlignment="1">
      <alignment vertical="top"/>
    </xf>
    <xf numFmtId="0" fontId="6" fillId="0" borderId="51" xfId="0" applyFont="1" applyFill="1" applyBorder="1">
      <alignment vertical="top" wrapText="1"/>
    </xf>
    <xf numFmtId="0" fontId="4" fillId="0" borderId="53" xfId="0" applyFont="1" applyFill="1" applyBorder="1" applyAlignment="1">
      <alignment vertical="top"/>
    </xf>
    <xf numFmtId="0" fontId="4" fillId="0" borderId="54" xfId="0" applyFont="1" applyFill="1" applyBorder="1" applyAlignment="1">
      <alignment vertical="top"/>
    </xf>
    <xf numFmtId="0" fontId="4" fillId="0" borderId="50" xfId="0" applyFont="1" applyBorder="1" applyAlignment="1">
      <alignment vertical="top"/>
    </xf>
    <xf numFmtId="0" fontId="16" fillId="0" borderId="51" xfId="0" applyFont="1" applyBorder="1">
      <alignment vertical="top" wrapText="1"/>
    </xf>
    <xf numFmtId="0" fontId="4" fillId="0" borderId="55" xfId="0" applyFont="1" applyFill="1" applyBorder="1" applyAlignment="1">
      <alignment vertical="top"/>
    </xf>
    <xf numFmtId="0" fontId="1" fillId="0" borderId="21" xfId="0" applyFont="1" applyBorder="1" applyAlignment="1"/>
    <xf numFmtId="0" fontId="31" fillId="0" borderId="21" xfId="0" applyNumberFormat="1" applyFont="1" applyFill="1" applyBorder="1">
      <alignment vertical="top" wrapText="1"/>
    </xf>
    <xf numFmtId="0" fontId="31" fillId="0" borderId="21" xfId="0" applyNumberFormat="1" applyFont="1" applyFill="1" applyBorder="1" applyAlignment="1">
      <alignment horizontal="left" vertical="top" wrapText="1"/>
    </xf>
    <xf numFmtId="0" fontId="1" fillId="0" borderId="21" xfId="0" applyFont="1" applyFill="1" applyBorder="1" applyAlignment="1"/>
    <xf numFmtId="166" fontId="3" fillId="0" borderId="21" xfId="0" applyNumberFormat="1" applyFont="1" applyFill="1" applyBorder="1" applyAlignment="1">
      <alignment horizontal="left" vertical="top"/>
    </xf>
    <xf numFmtId="0" fontId="3" fillId="0" borderId="21" xfId="0" applyNumberFormat="1" applyFont="1" applyFill="1" applyBorder="1" applyAlignment="1">
      <alignment horizontal="left" vertical="center"/>
    </xf>
    <xf numFmtId="0" fontId="3" fillId="0" borderId="21" xfId="0" applyNumberFormat="1" applyFont="1" applyFill="1" applyBorder="1" applyAlignment="1">
      <alignment horizontal="left" vertical="top"/>
    </xf>
    <xf numFmtId="0" fontId="3" fillId="0" borderId="21" xfId="0" applyNumberFormat="1" applyFont="1" applyFill="1" applyBorder="1" applyAlignment="1">
      <alignment horizontal="left" vertical="top" wrapText="1"/>
    </xf>
    <xf numFmtId="0" fontId="27" fillId="0" borderId="21" xfId="0" applyFont="1" applyBorder="1">
      <alignment vertical="top" wrapText="1"/>
    </xf>
    <xf numFmtId="0" fontId="27" fillId="0" borderId="21" xfId="0" applyFont="1" applyBorder="1" applyAlignment="1"/>
    <xf numFmtId="0" fontId="19" fillId="0" borderId="21" xfId="0" applyFont="1" applyBorder="1" applyAlignment="1"/>
    <xf numFmtId="0" fontId="3" fillId="0" borderId="21" xfId="0" applyNumberFormat="1" applyFont="1" applyFill="1" applyBorder="1" applyAlignment="1">
      <alignment horizontal="right" vertical="top"/>
    </xf>
    <xf numFmtId="0" fontId="1" fillId="0" borderId="21" xfId="0" applyFont="1" applyFill="1" applyBorder="1" applyAlignment="1">
      <alignment horizontal="right"/>
    </xf>
    <xf numFmtId="0" fontId="1" fillId="0" borderId="21" xfId="0" applyFont="1" applyBorder="1" applyAlignment="1">
      <alignment horizontal="right"/>
    </xf>
    <xf numFmtId="166" fontId="3" fillId="0" borderId="21" xfId="0" applyNumberFormat="1" applyFont="1" applyFill="1" applyBorder="1" applyAlignment="1">
      <alignment horizontal="left" vertical="center"/>
    </xf>
    <xf numFmtId="0" fontId="3" fillId="0" borderId="21" xfId="0" applyNumberFormat="1" applyFont="1" applyFill="1" applyBorder="1" applyAlignment="1">
      <alignment horizontal="right" vertical="center"/>
    </xf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Percent" xfId="4" builtinId="5"/>
  </cellStyles>
  <dxfs count="0"/>
  <tableStyles count="0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D6D4CA"/>
      <rgbColor rgb="00B8CCE4"/>
      <rgbColor rgb="007F7F7F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opLeftCell="A3" zoomScaleNormal="100" workbookViewId="0">
      <selection activeCell="A31" sqref="A31"/>
    </sheetView>
  </sheetViews>
  <sheetFormatPr defaultColWidth="6.63671875" defaultRowHeight="15" customHeight="1" x14ac:dyDescent="0.45"/>
  <cols>
    <col min="1" max="1" width="27.1171875" style="4" customWidth="1"/>
    <col min="2" max="4" width="17.23828125" style="4" customWidth="1"/>
    <col min="5" max="5" width="41.23828125" style="4" customWidth="1"/>
    <col min="6" max="6" width="6.63671875" style="4"/>
    <col min="7" max="7" width="8.4765625" style="4" bestFit="1" customWidth="1"/>
    <col min="8" max="16384" width="6.63671875" style="4"/>
  </cols>
  <sheetData>
    <row r="1" spans="1:8" ht="15" customHeight="1" x14ac:dyDescent="0.45">
      <c r="A1" s="235" t="s">
        <v>0</v>
      </c>
      <c r="B1" s="235"/>
      <c r="C1" s="235"/>
      <c r="D1" s="235"/>
    </row>
    <row r="2" spans="1:8" ht="15" customHeight="1" x14ac:dyDescent="0.45">
      <c r="A2" s="237" t="s">
        <v>1</v>
      </c>
      <c r="B2" s="237"/>
      <c r="C2" s="237"/>
      <c r="D2" s="237"/>
    </row>
    <row r="3" spans="1:8" ht="14.1" thickBot="1" x14ac:dyDescent="0.5">
      <c r="A3" s="236" t="s">
        <v>2</v>
      </c>
      <c r="B3" s="236"/>
      <c r="C3" s="236"/>
      <c r="D3" s="236"/>
    </row>
    <row r="4" spans="1:8" ht="14.1" thickBot="1" x14ac:dyDescent="0.5">
      <c r="A4" s="238" t="s">
        <v>3</v>
      </c>
      <c r="B4" s="238"/>
      <c r="C4" s="238"/>
      <c r="D4" s="238"/>
    </row>
    <row r="5" spans="1:8" s="25" customFormat="1" ht="14.1" thickBot="1" x14ac:dyDescent="0.5">
      <c r="A5" s="124" t="s">
        <v>4</v>
      </c>
      <c r="B5" s="125" t="s">
        <v>5</v>
      </c>
      <c r="C5" s="125" t="s">
        <v>6</v>
      </c>
      <c r="D5" s="126" t="s">
        <v>7</v>
      </c>
      <c r="E5" s="28"/>
      <c r="F5" s="29"/>
      <c r="G5" s="29"/>
      <c r="H5" s="30"/>
    </row>
    <row r="6" spans="1:8" s="25" customFormat="1" ht="13.8" x14ac:dyDescent="0.45">
      <c r="A6" s="127" t="s">
        <v>8</v>
      </c>
      <c r="B6" s="128">
        <f>SUM('FY25 Budget Details'!Q44:Q49,'FY25 Budget Details'!Q57)</f>
        <v>84778.666666666657</v>
      </c>
      <c r="C6" s="128">
        <f>SUM('FY25 Budget Details'!R44:R49,'FY25 Budget Details'!R57)</f>
        <v>20000</v>
      </c>
      <c r="D6" s="129">
        <f t="shared" ref="D6:D11" si="0">B6+C6</f>
        <v>104778.66666666666</v>
      </c>
      <c r="E6" s="31"/>
      <c r="F6" s="32"/>
      <c r="G6" s="32"/>
    </row>
    <row r="7" spans="1:8" s="25" customFormat="1" ht="14.1" thickBot="1" x14ac:dyDescent="0.5">
      <c r="A7" s="130" t="s">
        <v>9</v>
      </c>
      <c r="B7" s="122">
        <f>B6/B12</f>
        <v>4238.9333333333325</v>
      </c>
      <c r="C7" s="122">
        <f>C6/B12</f>
        <v>1000</v>
      </c>
      <c r="D7" s="123">
        <f t="shared" si="0"/>
        <v>5238.9333333333325</v>
      </c>
      <c r="G7" s="32"/>
      <c r="H7" s="30"/>
    </row>
    <row r="8" spans="1:8" s="25" customFormat="1" ht="17.05" customHeight="1" x14ac:dyDescent="0.45">
      <c r="A8" s="127" t="s">
        <v>10</v>
      </c>
      <c r="B8" s="128">
        <f>B27-B6</f>
        <v>159350.33310137014</v>
      </c>
      <c r="C8" s="128">
        <f>C27-C6</f>
        <v>53869.600000000006</v>
      </c>
      <c r="D8" s="129">
        <f t="shared" si="0"/>
        <v>213219.93310137014</v>
      </c>
      <c r="E8" s="222"/>
      <c r="F8" s="33"/>
      <c r="G8" s="32"/>
    </row>
    <row r="9" spans="1:8" s="25" customFormat="1" ht="14.1" thickBot="1" x14ac:dyDescent="0.5">
      <c r="A9" s="130" t="s">
        <v>11</v>
      </c>
      <c r="B9" s="122">
        <f>B8/B12</f>
        <v>7967.5166550685071</v>
      </c>
      <c r="C9" s="122">
        <f>C8/B12</f>
        <v>2693.4800000000005</v>
      </c>
      <c r="D9" s="123">
        <f t="shared" si="0"/>
        <v>10660.996655068508</v>
      </c>
      <c r="E9" s="28"/>
      <c r="F9" s="34"/>
      <c r="G9" s="34"/>
    </row>
    <row r="10" spans="1:8" s="25" customFormat="1" ht="14.1" thickBot="1" x14ac:dyDescent="0.5">
      <c r="A10" s="131" t="s">
        <v>12</v>
      </c>
      <c r="B10" s="132">
        <f>B6+B8</f>
        <v>244128.9997680368</v>
      </c>
      <c r="C10" s="132">
        <f>C6+C8</f>
        <v>73869.600000000006</v>
      </c>
      <c r="D10" s="133">
        <f t="shared" si="0"/>
        <v>317998.5997680368</v>
      </c>
      <c r="E10" s="28"/>
    </row>
    <row r="11" spans="1:8" s="25" customFormat="1" ht="13.8" x14ac:dyDescent="0.45">
      <c r="A11" s="134" t="s">
        <v>13</v>
      </c>
      <c r="B11" s="135">
        <f>B7+B9</f>
        <v>12206.449988401841</v>
      </c>
      <c r="C11" s="135">
        <f>C7+C9</f>
        <v>3693.4800000000005</v>
      </c>
      <c r="D11" s="129">
        <f t="shared" si="0"/>
        <v>15899.92998840184</v>
      </c>
      <c r="E11" s="28"/>
    </row>
    <row r="12" spans="1:8" s="25" customFormat="1" ht="14.1" thickBot="1" x14ac:dyDescent="0.5">
      <c r="A12" s="120" t="s">
        <v>14</v>
      </c>
      <c r="B12" s="121">
        <f>+'FY25 Budget Details'!N44</f>
        <v>20</v>
      </c>
      <c r="C12" s="122"/>
      <c r="D12" s="123"/>
      <c r="E12" s="28"/>
    </row>
    <row r="13" spans="1:8" s="25" customFormat="1" ht="13.8" x14ac:dyDescent="0.45">
      <c r="A13" s="35"/>
      <c r="B13" s="36"/>
      <c r="C13" s="36"/>
      <c r="D13" s="36"/>
      <c r="E13" s="28"/>
    </row>
    <row r="14" spans="1:8" s="137" customFormat="1" ht="14.1" thickBot="1" x14ac:dyDescent="0.5">
      <c r="A14" s="238" t="s">
        <v>15</v>
      </c>
      <c r="B14" s="238"/>
      <c r="C14" s="238"/>
      <c r="D14" s="238"/>
    </row>
    <row r="15" spans="1:8" ht="15" customHeight="1" thickBot="1" x14ac:dyDescent="0.5">
      <c r="A15" s="232" t="s">
        <v>16</v>
      </c>
      <c r="B15" s="233"/>
      <c r="C15" s="233"/>
      <c r="D15" s="234"/>
    </row>
    <row r="16" spans="1:8" ht="13.8" x14ac:dyDescent="0.45">
      <c r="A16" s="136" t="s">
        <v>17</v>
      </c>
      <c r="B16" s="185" t="s">
        <v>5</v>
      </c>
      <c r="C16" s="187" t="s">
        <v>6</v>
      </c>
      <c r="D16" s="186" t="s">
        <v>7</v>
      </c>
    </row>
    <row r="17" spans="1:5" ht="13.8" x14ac:dyDescent="0.45">
      <c r="A17" s="8" t="s">
        <v>18</v>
      </c>
      <c r="B17" s="181">
        <f>+'FY25 Budget Details'!Q28</f>
        <v>76086.093546666685</v>
      </c>
      <c r="C17" s="189">
        <f>'FY25 Budget Details'!R28</f>
        <v>0</v>
      </c>
      <c r="D17" s="223">
        <f>SUM(B17:C17)</f>
        <v>76086.093546666685</v>
      </c>
    </row>
    <row r="18" spans="1:5" ht="13.8" x14ac:dyDescent="0.45">
      <c r="A18" s="8" t="s">
        <v>19</v>
      </c>
      <c r="B18" s="181">
        <f>+'FY25 Budget Details'!Q32</f>
        <v>17857.40615540267</v>
      </c>
      <c r="C18" s="189">
        <f>'FY25 Budget Details'!R32</f>
        <v>0</v>
      </c>
      <c r="D18" s="223">
        <f t="shared" ref="D18:D27" si="1">SUM(B18:C18)</f>
        <v>17857.40615540267</v>
      </c>
    </row>
    <row r="19" spans="1:5" ht="13.8" x14ac:dyDescent="0.45">
      <c r="A19" s="8" t="s">
        <v>20</v>
      </c>
      <c r="B19" s="181">
        <f>+'FY25 Budget Details'!Q50</f>
        <v>71897.695238095243</v>
      </c>
      <c r="C19" s="189">
        <f>'FY25 Budget Details'!R50</f>
        <v>0</v>
      </c>
      <c r="D19" s="223">
        <f t="shared" si="1"/>
        <v>71897.695238095243</v>
      </c>
    </row>
    <row r="20" spans="1:5" ht="13.8" x14ac:dyDescent="0.45">
      <c r="A20" s="8" t="s">
        <v>21</v>
      </c>
      <c r="B20" s="182">
        <f>+'FY25 Budget Details'!Q51</f>
        <v>0</v>
      </c>
      <c r="C20" s="190"/>
      <c r="D20" s="188"/>
    </row>
    <row r="21" spans="1:5" ht="13.8" x14ac:dyDescent="0.45">
      <c r="A21" s="8" t="s">
        <v>22</v>
      </c>
      <c r="B21" s="181">
        <f>+'FY25 Budget Details'!Q54</f>
        <v>234</v>
      </c>
      <c r="C21" s="225">
        <f>'FY25 Budget Details'!R54</f>
        <v>1998</v>
      </c>
      <c r="D21" s="223">
        <f t="shared" si="1"/>
        <v>2232</v>
      </c>
    </row>
    <row r="22" spans="1:5" ht="13.8" x14ac:dyDescent="0.45">
      <c r="A22" s="8" t="s">
        <v>23</v>
      </c>
      <c r="B22" s="181">
        <f>+'FY25 Budget Details'!Q60</f>
        <v>39200</v>
      </c>
      <c r="C22" s="225">
        <f>'FY25 Budget Details'!R60</f>
        <v>35000</v>
      </c>
      <c r="D22" s="223">
        <f t="shared" si="1"/>
        <v>74200</v>
      </c>
    </row>
    <row r="23" spans="1:5" ht="13.8" x14ac:dyDescent="0.45">
      <c r="A23" s="8" t="s">
        <v>24</v>
      </c>
      <c r="B23" s="182">
        <f>+'FY25 Budget Details'!Q61</f>
        <v>0</v>
      </c>
      <c r="C23" s="190"/>
      <c r="D23" s="188"/>
    </row>
    <row r="24" spans="1:5" ht="13.8" x14ac:dyDescent="0.45">
      <c r="A24" s="8" t="s">
        <v>25</v>
      </c>
      <c r="B24" s="181">
        <f>+'FY25 Budget Details'!Q84</f>
        <v>7010.89181465</v>
      </c>
      <c r="C24" s="225">
        <f>'FY25 Budget Details'!R84</f>
        <v>36871.599999999999</v>
      </c>
      <c r="D24" s="223">
        <f t="shared" si="1"/>
        <v>43882.491814649999</v>
      </c>
      <c r="E24" s="191"/>
    </row>
    <row r="25" spans="1:5" s="5" customFormat="1" ht="14.1" x14ac:dyDescent="0.5">
      <c r="A25" s="9" t="s">
        <v>26</v>
      </c>
      <c r="B25" s="183">
        <f>SUM(B17:B24)</f>
        <v>212286.08675481461</v>
      </c>
      <c r="C25" s="226">
        <f>'FY25 Budget Details'!R85</f>
        <v>73869.600000000006</v>
      </c>
      <c r="D25" s="223">
        <f t="shared" si="1"/>
        <v>286155.68675481458</v>
      </c>
    </row>
    <row r="26" spans="1:5" ht="13.8" x14ac:dyDescent="0.45">
      <c r="A26" s="8" t="s">
        <v>27</v>
      </c>
      <c r="B26" s="181">
        <f>+'FY25 Budget Details'!Q88</f>
        <v>31842.913013222191</v>
      </c>
      <c r="C26" s="225">
        <f>'FY25 Budget Details'!R88</f>
        <v>0</v>
      </c>
      <c r="D26" s="223">
        <f t="shared" si="1"/>
        <v>31842.913013222191</v>
      </c>
    </row>
    <row r="27" spans="1:5" s="5" customFormat="1" ht="14.4" thickBot="1" x14ac:dyDescent="0.55000000000000004">
      <c r="A27" s="10" t="s">
        <v>28</v>
      </c>
      <c r="B27" s="184">
        <f>B26+B25</f>
        <v>244128.9997680368</v>
      </c>
      <c r="C27" s="227">
        <f>'FY25 Budget Details'!R89</f>
        <v>73869.600000000006</v>
      </c>
      <c r="D27" s="224">
        <f t="shared" si="1"/>
        <v>317998.5997680368</v>
      </c>
    </row>
    <row r="28" spans="1:5" ht="14.4" x14ac:dyDescent="0.55000000000000004">
      <c r="A28" s="1"/>
    </row>
    <row r="29" spans="1:5" ht="15" customHeight="1" x14ac:dyDescent="0.45">
      <c r="C29" s="191"/>
    </row>
    <row r="30" spans="1:5" ht="15" customHeight="1" x14ac:dyDescent="0.45">
      <c r="C30" s="191"/>
    </row>
  </sheetData>
  <mergeCells count="6">
    <mergeCell ref="A15:D15"/>
    <mergeCell ref="A1:D1"/>
    <mergeCell ref="A3:D3"/>
    <mergeCell ref="A2:D2"/>
    <mergeCell ref="A4:D4"/>
    <mergeCell ref="A14:D14"/>
  </mergeCells>
  <phoneticPr fontId="21" type="noConversion"/>
  <pageMargins left="0.75" right="0.75" top="1" bottom="1" header="0.5" footer="0.5"/>
  <pageSetup orientation="landscape" r:id="rId1"/>
  <headerFooter alignWithMargins="0"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8C4D-6CA3-4770-B5B5-A9206C10F1D7}">
  <sheetPr>
    <pageSetUpPr fitToPage="1"/>
  </sheetPr>
  <dimension ref="A1:AC107"/>
  <sheetViews>
    <sheetView showGridLines="0" tabSelected="1" zoomScale="85" zoomScaleNormal="85" workbookViewId="0">
      <selection activeCell="A8" sqref="A8"/>
    </sheetView>
  </sheetViews>
  <sheetFormatPr defaultColWidth="6.63671875" defaultRowHeight="15" customHeight="1" x14ac:dyDescent="0.55000000000000004"/>
  <cols>
    <col min="1" max="1" width="10.1171875" style="6" customWidth="1"/>
    <col min="2" max="2" width="10.7578125" style="6" customWidth="1"/>
    <col min="3" max="3" width="39.4765625" style="6" hidden="1" customWidth="1"/>
    <col min="4" max="6" width="11.359375" style="6" hidden="1" customWidth="1"/>
    <col min="7" max="8" width="11.7578125" style="6" hidden="1" customWidth="1"/>
    <col min="9" max="10" width="12.4765625" style="18" hidden="1" customWidth="1"/>
    <col min="11" max="11" width="11.7578125" style="6" hidden="1" customWidth="1"/>
    <col min="12" max="12" width="6.23828125" style="6" hidden="1" customWidth="1"/>
    <col min="13" max="13" width="41.23828125" style="6" bestFit="1" customWidth="1"/>
    <col min="14" max="14" width="7.23828125" style="6" customWidth="1"/>
    <col min="15" max="15" width="4.4765625" style="6" customWidth="1"/>
    <col min="16" max="16" width="9.23828125" style="6" customWidth="1"/>
    <col min="17" max="17" width="10.4765625" style="6" bestFit="1" customWidth="1"/>
    <col min="18" max="18" width="9.1171875" style="18" bestFit="1" customWidth="1"/>
    <col min="19" max="19" width="9.359375" style="6" bestFit="1" customWidth="1"/>
    <col min="20" max="20" width="7.63671875" style="6" hidden="1" customWidth="1"/>
    <col min="21" max="21" width="9.1171875" style="7" bestFit="1" customWidth="1"/>
    <col min="22" max="22" width="9.1171875" style="6" bestFit="1" customWidth="1"/>
    <col min="23" max="23" width="10.7578125" style="6" bestFit="1" customWidth="1"/>
    <col min="24" max="24" width="10.4765625" style="6" bestFit="1" customWidth="1"/>
    <col min="25" max="16384" width="6.63671875" style="6"/>
  </cols>
  <sheetData>
    <row r="1" spans="1:29" s="7" customFormat="1" ht="17.05" customHeight="1" x14ac:dyDescent="0.55000000000000004">
      <c r="C1" s="229" t="s">
        <v>29</v>
      </c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V1" s="151"/>
      <c r="W1" s="152"/>
      <c r="X1" s="24"/>
      <c r="AA1" s="27"/>
    </row>
    <row r="2" spans="1:29" s="7" customFormat="1" ht="17.05" customHeight="1" x14ac:dyDescent="0.55000000000000004">
      <c r="A2" s="228" t="s">
        <v>172</v>
      </c>
      <c r="B2" s="228" t="s">
        <v>173</v>
      </c>
      <c r="C2" s="229" t="s">
        <v>30</v>
      </c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V2" s="151"/>
      <c r="W2" s="152"/>
      <c r="X2" s="152"/>
    </row>
    <row r="3" spans="1:29" s="7" customFormat="1" ht="17.05" customHeight="1" x14ac:dyDescent="0.55000000000000004">
      <c r="A3" s="228" t="s">
        <v>174</v>
      </c>
      <c r="B3" s="228" t="s">
        <v>175</v>
      </c>
      <c r="C3" s="230" t="s">
        <v>2</v>
      </c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V3" s="151"/>
      <c r="W3" s="153"/>
      <c r="X3" s="24"/>
    </row>
    <row r="4" spans="1:29" s="7" customFormat="1" ht="17.05" customHeight="1" thickBot="1" x14ac:dyDescent="0.6">
      <c r="C4" s="231" t="s">
        <v>31</v>
      </c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V4" s="151"/>
      <c r="W4" s="152"/>
      <c r="X4" s="24"/>
    </row>
    <row r="5" spans="1:29" s="4" customFormat="1" ht="15" customHeight="1" x14ac:dyDescent="0.45">
      <c r="I5" s="78"/>
      <c r="J5" s="78"/>
      <c r="U5" s="25"/>
      <c r="V5" s="151"/>
      <c r="W5" s="153"/>
      <c r="X5" s="137"/>
      <c r="Y5" s="25"/>
      <c r="Z5" s="25"/>
      <c r="AA5" s="25"/>
      <c r="AB5" s="25"/>
      <c r="AC5" s="25"/>
    </row>
    <row r="6" spans="1:29" ht="17.05" customHeight="1" thickBot="1" x14ac:dyDescent="0.6">
      <c r="E6" s="12"/>
      <c r="F6" s="16"/>
      <c r="G6" s="13" t="s">
        <v>32</v>
      </c>
      <c r="H6" s="12"/>
      <c r="I6" s="175"/>
      <c r="J6" s="16"/>
      <c r="K6" s="16" t="s">
        <v>33</v>
      </c>
      <c r="L6" s="16"/>
      <c r="M6" s="16"/>
      <c r="N6" s="16"/>
      <c r="O6" s="16"/>
      <c r="P6" s="16"/>
      <c r="Q6" s="12" t="s">
        <v>34</v>
      </c>
      <c r="R6" s="12" t="s">
        <v>35</v>
      </c>
      <c r="S6" s="16" t="s">
        <v>36</v>
      </c>
      <c r="T6" s="12" t="s">
        <v>37</v>
      </c>
      <c r="V6" s="7"/>
      <c r="W6" s="153"/>
      <c r="X6" s="24"/>
      <c r="Y6" s="7"/>
      <c r="Z6" s="7"/>
      <c r="AA6" s="7"/>
      <c r="AB6" s="7"/>
      <c r="AC6" s="7"/>
    </row>
    <row r="7" spans="1:29" ht="73.3" customHeight="1" thickBot="1" x14ac:dyDescent="0.6">
      <c r="A7" s="258" t="s">
        <v>176</v>
      </c>
      <c r="B7" s="258" t="s">
        <v>177</v>
      </c>
      <c r="C7" s="242" t="s">
        <v>38</v>
      </c>
      <c r="D7" s="42"/>
      <c r="E7" s="43"/>
      <c r="F7" s="42"/>
      <c r="G7" s="44" t="s">
        <v>39</v>
      </c>
      <c r="H7" s="44" t="s">
        <v>40</v>
      </c>
      <c r="I7" s="45" t="s">
        <v>41</v>
      </c>
      <c r="J7" s="45" t="s">
        <v>42</v>
      </c>
      <c r="K7" s="45" t="s">
        <v>43</v>
      </c>
      <c r="L7" s="45"/>
      <c r="M7" s="14" t="s">
        <v>44</v>
      </c>
      <c r="N7" s="42"/>
      <c r="O7" s="42"/>
      <c r="P7" s="42"/>
      <c r="Q7" s="45" t="s">
        <v>45</v>
      </c>
      <c r="R7" s="44" t="s">
        <v>46</v>
      </c>
      <c r="S7" s="44" t="s">
        <v>47</v>
      </c>
      <c r="T7" s="46" t="s">
        <v>48</v>
      </c>
      <c r="V7" s="206"/>
      <c r="W7" s="192"/>
      <c r="X7" s="24"/>
      <c r="Y7" s="7"/>
      <c r="Z7" s="7"/>
      <c r="AA7" s="7"/>
      <c r="AB7" s="7"/>
      <c r="AC7" s="7"/>
    </row>
    <row r="8" spans="1:29" ht="14.4" x14ac:dyDescent="0.55000000000000004">
      <c r="A8" s="259"/>
      <c r="B8" s="260"/>
      <c r="C8" s="243" t="s">
        <v>49</v>
      </c>
      <c r="D8" s="48" t="s">
        <v>50</v>
      </c>
      <c r="E8" s="49" t="s">
        <v>51</v>
      </c>
      <c r="F8" s="50" t="s">
        <v>52</v>
      </c>
      <c r="G8" s="158"/>
      <c r="H8" s="158"/>
      <c r="I8" s="157"/>
      <c r="J8" s="157"/>
      <c r="K8" s="157"/>
      <c r="L8" s="157"/>
      <c r="M8" s="47" t="s">
        <v>49</v>
      </c>
      <c r="N8" s="48" t="s">
        <v>50</v>
      </c>
      <c r="O8" s="49" t="s">
        <v>51</v>
      </c>
      <c r="P8" s="50" t="s">
        <v>52</v>
      </c>
      <c r="Q8" s="213"/>
      <c r="R8" s="156"/>
      <c r="S8" s="155"/>
      <c r="T8" s="154"/>
      <c r="V8" s="7"/>
      <c r="W8" s="207"/>
    </row>
    <row r="9" spans="1:29" ht="24.6" x14ac:dyDescent="0.55000000000000004">
      <c r="A9" s="259" t="s">
        <v>151</v>
      </c>
      <c r="B9" s="260" t="s">
        <v>152</v>
      </c>
      <c r="C9" s="244" t="s">
        <v>53</v>
      </c>
      <c r="D9" s="23"/>
      <c r="E9" s="20"/>
      <c r="F9" s="19">
        <f>146016/12</f>
        <v>12168</v>
      </c>
      <c r="G9" s="17">
        <v>2500</v>
      </c>
      <c r="H9" s="17">
        <v>0</v>
      </c>
      <c r="I9" s="37">
        <v>0</v>
      </c>
      <c r="J9" s="15">
        <f>+(D9*E9*F9)+(D10*E10*F10)+(D11*E11*F11)+(D12*E12*F12)+(D13*E13*F13)+(D14*E14*F14)</f>
        <v>4915.8719999999994</v>
      </c>
      <c r="K9" s="15">
        <f>+I9+J9</f>
        <v>4915.8719999999994</v>
      </c>
      <c r="L9" s="15">
        <f>+G9-K9</f>
        <v>-2415.8719999999994</v>
      </c>
      <c r="M9" s="212" t="s">
        <v>54</v>
      </c>
      <c r="N9" s="23"/>
      <c r="O9" s="20"/>
      <c r="P9" s="19">
        <v>12168</v>
      </c>
      <c r="Q9" s="15">
        <f>+(N9*O9*P9)+(N10*O10*P10)+(N11*O11*P11)+(N12*O12*P12)+(N13*O13*P13)+(N14*O14*P14)</f>
        <v>8860.2508800000014</v>
      </c>
      <c r="R9" s="17">
        <v>0</v>
      </c>
      <c r="S9" s="11">
        <f>+Q9+R9</f>
        <v>8860.2508800000014</v>
      </c>
      <c r="T9" s="51"/>
      <c r="V9" s="7"/>
      <c r="W9" s="7"/>
    </row>
    <row r="10" spans="1:29" ht="14.4" hidden="1" x14ac:dyDescent="0.55000000000000004">
      <c r="A10" s="259"/>
      <c r="B10" s="260"/>
      <c r="C10" s="244" t="s">
        <v>55</v>
      </c>
      <c r="D10" s="23">
        <v>4</v>
      </c>
      <c r="E10" s="20">
        <v>0.05</v>
      </c>
      <c r="F10" s="19">
        <f>+F9</f>
        <v>12168</v>
      </c>
      <c r="G10" s="17"/>
      <c r="H10" s="17"/>
      <c r="I10" s="37"/>
      <c r="J10" s="15"/>
      <c r="K10" s="15"/>
      <c r="L10" s="15"/>
      <c r="M10" s="15"/>
      <c r="N10" s="23"/>
      <c r="O10" s="20"/>
      <c r="P10" s="19">
        <v>12168</v>
      </c>
      <c r="Q10" s="15"/>
      <c r="R10" s="17"/>
      <c r="S10" s="11"/>
      <c r="T10" s="51"/>
    </row>
    <row r="11" spans="1:29" ht="14.4" hidden="1" x14ac:dyDescent="0.55000000000000004">
      <c r="A11" s="258"/>
      <c r="B11" s="258"/>
      <c r="C11" s="244" t="s">
        <v>56</v>
      </c>
      <c r="D11" s="23">
        <v>4</v>
      </c>
      <c r="E11" s="20">
        <v>2.5000000000000001E-2</v>
      </c>
      <c r="F11" s="19">
        <f>+F10</f>
        <v>12168</v>
      </c>
      <c r="G11" s="17"/>
      <c r="H11" s="17"/>
      <c r="I11" s="37"/>
      <c r="J11" s="15"/>
      <c r="K11" s="15"/>
      <c r="L11" s="15"/>
      <c r="M11" s="15"/>
      <c r="N11" s="23">
        <v>4</v>
      </c>
      <c r="O11" s="20">
        <v>2.5000000000000001E-2</v>
      </c>
      <c r="P11" s="19">
        <v>12168</v>
      </c>
      <c r="Q11" s="15"/>
      <c r="R11" s="17"/>
      <c r="S11" s="11"/>
      <c r="T11" s="51"/>
    </row>
    <row r="12" spans="1:29" ht="14.4" hidden="1" x14ac:dyDescent="0.55000000000000004">
      <c r="A12" s="258"/>
      <c r="B12" s="258"/>
      <c r="C12" s="244" t="s">
        <v>57</v>
      </c>
      <c r="D12" s="23">
        <v>4</v>
      </c>
      <c r="E12" s="20">
        <v>2.5000000000000001E-2</v>
      </c>
      <c r="F12" s="19">
        <f>+F11*1.04</f>
        <v>12654.720000000001</v>
      </c>
      <c r="G12" s="17"/>
      <c r="H12" s="17"/>
      <c r="I12" s="37"/>
      <c r="J12" s="15"/>
      <c r="K12" s="15"/>
      <c r="L12" s="15"/>
      <c r="M12" s="15"/>
      <c r="N12" s="23">
        <v>4</v>
      </c>
      <c r="O12" s="20">
        <v>2.5000000000000001E-2</v>
      </c>
      <c r="P12" s="19">
        <v>12654.720000000001</v>
      </c>
      <c r="Q12" s="15"/>
      <c r="R12" s="17"/>
      <c r="S12" s="11"/>
      <c r="T12" s="51"/>
    </row>
    <row r="13" spans="1:29" ht="14.4" hidden="1" x14ac:dyDescent="0.55000000000000004">
      <c r="A13" s="258"/>
      <c r="B13" s="258"/>
      <c r="C13" s="244" t="s">
        <v>58</v>
      </c>
      <c r="D13" s="23"/>
      <c r="E13" s="20"/>
      <c r="F13" s="19">
        <f>+F12</f>
        <v>12654.720000000001</v>
      </c>
      <c r="G13" s="17"/>
      <c r="H13" s="17"/>
      <c r="I13" s="37"/>
      <c r="J13" s="15"/>
      <c r="K13" s="15"/>
      <c r="L13" s="15"/>
      <c r="M13" s="15"/>
      <c r="N13" s="23">
        <v>8</v>
      </c>
      <c r="O13" s="20">
        <v>0.05</v>
      </c>
      <c r="P13" s="19">
        <v>12654.720000000001</v>
      </c>
      <c r="Q13" s="15"/>
      <c r="R13" s="17"/>
      <c r="S13" s="11"/>
      <c r="T13" s="51"/>
    </row>
    <row r="14" spans="1:29" ht="14.4" hidden="1" x14ac:dyDescent="0.55000000000000004">
      <c r="A14" s="258"/>
      <c r="B14" s="258"/>
      <c r="C14" s="244" t="s">
        <v>59</v>
      </c>
      <c r="D14" s="23"/>
      <c r="E14" s="20"/>
      <c r="F14" s="19">
        <f>+F13*1.04</f>
        <v>13160.908800000001</v>
      </c>
      <c r="G14" s="17"/>
      <c r="H14" s="17"/>
      <c r="I14" s="37"/>
      <c r="J14" s="15"/>
      <c r="K14" s="15"/>
      <c r="L14" s="15"/>
      <c r="M14" s="15"/>
      <c r="N14" s="23">
        <v>2</v>
      </c>
      <c r="O14" s="20">
        <v>0.05</v>
      </c>
      <c r="P14" s="19">
        <v>13160.908800000001</v>
      </c>
      <c r="Q14" s="15"/>
      <c r="R14" s="17"/>
      <c r="S14" s="11"/>
      <c r="T14" s="51"/>
    </row>
    <row r="15" spans="1:29" s="7" customFormat="1" ht="24.6" hidden="1" x14ac:dyDescent="0.55000000000000004">
      <c r="A15" s="261"/>
      <c r="B15" s="261"/>
      <c r="C15" s="244" t="s">
        <v>60</v>
      </c>
      <c r="D15" s="37"/>
      <c r="E15" s="193"/>
      <c r="F15" s="15">
        <v>7133</v>
      </c>
      <c r="G15" s="17">
        <v>10314</v>
      </c>
      <c r="H15" s="17">
        <v>0</v>
      </c>
      <c r="I15" s="37">
        <v>3707.2599999999993</v>
      </c>
      <c r="J15" s="15">
        <f>+(D15*E15*F15)+(D16*E16*F16)+(D17*E17*F17)+(D18*E18*F18)+(D19*E19*F19)+(D20*E20*F20)</f>
        <v>8673.728000000001</v>
      </c>
      <c r="K15" s="15">
        <f t="shared" ref="K15:K27" si="0">+I15+J15</f>
        <v>12380.988000000001</v>
      </c>
      <c r="L15" s="15">
        <f t="shared" ref="L15:L27" si="1">+G15-K15</f>
        <v>-2066.9880000000012</v>
      </c>
      <c r="M15" s="15" t="s">
        <v>61</v>
      </c>
      <c r="N15" s="23"/>
      <c r="O15" s="20"/>
      <c r="P15" s="19"/>
      <c r="Q15" s="15">
        <f>+(N15*O15*P15)+(N16*O16*P16)+(N17*O17*P17)+(N18*O18*P18)+(N19*O19*P19)+(N20*O20*P20)</f>
        <v>0</v>
      </c>
      <c r="R15" s="17">
        <v>0</v>
      </c>
      <c r="S15" s="17">
        <f t="shared" ref="S15:S27" si="2">+Q15+R15</f>
        <v>0</v>
      </c>
      <c r="T15" s="194"/>
    </row>
    <row r="16" spans="1:29" s="7" customFormat="1" ht="14.4" hidden="1" x14ac:dyDescent="0.55000000000000004">
      <c r="A16" s="261"/>
      <c r="B16" s="261"/>
      <c r="C16" s="244" t="s">
        <v>55</v>
      </c>
      <c r="D16" s="37">
        <v>4</v>
      </c>
      <c r="E16" s="193">
        <v>0.1</v>
      </c>
      <c r="F16" s="15">
        <f>+F15</f>
        <v>7133</v>
      </c>
      <c r="G16" s="17"/>
      <c r="H16" s="17"/>
      <c r="I16" s="37"/>
      <c r="J16" s="15"/>
      <c r="K16" s="15"/>
      <c r="L16" s="15"/>
      <c r="M16" s="15"/>
      <c r="N16" s="37"/>
      <c r="O16" s="193"/>
      <c r="P16" s="15"/>
      <c r="Q16" s="15"/>
      <c r="R16" s="17"/>
      <c r="S16" s="17"/>
      <c r="T16" s="194"/>
    </row>
    <row r="17" spans="1:20" s="7" customFormat="1" ht="14.4" hidden="1" x14ac:dyDescent="0.55000000000000004">
      <c r="A17" s="261"/>
      <c r="B17" s="261"/>
      <c r="C17" s="244" t="s">
        <v>56</v>
      </c>
      <c r="D17" s="37">
        <v>4</v>
      </c>
      <c r="E17" s="193">
        <v>0.1</v>
      </c>
      <c r="F17" s="15">
        <f>+F16</f>
        <v>7133</v>
      </c>
      <c r="G17" s="17"/>
      <c r="H17" s="17"/>
      <c r="I17" s="37"/>
      <c r="J17" s="15"/>
      <c r="K17" s="15"/>
      <c r="L17" s="15"/>
      <c r="M17" s="15"/>
      <c r="N17" s="37"/>
      <c r="O17" s="193"/>
      <c r="P17" s="15"/>
      <c r="Q17" s="15"/>
      <c r="R17" s="17"/>
      <c r="S17" s="17"/>
      <c r="T17" s="194"/>
    </row>
    <row r="18" spans="1:20" s="7" customFormat="1" ht="14.4" hidden="1" x14ac:dyDescent="0.55000000000000004">
      <c r="A18" s="261"/>
      <c r="B18" s="261"/>
      <c r="C18" s="244" t="s">
        <v>62</v>
      </c>
      <c r="D18" s="37">
        <v>4</v>
      </c>
      <c r="E18" s="193">
        <v>0.1</v>
      </c>
      <c r="F18" s="15">
        <f>+F17*1.04</f>
        <v>7418.3200000000006</v>
      </c>
      <c r="G18" s="17"/>
      <c r="H18" s="17"/>
      <c r="I18" s="37"/>
      <c r="J18" s="15"/>
      <c r="K18" s="15"/>
      <c r="L18" s="15"/>
      <c r="M18" s="15"/>
      <c r="N18" s="37"/>
      <c r="O18" s="193"/>
      <c r="P18" s="15"/>
      <c r="Q18" s="15"/>
      <c r="R18" s="17"/>
      <c r="S18" s="17"/>
      <c r="T18" s="194"/>
    </row>
    <row r="19" spans="1:20" s="7" customFormat="1" ht="14.4" hidden="1" x14ac:dyDescent="0.55000000000000004">
      <c r="A19" s="261"/>
      <c r="B19" s="261"/>
      <c r="C19" s="244" t="s">
        <v>58</v>
      </c>
      <c r="D19" s="37"/>
      <c r="E19" s="193"/>
      <c r="F19" s="15">
        <f>+F18</f>
        <v>7418.3200000000006</v>
      </c>
      <c r="G19" s="17"/>
      <c r="H19" s="17"/>
      <c r="I19" s="37"/>
      <c r="J19" s="15"/>
      <c r="K19" s="15"/>
      <c r="L19" s="15"/>
      <c r="M19" s="15"/>
      <c r="N19" s="37"/>
      <c r="O19" s="193"/>
      <c r="P19" s="15"/>
      <c r="Q19" s="15"/>
      <c r="R19" s="17"/>
      <c r="S19" s="17"/>
      <c r="T19" s="194"/>
    </row>
    <row r="20" spans="1:20" s="7" customFormat="1" ht="14.4" hidden="1" x14ac:dyDescent="0.55000000000000004">
      <c r="A20" s="261"/>
      <c r="B20" s="261"/>
      <c r="C20" s="244" t="s">
        <v>59</v>
      </c>
      <c r="D20" s="37"/>
      <c r="E20" s="193"/>
      <c r="F20" s="15">
        <f>+F19*1.04</f>
        <v>7715.0528000000013</v>
      </c>
      <c r="G20" s="17"/>
      <c r="H20" s="17"/>
      <c r="I20" s="37"/>
      <c r="J20" s="15"/>
      <c r="K20" s="15"/>
      <c r="L20" s="15"/>
      <c r="M20" s="15"/>
      <c r="N20" s="37"/>
      <c r="O20" s="193"/>
      <c r="P20" s="15"/>
      <c r="Q20" s="15"/>
      <c r="R20" s="17"/>
      <c r="S20" s="17"/>
      <c r="T20" s="194"/>
    </row>
    <row r="21" spans="1:20" ht="36.9" x14ac:dyDescent="0.55000000000000004">
      <c r="A21" s="259" t="s">
        <v>151</v>
      </c>
      <c r="B21" s="260" t="s">
        <v>152</v>
      </c>
      <c r="C21" s="244" t="s">
        <v>63</v>
      </c>
      <c r="D21" s="23"/>
      <c r="E21" s="20"/>
      <c r="F21" s="19">
        <f>77075/12</f>
        <v>6422.916666666667</v>
      </c>
      <c r="G21" s="17">
        <v>92026</v>
      </c>
      <c r="H21" s="17">
        <v>0</v>
      </c>
      <c r="I21" s="38">
        <v>27935.619999999995</v>
      </c>
      <c r="J21" s="11">
        <f>+(D21*E21*F21)+(D22*E22*F22)+(D23*E23*F23)+(D24*E24*F24)+(D25*E25*F25)+(D26*E26*F26)</f>
        <v>64743</v>
      </c>
      <c r="K21" s="15">
        <f t="shared" si="0"/>
        <v>92678.62</v>
      </c>
      <c r="L21" s="15">
        <f t="shared" si="1"/>
        <v>-652.61999999999534</v>
      </c>
      <c r="M21" s="212" t="s">
        <v>64</v>
      </c>
      <c r="N21" s="23"/>
      <c r="O21" s="23"/>
      <c r="P21" s="19">
        <v>6422.9166666666697</v>
      </c>
      <c r="Q21" s="11">
        <f>+(N21*O21*P21)+(N22*O22*P22)+(N23*O23*P23)+(N24*O24*P24)+(N25*O25*P25)+(N26*O26*P26)</f>
        <v>67225.842666666678</v>
      </c>
      <c r="R21" s="17">
        <v>0</v>
      </c>
      <c r="S21" s="11">
        <f>+Q21+R21</f>
        <v>67225.842666666678</v>
      </c>
      <c r="T21" s="51"/>
    </row>
    <row r="22" spans="1:20" ht="14.4" hidden="1" x14ac:dyDescent="0.55000000000000004">
      <c r="A22" s="258"/>
      <c r="B22" s="258"/>
      <c r="C22" s="244" t="s">
        <v>55</v>
      </c>
      <c r="D22" s="23">
        <v>4</v>
      </c>
      <c r="E22" s="20">
        <v>1</v>
      </c>
      <c r="F22" s="19">
        <f>+F21</f>
        <v>6422.916666666667</v>
      </c>
      <c r="G22" s="17"/>
      <c r="H22" s="17"/>
      <c r="I22" s="37"/>
      <c r="J22" s="15"/>
      <c r="K22" s="15"/>
      <c r="L22" s="15"/>
      <c r="M22" s="15"/>
      <c r="N22" s="23"/>
      <c r="O22" s="20"/>
      <c r="P22" s="19">
        <v>6422.916666666667</v>
      </c>
      <c r="Q22" s="15"/>
      <c r="R22" s="17"/>
      <c r="S22" s="11"/>
      <c r="T22" s="51"/>
    </row>
    <row r="23" spans="1:20" ht="14.4" hidden="1" x14ac:dyDescent="0.55000000000000004">
      <c r="A23" s="258"/>
      <c r="B23" s="258"/>
      <c r="C23" s="244" t="s">
        <v>56</v>
      </c>
      <c r="D23" s="23">
        <v>4</v>
      </c>
      <c r="E23" s="20">
        <v>1</v>
      </c>
      <c r="F23" s="19">
        <f>+F22</f>
        <v>6422.916666666667</v>
      </c>
      <c r="G23" s="17"/>
      <c r="H23" s="17"/>
      <c r="I23" s="37"/>
      <c r="J23" s="15"/>
      <c r="K23" s="15"/>
      <c r="L23" s="15"/>
      <c r="M23" s="15"/>
      <c r="N23" s="23"/>
      <c r="O23" s="20"/>
      <c r="P23" s="19">
        <v>6422.916666666667</v>
      </c>
      <c r="Q23" s="15"/>
      <c r="R23" s="17"/>
      <c r="S23" s="11"/>
      <c r="T23" s="51"/>
    </row>
    <row r="24" spans="1:20" ht="14.4" hidden="1" x14ac:dyDescent="0.55000000000000004">
      <c r="A24" s="258"/>
      <c r="B24" s="258"/>
      <c r="C24" s="244" t="s">
        <v>57</v>
      </c>
      <c r="D24" s="23">
        <v>4</v>
      </c>
      <c r="E24" s="20">
        <v>0.5</v>
      </c>
      <c r="F24" s="19">
        <f>+F23*1.04</f>
        <v>6679.8333333333339</v>
      </c>
      <c r="G24" s="17"/>
      <c r="H24" s="17"/>
      <c r="I24" s="37"/>
      <c r="J24" s="15"/>
      <c r="K24" s="15"/>
      <c r="L24" s="15"/>
      <c r="M24" s="15"/>
      <c r="N24" s="23">
        <v>4</v>
      </c>
      <c r="O24" s="20">
        <v>0.5</v>
      </c>
      <c r="P24" s="19">
        <v>6679.8333333333339</v>
      </c>
      <c r="Q24" s="15"/>
      <c r="R24" s="17"/>
      <c r="S24" s="11"/>
      <c r="T24" s="51"/>
    </row>
    <row r="25" spans="1:20" ht="14.4" hidden="1" x14ac:dyDescent="0.55000000000000004">
      <c r="A25" s="258"/>
      <c r="B25" s="258"/>
      <c r="C25" s="244" t="s">
        <v>58</v>
      </c>
      <c r="D25" s="23"/>
      <c r="E25" s="20"/>
      <c r="F25" s="19">
        <f>+F24</f>
        <v>6679.8333333333339</v>
      </c>
      <c r="G25" s="17"/>
      <c r="H25" s="17"/>
      <c r="I25" s="37"/>
      <c r="J25" s="15"/>
      <c r="K25" s="15"/>
      <c r="L25" s="15"/>
      <c r="M25" s="15"/>
      <c r="N25" s="23">
        <v>8</v>
      </c>
      <c r="O25" s="20">
        <v>0.8</v>
      </c>
      <c r="P25" s="19">
        <v>6679.8333333333339</v>
      </c>
      <c r="Q25" s="15"/>
      <c r="R25" s="17"/>
      <c r="S25" s="11"/>
      <c r="T25" s="51"/>
    </row>
    <row r="26" spans="1:20" ht="14.4" hidden="1" x14ac:dyDescent="0.55000000000000004">
      <c r="A26" s="258"/>
      <c r="B26" s="258"/>
      <c r="C26" s="244" t="s">
        <v>59</v>
      </c>
      <c r="D26" s="23"/>
      <c r="E26" s="20"/>
      <c r="F26" s="19">
        <f>+F25*1.04</f>
        <v>6947.0266666666676</v>
      </c>
      <c r="G26" s="17"/>
      <c r="H26" s="17"/>
      <c r="I26" s="37"/>
      <c r="J26" s="15"/>
      <c r="K26" s="15"/>
      <c r="L26" s="15"/>
      <c r="M26" s="15"/>
      <c r="N26" s="23">
        <v>2</v>
      </c>
      <c r="O26" s="20">
        <v>0.8</v>
      </c>
      <c r="P26" s="19">
        <v>6947.0266666666676</v>
      </c>
      <c r="Q26" s="15"/>
      <c r="R26" s="17"/>
      <c r="S26" s="11"/>
      <c r="T26" s="51"/>
    </row>
    <row r="27" spans="1:20" ht="14.4" hidden="1" x14ac:dyDescent="0.55000000000000004">
      <c r="A27" s="258"/>
      <c r="B27" s="258"/>
      <c r="C27" s="244" t="s">
        <v>65</v>
      </c>
      <c r="D27" s="23"/>
      <c r="E27" s="20"/>
      <c r="F27" s="19"/>
      <c r="G27" s="17">
        <v>0</v>
      </c>
      <c r="H27" s="17">
        <v>12614</v>
      </c>
      <c r="I27" s="37"/>
      <c r="J27" s="15"/>
      <c r="K27" s="15">
        <f t="shared" si="0"/>
        <v>0</v>
      </c>
      <c r="L27" s="15">
        <f t="shared" si="1"/>
        <v>0</v>
      </c>
      <c r="M27" s="195" t="s">
        <v>61</v>
      </c>
      <c r="N27" s="23"/>
      <c r="O27" s="20"/>
      <c r="P27" s="19"/>
      <c r="Q27" s="195">
        <v>0</v>
      </c>
      <c r="R27" s="196">
        <v>0</v>
      </c>
      <c r="S27" s="196">
        <f t="shared" si="2"/>
        <v>0</v>
      </c>
      <c r="T27" s="197"/>
    </row>
    <row r="28" spans="1:20" ht="14.4" x14ac:dyDescent="0.55000000000000004">
      <c r="A28" s="258"/>
      <c r="B28" s="258"/>
      <c r="C28" s="245" t="s">
        <v>66</v>
      </c>
      <c r="D28" s="161"/>
      <c r="E28" s="162"/>
      <c r="F28" s="63"/>
      <c r="G28" s="64">
        <f>SUM(G9:G27)</f>
        <v>104840</v>
      </c>
      <c r="H28" s="64">
        <f>SUM(H9:H27)</f>
        <v>12614</v>
      </c>
      <c r="I28" s="65">
        <f>SUM(I9:I27)</f>
        <v>31642.879999999994</v>
      </c>
      <c r="J28" s="64">
        <f>SUM(J9:J27)</f>
        <v>78332.600000000006</v>
      </c>
      <c r="K28" s="64">
        <f>SUM(K9:K27)</f>
        <v>109975.48</v>
      </c>
      <c r="L28" s="22">
        <f>+G28-K28</f>
        <v>-5135.4799999999959</v>
      </c>
      <c r="M28" s="62" t="s">
        <v>66</v>
      </c>
      <c r="N28" s="161"/>
      <c r="O28" s="162"/>
      <c r="P28" s="63"/>
      <c r="Q28" s="64">
        <f>SUM(Q9:Q27)</f>
        <v>76086.093546666685</v>
      </c>
      <c r="R28" s="64">
        <f>SUM(R9:R27)</f>
        <v>0</v>
      </c>
      <c r="S28" s="64">
        <f>SUM(S9:S27)</f>
        <v>76086.093546666685</v>
      </c>
      <c r="T28" s="198">
        <f>+Q28/G28</f>
        <v>0.72573534477934654</v>
      </c>
    </row>
    <row r="29" spans="1:20" ht="14.4" hidden="1" x14ac:dyDescent="0.55000000000000004">
      <c r="A29" s="258"/>
      <c r="B29" s="258"/>
      <c r="C29" s="243" t="s">
        <v>67</v>
      </c>
      <c r="D29" s="56"/>
      <c r="E29" s="56"/>
      <c r="F29" s="56"/>
      <c r="G29" s="57"/>
      <c r="H29" s="57"/>
      <c r="I29" s="58"/>
      <c r="J29" s="59"/>
      <c r="K29" s="59"/>
      <c r="L29" s="59"/>
      <c r="M29" s="59"/>
      <c r="N29" s="56"/>
      <c r="O29" s="56"/>
      <c r="P29" s="56"/>
      <c r="Q29" s="59"/>
      <c r="R29" s="57"/>
      <c r="S29" s="59"/>
      <c r="T29" s="60"/>
    </row>
    <row r="30" spans="1:20" ht="24.6" x14ac:dyDescent="0.55000000000000004">
      <c r="A30" s="262" t="s">
        <v>153</v>
      </c>
      <c r="B30" s="260" t="s">
        <v>154</v>
      </c>
      <c r="C30" s="246" t="s">
        <v>68</v>
      </c>
      <c r="D30" s="26"/>
      <c r="E30" s="26"/>
      <c r="F30" s="26"/>
      <c r="G30" s="17">
        <v>23901</v>
      </c>
      <c r="H30" s="17">
        <v>0</v>
      </c>
      <c r="I30" s="38">
        <v>7823.15</v>
      </c>
      <c r="J30" s="11">
        <f>J21*23.47%</f>
        <v>15195.1821</v>
      </c>
      <c r="K30" s="11">
        <f t="shared" ref="K30:K31" si="3">+I30+J30</f>
        <v>23018.3321</v>
      </c>
      <c r="L30" s="11">
        <f t="shared" ref="L30:L31" si="4">+G30-K30</f>
        <v>882.66790000000037</v>
      </c>
      <c r="M30" s="11" t="s">
        <v>68</v>
      </c>
      <c r="N30" s="23"/>
      <c r="O30" s="23"/>
      <c r="P30" s="19"/>
      <c r="Q30" s="11">
        <f>(Q21+Q9)*23.47%</f>
        <v>17857.40615540267</v>
      </c>
      <c r="R30" s="17">
        <v>0</v>
      </c>
      <c r="S30" s="11">
        <f t="shared" ref="S30:S31" si="5">+Q30+R30</f>
        <v>17857.40615540267</v>
      </c>
      <c r="T30" s="61"/>
    </row>
    <row r="31" spans="1:20" s="7" customFormat="1" ht="14.4" hidden="1" x14ac:dyDescent="0.55000000000000004">
      <c r="A31" s="261"/>
      <c r="B31" s="261"/>
      <c r="C31" s="246" t="s">
        <v>69</v>
      </c>
      <c r="D31" s="11"/>
      <c r="E31" s="11"/>
      <c r="F31" s="11"/>
      <c r="G31" s="17">
        <v>1500</v>
      </c>
      <c r="H31" s="17">
        <v>0</v>
      </c>
      <c r="I31" s="38">
        <v>946.3</v>
      </c>
      <c r="J31" s="11">
        <f>J15*53.864%</f>
        <v>4672.0168499200008</v>
      </c>
      <c r="K31" s="11">
        <f t="shared" si="3"/>
        <v>5618.316849920001</v>
      </c>
      <c r="L31" s="11">
        <f t="shared" si="4"/>
        <v>-4118.316849920001</v>
      </c>
      <c r="M31" s="11"/>
      <c r="N31" s="23"/>
      <c r="O31" s="23"/>
      <c r="P31" s="19"/>
      <c r="Q31" s="11">
        <f>Q15*53.864%</f>
        <v>0</v>
      </c>
      <c r="R31" s="17">
        <v>0</v>
      </c>
      <c r="S31" s="11">
        <f t="shared" si="5"/>
        <v>0</v>
      </c>
      <c r="T31" s="51"/>
    </row>
    <row r="32" spans="1:20" ht="14.7" thickBot="1" x14ac:dyDescent="0.6">
      <c r="A32" s="258"/>
      <c r="B32" s="258"/>
      <c r="C32" s="245" t="s">
        <v>70</v>
      </c>
      <c r="D32" s="63"/>
      <c r="E32" s="63"/>
      <c r="F32" s="63"/>
      <c r="G32" s="64">
        <f>SUM(G30:G31)</f>
        <v>25401</v>
      </c>
      <c r="H32" s="64">
        <f t="shared" ref="H32:S32" si="6">SUM(H30:H31)</f>
        <v>0</v>
      </c>
      <c r="I32" s="65">
        <f t="shared" si="6"/>
        <v>8769.4499999999989</v>
      </c>
      <c r="J32" s="64">
        <f t="shared" si="6"/>
        <v>19867.198949919999</v>
      </c>
      <c r="K32" s="64">
        <f t="shared" si="6"/>
        <v>28636.64894992</v>
      </c>
      <c r="L32" s="22">
        <f>+G32-K32</f>
        <v>-3235.6489499199997</v>
      </c>
      <c r="M32" s="62" t="s">
        <v>70</v>
      </c>
      <c r="N32" s="63"/>
      <c r="O32" s="63"/>
      <c r="P32" s="63"/>
      <c r="Q32" s="64">
        <f t="shared" si="6"/>
        <v>17857.40615540267</v>
      </c>
      <c r="R32" s="64">
        <f t="shared" si="6"/>
        <v>0</v>
      </c>
      <c r="S32" s="64">
        <f t="shared" si="6"/>
        <v>17857.40615540267</v>
      </c>
      <c r="T32" s="198">
        <f>+Q32/G32</f>
        <v>0.70301980848795997</v>
      </c>
    </row>
    <row r="33" spans="1:22" ht="14.4" x14ac:dyDescent="0.55000000000000004">
      <c r="A33" s="258"/>
      <c r="B33" s="258"/>
      <c r="C33" s="243" t="s">
        <v>71</v>
      </c>
      <c r="D33" s="56"/>
      <c r="E33" s="56"/>
      <c r="F33" s="56"/>
      <c r="G33" s="57"/>
      <c r="H33" s="57"/>
      <c r="I33" s="58"/>
      <c r="J33" s="59"/>
      <c r="K33" s="59"/>
      <c r="L33" s="59"/>
      <c r="M33" s="47" t="s">
        <v>71</v>
      </c>
      <c r="N33" s="56" t="s">
        <v>72</v>
      </c>
      <c r="O33" s="56"/>
      <c r="P33" s="56" t="s">
        <v>52</v>
      </c>
      <c r="Q33" s="59"/>
      <c r="R33" s="57"/>
      <c r="S33" s="59"/>
      <c r="T33" s="60"/>
    </row>
    <row r="34" spans="1:22" s="7" customFormat="1" ht="14.4" x14ac:dyDescent="0.55000000000000004">
      <c r="A34" s="261"/>
      <c r="B34" s="261"/>
      <c r="C34" s="247" t="s">
        <v>73</v>
      </c>
      <c r="D34" s="67" t="s">
        <v>74</v>
      </c>
      <c r="E34" s="67" t="s">
        <v>75</v>
      </c>
      <c r="F34" s="67" t="s">
        <v>52</v>
      </c>
      <c r="G34" s="68"/>
      <c r="H34" s="68"/>
      <c r="I34" s="69"/>
      <c r="J34" s="67"/>
      <c r="K34" s="67"/>
      <c r="L34" s="67"/>
      <c r="M34" s="71" t="s">
        <v>73</v>
      </c>
      <c r="N34" s="67"/>
      <c r="O34" s="67"/>
      <c r="P34" s="67"/>
      <c r="Q34" s="67"/>
      <c r="R34" s="68"/>
      <c r="S34" s="67"/>
      <c r="T34" s="72"/>
    </row>
    <row r="35" spans="1:22" ht="14.4" x14ac:dyDescent="0.55000000000000004">
      <c r="A35" s="263" t="s">
        <v>155</v>
      </c>
      <c r="B35" s="264">
        <v>86040</v>
      </c>
      <c r="C35" s="248" t="s">
        <v>76</v>
      </c>
      <c r="D35" s="23">
        <v>1</v>
      </c>
      <c r="E35" s="23">
        <v>3</v>
      </c>
      <c r="F35" s="26">
        <v>378</v>
      </c>
      <c r="G35" s="17">
        <v>1134</v>
      </c>
      <c r="H35" s="17">
        <v>0</v>
      </c>
      <c r="I35" s="38">
        <v>75.11</v>
      </c>
      <c r="J35" s="11">
        <f>+D35*E35*F35</f>
        <v>1134</v>
      </c>
      <c r="K35" s="11">
        <f t="shared" ref="K35" si="7">+I35+J35</f>
        <v>1209.1099999999999</v>
      </c>
      <c r="L35" s="11">
        <f t="shared" ref="L35:L36" si="8">+G35-K35</f>
        <v>-75.1099999999999</v>
      </c>
      <c r="M35" s="209" t="s">
        <v>148</v>
      </c>
      <c r="N35" s="23">
        <v>4</v>
      </c>
      <c r="O35" s="23">
        <v>1</v>
      </c>
      <c r="P35" s="26">
        <v>500</v>
      </c>
      <c r="Q35" s="11">
        <f>+N35*O35*P35</f>
        <v>2000</v>
      </c>
      <c r="R35" s="17">
        <v>0</v>
      </c>
      <c r="S35" s="11">
        <f>+Q35+R35</f>
        <v>2000</v>
      </c>
      <c r="T35" s="61"/>
    </row>
    <row r="36" spans="1:22" ht="67.5" customHeight="1" x14ac:dyDescent="0.55000000000000004">
      <c r="A36" s="263" t="s">
        <v>156</v>
      </c>
      <c r="B36" s="265" t="s">
        <v>157</v>
      </c>
      <c r="C36" s="249" t="s">
        <v>77</v>
      </c>
      <c r="D36" s="23">
        <v>2</v>
      </c>
      <c r="E36" s="23">
        <v>8</v>
      </c>
      <c r="F36" s="26">
        <v>183</v>
      </c>
      <c r="G36" s="17">
        <v>5183</v>
      </c>
      <c r="H36" s="17">
        <v>0</v>
      </c>
      <c r="I36" s="38">
        <v>0</v>
      </c>
      <c r="J36" s="11">
        <f>+(D36*E36*F36)+(D37*E37*F37)+(D38*E38*F38)+(D39*E39*F39)</f>
        <v>5183</v>
      </c>
      <c r="K36" s="11">
        <f>+I36+J36+I37+J37+I38+J38+I39+J39</f>
        <v>5183</v>
      </c>
      <c r="L36" s="11">
        <f t="shared" si="8"/>
        <v>0</v>
      </c>
      <c r="M36" s="210" t="s">
        <v>149</v>
      </c>
      <c r="N36" s="23">
        <v>3</v>
      </c>
      <c r="O36" s="23">
        <v>2</v>
      </c>
      <c r="P36" s="26">
        <v>224</v>
      </c>
      <c r="Q36" s="11">
        <f>+(N36*O36*P36)+(N37*O37*P37)+(N38*O38*P38)+(N39*O39*P39)</f>
        <v>2643.2</v>
      </c>
      <c r="R36" s="17">
        <v>0</v>
      </c>
      <c r="S36" s="11">
        <f>+Q36+R36</f>
        <v>2643.2</v>
      </c>
      <c r="T36" s="61"/>
    </row>
    <row r="37" spans="1:22" ht="24.6" hidden="1" x14ac:dyDescent="0.55000000000000004">
      <c r="A37" s="258"/>
      <c r="B37" s="258"/>
      <c r="C37" s="249" t="s">
        <v>78</v>
      </c>
      <c r="D37" s="23">
        <v>2</v>
      </c>
      <c r="E37" s="23">
        <v>10</v>
      </c>
      <c r="F37" s="26">
        <v>71</v>
      </c>
      <c r="G37" s="17"/>
      <c r="H37" s="17"/>
      <c r="I37" s="38"/>
      <c r="J37" s="11"/>
      <c r="K37" s="11"/>
      <c r="L37" s="11"/>
      <c r="M37" s="11"/>
      <c r="N37" s="23">
        <v>3</v>
      </c>
      <c r="O37" s="23">
        <v>3</v>
      </c>
      <c r="P37" s="26">
        <v>82.8</v>
      </c>
      <c r="Q37" s="11"/>
      <c r="R37" s="17"/>
      <c r="S37" s="11"/>
      <c r="T37" s="61"/>
    </row>
    <row r="38" spans="1:22" ht="14.4" hidden="1" x14ac:dyDescent="0.55000000000000004">
      <c r="A38" s="258"/>
      <c r="B38" s="258"/>
      <c r="C38" s="249" t="s">
        <v>79</v>
      </c>
      <c r="D38" s="23">
        <v>1</v>
      </c>
      <c r="E38" s="23">
        <v>3</v>
      </c>
      <c r="F38" s="26">
        <v>160</v>
      </c>
      <c r="G38" s="17"/>
      <c r="H38" s="17"/>
      <c r="I38" s="38"/>
      <c r="J38" s="11"/>
      <c r="K38" s="11"/>
      <c r="L38" s="11"/>
      <c r="M38" s="11"/>
      <c r="N38" s="23">
        <v>1</v>
      </c>
      <c r="O38" s="23">
        <v>2</v>
      </c>
      <c r="P38" s="26">
        <v>169</v>
      </c>
      <c r="Q38" s="11"/>
      <c r="R38" s="17"/>
      <c r="S38" s="11"/>
      <c r="T38" s="61"/>
      <c r="U38" s="207"/>
    </row>
    <row r="39" spans="1:22" ht="14.4" hidden="1" x14ac:dyDescent="0.55000000000000004">
      <c r="A39" s="258"/>
      <c r="B39" s="258"/>
      <c r="C39" s="249" t="s">
        <v>80</v>
      </c>
      <c r="D39" s="23">
        <v>1</v>
      </c>
      <c r="E39" s="23">
        <v>5</v>
      </c>
      <c r="F39" s="26">
        <v>71</v>
      </c>
      <c r="G39" s="17"/>
      <c r="H39" s="17"/>
      <c r="I39" s="38"/>
      <c r="J39" s="11"/>
      <c r="K39" s="11"/>
      <c r="L39" s="11"/>
      <c r="M39" s="11"/>
      <c r="N39" s="23">
        <v>1</v>
      </c>
      <c r="O39" s="23">
        <v>3</v>
      </c>
      <c r="P39" s="26">
        <v>72</v>
      </c>
      <c r="Q39" s="11"/>
      <c r="R39" s="17"/>
      <c r="S39" s="11"/>
      <c r="T39" s="61"/>
      <c r="U39" s="207"/>
    </row>
    <row r="40" spans="1:22" ht="14.4" x14ac:dyDescent="0.55000000000000004">
      <c r="A40" s="263" t="s">
        <v>155</v>
      </c>
      <c r="B40" s="264">
        <v>86040</v>
      </c>
      <c r="C40" s="250" t="s">
        <v>81</v>
      </c>
      <c r="D40" s="23">
        <v>1</v>
      </c>
      <c r="E40" s="23">
        <v>2</v>
      </c>
      <c r="F40" s="26">
        <v>1466.6666666666667</v>
      </c>
      <c r="G40" s="17">
        <v>2933.3333333333335</v>
      </c>
      <c r="H40" s="17">
        <v>0</v>
      </c>
      <c r="I40" s="38">
        <v>0</v>
      </c>
      <c r="J40" s="11">
        <f t="shared" ref="J40" si="9">+D40*E40*F40</f>
        <v>2933.3333333333335</v>
      </c>
      <c r="K40" s="11">
        <f t="shared" ref="K40:K41" si="10">+I40+J40</f>
        <v>2933.3333333333335</v>
      </c>
      <c r="L40" s="11">
        <f t="shared" ref="L40" si="11">+G40-K40</f>
        <v>0</v>
      </c>
      <c r="M40" s="70" t="s">
        <v>82</v>
      </c>
      <c r="N40" s="23">
        <v>1</v>
      </c>
      <c r="O40" s="23">
        <v>1</v>
      </c>
      <c r="P40" s="26">
        <v>1500</v>
      </c>
      <c r="Q40" s="11">
        <f>+N40*O40*P40</f>
        <v>1500</v>
      </c>
      <c r="R40" s="17">
        <v>0</v>
      </c>
      <c r="S40" s="11">
        <f>+Q40+R40</f>
        <v>1500</v>
      </c>
      <c r="T40" s="61"/>
    </row>
    <row r="41" spans="1:22" ht="24.6" x14ac:dyDescent="0.55000000000000004">
      <c r="A41" s="263" t="s">
        <v>156</v>
      </c>
      <c r="B41" s="265" t="s">
        <v>157</v>
      </c>
      <c r="C41" s="250" t="s">
        <v>83</v>
      </c>
      <c r="D41" s="23">
        <v>2</v>
      </c>
      <c r="E41" s="23">
        <v>5</v>
      </c>
      <c r="F41" s="26">
        <v>150</v>
      </c>
      <c r="G41" s="17">
        <v>2532</v>
      </c>
      <c r="H41" s="17">
        <v>0</v>
      </c>
      <c r="I41" s="38">
        <v>0</v>
      </c>
      <c r="J41" s="11">
        <f>+(D41*E41*F41)+(D42*E42*F42)</f>
        <v>2532</v>
      </c>
      <c r="K41" s="11">
        <f t="shared" si="10"/>
        <v>2532</v>
      </c>
      <c r="L41" s="11">
        <f t="shared" ref="L41" si="12">+G41-K41</f>
        <v>0</v>
      </c>
      <c r="M41" s="41" t="s">
        <v>84</v>
      </c>
      <c r="N41" s="23">
        <v>1</v>
      </c>
      <c r="O41" s="23">
        <v>5</v>
      </c>
      <c r="P41" s="26">
        <v>113.857142857143</v>
      </c>
      <c r="Q41" s="11">
        <f>+(N41*O41*P41)+(N42*O42*P42)</f>
        <v>975.82857142857222</v>
      </c>
      <c r="R41" s="17">
        <v>0</v>
      </c>
      <c r="S41" s="11">
        <f>+Q41+R41</f>
        <v>975.82857142857222</v>
      </c>
      <c r="T41" s="61"/>
    </row>
    <row r="42" spans="1:22" ht="14.4" hidden="1" x14ac:dyDescent="0.55000000000000004">
      <c r="A42" s="258"/>
      <c r="B42" s="258"/>
      <c r="C42" s="250"/>
      <c r="D42" s="23">
        <v>2</v>
      </c>
      <c r="E42" s="23">
        <v>6</v>
      </c>
      <c r="F42" s="26">
        <v>86</v>
      </c>
      <c r="G42" s="17"/>
      <c r="H42" s="17"/>
      <c r="I42" s="38"/>
      <c r="J42" s="11"/>
      <c r="K42" s="11"/>
      <c r="L42" s="11"/>
      <c r="M42" s="211" t="s">
        <v>85</v>
      </c>
      <c r="N42" s="23">
        <v>1</v>
      </c>
      <c r="O42" s="208">
        <v>6</v>
      </c>
      <c r="P42" s="26">
        <v>67.757142857142867</v>
      </c>
      <c r="Q42" s="11"/>
      <c r="R42" s="17"/>
      <c r="S42" s="11"/>
      <c r="T42" s="61"/>
    </row>
    <row r="43" spans="1:22" s="7" customFormat="1" ht="14.4" x14ac:dyDescent="0.55000000000000004">
      <c r="A43" s="261"/>
      <c r="B43" s="261"/>
      <c r="C43" s="247" t="s">
        <v>86</v>
      </c>
      <c r="D43" s="67"/>
      <c r="E43" s="67"/>
      <c r="F43" s="67"/>
      <c r="G43" s="68"/>
      <c r="H43" s="68"/>
      <c r="I43" s="69"/>
      <c r="J43" s="67"/>
      <c r="K43" s="67"/>
      <c r="L43" s="67"/>
      <c r="M43" s="71" t="s">
        <v>86</v>
      </c>
      <c r="N43" s="67"/>
      <c r="O43" s="67"/>
      <c r="P43" s="67"/>
      <c r="Q43" s="67"/>
      <c r="R43" s="68"/>
      <c r="S43" s="67"/>
      <c r="T43" s="72"/>
    </row>
    <row r="44" spans="1:22" ht="14.4" x14ac:dyDescent="0.55000000000000004">
      <c r="A44" s="263" t="s">
        <v>158</v>
      </c>
      <c r="B44" s="264">
        <v>86040</v>
      </c>
      <c r="C44" s="250" t="s">
        <v>87</v>
      </c>
      <c r="D44" s="23">
        <v>24</v>
      </c>
      <c r="E44" s="23">
        <v>1</v>
      </c>
      <c r="F44" s="26">
        <v>1650</v>
      </c>
      <c r="G44" s="17">
        <v>39600</v>
      </c>
      <c r="H44" s="17">
        <v>0</v>
      </c>
      <c r="I44" s="38">
        <v>0</v>
      </c>
      <c r="J44" s="11">
        <f t="shared" ref="J44:J49" si="13">+D44*E44*F44</f>
        <v>39600</v>
      </c>
      <c r="K44" s="11">
        <f t="shared" ref="K44:K49" si="14">+I44+J44</f>
        <v>39600</v>
      </c>
      <c r="L44" s="11">
        <f t="shared" ref="L44:L49" si="15">+G44-K44</f>
        <v>0</v>
      </c>
      <c r="M44" s="41" t="s">
        <v>150</v>
      </c>
      <c r="N44" s="23">
        <v>20</v>
      </c>
      <c r="O44" s="23">
        <v>1</v>
      </c>
      <c r="P44" s="26">
        <v>1600</v>
      </c>
      <c r="Q44" s="11">
        <f t="shared" ref="Q44:Q49" si="16">+N44*O44*P44</f>
        <v>32000</v>
      </c>
      <c r="R44" s="17">
        <v>0</v>
      </c>
      <c r="S44" s="11">
        <f t="shared" ref="S44:S49" si="17">+Q44+R44</f>
        <v>32000</v>
      </c>
      <c r="T44" s="61"/>
    </row>
    <row r="45" spans="1:22" ht="24.6" x14ac:dyDescent="0.55000000000000004">
      <c r="A45" s="263" t="s">
        <v>158</v>
      </c>
      <c r="B45" s="264">
        <v>86040</v>
      </c>
      <c r="C45" s="248" t="s">
        <v>88</v>
      </c>
      <c r="D45" s="23">
        <v>18</v>
      </c>
      <c r="E45" s="23">
        <v>1</v>
      </c>
      <c r="F45" s="26">
        <v>350</v>
      </c>
      <c r="G45" s="17">
        <v>6300</v>
      </c>
      <c r="H45" s="17">
        <v>0</v>
      </c>
      <c r="I45" s="38">
        <v>0</v>
      </c>
      <c r="J45" s="11">
        <f>+D45*E45*F45</f>
        <v>6300</v>
      </c>
      <c r="K45" s="11">
        <f>+I45+J45</f>
        <v>6300</v>
      </c>
      <c r="L45" s="11">
        <f>+G45-K45</f>
        <v>0</v>
      </c>
      <c r="M45" s="41" t="s">
        <v>89</v>
      </c>
      <c r="N45" s="23">
        <v>16</v>
      </c>
      <c r="O45" s="23">
        <v>1</v>
      </c>
      <c r="P45" s="26">
        <v>500</v>
      </c>
      <c r="Q45" s="11">
        <f>+N45*O45*P45</f>
        <v>8000</v>
      </c>
      <c r="R45" s="17">
        <v>0</v>
      </c>
      <c r="S45" s="11">
        <f>+Q45+R45</f>
        <v>8000</v>
      </c>
      <c r="T45" s="61"/>
    </row>
    <row r="46" spans="1:22" ht="14.4" x14ac:dyDescent="0.55000000000000004">
      <c r="A46" s="263" t="s">
        <v>159</v>
      </c>
      <c r="B46" s="264">
        <v>86050</v>
      </c>
      <c r="C46" s="250" t="s">
        <v>90</v>
      </c>
      <c r="D46" s="23">
        <v>10</v>
      </c>
      <c r="E46" s="23">
        <v>6</v>
      </c>
      <c r="F46" s="26">
        <v>50</v>
      </c>
      <c r="G46" s="17">
        <v>3000</v>
      </c>
      <c r="H46" s="17">
        <v>0</v>
      </c>
      <c r="I46" s="38">
        <v>0</v>
      </c>
      <c r="J46" s="11">
        <f t="shared" si="13"/>
        <v>3000</v>
      </c>
      <c r="K46" s="11">
        <f t="shared" si="14"/>
        <v>3000</v>
      </c>
      <c r="L46" s="11">
        <f t="shared" si="15"/>
        <v>0</v>
      </c>
      <c r="M46" s="41" t="s">
        <v>91</v>
      </c>
      <c r="N46" s="23">
        <f>+N44</f>
        <v>20</v>
      </c>
      <c r="O46" s="23">
        <v>10</v>
      </c>
      <c r="P46" s="26">
        <v>79.800000000000011</v>
      </c>
      <c r="Q46" s="11">
        <f t="shared" si="16"/>
        <v>15960.000000000002</v>
      </c>
      <c r="R46" s="17">
        <v>0</v>
      </c>
      <c r="S46" s="11">
        <f t="shared" si="17"/>
        <v>15960.000000000002</v>
      </c>
      <c r="T46" s="61"/>
    </row>
    <row r="47" spans="1:22" ht="14.4" x14ac:dyDescent="0.55000000000000004">
      <c r="A47" s="263" t="s">
        <v>159</v>
      </c>
      <c r="B47" s="264">
        <v>86050</v>
      </c>
      <c r="C47" s="250" t="s">
        <v>92</v>
      </c>
      <c r="D47" s="23">
        <v>3</v>
      </c>
      <c r="E47" s="23">
        <v>1</v>
      </c>
      <c r="F47" s="26">
        <v>185</v>
      </c>
      <c r="G47" s="17">
        <v>555</v>
      </c>
      <c r="H47" s="17">
        <v>0</v>
      </c>
      <c r="I47" s="38">
        <v>0</v>
      </c>
      <c r="J47" s="11">
        <f t="shared" si="13"/>
        <v>555</v>
      </c>
      <c r="K47" s="11">
        <f t="shared" si="14"/>
        <v>555</v>
      </c>
      <c r="L47" s="11">
        <f t="shared" si="15"/>
        <v>0</v>
      </c>
      <c r="M47" s="41" t="s">
        <v>93</v>
      </c>
      <c r="N47" s="23">
        <v>4</v>
      </c>
      <c r="O47" s="23">
        <v>1</v>
      </c>
      <c r="P47" s="26">
        <v>160</v>
      </c>
      <c r="Q47" s="11">
        <f t="shared" si="16"/>
        <v>640</v>
      </c>
      <c r="R47" s="17">
        <v>0</v>
      </c>
      <c r="S47" s="11">
        <f t="shared" si="17"/>
        <v>640</v>
      </c>
      <c r="T47" s="61"/>
      <c r="V47" s="2"/>
    </row>
    <row r="48" spans="1:22" ht="49.2" x14ac:dyDescent="0.55000000000000004">
      <c r="A48" s="263" t="s">
        <v>160</v>
      </c>
      <c r="B48" s="265" t="s">
        <v>161</v>
      </c>
      <c r="C48" s="251" t="s">
        <v>94</v>
      </c>
      <c r="D48" s="23">
        <v>6</v>
      </c>
      <c r="E48" s="23">
        <v>1</v>
      </c>
      <c r="F48" s="26">
        <v>275</v>
      </c>
      <c r="G48" s="17">
        <v>1650</v>
      </c>
      <c r="H48" s="17">
        <v>0</v>
      </c>
      <c r="I48" s="38">
        <v>0</v>
      </c>
      <c r="J48" s="11">
        <f t="shared" si="13"/>
        <v>1650</v>
      </c>
      <c r="K48" s="11">
        <f t="shared" si="14"/>
        <v>1650</v>
      </c>
      <c r="L48" s="11">
        <f t="shared" si="15"/>
        <v>0</v>
      </c>
      <c r="M48" s="41" t="s">
        <v>95</v>
      </c>
      <c r="N48" s="23">
        <v>4</v>
      </c>
      <c r="O48" s="23">
        <v>1</v>
      </c>
      <c r="P48" s="26">
        <v>250</v>
      </c>
      <c r="Q48" s="11">
        <f t="shared" si="16"/>
        <v>1000</v>
      </c>
      <c r="R48" s="17">
        <v>0</v>
      </c>
      <c r="S48" s="11">
        <f t="shared" si="17"/>
        <v>1000</v>
      </c>
      <c r="T48" s="61"/>
    </row>
    <row r="49" spans="1:22" ht="24.6" x14ac:dyDescent="0.55000000000000004">
      <c r="A49" s="263" t="s">
        <v>168</v>
      </c>
      <c r="B49" s="264">
        <v>86030</v>
      </c>
      <c r="C49" s="252" t="s">
        <v>96</v>
      </c>
      <c r="D49" s="23">
        <v>18</v>
      </c>
      <c r="E49" s="23">
        <v>4</v>
      </c>
      <c r="F49" s="26">
        <v>216.5</v>
      </c>
      <c r="G49" s="17">
        <v>15588</v>
      </c>
      <c r="H49" s="17">
        <v>785</v>
      </c>
      <c r="I49" s="38">
        <v>0</v>
      </c>
      <c r="J49" s="11">
        <f t="shared" si="13"/>
        <v>15588</v>
      </c>
      <c r="K49" s="11">
        <f t="shared" si="14"/>
        <v>15588</v>
      </c>
      <c r="L49" s="11">
        <f t="shared" si="15"/>
        <v>0</v>
      </c>
      <c r="M49" s="41" t="s">
        <v>97</v>
      </c>
      <c r="N49" s="23">
        <v>16</v>
      </c>
      <c r="O49" s="23">
        <v>2</v>
      </c>
      <c r="P49" s="26">
        <v>224.33333333333334</v>
      </c>
      <c r="Q49" s="11">
        <f t="shared" si="16"/>
        <v>7178.666666666667</v>
      </c>
      <c r="R49" s="17">
        <v>0</v>
      </c>
      <c r="S49" s="11">
        <f t="shared" si="17"/>
        <v>7178.666666666667</v>
      </c>
      <c r="T49" s="61"/>
    </row>
    <row r="50" spans="1:22" ht="14.7" thickBot="1" x14ac:dyDescent="0.6">
      <c r="A50" s="258"/>
      <c r="B50" s="258"/>
      <c r="C50" s="253" t="s">
        <v>98</v>
      </c>
      <c r="D50" s="53"/>
      <c r="E50" s="74"/>
      <c r="F50" s="74"/>
      <c r="G50" s="54">
        <f>SUM(G35:G49)</f>
        <v>78475.333333333343</v>
      </c>
      <c r="H50" s="54">
        <f>SUM(H35:H49)</f>
        <v>785</v>
      </c>
      <c r="I50" s="75">
        <f>SUM(I35:I49)</f>
        <v>75.11</v>
      </c>
      <c r="J50" s="54">
        <f>SUM(J35:J49)</f>
        <v>78475.333333333343</v>
      </c>
      <c r="K50" s="54">
        <f>SUM(K35:K49)</f>
        <v>78550.443333333329</v>
      </c>
      <c r="L50" s="54">
        <f>+G50-K50</f>
        <v>-75.10999999998603</v>
      </c>
      <c r="M50" s="52" t="s">
        <v>98</v>
      </c>
      <c r="N50" s="53"/>
      <c r="O50" s="74"/>
      <c r="P50" s="74"/>
      <c r="Q50" s="54">
        <f>SUM(Q35:Q49)</f>
        <v>71897.695238095243</v>
      </c>
      <c r="R50" s="54">
        <f>SUM(R35:R49)</f>
        <v>0</v>
      </c>
      <c r="S50" s="54">
        <f>SUM(S35:S49)</f>
        <v>71897.695238095243</v>
      </c>
      <c r="T50" s="199">
        <f>+Q50/G50</f>
        <v>0.91618209422190289</v>
      </c>
    </row>
    <row r="51" spans="1:22" ht="14.4" x14ac:dyDescent="0.55000000000000004">
      <c r="A51" s="258"/>
      <c r="B51" s="258"/>
      <c r="C51" s="254" t="s">
        <v>99</v>
      </c>
      <c r="D51" s="138"/>
      <c r="E51" s="138"/>
      <c r="F51" s="138"/>
      <c r="G51" s="139"/>
      <c r="H51" s="139"/>
      <c r="I51" s="140"/>
      <c r="J51" s="138"/>
      <c r="K51" s="138"/>
      <c r="L51" s="138"/>
      <c r="M51" s="138"/>
      <c r="N51" s="138"/>
      <c r="O51" s="138"/>
      <c r="P51" s="138"/>
      <c r="Q51" s="138"/>
      <c r="R51" s="139"/>
      <c r="S51" s="138">
        <f>+G51+R51</f>
        <v>0</v>
      </c>
      <c r="T51" s="141"/>
    </row>
    <row r="52" spans="1:22" ht="14.4" hidden="1" x14ac:dyDescent="0.55000000000000004">
      <c r="A52" s="258"/>
      <c r="B52" s="258"/>
      <c r="C52" s="255" t="s">
        <v>100</v>
      </c>
      <c r="D52" s="48"/>
      <c r="E52" s="56"/>
      <c r="F52" s="56"/>
      <c r="G52" s="57"/>
      <c r="H52" s="57"/>
      <c r="I52" s="58"/>
      <c r="J52" s="59"/>
      <c r="K52" s="59"/>
      <c r="L52" s="59"/>
      <c r="M52" s="59"/>
      <c r="N52" s="48"/>
      <c r="O52" s="56"/>
      <c r="P52" s="56"/>
      <c r="Q52" s="59"/>
      <c r="R52" s="57"/>
      <c r="S52" s="59">
        <f>+G52+R52</f>
        <v>0</v>
      </c>
      <c r="T52" s="77"/>
    </row>
    <row r="53" spans="1:22" ht="14.4" x14ac:dyDescent="0.55000000000000004">
      <c r="A53" s="258" t="s">
        <v>163</v>
      </c>
      <c r="B53" s="258">
        <v>82420</v>
      </c>
      <c r="C53" s="250"/>
      <c r="D53" s="23"/>
      <c r="E53" s="23"/>
      <c r="F53" s="26"/>
      <c r="G53" s="17"/>
      <c r="H53" s="17"/>
      <c r="I53" s="38"/>
      <c r="J53" s="11"/>
      <c r="K53" s="11"/>
      <c r="L53" s="11"/>
      <c r="M53" s="70" t="s">
        <v>101</v>
      </c>
      <c r="N53" s="23">
        <v>18</v>
      </c>
      <c r="O53" s="23">
        <v>1</v>
      </c>
      <c r="P53" s="26">
        <v>13</v>
      </c>
      <c r="Q53" s="11">
        <f>+N53*O53*P53</f>
        <v>234</v>
      </c>
      <c r="R53" s="17">
        <v>1998</v>
      </c>
      <c r="S53" s="11">
        <f t="shared" ref="S53" si="18">+Q53+R53</f>
        <v>2232</v>
      </c>
      <c r="T53" s="61"/>
      <c r="V53" s="2"/>
    </row>
    <row r="54" spans="1:22" ht="14.7" thickBot="1" x14ac:dyDescent="0.6">
      <c r="A54" s="258"/>
      <c r="B54" s="258"/>
      <c r="C54" s="245" t="s">
        <v>102</v>
      </c>
      <c r="D54" s="63"/>
      <c r="E54" s="21"/>
      <c r="F54" s="21"/>
      <c r="G54" s="22">
        <f t="shared" ref="G54:L54" si="19">+G53</f>
        <v>0</v>
      </c>
      <c r="H54" s="22">
        <f t="shared" si="19"/>
        <v>0</v>
      </c>
      <c r="I54" s="22">
        <f t="shared" si="19"/>
        <v>0</v>
      </c>
      <c r="J54" s="22">
        <f t="shared" si="19"/>
        <v>0</v>
      </c>
      <c r="K54" s="22">
        <f t="shared" si="19"/>
        <v>0</v>
      </c>
      <c r="L54" s="22">
        <f t="shared" si="19"/>
        <v>0</v>
      </c>
      <c r="M54" s="62" t="s">
        <v>102</v>
      </c>
      <c r="N54" s="63"/>
      <c r="O54" s="21"/>
      <c r="P54" s="21"/>
      <c r="Q54" s="22">
        <f>+Q53</f>
        <v>234</v>
      </c>
      <c r="R54" s="22">
        <f>+R53</f>
        <v>1998</v>
      </c>
      <c r="S54" s="22">
        <f>+S53</f>
        <v>2232</v>
      </c>
      <c r="T54" s="198">
        <f>+Q54/G80</f>
        <v>0.76595744680851063</v>
      </c>
    </row>
    <row r="55" spans="1:22" ht="14.4" x14ac:dyDescent="0.55000000000000004">
      <c r="A55" s="258"/>
      <c r="B55" s="258"/>
      <c r="C55" s="255" t="s">
        <v>103</v>
      </c>
      <c r="D55" s="48"/>
      <c r="E55" s="56"/>
      <c r="F55" s="56"/>
      <c r="G55" s="57"/>
      <c r="H55" s="57"/>
      <c r="I55" s="58"/>
      <c r="J55" s="59"/>
      <c r="K55" s="59"/>
      <c r="L55" s="59"/>
      <c r="M55" s="76" t="s">
        <v>103</v>
      </c>
      <c r="N55" s="48"/>
      <c r="O55" s="56"/>
      <c r="P55" s="56" t="s">
        <v>52</v>
      </c>
      <c r="Q55" s="59"/>
      <c r="R55" s="57"/>
      <c r="S55" s="59"/>
      <c r="T55" s="77"/>
    </row>
    <row r="56" spans="1:22" ht="14.4" x14ac:dyDescent="0.55000000000000004">
      <c r="A56" s="266" t="s">
        <v>165</v>
      </c>
      <c r="B56" s="267">
        <v>89000</v>
      </c>
      <c r="C56" s="250" t="s">
        <v>104</v>
      </c>
      <c r="D56" s="23">
        <v>1</v>
      </c>
      <c r="E56" s="23">
        <v>4</v>
      </c>
      <c r="F56" s="26">
        <v>5000</v>
      </c>
      <c r="G56" s="17">
        <v>20000</v>
      </c>
      <c r="H56" s="17">
        <v>25000</v>
      </c>
      <c r="I56" s="38">
        <v>0</v>
      </c>
      <c r="J56" s="11">
        <f>+D56*E56*F56</f>
        <v>20000</v>
      </c>
      <c r="K56" s="11">
        <f t="shared" ref="K56:K59" si="20">+I56+J56</f>
        <v>20000</v>
      </c>
      <c r="L56" s="11">
        <f t="shared" ref="L56:L59" si="21">+G56-K56</f>
        <v>0</v>
      </c>
      <c r="M56" s="70" t="s">
        <v>105</v>
      </c>
      <c r="N56" s="23">
        <v>1</v>
      </c>
      <c r="O56" s="23">
        <v>3</v>
      </c>
      <c r="P56" s="26">
        <v>5000</v>
      </c>
      <c r="Q56" s="11">
        <f t="shared" ref="Q56:Q59" si="22">+N56*O56*P56</f>
        <v>15000</v>
      </c>
      <c r="R56" s="17">
        <v>15000</v>
      </c>
      <c r="S56" s="11">
        <f t="shared" ref="S56:S60" si="23">+Q56+R56</f>
        <v>30000</v>
      </c>
      <c r="T56" s="61"/>
    </row>
    <row r="57" spans="1:22" ht="14.4" x14ac:dyDescent="0.55000000000000004">
      <c r="A57" s="266" t="s">
        <v>165</v>
      </c>
      <c r="B57" s="267">
        <v>89000</v>
      </c>
      <c r="C57" s="250" t="s">
        <v>106</v>
      </c>
      <c r="D57" s="23">
        <v>1</v>
      </c>
      <c r="E57" s="23">
        <v>2</v>
      </c>
      <c r="F57" s="26">
        <v>10000</v>
      </c>
      <c r="G57" s="17">
        <v>20000</v>
      </c>
      <c r="H57" s="17">
        <v>25000</v>
      </c>
      <c r="I57" s="38">
        <v>0</v>
      </c>
      <c r="J57" s="11">
        <f t="shared" ref="J57:J58" si="24">+D57*E57*F57</f>
        <v>20000</v>
      </c>
      <c r="K57" s="11">
        <f t="shared" si="20"/>
        <v>20000</v>
      </c>
      <c r="L57" s="11">
        <f t="shared" si="21"/>
        <v>0</v>
      </c>
      <c r="M57" s="70" t="s">
        <v>106</v>
      </c>
      <c r="N57" s="23">
        <v>1</v>
      </c>
      <c r="O57" s="23">
        <v>2</v>
      </c>
      <c r="P57" s="26">
        <v>10000</v>
      </c>
      <c r="Q57" s="11">
        <f t="shared" si="22"/>
        <v>20000</v>
      </c>
      <c r="R57" s="17">
        <v>20000</v>
      </c>
      <c r="S57" s="11">
        <f t="shared" si="23"/>
        <v>40000</v>
      </c>
      <c r="T57" s="61"/>
    </row>
    <row r="58" spans="1:22" ht="14.4" x14ac:dyDescent="0.55000000000000004">
      <c r="A58" s="266" t="s">
        <v>169</v>
      </c>
      <c r="B58" s="267">
        <v>81000</v>
      </c>
      <c r="C58" s="250" t="s">
        <v>107</v>
      </c>
      <c r="D58" s="23">
        <v>1</v>
      </c>
      <c r="E58" s="23">
        <v>10</v>
      </c>
      <c r="F58" s="26">
        <v>300</v>
      </c>
      <c r="G58" s="17">
        <v>12000</v>
      </c>
      <c r="H58" s="17">
        <v>0</v>
      </c>
      <c r="I58" s="38">
        <v>0</v>
      </c>
      <c r="J58" s="11">
        <f t="shared" si="24"/>
        <v>3000</v>
      </c>
      <c r="K58" s="11">
        <f t="shared" si="20"/>
        <v>3000</v>
      </c>
      <c r="L58" s="11">
        <f t="shared" si="21"/>
        <v>9000</v>
      </c>
      <c r="M58" s="70" t="s">
        <v>108</v>
      </c>
      <c r="N58" s="23">
        <v>1</v>
      </c>
      <c r="O58" s="208">
        <v>14</v>
      </c>
      <c r="P58" s="26">
        <v>300</v>
      </c>
      <c r="Q58" s="11">
        <f t="shared" si="22"/>
        <v>4200</v>
      </c>
      <c r="R58" s="17">
        <v>0</v>
      </c>
      <c r="S58" s="11">
        <f t="shared" si="23"/>
        <v>4200</v>
      </c>
      <c r="T58" s="61"/>
    </row>
    <row r="59" spans="1:22" ht="14.4" hidden="1" x14ac:dyDescent="0.55000000000000004">
      <c r="A59" s="258"/>
      <c r="B59" s="258"/>
      <c r="C59" s="250" t="s">
        <v>109</v>
      </c>
      <c r="D59" s="23">
        <v>1</v>
      </c>
      <c r="E59" s="23">
        <v>5</v>
      </c>
      <c r="F59" s="26">
        <v>300</v>
      </c>
      <c r="G59" s="17">
        <v>3000</v>
      </c>
      <c r="H59" s="17">
        <v>0</v>
      </c>
      <c r="I59" s="38">
        <v>400</v>
      </c>
      <c r="J59" s="11">
        <f>+(D59*E59*F59)-400</f>
        <v>1100</v>
      </c>
      <c r="K59" s="11">
        <f t="shared" si="20"/>
        <v>1500</v>
      </c>
      <c r="L59" s="11">
        <f t="shared" si="21"/>
        <v>1500</v>
      </c>
      <c r="M59" s="70" t="s">
        <v>61</v>
      </c>
      <c r="N59" s="23"/>
      <c r="O59" s="23"/>
      <c r="P59" s="26"/>
      <c r="Q59" s="11">
        <f t="shared" si="22"/>
        <v>0</v>
      </c>
      <c r="R59" s="17">
        <v>0</v>
      </c>
      <c r="S59" s="11">
        <f t="shared" si="23"/>
        <v>0</v>
      </c>
      <c r="T59" s="61"/>
    </row>
    <row r="60" spans="1:22" ht="14.7" thickBot="1" x14ac:dyDescent="0.6">
      <c r="A60" s="258"/>
      <c r="B60" s="258"/>
      <c r="C60" s="253" t="s">
        <v>110</v>
      </c>
      <c r="D60" s="53"/>
      <c r="E60" s="74"/>
      <c r="F60" s="74"/>
      <c r="G60" s="54">
        <f>SUM(G56:G59)</f>
        <v>55000</v>
      </c>
      <c r="H60" s="54">
        <f>SUM(H56:H59)</f>
        <v>50000</v>
      </c>
      <c r="I60" s="75">
        <f>SUM(I56:I59)</f>
        <v>400</v>
      </c>
      <c r="J60" s="54">
        <f>SUM(J56:J59)</f>
        <v>44100</v>
      </c>
      <c r="K60" s="54">
        <f>SUM(K56:K59)</f>
        <v>44500</v>
      </c>
      <c r="L60" s="54">
        <f>+G60-K60</f>
        <v>10500</v>
      </c>
      <c r="M60" s="52" t="s">
        <v>110</v>
      </c>
      <c r="N60" s="53"/>
      <c r="O60" s="74"/>
      <c r="P60" s="74"/>
      <c r="Q60" s="54">
        <f>SUM(Q56:Q59)</f>
        <v>39200</v>
      </c>
      <c r="R60" s="54">
        <f>SUM(R56:R59)</f>
        <v>35000</v>
      </c>
      <c r="S60" s="54">
        <f t="shared" si="23"/>
        <v>74200</v>
      </c>
      <c r="T60" s="199">
        <f>+Q60/G60</f>
        <v>0.71272727272727276</v>
      </c>
    </row>
    <row r="61" spans="1:22" ht="14.7" thickBot="1" x14ac:dyDescent="0.6">
      <c r="A61" s="258"/>
      <c r="B61" s="258"/>
      <c r="C61" s="254" t="s">
        <v>111</v>
      </c>
      <c r="D61" s="138"/>
      <c r="E61" s="138"/>
      <c r="F61" s="138"/>
      <c r="G61" s="139"/>
      <c r="H61" s="139"/>
      <c r="I61" s="140"/>
      <c r="J61" s="138"/>
      <c r="K61" s="138"/>
      <c r="L61" s="138"/>
      <c r="M61" s="138"/>
      <c r="N61" s="138"/>
      <c r="O61" s="138"/>
      <c r="P61" s="138"/>
      <c r="Q61" s="138"/>
      <c r="R61" s="139"/>
      <c r="S61" s="138">
        <f>+G61+R61</f>
        <v>0</v>
      </c>
      <c r="T61" s="141"/>
    </row>
    <row r="62" spans="1:22" ht="14.4" x14ac:dyDescent="0.55000000000000004">
      <c r="A62" s="258"/>
      <c r="B62" s="258"/>
      <c r="C62" s="243" t="s">
        <v>112</v>
      </c>
      <c r="D62" s="56"/>
      <c r="E62" s="56"/>
      <c r="F62" s="56"/>
      <c r="G62" s="147"/>
      <c r="H62" s="147"/>
      <c r="I62" s="148"/>
      <c r="J62" s="149"/>
      <c r="K62" s="149"/>
      <c r="L62" s="149"/>
      <c r="M62" s="47" t="s">
        <v>112</v>
      </c>
      <c r="N62" s="56"/>
      <c r="O62" s="56"/>
      <c r="P62" s="56"/>
      <c r="Q62" s="149"/>
      <c r="R62" s="147"/>
      <c r="S62" s="149"/>
      <c r="T62" s="60"/>
    </row>
    <row r="63" spans="1:22" s="7" customFormat="1" ht="14.4" x14ac:dyDescent="0.55000000000000004">
      <c r="A63" s="261"/>
      <c r="B63" s="261"/>
      <c r="C63" s="247" t="s">
        <v>113</v>
      </c>
      <c r="D63" s="67"/>
      <c r="E63" s="67"/>
      <c r="F63" s="67"/>
      <c r="G63" s="68"/>
      <c r="H63" s="68"/>
      <c r="I63" s="69"/>
      <c r="J63" s="67"/>
      <c r="K63" s="67"/>
      <c r="L63" s="67"/>
      <c r="M63" s="71" t="s">
        <v>113</v>
      </c>
      <c r="N63" s="67"/>
      <c r="O63" s="67"/>
      <c r="P63" s="67"/>
      <c r="Q63" s="67"/>
      <c r="R63" s="68"/>
      <c r="S63" s="67"/>
      <c r="T63" s="72"/>
    </row>
    <row r="64" spans="1:22" s="18" customFormat="1" ht="14.4" x14ac:dyDescent="0.55000000000000004">
      <c r="A64" s="268" t="s">
        <v>170</v>
      </c>
      <c r="B64" s="258">
        <v>87000</v>
      </c>
      <c r="C64" s="248" t="s">
        <v>114</v>
      </c>
      <c r="D64" s="145">
        <v>1</v>
      </c>
      <c r="E64" s="145">
        <v>1</v>
      </c>
      <c r="F64" s="146">
        <v>1898</v>
      </c>
      <c r="G64" s="17">
        <v>1898</v>
      </c>
      <c r="H64" s="17">
        <v>0</v>
      </c>
      <c r="I64" s="37"/>
      <c r="J64" s="17">
        <v>3000</v>
      </c>
      <c r="K64" s="17">
        <f t="shared" ref="K64" si="25">+I64+J64</f>
        <v>3000</v>
      </c>
      <c r="L64" s="17">
        <f t="shared" ref="L64" si="26">+G64-K64</f>
        <v>-1102</v>
      </c>
      <c r="M64" s="209" t="s">
        <v>115</v>
      </c>
      <c r="N64" s="23">
        <v>1</v>
      </c>
      <c r="O64" s="23">
        <v>1</v>
      </c>
      <c r="P64" s="26">
        <v>2000</v>
      </c>
      <c r="Q64" s="17">
        <f>+N64*O64*P64</f>
        <v>2000</v>
      </c>
      <c r="R64" s="17">
        <v>0</v>
      </c>
      <c r="S64" s="17">
        <f t="shared" ref="S64" si="27">+Q64+R64</f>
        <v>2000</v>
      </c>
      <c r="T64" s="150"/>
      <c r="U64" s="40"/>
      <c r="V64" s="175"/>
    </row>
    <row r="65" spans="1:21" s="7" customFormat="1" ht="14.4" x14ac:dyDescent="0.55000000000000004">
      <c r="A65" s="261"/>
      <c r="B65" s="261"/>
      <c r="C65" s="247" t="s">
        <v>116</v>
      </c>
      <c r="D65" s="67"/>
      <c r="E65" s="67"/>
      <c r="F65" s="67"/>
      <c r="G65" s="68"/>
      <c r="H65" s="68"/>
      <c r="I65" s="69"/>
      <c r="J65" s="67"/>
      <c r="K65" s="67"/>
      <c r="L65" s="67"/>
      <c r="M65" s="71" t="s">
        <v>116</v>
      </c>
      <c r="N65" s="67"/>
      <c r="O65" s="67"/>
      <c r="P65" s="67"/>
      <c r="Q65" s="67"/>
      <c r="R65" s="68"/>
      <c r="S65" s="67"/>
      <c r="T65" s="72"/>
    </row>
    <row r="66" spans="1:21" ht="14.4" x14ac:dyDescent="0.55000000000000004">
      <c r="A66" s="258" t="s">
        <v>171</v>
      </c>
      <c r="B66" s="70">
        <v>82030</v>
      </c>
      <c r="C66" s="250" t="s">
        <v>117</v>
      </c>
      <c r="D66" s="23">
        <v>1</v>
      </c>
      <c r="E66" s="23">
        <v>1</v>
      </c>
      <c r="F66" s="26">
        <v>2700</v>
      </c>
      <c r="G66" s="17">
        <f>+D66*E66*F66</f>
        <v>2700</v>
      </c>
      <c r="H66" s="17">
        <v>0</v>
      </c>
      <c r="I66" s="37">
        <v>143.53</v>
      </c>
      <c r="J66" s="11">
        <v>456</v>
      </c>
      <c r="K66" s="11">
        <f t="shared" ref="K66" si="28">+I66+J66</f>
        <v>599.53</v>
      </c>
      <c r="L66" s="11">
        <f t="shared" ref="L66:L81" si="29">+G66-K66</f>
        <v>2100.4700000000003</v>
      </c>
      <c r="M66" s="70" t="s">
        <v>117</v>
      </c>
      <c r="N66" s="23">
        <v>1</v>
      </c>
      <c r="O66" s="23">
        <v>1</v>
      </c>
      <c r="P66" s="26">
        <v>154.34</v>
      </c>
      <c r="Q66" s="11">
        <f>+N66*O66*P66</f>
        <v>154.34</v>
      </c>
      <c r="R66" s="17">
        <v>0</v>
      </c>
      <c r="S66" s="11">
        <f t="shared" ref="S66:S81" si="30">+Q66+R66</f>
        <v>154.34</v>
      </c>
      <c r="T66" s="61"/>
    </row>
    <row r="67" spans="1:21" ht="49.2" x14ac:dyDescent="0.55000000000000004">
      <c r="A67" s="264" t="s">
        <v>164</v>
      </c>
      <c r="B67" s="269">
        <v>89400</v>
      </c>
      <c r="C67" s="249" t="s">
        <v>118</v>
      </c>
      <c r="D67" s="23">
        <v>17</v>
      </c>
      <c r="E67" s="20">
        <v>1</v>
      </c>
      <c r="F67" s="19">
        <v>56.75</v>
      </c>
      <c r="G67" s="17">
        <v>1100</v>
      </c>
      <c r="H67" s="17">
        <v>0</v>
      </c>
      <c r="I67" s="38"/>
      <c r="J67" s="11">
        <v>1100</v>
      </c>
      <c r="K67" s="11">
        <f>+I67+J67</f>
        <v>1100</v>
      </c>
      <c r="L67" s="11">
        <f t="shared" si="29"/>
        <v>0</v>
      </c>
      <c r="M67" s="159" t="s">
        <v>119</v>
      </c>
      <c r="N67" s="23"/>
      <c r="O67" s="20"/>
      <c r="P67" s="26">
        <v>149.29425000000001</v>
      </c>
      <c r="Q67" s="11">
        <f>(N67*O67*P67)+(N68*O68*P68)+(N69*O69*P69)+(N70*O70*P70)+(N71*O71*P71)+(N72*O72*P72)</f>
        <v>2153.0918146499998</v>
      </c>
      <c r="R67" s="17">
        <v>0</v>
      </c>
      <c r="S67" s="11">
        <f t="shared" si="30"/>
        <v>2153.0918146499998</v>
      </c>
      <c r="T67" s="61"/>
    </row>
    <row r="68" spans="1:21" s="7" customFormat="1" ht="14.4" hidden="1" x14ac:dyDescent="0.55000000000000004">
      <c r="A68" s="261"/>
      <c r="B68" s="270"/>
      <c r="C68" s="244" t="s">
        <v>55</v>
      </c>
      <c r="D68" s="23">
        <v>4</v>
      </c>
      <c r="E68" s="20">
        <v>1</v>
      </c>
      <c r="F68" s="19">
        <f>+F67</f>
        <v>56.75</v>
      </c>
      <c r="G68" s="17"/>
      <c r="H68" s="17"/>
      <c r="I68" s="37"/>
      <c r="J68" s="15"/>
      <c r="K68" s="15"/>
      <c r="L68" s="15"/>
      <c r="M68" s="15"/>
      <c r="N68" s="23"/>
      <c r="O68" s="20"/>
      <c r="P68" s="26">
        <v>149.29425000000001</v>
      </c>
      <c r="Q68" s="15"/>
      <c r="R68" s="17"/>
      <c r="S68" s="11"/>
      <c r="T68" s="51"/>
    </row>
    <row r="69" spans="1:21" s="7" customFormat="1" ht="14.4" hidden="1" x14ac:dyDescent="0.55000000000000004">
      <c r="A69" s="261"/>
      <c r="B69" s="270"/>
      <c r="C69" s="244" t="s">
        <v>56</v>
      </c>
      <c r="D69" s="23">
        <v>4</v>
      </c>
      <c r="E69" s="20">
        <v>0.5</v>
      </c>
      <c r="F69" s="19">
        <f>+F68</f>
        <v>56.75</v>
      </c>
      <c r="G69" s="17"/>
      <c r="H69" s="17"/>
      <c r="I69" s="37"/>
      <c r="J69" s="15"/>
      <c r="K69" s="15"/>
      <c r="L69" s="15"/>
      <c r="M69" s="15"/>
      <c r="N69" s="23">
        <v>4</v>
      </c>
      <c r="O69" s="20">
        <v>0.5</v>
      </c>
      <c r="P69" s="26">
        <v>149.29425000000001</v>
      </c>
      <c r="Q69" s="15"/>
      <c r="R69" s="17"/>
      <c r="S69" s="11"/>
      <c r="T69" s="51"/>
    </row>
    <row r="70" spans="1:21" s="7" customFormat="1" ht="14.4" hidden="1" x14ac:dyDescent="0.55000000000000004">
      <c r="A70" s="261"/>
      <c r="B70" s="270"/>
      <c r="C70" s="244" t="s">
        <v>57</v>
      </c>
      <c r="D70" s="23">
        <v>4</v>
      </c>
      <c r="E70" s="20">
        <v>0.5</v>
      </c>
      <c r="F70" s="19">
        <f>+F69*1.04</f>
        <v>59.02</v>
      </c>
      <c r="G70" s="17"/>
      <c r="H70" s="17"/>
      <c r="I70" s="37"/>
      <c r="J70" s="15"/>
      <c r="K70" s="15"/>
      <c r="L70" s="15"/>
      <c r="M70" s="15"/>
      <c r="N70" s="23">
        <v>4</v>
      </c>
      <c r="O70" s="20">
        <v>0.5</v>
      </c>
      <c r="P70" s="26">
        <v>153.7730775</v>
      </c>
      <c r="Q70" s="15"/>
      <c r="R70" s="17"/>
      <c r="S70" s="11"/>
      <c r="T70" s="51"/>
    </row>
    <row r="71" spans="1:21" s="7" customFormat="1" ht="14.4" hidden="1" x14ac:dyDescent="0.55000000000000004">
      <c r="A71" s="261"/>
      <c r="B71" s="270"/>
      <c r="C71" s="244" t="s">
        <v>58</v>
      </c>
      <c r="D71" s="23"/>
      <c r="E71" s="20"/>
      <c r="F71" s="19"/>
      <c r="G71" s="17"/>
      <c r="H71" s="17"/>
      <c r="I71" s="37"/>
      <c r="J71" s="15"/>
      <c r="K71" s="15"/>
      <c r="L71" s="15"/>
      <c r="M71" s="15"/>
      <c r="N71" s="23">
        <v>8</v>
      </c>
      <c r="O71" s="20">
        <v>1</v>
      </c>
      <c r="P71" s="26">
        <v>153.7730775</v>
      </c>
      <c r="Q71" s="15"/>
      <c r="R71" s="17"/>
      <c r="S71" s="11"/>
      <c r="T71" s="51"/>
    </row>
    <row r="72" spans="1:21" s="7" customFormat="1" ht="14.4" hidden="1" x14ac:dyDescent="0.55000000000000004">
      <c r="A72" s="261"/>
      <c r="B72" s="270"/>
      <c r="C72" s="244" t="s">
        <v>59</v>
      </c>
      <c r="D72" s="23"/>
      <c r="E72" s="20"/>
      <c r="F72" s="19"/>
      <c r="G72" s="17"/>
      <c r="H72" s="17"/>
      <c r="I72" s="37"/>
      <c r="J72" s="15"/>
      <c r="K72" s="15"/>
      <c r="L72" s="15"/>
      <c r="M72" s="15"/>
      <c r="N72" s="23">
        <v>2</v>
      </c>
      <c r="O72" s="20">
        <v>1</v>
      </c>
      <c r="P72" s="26">
        <v>158.386269825</v>
      </c>
      <c r="Q72" s="15"/>
      <c r="R72" s="17"/>
      <c r="S72" s="11"/>
      <c r="T72" s="51"/>
    </row>
    <row r="73" spans="1:21" ht="24.6" x14ac:dyDescent="0.55000000000000004">
      <c r="A73" s="264" t="s">
        <v>164</v>
      </c>
      <c r="B73" s="269">
        <v>89400</v>
      </c>
      <c r="C73" s="249" t="s">
        <v>120</v>
      </c>
      <c r="D73" s="23">
        <v>17</v>
      </c>
      <c r="E73" s="20">
        <v>1</v>
      </c>
      <c r="F73" s="26">
        <v>120</v>
      </c>
      <c r="G73" s="17">
        <v>2150</v>
      </c>
      <c r="H73" s="17">
        <v>0</v>
      </c>
      <c r="I73" s="38">
        <v>2767.2</v>
      </c>
      <c r="J73" s="11">
        <f>(D74*E74*F74)+(D75*E75*F75)+(D76*E76*F76)+(D77*E77*F77)+(D78*E78*F78)</f>
        <v>2500</v>
      </c>
      <c r="K73" s="11">
        <f>+I73+J73</f>
        <v>5267.2</v>
      </c>
      <c r="L73" s="11">
        <f t="shared" ref="L73" si="31">+G73-K73</f>
        <v>-3117.2</v>
      </c>
      <c r="M73" s="41" t="s">
        <v>121</v>
      </c>
      <c r="N73" s="23">
        <v>18</v>
      </c>
      <c r="O73" s="23">
        <v>1</v>
      </c>
      <c r="P73" s="26">
        <v>138.77000000000001</v>
      </c>
      <c r="Q73" s="11">
        <f>N73*O73*P73</f>
        <v>2497.86</v>
      </c>
      <c r="R73" s="17">
        <v>0</v>
      </c>
      <c r="S73" s="11">
        <f t="shared" si="30"/>
        <v>2497.86</v>
      </c>
      <c r="T73" s="61"/>
    </row>
    <row r="74" spans="1:21" ht="14.4" hidden="1" x14ac:dyDescent="0.55000000000000004">
      <c r="A74" s="258"/>
      <c r="B74" s="271"/>
      <c r="C74" s="256" t="s">
        <v>55</v>
      </c>
      <c r="D74" s="23">
        <v>0</v>
      </c>
      <c r="E74" s="20">
        <v>1</v>
      </c>
      <c r="F74" s="19">
        <v>120</v>
      </c>
      <c r="G74" s="196"/>
      <c r="H74" s="196"/>
      <c r="I74" s="205"/>
      <c r="J74" s="195"/>
      <c r="K74" s="195"/>
      <c r="L74" s="195"/>
      <c r="M74" s="195"/>
      <c r="N74" s="23"/>
      <c r="O74" s="20"/>
      <c r="P74" s="26"/>
      <c r="Q74" s="195"/>
      <c r="R74" s="196"/>
      <c r="S74" s="204"/>
      <c r="T74" s="203"/>
      <c r="U74" s="6"/>
    </row>
    <row r="75" spans="1:21" ht="14.4" hidden="1" x14ac:dyDescent="0.55000000000000004">
      <c r="A75" s="258"/>
      <c r="B75" s="271"/>
      <c r="C75" s="256" t="s">
        <v>56</v>
      </c>
      <c r="D75" s="23">
        <v>1</v>
      </c>
      <c r="E75" s="20">
        <v>1</v>
      </c>
      <c r="F75" s="19">
        <v>2500</v>
      </c>
      <c r="G75" s="196"/>
      <c r="H75" s="196"/>
      <c r="I75" s="205"/>
      <c r="J75" s="195"/>
      <c r="K75" s="195"/>
      <c r="L75" s="195"/>
      <c r="M75" s="195"/>
      <c r="N75" s="23"/>
      <c r="O75" s="20"/>
      <c r="P75" s="26"/>
      <c r="Q75" s="195"/>
      <c r="R75" s="196"/>
      <c r="S75" s="204"/>
      <c r="T75" s="203"/>
      <c r="U75" s="6"/>
    </row>
    <row r="76" spans="1:21" ht="14.4" hidden="1" x14ac:dyDescent="0.55000000000000004">
      <c r="A76" s="258"/>
      <c r="B76" s="271"/>
      <c r="C76" s="256" t="s">
        <v>57</v>
      </c>
      <c r="D76" s="23">
        <v>0</v>
      </c>
      <c r="E76" s="20">
        <v>1</v>
      </c>
      <c r="F76" s="19">
        <v>0</v>
      </c>
      <c r="G76" s="196"/>
      <c r="H76" s="196"/>
      <c r="I76" s="205"/>
      <c r="J76" s="195"/>
      <c r="K76" s="195"/>
      <c r="L76" s="195"/>
      <c r="M76" s="195"/>
      <c r="N76" s="23"/>
      <c r="O76" s="20"/>
      <c r="P76" s="26"/>
      <c r="Q76" s="195"/>
      <c r="R76" s="196"/>
      <c r="S76" s="204"/>
      <c r="T76" s="203"/>
      <c r="U76" s="6"/>
    </row>
    <row r="77" spans="1:21" ht="14.4" hidden="1" x14ac:dyDescent="0.55000000000000004">
      <c r="A77" s="258"/>
      <c r="B77" s="271"/>
      <c r="C77" s="256" t="s">
        <v>58</v>
      </c>
      <c r="D77" s="23"/>
      <c r="E77" s="20"/>
      <c r="F77" s="19"/>
      <c r="G77" s="196"/>
      <c r="H77" s="196"/>
      <c r="I77" s="205"/>
      <c r="J77" s="195"/>
      <c r="K77" s="195"/>
      <c r="L77" s="195"/>
      <c r="M77" s="195"/>
      <c r="N77" s="23"/>
      <c r="O77" s="20"/>
      <c r="P77" s="26"/>
      <c r="Q77" s="195"/>
      <c r="R77" s="196"/>
      <c r="S77" s="204"/>
      <c r="T77" s="203"/>
      <c r="U77" s="6"/>
    </row>
    <row r="78" spans="1:21" ht="14.4" hidden="1" x14ac:dyDescent="0.55000000000000004">
      <c r="A78" s="258"/>
      <c r="B78" s="271"/>
      <c r="C78" s="256" t="s">
        <v>59</v>
      </c>
      <c r="D78" s="23"/>
      <c r="E78" s="20"/>
      <c r="F78" s="19"/>
      <c r="G78" s="196"/>
      <c r="H78" s="196"/>
      <c r="I78" s="205"/>
      <c r="J78" s="195"/>
      <c r="K78" s="195"/>
      <c r="L78" s="195"/>
      <c r="M78" s="195"/>
      <c r="N78" s="23"/>
      <c r="O78" s="20"/>
      <c r="P78" s="26"/>
      <c r="Q78" s="195"/>
      <c r="R78" s="196"/>
      <c r="S78" s="204"/>
      <c r="T78" s="203"/>
      <c r="U78" s="6"/>
    </row>
    <row r="79" spans="1:21" s="7" customFormat="1" ht="14.4" x14ac:dyDescent="0.55000000000000004">
      <c r="A79" s="261"/>
      <c r="B79" s="270"/>
      <c r="C79" s="247" t="s">
        <v>122</v>
      </c>
      <c r="D79" s="67"/>
      <c r="E79" s="67"/>
      <c r="F79" s="67"/>
      <c r="G79" s="68"/>
      <c r="H79" s="68"/>
      <c r="I79" s="69"/>
      <c r="J79" s="67"/>
      <c r="K79" s="67"/>
      <c r="L79" s="67"/>
      <c r="M79" s="71" t="s">
        <v>122</v>
      </c>
      <c r="N79" s="67"/>
      <c r="O79" s="67"/>
      <c r="P79" s="67"/>
      <c r="Q79" s="67"/>
      <c r="R79" s="68"/>
      <c r="S79" s="67">
        <f t="shared" si="30"/>
        <v>0</v>
      </c>
      <c r="T79" s="72"/>
    </row>
    <row r="80" spans="1:21" ht="14.4" x14ac:dyDescent="0.55000000000000004">
      <c r="A80" s="41"/>
      <c r="B80" s="269"/>
      <c r="C80" s="249" t="s">
        <v>101</v>
      </c>
      <c r="D80" s="23">
        <v>17</v>
      </c>
      <c r="E80" s="23">
        <v>1</v>
      </c>
      <c r="F80" s="26">
        <v>20.588235294117649</v>
      </c>
      <c r="G80" s="17">
        <v>305.5</v>
      </c>
      <c r="H80" s="17">
        <v>2698</v>
      </c>
      <c r="I80" s="38">
        <v>8.7100000000000009</v>
      </c>
      <c r="J80" s="11">
        <v>231.82</v>
      </c>
      <c r="K80" s="11">
        <f t="shared" ref="K80" si="32">+I80+J80</f>
        <v>240.53</v>
      </c>
      <c r="L80" s="11">
        <f t="shared" ref="L80" si="33">+G80-K80</f>
        <v>64.97</v>
      </c>
      <c r="M80" s="11"/>
      <c r="N80" s="23"/>
      <c r="O80" s="23"/>
      <c r="P80" s="26"/>
      <c r="Q80" s="11"/>
      <c r="R80" s="17"/>
      <c r="S80" s="11"/>
      <c r="T80" s="61"/>
    </row>
    <row r="81" spans="1:20" ht="14.4" x14ac:dyDescent="0.55000000000000004">
      <c r="A81" s="258" t="s">
        <v>167</v>
      </c>
      <c r="B81" s="258">
        <v>82350</v>
      </c>
      <c r="C81" s="249" t="s">
        <v>123</v>
      </c>
      <c r="D81" s="23"/>
      <c r="E81" s="23"/>
      <c r="F81" s="26"/>
      <c r="G81" s="17">
        <f>+D81*E81*F81</f>
        <v>0</v>
      </c>
      <c r="H81" s="17"/>
      <c r="I81" s="38"/>
      <c r="J81" s="11"/>
      <c r="K81" s="11">
        <f t="shared" ref="K81" si="34">+I81+J81</f>
        <v>0</v>
      </c>
      <c r="L81" s="11">
        <f t="shared" si="29"/>
        <v>0</v>
      </c>
      <c r="M81" s="41" t="s">
        <v>124</v>
      </c>
      <c r="N81" s="23">
        <f>+N44</f>
        <v>20</v>
      </c>
      <c r="O81" s="23">
        <v>1</v>
      </c>
      <c r="P81" s="26">
        <v>10.28</v>
      </c>
      <c r="Q81" s="11">
        <f>+N81*O81*P81</f>
        <v>205.6</v>
      </c>
      <c r="R81" s="17">
        <v>0</v>
      </c>
      <c r="S81" s="11">
        <f t="shared" si="30"/>
        <v>205.6</v>
      </c>
      <c r="T81" s="61"/>
    </row>
    <row r="82" spans="1:20" s="7" customFormat="1" ht="14.4" x14ac:dyDescent="0.55000000000000004">
      <c r="A82" s="261"/>
      <c r="B82" s="270"/>
      <c r="C82" s="247" t="s">
        <v>125</v>
      </c>
      <c r="D82" s="67"/>
      <c r="E82" s="67"/>
      <c r="F82" s="67"/>
      <c r="G82" s="68"/>
      <c r="H82" s="68"/>
      <c r="I82" s="69"/>
      <c r="J82" s="67"/>
      <c r="K82" s="67"/>
      <c r="L82" s="67"/>
      <c r="M82" s="71" t="s">
        <v>125</v>
      </c>
      <c r="N82" s="67"/>
      <c r="O82" s="67"/>
      <c r="P82" s="67"/>
      <c r="Q82" s="67"/>
      <c r="R82" s="68"/>
      <c r="S82" s="67"/>
      <c r="T82" s="72"/>
    </row>
    <row r="83" spans="1:20" s="7" customFormat="1" ht="14.4" x14ac:dyDescent="0.55000000000000004">
      <c r="A83" s="261" t="s">
        <v>166</v>
      </c>
      <c r="B83" s="258">
        <v>96000</v>
      </c>
      <c r="C83" s="244" t="s">
        <v>126</v>
      </c>
      <c r="D83" s="23"/>
      <c r="E83" s="20"/>
      <c r="F83" s="19"/>
      <c r="G83" s="17">
        <v>0</v>
      </c>
      <c r="H83" s="17">
        <v>61729</v>
      </c>
      <c r="I83" s="37"/>
      <c r="J83" s="15">
        <f t="shared" ref="J83" si="35">+D83*E83*F83</f>
        <v>0</v>
      </c>
      <c r="K83" s="15">
        <f t="shared" ref="K83" si="36">+I83+J83</f>
        <v>0</v>
      </c>
      <c r="L83" s="15">
        <f t="shared" ref="L83" si="37">+G83-K83</f>
        <v>0</v>
      </c>
      <c r="M83" s="15" t="s">
        <v>126</v>
      </c>
      <c r="N83" s="23"/>
      <c r="O83" s="20"/>
      <c r="P83" s="26"/>
      <c r="Q83" s="15">
        <v>0</v>
      </c>
      <c r="R83" s="17">
        <f>+'Volunteer Time Cost Share'!E20</f>
        <v>36871.599999999999</v>
      </c>
      <c r="S83" s="11">
        <f>+Q83+R83</f>
        <v>36871.599999999999</v>
      </c>
      <c r="T83" s="51"/>
    </row>
    <row r="84" spans="1:20" ht="14.7" thickBot="1" x14ac:dyDescent="0.6">
      <c r="A84" s="258"/>
      <c r="B84" s="271"/>
      <c r="C84" s="253" t="s">
        <v>127</v>
      </c>
      <c r="D84" s="74"/>
      <c r="E84" s="74"/>
      <c r="F84" s="74"/>
      <c r="G84" s="54">
        <f>SUM(G63:G83)</f>
        <v>8153.5</v>
      </c>
      <c r="H84" s="54">
        <f>SUM(H63:H83)</f>
        <v>64427</v>
      </c>
      <c r="I84" s="75">
        <f>SUM(I63:I83)</f>
        <v>2919.44</v>
      </c>
      <c r="J84" s="54">
        <f>SUM(J63:J83)</f>
        <v>7287.82</v>
      </c>
      <c r="K84" s="54">
        <f>SUM(K63:K83)</f>
        <v>10207.26</v>
      </c>
      <c r="L84" s="54">
        <f>+G84-K84</f>
        <v>-2053.7600000000002</v>
      </c>
      <c r="M84" s="52" t="s">
        <v>127</v>
      </c>
      <c r="N84" s="74"/>
      <c r="O84" s="74"/>
      <c r="P84" s="74"/>
      <c r="Q84" s="54">
        <f>SUM(Q63:Q83)</f>
        <v>7010.89181465</v>
      </c>
      <c r="R84" s="54">
        <f>SUM(R63:R83)</f>
        <v>36871.599999999999</v>
      </c>
      <c r="S84" s="54">
        <f>SUM(S63:S83)</f>
        <v>43882.491814649999</v>
      </c>
      <c r="T84" s="199">
        <f>+Q84/G84</f>
        <v>0.85986285823879316</v>
      </c>
    </row>
    <row r="85" spans="1:20" ht="14.7" thickBot="1" x14ac:dyDescent="0.6">
      <c r="A85" s="258"/>
      <c r="B85" s="271"/>
      <c r="C85" s="254" t="s">
        <v>128</v>
      </c>
      <c r="D85" s="142"/>
      <c r="E85" s="142"/>
      <c r="F85" s="142"/>
      <c r="G85" s="143">
        <f>G84+G60+G50+G32+G28</f>
        <v>271869.83333333337</v>
      </c>
      <c r="H85" s="143">
        <f>H84+H60+H50+H32+H28</f>
        <v>127826</v>
      </c>
      <c r="I85" s="144">
        <f>I84+I60+I50+I32+I28</f>
        <v>43806.87999999999</v>
      </c>
      <c r="J85" s="143">
        <f>J84+J60+J50+J32+J28</f>
        <v>228062.95228325334</v>
      </c>
      <c r="K85" s="143">
        <f>K84+K60+K50+K32+K28</f>
        <v>271869.83228325332</v>
      </c>
      <c r="L85" s="143">
        <f>+G85-K85</f>
        <v>1.0500800563022494E-3</v>
      </c>
      <c r="M85" s="55" t="s">
        <v>128</v>
      </c>
      <c r="N85" s="142"/>
      <c r="O85" s="142"/>
      <c r="P85" s="142"/>
      <c r="Q85" s="143">
        <f>Q84+Q60+Q50+Q54+Q32+Q28</f>
        <v>212286.08675481461</v>
      </c>
      <c r="R85" s="143">
        <f>R84+R60+R50+R54+R32+R28</f>
        <v>73869.600000000006</v>
      </c>
      <c r="S85" s="143">
        <f>S84+S60+S50+S54+S32+S28</f>
        <v>286155.68675481458</v>
      </c>
      <c r="T85" s="200">
        <f>+Q85/G85</f>
        <v>0.78083722696271163</v>
      </c>
    </row>
    <row r="86" spans="1:20" s="7" customFormat="1" ht="14.4" x14ac:dyDescent="0.55000000000000004">
      <c r="A86" s="261"/>
      <c r="B86" s="270"/>
      <c r="C86" s="243" t="s">
        <v>129</v>
      </c>
      <c r="D86" s="166"/>
      <c r="E86" s="166"/>
      <c r="F86" s="166"/>
      <c r="G86" s="167"/>
      <c r="H86" s="167"/>
      <c r="I86" s="168"/>
      <c r="J86" s="169"/>
      <c r="K86" s="169"/>
      <c r="L86" s="169"/>
      <c r="M86" s="47" t="s">
        <v>129</v>
      </c>
      <c r="N86" s="166"/>
      <c r="O86" s="166"/>
      <c r="P86" s="166"/>
      <c r="Q86" s="169"/>
      <c r="R86" s="167"/>
      <c r="S86" s="169">
        <f>+G86+R86</f>
        <v>0</v>
      </c>
      <c r="T86" s="170"/>
    </row>
    <row r="87" spans="1:20" ht="14.4" x14ac:dyDescent="0.55000000000000004">
      <c r="A87" s="272" t="s">
        <v>162</v>
      </c>
      <c r="B87" s="273">
        <v>94050</v>
      </c>
      <c r="C87" s="250">
        <v>0.15</v>
      </c>
      <c r="D87" s="23"/>
      <c r="E87" s="23"/>
      <c r="F87" s="26"/>
      <c r="G87" s="17">
        <f>G85*$C$87</f>
        <v>40780.475000000006</v>
      </c>
      <c r="H87" s="17">
        <v>0</v>
      </c>
      <c r="I87" s="38">
        <f t="shared" ref="I87:J87" si="38">I85*$C$87</f>
        <v>6571.0319999999983</v>
      </c>
      <c r="J87" s="11">
        <f t="shared" si="38"/>
        <v>34209.442842488002</v>
      </c>
      <c r="K87" s="11">
        <f>K85*$C$87</f>
        <v>40780.474842487994</v>
      </c>
      <c r="L87" s="11">
        <f t="shared" ref="L87" si="39">L85*$C$87</f>
        <v>1.575120084453374E-4</v>
      </c>
      <c r="M87" s="73">
        <v>0.15</v>
      </c>
      <c r="N87" s="23"/>
      <c r="O87" s="23"/>
      <c r="P87" s="26"/>
      <c r="Q87" s="11">
        <f>Q85*$C$87</f>
        <v>31842.913013222191</v>
      </c>
      <c r="R87" s="17">
        <v>0</v>
      </c>
      <c r="S87" s="11">
        <f t="shared" ref="S87" si="40">+Q87+R87</f>
        <v>31842.913013222191</v>
      </c>
      <c r="T87" s="61">
        <f>+Q87/G87</f>
        <v>0.78083722696271163</v>
      </c>
    </row>
    <row r="88" spans="1:20" ht="14.7" thickBot="1" x14ac:dyDescent="0.6">
      <c r="A88" s="258"/>
      <c r="B88" s="271"/>
      <c r="C88" s="253" t="s">
        <v>130</v>
      </c>
      <c r="D88" s="171"/>
      <c r="E88" s="171"/>
      <c r="F88" s="171"/>
      <c r="G88" s="172">
        <f>G87</f>
        <v>40780.475000000006</v>
      </c>
      <c r="H88" s="172">
        <f t="shared" ref="H88:K88" si="41">H87</f>
        <v>0</v>
      </c>
      <c r="I88" s="173">
        <f t="shared" si="41"/>
        <v>6571.0319999999983</v>
      </c>
      <c r="J88" s="172">
        <f t="shared" si="41"/>
        <v>34209.442842488002</v>
      </c>
      <c r="K88" s="172">
        <f t="shared" si="41"/>
        <v>40780.474842487994</v>
      </c>
      <c r="L88" s="174"/>
      <c r="M88" s="52" t="s">
        <v>130</v>
      </c>
      <c r="N88" s="171"/>
      <c r="O88" s="171"/>
      <c r="P88" s="171"/>
      <c r="Q88" s="174">
        <f>Q87</f>
        <v>31842.913013222191</v>
      </c>
      <c r="R88" s="174">
        <v>0</v>
      </c>
      <c r="S88" s="174">
        <f t="shared" ref="S88" si="42">S87</f>
        <v>31842.913013222191</v>
      </c>
      <c r="T88" s="201">
        <f>+Q88/G88</f>
        <v>0.78083722696271163</v>
      </c>
    </row>
    <row r="89" spans="1:20" ht="14.7" thickBot="1" x14ac:dyDescent="0.6">
      <c r="A89" s="258"/>
      <c r="B89" s="258"/>
      <c r="C89" s="257" t="s">
        <v>131</v>
      </c>
      <c r="D89" s="163"/>
      <c r="E89" s="163"/>
      <c r="F89" s="163"/>
      <c r="G89" s="164">
        <f>G88+G85</f>
        <v>312650.30833333335</v>
      </c>
      <c r="H89" s="164">
        <f t="shared" ref="H89:R89" si="43">H88+H85</f>
        <v>127826</v>
      </c>
      <c r="I89" s="165">
        <f t="shared" si="43"/>
        <v>50377.911999999989</v>
      </c>
      <c r="J89" s="164">
        <f t="shared" ref="J89" si="44">J88+J85</f>
        <v>262272.39512574137</v>
      </c>
      <c r="K89" s="164">
        <f>+I89+J89</f>
        <v>312650.30712574138</v>
      </c>
      <c r="L89" s="164">
        <f>+G89-K89</f>
        <v>1.2075919657945633E-3</v>
      </c>
      <c r="M89" s="66" t="s">
        <v>131</v>
      </c>
      <c r="N89" s="163"/>
      <c r="O89" s="163"/>
      <c r="P89" s="163"/>
      <c r="Q89" s="164">
        <f>Q88+Q85</f>
        <v>244128.9997680368</v>
      </c>
      <c r="R89" s="164">
        <f t="shared" si="43"/>
        <v>73869.600000000006</v>
      </c>
      <c r="S89" s="164">
        <f>S88+S85</f>
        <v>317998.59976803674</v>
      </c>
      <c r="T89" s="202">
        <f>+Q89/G89</f>
        <v>0.78083722696271163</v>
      </c>
    </row>
    <row r="90" spans="1:20" ht="15" customHeight="1" x14ac:dyDescent="0.55000000000000004">
      <c r="F90" s="3"/>
      <c r="G90" s="3"/>
      <c r="H90" s="3"/>
      <c r="I90" s="175"/>
      <c r="J90" s="175"/>
      <c r="K90" s="3"/>
      <c r="L90" s="3"/>
      <c r="M90" s="3"/>
      <c r="N90" s="3"/>
      <c r="O90" s="3"/>
      <c r="P90" s="3"/>
      <c r="R90" s="176"/>
      <c r="S90" s="7"/>
      <c r="T90" s="7"/>
    </row>
    <row r="91" spans="1:20" ht="15" customHeight="1" x14ac:dyDescent="0.55000000000000004">
      <c r="F91" s="3"/>
      <c r="G91" s="39"/>
      <c r="H91" s="3"/>
      <c r="I91" s="176"/>
      <c r="J91" s="176"/>
      <c r="K91" s="3"/>
      <c r="L91" s="3"/>
      <c r="M91" s="3"/>
      <c r="N91" s="3"/>
      <c r="O91" s="3"/>
      <c r="P91" s="214"/>
      <c r="Q91" s="214"/>
      <c r="R91" s="216"/>
      <c r="S91" s="207"/>
      <c r="T91" s="7"/>
    </row>
    <row r="92" spans="1:20" ht="15" customHeight="1" x14ac:dyDescent="0.55000000000000004">
      <c r="G92" s="177"/>
      <c r="I92" s="175"/>
      <c r="J92" s="175"/>
      <c r="K92" s="177"/>
      <c r="P92" s="217"/>
      <c r="Q92" s="214"/>
      <c r="R92" s="216"/>
    </row>
    <row r="93" spans="1:20" ht="15" customHeight="1" x14ac:dyDescent="0.55000000000000004">
      <c r="G93" s="39"/>
      <c r="I93" s="175"/>
      <c r="J93" s="175"/>
      <c r="P93" s="217"/>
      <c r="Q93" s="214"/>
      <c r="R93" s="216"/>
    </row>
    <row r="94" spans="1:20" ht="15" customHeight="1" x14ac:dyDescent="0.55000000000000004">
      <c r="I94" s="178"/>
      <c r="J94" s="175"/>
      <c r="P94" s="217"/>
      <c r="Q94" s="214"/>
      <c r="R94" s="216"/>
    </row>
    <row r="95" spans="1:20" ht="15" customHeight="1" x14ac:dyDescent="0.55000000000000004">
      <c r="I95" s="175"/>
      <c r="J95" s="175"/>
      <c r="P95" s="218"/>
      <c r="Q95" s="214"/>
      <c r="R95" s="216"/>
    </row>
    <row r="96" spans="1:20" ht="15" customHeight="1" x14ac:dyDescent="0.55000000000000004">
      <c r="H96" s="175"/>
      <c r="I96" s="175"/>
      <c r="J96" s="175"/>
      <c r="P96" s="218"/>
      <c r="Q96" s="215"/>
      <c r="R96" s="216"/>
    </row>
    <row r="97" spans="9:18" ht="15" customHeight="1" x14ac:dyDescent="0.55000000000000004">
      <c r="I97" s="179"/>
      <c r="J97" s="175"/>
      <c r="P97" s="217"/>
      <c r="Q97" s="215"/>
      <c r="R97" s="216"/>
    </row>
    <row r="98" spans="9:18" ht="15" customHeight="1" x14ac:dyDescent="0.55000000000000004">
      <c r="I98" s="175"/>
      <c r="J98" s="175"/>
      <c r="P98" s="24"/>
      <c r="Q98" s="219"/>
      <c r="R98" s="220"/>
    </row>
    <row r="99" spans="9:18" ht="15" customHeight="1" x14ac:dyDescent="0.55000000000000004">
      <c r="I99" s="175"/>
      <c r="J99" s="175"/>
      <c r="P99" s="24"/>
      <c r="Q99" s="221"/>
      <c r="R99" s="221"/>
    </row>
    <row r="101" spans="9:18" ht="15" customHeight="1" x14ac:dyDescent="0.55000000000000004">
      <c r="I101" s="175"/>
      <c r="J101" s="175"/>
      <c r="Q101" s="160"/>
      <c r="R101" s="175"/>
    </row>
    <row r="103" spans="9:18" ht="15" customHeight="1" x14ac:dyDescent="0.55000000000000004">
      <c r="I103" s="175"/>
      <c r="J103" s="175"/>
      <c r="M103" s="160"/>
      <c r="Q103" s="160"/>
      <c r="R103" s="175"/>
    </row>
    <row r="105" spans="9:18" ht="15" customHeight="1" x14ac:dyDescent="0.55000000000000004">
      <c r="I105" s="175"/>
      <c r="J105" s="175"/>
      <c r="Q105" s="160"/>
      <c r="R105" s="175"/>
    </row>
    <row r="107" spans="9:18" ht="15" customHeight="1" x14ac:dyDescent="0.55000000000000004">
      <c r="I107" s="180"/>
      <c r="J107" s="175"/>
      <c r="R107" s="175"/>
    </row>
  </sheetData>
  <mergeCells count="4">
    <mergeCell ref="C1:T1"/>
    <mergeCell ref="C2:T2"/>
    <mergeCell ref="C3:T3"/>
    <mergeCell ref="C4:T4"/>
  </mergeCells>
  <pageMargins left="0.5" right="0.5" top="0.5" bottom="0.5" header="0.5" footer="0.5"/>
  <pageSetup scale="49" orientation="portrait" r:id="rId1"/>
  <headerFooter alignWithMargins="0">
    <oddFooter>&amp;L&amp;"Helvetica,Regular"&amp;12&amp;K000000	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showGridLines="0" zoomScaleNormal="100" workbookViewId="0">
      <selection activeCell="A13" sqref="A13"/>
    </sheetView>
  </sheetViews>
  <sheetFormatPr defaultColWidth="6.63671875" defaultRowHeight="15" customHeight="1" x14ac:dyDescent="0.55000000000000004"/>
  <cols>
    <col min="1" max="1" width="28.87890625" style="79" bestFit="1" customWidth="1"/>
    <col min="2" max="2" width="8.359375" style="79" bestFit="1" customWidth="1"/>
    <col min="3" max="3" width="7.7578125" style="79" customWidth="1"/>
    <col min="4" max="4" width="7.87890625" style="79" bestFit="1" customWidth="1"/>
    <col min="5" max="5" width="7" style="79" bestFit="1" customWidth="1"/>
    <col min="6" max="16384" width="6.63671875" style="79"/>
  </cols>
  <sheetData>
    <row r="1" spans="1:8" ht="16" customHeight="1" x14ac:dyDescent="0.55000000000000004">
      <c r="A1" s="239" t="s">
        <v>132</v>
      </c>
      <c r="B1" s="240"/>
      <c r="C1" s="240"/>
      <c r="D1" s="240"/>
      <c r="E1" s="241"/>
    </row>
    <row r="2" spans="1:8" ht="45.3" x14ac:dyDescent="0.55000000000000004">
      <c r="A2" s="80" t="s">
        <v>133</v>
      </c>
      <c r="B2" s="81" t="s">
        <v>134</v>
      </c>
      <c r="C2" s="81" t="s">
        <v>135</v>
      </c>
      <c r="D2" s="82" t="s">
        <v>136</v>
      </c>
      <c r="E2" s="83" t="s">
        <v>137</v>
      </c>
    </row>
    <row r="3" spans="1:8" ht="16" customHeight="1" x14ac:dyDescent="0.55000000000000004">
      <c r="A3" s="104"/>
      <c r="B3" s="105"/>
      <c r="C3" s="105"/>
      <c r="D3" s="106"/>
      <c r="E3" s="107"/>
    </row>
    <row r="4" spans="1:8" ht="16" customHeight="1" x14ac:dyDescent="0.55000000000000004">
      <c r="A4" s="111" t="s">
        <v>138</v>
      </c>
      <c r="B4" s="113"/>
      <c r="C4" s="113"/>
      <c r="D4" s="114"/>
      <c r="E4" s="115"/>
    </row>
    <row r="5" spans="1:8" ht="16" customHeight="1" x14ac:dyDescent="0.55000000000000004">
      <c r="A5" s="112" t="s">
        <v>139</v>
      </c>
      <c r="B5" s="116">
        <v>2</v>
      </c>
      <c r="C5" s="116">
        <v>2</v>
      </c>
      <c r="D5" s="117">
        <f>31.06*8</f>
        <v>248.48</v>
      </c>
      <c r="E5" s="118">
        <f>+B5*C5*D5</f>
        <v>993.92</v>
      </c>
      <c r="F5" s="91"/>
    </row>
    <row r="6" spans="1:8" ht="16" customHeight="1" x14ac:dyDescent="0.55000000000000004">
      <c r="A6" s="112" t="s">
        <v>140</v>
      </c>
      <c r="B6" s="116">
        <v>2</v>
      </c>
      <c r="C6" s="116">
        <v>2</v>
      </c>
      <c r="D6" s="117">
        <f t="shared" ref="D6:D10" si="0">31.06*8</f>
        <v>248.48</v>
      </c>
      <c r="E6" s="118">
        <f t="shared" ref="E6:E9" si="1">+B6*C6*D6</f>
        <v>993.92</v>
      </c>
    </row>
    <row r="7" spans="1:8" ht="16" customHeight="1" x14ac:dyDescent="0.55000000000000004">
      <c r="A7" s="112" t="s">
        <v>141</v>
      </c>
      <c r="B7" s="116">
        <v>8</v>
      </c>
      <c r="C7" s="116">
        <v>7</v>
      </c>
      <c r="D7" s="117">
        <f>D6</f>
        <v>248.48</v>
      </c>
      <c r="E7" s="118">
        <f>+B7*C7*D7</f>
        <v>13914.88</v>
      </c>
    </row>
    <row r="8" spans="1:8" ht="16" customHeight="1" x14ac:dyDescent="0.55000000000000004">
      <c r="A8" s="112" t="s">
        <v>142</v>
      </c>
      <c r="B8" s="119">
        <v>2</v>
      </c>
      <c r="C8" s="119">
        <v>5</v>
      </c>
      <c r="D8" s="117">
        <f>31.06*8</f>
        <v>248.48</v>
      </c>
      <c r="E8" s="118">
        <f t="shared" si="1"/>
        <v>2484.7999999999997</v>
      </c>
      <c r="F8" s="93"/>
      <c r="G8" s="93"/>
    </row>
    <row r="9" spans="1:8" ht="16" customHeight="1" x14ac:dyDescent="0.55000000000000004">
      <c r="A9" s="112" t="s">
        <v>143</v>
      </c>
      <c r="B9" s="119">
        <v>1</v>
      </c>
      <c r="C9" s="119">
        <v>10</v>
      </c>
      <c r="D9" s="117">
        <f t="shared" si="0"/>
        <v>248.48</v>
      </c>
      <c r="E9" s="118">
        <f t="shared" si="1"/>
        <v>2484.7999999999997</v>
      </c>
      <c r="F9" s="93"/>
      <c r="G9" s="93"/>
    </row>
    <row r="10" spans="1:8" ht="16" customHeight="1" x14ac:dyDescent="0.55000000000000004">
      <c r="A10" s="112" t="s">
        <v>144</v>
      </c>
      <c r="B10" s="119">
        <v>5</v>
      </c>
      <c r="C10" s="119">
        <v>5</v>
      </c>
      <c r="D10" s="117">
        <f t="shared" si="0"/>
        <v>248.48</v>
      </c>
      <c r="E10" s="118">
        <f>+B10*C10*D10</f>
        <v>6212</v>
      </c>
      <c r="F10" s="93"/>
      <c r="G10" s="93"/>
    </row>
    <row r="11" spans="1:8" ht="15.75" customHeight="1" thickBot="1" x14ac:dyDescent="0.6">
      <c r="A11" s="108" t="s">
        <v>145</v>
      </c>
      <c r="B11" s="109"/>
      <c r="C11" s="109"/>
      <c r="D11" s="109"/>
      <c r="E11" s="110">
        <f>SUM(E5:E10)</f>
        <v>27084.32</v>
      </c>
    </row>
    <row r="12" spans="1:8" ht="16" customHeight="1" x14ac:dyDescent="0.55000000000000004">
      <c r="A12" s="86" t="s">
        <v>146</v>
      </c>
      <c r="B12" s="84"/>
      <c r="C12" s="84"/>
      <c r="D12" s="87"/>
      <c r="E12" s="85"/>
    </row>
    <row r="13" spans="1:8" ht="16" customHeight="1" x14ac:dyDescent="0.55000000000000004">
      <c r="A13" s="88" t="s">
        <v>139</v>
      </c>
      <c r="B13" s="89">
        <v>2</v>
      </c>
      <c r="C13" s="89">
        <v>2</v>
      </c>
      <c r="D13" s="87">
        <f>8.93*8</f>
        <v>71.44</v>
      </c>
      <c r="E13" s="90">
        <f t="shared" ref="E13:E18" si="2">+B13*C13*D13</f>
        <v>285.76</v>
      </c>
      <c r="F13" s="91"/>
    </row>
    <row r="14" spans="1:8" ht="16" customHeight="1" x14ac:dyDescent="0.55000000000000004">
      <c r="A14" s="88" t="s">
        <v>140</v>
      </c>
      <c r="B14" s="89">
        <v>2</v>
      </c>
      <c r="C14" s="89">
        <v>2</v>
      </c>
      <c r="D14" s="87">
        <f t="shared" ref="D14:D18" si="3">8.93*8</f>
        <v>71.44</v>
      </c>
      <c r="E14" s="90">
        <f t="shared" si="2"/>
        <v>285.76</v>
      </c>
    </row>
    <row r="15" spans="1:8" ht="16" customHeight="1" x14ac:dyDescent="0.55000000000000004">
      <c r="A15" s="88" t="s">
        <v>141</v>
      </c>
      <c r="B15" s="89">
        <v>12</v>
      </c>
      <c r="C15" s="89">
        <v>7</v>
      </c>
      <c r="D15" s="87">
        <f>8.93*8</f>
        <v>71.44</v>
      </c>
      <c r="E15" s="90">
        <f>+B15*C15*D15</f>
        <v>6000.96</v>
      </c>
    </row>
    <row r="16" spans="1:8" ht="16" customHeight="1" x14ac:dyDescent="0.55000000000000004">
      <c r="A16" s="88" t="s">
        <v>142</v>
      </c>
      <c r="B16" s="92">
        <v>2</v>
      </c>
      <c r="C16" s="92">
        <v>5</v>
      </c>
      <c r="D16" s="87">
        <f>8.93*8</f>
        <v>71.44</v>
      </c>
      <c r="E16" s="90">
        <f t="shared" si="2"/>
        <v>714.4</v>
      </c>
      <c r="F16" s="93"/>
      <c r="G16" s="93"/>
      <c r="H16" s="93"/>
    </row>
    <row r="17" spans="1:5" ht="16" customHeight="1" x14ac:dyDescent="0.55000000000000004">
      <c r="A17" s="88" t="s">
        <v>143</v>
      </c>
      <c r="B17" s="89">
        <v>1</v>
      </c>
      <c r="C17" s="89">
        <v>10</v>
      </c>
      <c r="D17" s="87">
        <f t="shared" si="3"/>
        <v>71.44</v>
      </c>
      <c r="E17" s="90">
        <f t="shared" si="2"/>
        <v>714.4</v>
      </c>
    </row>
    <row r="18" spans="1:5" ht="16" customHeight="1" x14ac:dyDescent="0.55000000000000004">
      <c r="A18" s="88" t="s">
        <v>144</v>
      </c>
      <c r="B18" s="89">
        <v>5</v>
      </c>
      <c r="C18" s="89">
        <v>5</v>
      </c>
      <c r="D18" s="87">
        <f t="shared" si="3"/>
        <v>71.44</v>
      </c>
      <c r="E18" s="90">
        <f t="shared" si="2"/>
        <v>1786</v>
      </c>
    </row>
    <row r="19" spans="1:5" ht="16" customHeight="1" x14ac:dyDescent="0.55000000000000004">
      <c r="A19" s="94" t="s">
        <v>145</v>
      </c>
      <c r="B19" s="95"/>
      <c r="C19" s="95"/>
      <c r="D19" s="103"/>
      <c r="E19" s="96">
        <f>SUM(E13:E18)</f>
        <v>9787.2799999999988</v>
      </c>
    </row>
    <row r="20" spans="1:5" ht="15.75" customHeight="1" thickBot="1" x14ac:dyDescent="0.6">
      <c r="A20" s="97" t="s">
        <v>147</v>
      </c>
      <c r="B20" s="98"/>
      <c r="C20" s="98"/>
      <c r="D20" s="99"/>
      <c r="E20" s="100">
        <f>E11+E19</f>
        <v>36871.599999999999</v>
      </c>
    </row>
    <row r="21" spans="1:5" ht="15" customHeight="1" x14ac:dyDescent="0.55000000000000004">
      <c r="D21" s="93"/>
    </row>
    <row r="22" spans="1:5" ht="15" customHeight="1" x14ac:dyDescent="0.55000000000000004">
      <c r="D22" s="93"/>
    </row>
    <row r="34" spans="5:5" ht="15" customHeight="1" x14ac:dyDescent="0.55000000000000004">
      <c r="E34" s="101"/>
    </row>
    <row r="35" spans="5:5" ht="15" customHeight="1" x14ac:dyDescent="0.55000000000000004">
      <c r="E35" s="101"/>
    </row>
    <row r="36" spans="5:5" ht="15" customHeight="1" x14ac:dyDescent="0.55000000000000004">
      <c r="E36" s="102"/>
    </row>
  </sheetData>
  <mergeCells count="1">
    <mergeCell ref="A1:E1"/>
  </mergeCells>
  <pageMargins left="0.75" right="0.75" top="1" bottom="1" header="0.5" footer="0.5"/>
  <pageSetup scale="92" orientation="portrait" r:id="rId1"/>
  <headerFooter alignWithMargins="0"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SharedWithUsers xmlns="dc808d36-874f-4b27-aec2-2fd649817929">
      <UserInfo>
        <DisplayName>Maia Moore</DisplayName>
        <AccountId>152</AccountId>
        <AccountType/>
      </UserInfo>
      <UserInfo>
        <DisplayName>Angel Rutter</DisplayName>
        <AccountId>1121</AccountId>
        <AccountType/>
      </UserInfo>
      <UserInfo>
        <DisplayName>Maria Ochoa</DisplayName>
        <AccountId>1109</AccountId>
        <AccountType/>
      </UserInfo>
      <UserInfo>
        <DisplayName>William Bullock</DisplayName>
        <AccountId>2144</AccountId>
        <AccountType/>
      </UserInfo>
      <UserInfo>
        <DisplayName>Ana Rubi</DisplayName>
        <AccountId>1106</AccountId>
        <AccountType/>
      </UserInfo>
      <UserInfo>
        <DisplayName>Carmen Peña</DisplayName>
        <AccountId>38</AccountId>
        <AccountType/>
      </UserInfo>
      <UserInfo>
        <DisplayName>William Webber</DisplayName>
        <AccountId>25</AccountId>
        <AccountType/>
      </UserInfo>
    </SharedWithUsers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812C67-7642-4E3F-88A0-D6A60D7333F0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419FE912-7494-480C-A5C3-E1D3D8E32766}"/>
</file>

<file path=customXml/itemProps3.xml><?xml version="1.0" encoding="utf-8"?>
<ds:datastoreItem xmlns:ds="http://schemas.openxmlformats.org/officeDocument/2006/customXml" ds:itemID="{A109DAA7-70DB-4414-9AC5-8CFF5C75AD4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17E8C5C-EAA3-4A42-96FE-B0C13BBFFCEE}">
  <ds:schemaRefs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ca6f1b8b-2efb-4515-a316-20593799dcdd"/>
    <ds:schemaRef ds:uri="http://purl.org/dc/elements/1.1/"/>
    <ds:schemaRef ds:uri="http://schemas.microsoft.com/office/infopath/2007/PartnerControls"/>
    <ds:schemaRef ds:uri="dc808d36-874f-4b27-aec2-2fd649817929"/>
    <ds:schemaRef ds:uri="http://www.w3.org/XML/1998/namespace"/>
    <ds:schemaRef ds:uri="f2466082-b6bf-4153-98c3-3c41e85fda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Budget Summary</vt:lpstr>
      <vt:lpstr>FY25 Budget Details</vt:lpstr>
      <vt:lpstr>Volunteer Time Cost Share</vt:lpstr>
      <vt:lpstr>'FY25 Budget Details'!Print_Area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 Noel</dc:creator>
  <cp:keywords/>
  <dc:description/>
  <cp:lastModifiedBy>Danielle Martin</cp:lastModifiedBy>
  <cp:revision/>
  <dcterms:created xsi:type="dcterms:W3CDTF">2014-11-21T15:16:24Z</dcterms:created>
  <dcterms:modified xsi:type="dcterms:W3CDTF">2026-03-31T21:55:45Z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3544400.00000000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