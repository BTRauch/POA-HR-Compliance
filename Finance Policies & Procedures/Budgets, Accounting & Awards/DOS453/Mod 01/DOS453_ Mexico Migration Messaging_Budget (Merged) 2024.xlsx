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453/Mod 01/"/>
    </mc:Choice>
  </mc:AlternateContent>
  <xr:revisionPtr revIDLastSave="7" documentId="13_ncr:1_{A3F2EAA1-EBA0-4738-BC27-55F68E491183}" xr6:coauthVersionLast="47" xr6:coauthVersionMax="47" xr10:uidLastSave="{1D772DE5-55D9-423C-8539-0099A9D82A61}"/>
  <bookViews>
    <workbookView xWindow="-96" yWindow="-96" windowWidth="23232" windowHeight="12552" firstSheet="1" activeTab="1" xr2:uid="{4E0CC55A-4D94-40CC-BF18-56A560DE8E93}"/>
  </bookViews>
  <sheets>
    <sheet name="Budget Summary" sheetId="1" r:id="rId1"/>
    <sheet name="Line Item Budget" sheetId="2" r:id="rId2"/>
    <sheet name="Color Coded Merged Budget" sheetId="4" state="hidden" r:id="rId3"/>
  </sheets>
  <definedNames>
    <definedName name="_xlnm._FilterDatabase" localSheetId="2" hidden="1">'Color Coded Merged Budget'!$A$6:$AJ$91</definedName>
    <definedName name="_xlnm._FilterDatabase" localSheetId="1" hidden="1">'Line Item Budget'!$D$6:$AM$91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89" i="2" l="1"/>
  <c r="Z89" i="2"/>
  <c r="Z37" i="2"/>
  <c r="AJ96" i="4"/>
  <c r="N85" i="4"/>
  <c r="O85" i="4" s="1"/>
  <c r="G85" i="4"/>
  <c r="N84" i="4"/>
  <c r="O84" i="4" s="1"/>
  <c r="H84" i="4"/>
  <c r="G84" i="4"/>
  <c r="N83" i="4"/>
  <c r="O83" i="4" s="1"/>
  <c r="G83" i="4"/>
  <c r="H83" i="4" s="1"/>
  <c r="AF81" i="4"/>
  <c r="AE81" i="4"/>
  <c r="AD81" i="4"/>
  <c r="X81" i="4"/>
  <c r="W81" i="4"/>
  <c r="Y81" i="4" s="1"/>
  <c r="P81" i="4"/>
  <c r="Q81" i="4" s="1"/>
  <c r="I81" i="4"/>
  <c r="H81" i="4"/>
  <c r="AH81" i="4" s="1"/>
  <c r="G81" i="4"/>
  <c r="AE80" i="4"/>
  <c r="AD80" i="4"/>
  <c r="W80" i="4"/>
  <c r="V80" i="4"/>
  <c r="O80" i="4"/>
  <c r="G80" i="4"/>
  <c r="H80" i="4" s="1"/>
  <c r="AF79" i="4"/>
  <c r="AE79" i="4"/>
  <c r="W79" i="4"/>
  <c r="O79" i="4"/>
  <c r="I79" i="4"/>
  <c r="H79" i="4"/>
  <c r="G79" i="4"/>
  <c r="AE78" i="4"/>
  <c r="AD78" i="4"/>
  <c r="W78" i="4"/>
  <c r="N78" i="4"/>
  <c r="O78" i="4" s="1"/>
  <c r="G78" i="4"/>
  <c r="H78" i="4" s="1"/>
  <c r="AF77" i="4"/>
  <c r="AE77" i="4"/>
  <c r="AG77" i="4" s="1"/>
  <c r="W77" i="4"/>
  <c r="O77" i="4"/>
  <c r="I77" i="4"/>
  <c r="H77" i="4"/>
  <c r="G77" i="4"/>
  <c r="AE76" i="4"/>
  <c r="AD76" i="4"/>
  <c r="W76" i="4"/>
  <c r="O76" i="4"/>
  <c r="I76" i="4"/>
  <c r="H76" i="4"/>
  <c r="G76" i="4"/>
  <c r="O75" i="4"/>
  <c r="N75" i="4"/>
  <c r="G75" i="4"/>
  <c r="V73" i="4"/>
  <c r="AD73" i="4" s="1"/>
  <c r="AE73" i="4" s="1"/>
  <c r="AF73" i="4" s="1"/>
  <c r="O73" i="4"/>
  <c r="P73" i="4" s="1"/>
  <c r="Q73" i="4" s="1"/>
  <c r="H73" i="4"/>
  <c r="G73" i="4"/>
  <c r="I73" i="4" s="1"/>
  <c r="V72" i="4"/>
  <c r="N72" i="4"/>
  <c r="O72" i="4" s="1"/>
  <c r="G72" i="4"/>
  <c r="N71" i="4"/>
  <c r="V71" i="4" s="1"/>
  <c r="H71" i="4"/>
  <c r="G71" i="4"/>
  <c r="I71" i="4" s="1"/>
  <c r="N70" i="4"/>
  <c r="O70" i="4" s="1"/>
  <c r="G70" i="4"/>
  <c r="N69" i="4"/>
  <c r="O69" i="4" s="1"/>
  <c r="G69" i="4"/>
  <c r="AD68" i="4"/>
  <c r="AE68" i="4" s="1"/>
  <c r="W68" i="4"/>
  <c r="N68" i="4"/>
  <c r="O68" i="4" s="1"/>
  <c r="P68" i="4" s="1"/>
  <c r="G68" i="4"/>
  <c r="AD67" i="4"/>
  <c r="AE67" i="4" s="1"/>
  <c r="W67" i="4"/>
  <c r="N67" i="4"/>
  <c r="O67" i="4" s="1"/>
  <c r="G67" i="4"/>
  <c r="AD66" i="4"/>
  <c r="AE66" i="4" s="1"/>
  <c r="X66" i="4"/>
  <c r="W66" i="4"/>
  <c r="Y66" i="4" s="1"/>
  <c r="N66" i="4"/>
  <c r="O66" i="4" s="1"/>
  <c r="G66" i="4"/>
  <c r="AD65" i="4"/>
  <c r="AE65" i="4" s="1"/>
  <c r="W65" i="4"/>
  <c r="X65" i="4" s="1"/>
  <c r="Y65" i="4" s="1"/>
  <c r="N65" i="4"/>
  <c r="O65" i="4" s="1"/>
  <c r="H65" i="4"/>
  <c r="G65" i="4"/>
  <c r="I65" i="4" s="1"/>
  <c r="AD64" i="4"/>
  <c r="AE64" i="4" s="1"/>
  <c r="W64" i="4"/>
  <c r="O64" i="4"/>
  <c r="N64" i="4"/>
  <c r="G64" i="4"/>
  <c r="H64" i="4" s="1"/>
  <c r="I64" i="4" s="1"/>
  <c r="AD60" i="4"/>
  <c r="AE60" i="4" s="1"/>
  <c r="V60" i="4"/>
  <c r="W60" i="4" s="1"/>
  <c r="O60" i="4"/>
  <c r="G60" i="4"/>
  <c r="H60" i="4" s="1"/>
  <c r="AE59" i="4"/>
  <c r="W59" i="4"/>
  <c r="O59" i="4"/>
  <c r="H59" i="4"/>
  <c r="G59" i="4"/>
  <c r="AD58" i="4"/>
  <c r="AE58" i="4" s="1"/>
  <c r="V58" i="4"/>
  <c r="W58" i="4" s="1"/>
  <c r="O58" i="4"/>
  <c r="G58" i="4"/>
  <c r="H58" i="4" s="1"/>
  <c r="AE57" i="4"/>
  <c r="W57" i="4"/>
  <c r="O57" i="4"/>
  <c r="H57" i="4"/>
  <c r="G57" i="4"/>
  <c r="I57" i="4" s="1"/>
  <c r="AE56" i="4"/>
  <c r="V56" i="4"/>
  <c r="W56" i="4" s="1"/>
  <c r="X56" i="4" s="1"/>
  <c r="O56" i="4"/>
  <c r="H56" i="4"/>
  <c r="G56" i="4"/>
  <c r="AC55" i="4"/>
  <c r="AE55" i="4" s="1"/>
  <c r="U55" i="4"/>
  <c r="W55" i="4" s="1"/>
  <c r="M55" i="4"/>
  <c r="O55" i="4" s="1"/>
  <c r="G55" i="4"/>
  <c r="P54" i="4"/>
  <c r="O54" i="4"/>
  <c r="Q54" i="4" s="1"/>
  <c r="G54" i="4"/>
  <c r="Q53" i="4"/>
  <c r="O53" i="4"/>
  <c r="P53" i="4" s="1"/>
  <c r="G53" i="4"/>
  <c r="AE52" i="4"/>
  <c r="W52" i="4"/>
  <c r="P52" i="4"/>
  <c r="O52" i="4"/>
  <c r="Q52" i="4" s="1"/>
  <c r="G52" i="4"/>
  <c r="AE50" i="4"/>
  <c r="AF50" i="4" s="1"/>
  <c r="AG50" i="4" s="1"/>
  <c r="W50" i="4"/>
  <c r="O50" i="4"/>
  <c r="G50" i="4"/>
  <c r="P49" i="4"/>
  <c r="O49" i="4"/>
  <c r="Q49" i="4" s="1"/>
  <c r="G49" i="4"/>
  <c r="Q48" i="4"/>
  <c r="O48" i="4"/>
  <c r="P48" i="4" s="1"/>
  <c r="G48" i="4"/>
  <c r="AE47" i="4"/>
  <c r="W47" i="4"/>
  <c r="W61" i="4" s="1"/>
  <c r="P47" i="4"/>
  <c r="O47" i="4"/>
  <c r="O61" i="4" s="1"/>
  <c r="G47" i="4"/>
  <c r="G61" i="4" s="1"/>
  <c r="AD43" i="4"/>
  <c r="AE43" i="4" s="1"/>
  <c r="W43" i="4"/>
  <c r="O43" i="4"/>
  <c r="O44" i="4" s="1"/>
  <c r="G43" i="4"/>
  <c r="AF42" i="4"/>
  <c r="AE42" i="4"/>
  <c r="W42" i="4"/>
  <c r="Q42" i="4"/>
  <c r="P42" i="4"/>
  <c r="H42" i="4"/>
  <c r="G42" i="4"/>
  <c r="I42" i="4" s="1"/>
  <c r="AD41" i="4"/>
  <c r="AE41" i="4" s="1"/>
  <c r="W41" i="4"/>
  <c r="P41" i="4"/>
  <c r="O41" i="4"/>
  <c r="Q41" i="4" s="1"/>
  <c r="Q44" i="4" s="1"/>
  <c r="N41" i="4"/>
  <c r="G41" i="4"/>
  <c r="H41" i="4" s="1"/>
  <c r="I41" i="4" s="1"/>
  <c r="AD37" i="4"/>
  <c r="AE37" i="4" s="1"/>
  <c r="W37" i="4"/>
  <c r="O37" i="4"/>
  <c r="N37" i="4"/>
  <c r="G37" i="4"/>
  <c r="H37" i="4" s="1"/>
  <c r="AE36" i="4"/>
  <c r="AE38" i="4" s="1"/>
  <c r="AD36" i="4"/>
  <c r="X36" i="4"/>
  <c r="Y36" i="4" s="1"/>
  <c r="O36" i="4"/>
  <c r="N36" i="4"/>
  <c r="G36" i="4"/>
  <c r="H36" i="4" s="1"/>
  <c r="AE35" i="4"/>
  <c r="AD35" i="4"/>
  <c r="W35" i="4"/>
  <c r="N35" i="4"/>
  <c r="O35" i="4" s="1"/>
  <c r="G35" i="4"/>
  <c r="AD34" i="4"/>
  <c r="AE34" i="4" s="1"/>
  <c r="AF34" i="4" s="1"/>
  <c r="X34" i="4"/>
  <c r="W34" i="4"/>
  <c r="W38" i="4" s="1"/>
  <c r="O34" i="4"/>
  <c r="N34" i="4"/>
  <c r="G34" i="4"/>
  <c r="N32" i="4"/>
  <c r="O32" i="4" s="1"/>
  <c r="P32" i="4" s="1"/>
  <c r="G32" i="4"/>
  <c r="H32" i="4" s="1"/>
  <c r="O31" i="4"/>
  <c r="N31" i="4"/>
  <c r="G31" i="4"/>
  <c r="O30" i="4"/>
  <c r="N30" i="4"/>
  <c r="G30" i="4"/>
  <c r="H30" i="4" s="1"/>
  <c r="I30" i="4" s="1"/>
  <c r="O29" i="4"/>
  <c r="N29" i="4"/>
  <c r="G29" i="4"/>
  <c r="G38" i="4" s="1"/>
  <c r="AG26" i="4"/>
  <c r="Y26" i="4"/>
  <c r="Q26" i="4"/>
  <c r="I26" i="4"/>
  <c r="AI25" i="4"/>
  <c r="M25" i="4"/>
  <c r="AI23" i="4"/>
  <c r="AI26" i="4" s="1"/>
  <c r="V19" i="4"/>
  <c r="W19" i="4" s="1"/>
  <c r="Q19" i="4"/>
  <c r="P19" i="4"/>
  <c r="O19" i="4"/>
  <c r="G19" i="4"/>
  <c r="H19" i="4" s="1"/>
  <c r="I19" i="4" s="1"/>
  <c r="V18" i="4"/>
  <c r="W18" i="4" s="1"/>
  <c r="F18" i="4"/>
  <c r="N18" i="4" s="1"/>
  <c r="O18" i="4" s="1"/>
  <c r="AD16" i="4"/>
  <c r="AE16" i="4" s="1"/>
  <c r="X16" i="4"/>
  <c r="Y16" i="4" s="1"/>
  <c r="W16" i="4"/>
  <c r="V16" i="4"/>
  <c r="N16" i="4"/>
  <c r="O16" i="4" s="1"/>
  <c r="H16" i="4"/>
  <c r="G16" i="4"/>
  <c r="N15" i="4"/>
  <c r="O15" i="4" s="1"/>
  <c r="G15" i="4"/>
  <c r="H15" i="4" s="1"/>
  <c r="P14" i="4"/>
  <c r="O14" i="4"/>
  <c r="Q14" i="4" s="1"/>
  <c r="N14" i="4"/>
  <c r="G14" i="4"/>
  <c r="N13" i="4"/>
  <c r="O13" i="4" s="1"/>
  <c r="G13" i="4"/>
  <c r="AD12" i="4"/>
  <c r="AE12" i="4" s="1"/>
  <c r="X12" i="4"/>
  <c r="W12" i="4"/>
  <c r="Y12" i="4" s="1"/>
  <c r="V12" i="4"/>
  <c r="N12" i="4"/>
  <c r="O12" i="4" s="1"/>
  <c r="H12" i="4"/>
  <c r="G12" i="4"/>
  <c r="I12" i="4" s="1"/>
  <c r="N11" i="4"/>
  <c r="O11" i="4" s="1"/>
  <c r="G11" i="4"/>
  <c r="H11" i="4" s="1"/>
  <c r="AF10" i="4"/>
  <c r="AE10" i="4"/>
  <c r="AG10" i="4" s="1"/>
  <c r="AD10" i="4"/>
  <c r="W10" i="4"/>
  <c r="O10" i="4"/>
  <c r="N10" i="4"/>
  <c r="G10" i="4"/>
  <c r="N9" i="4"/>
  <c r="O9" i="4" s="1"/>
  <c r="G9" i="4"/>
  <c r="AM96" i="2"/>
  <c r="Z81" i="2"/>
  <c r="AA81" i="2" s="1"/>
  <c r="AG81" i="2"/>
  <c r="P25" i="2"/>
  <c r="R19" i="2"/>
  <c r="Y19" i="2"/>
  <c r="Y18" i="2"/>
  <c r="Y16" i="2"/>
  <c r="AG16" i="2" s="1"/>
  <c r="Q16" i="2"/>
  <c r="Y12" i="2"/>
  <c r="Q12" i="2"/>
  <c r="Q10" i="2"/>
  <c r="Y80" i="2"/>
  <c r="J80" i="2"/>
  <c r="K80" i="2" s="1"/>
  <c r="AG78" i="2"/>
  <c r="Q78" i="2"/>
  <c r="Q75" i="2"/>
  <c r="Q72" i="2"/>
  <c r="Y72" i="2" s="1"/>
  <c r="J73" i="2"/>
  <c r="Q71" i="2"/>
  <c r="Q65" i="2"/>
  <c r="Q66" i="2"/>
  <c r="Q67" i="2"/>
  <c r="Q68" i="2"/>
  <c r="Q69" i="2"/>
  <c r="Q70" i="2"/>
  <c r="Q64" i="2"/>
  <c r="Y60" i="2"/>
  <c r="AG60" i="2" s="1"/>
  <c r="Y58" i="2"/>
  <c r="AH56" i="2"/>
  <c r="J55" i="2"/>
  <c r="R52" i="2"/>
  <c r="R50" i="2"/>
  <c r="J50" i="2"/>
  <c r="K50" i="2" s="1"/>
  <c r="Z47" i="2"/>
  <c r="Z41" i="2"/>
  <c r="AA41" i="2" s="1"/>
  <c r="Q41" i="2"/>
  <c r="I44" i="4" l="1"/>
  <c r="I11" i="4"/>
  <c r="AH11" i="4"/>
  <c r="P18" i="4"/>
  <c r="O23" i="4"/>
  <c r="Q18" i="4"/>
  <c r="AG16" i="4"/>
  <c r="AF16" i="4"/>
  <c r="O25" i="4"/>
  <c r="P25" i="4" s="1"/>
  <c r="O20" i="4"/>
  <c r="P9" i="4"/>
  <c r="Q9" i="4" s="1"/>
  <c r="AF12" i="4"/>
  <c r="Q15" i="4"/>
  <c r="P15" i="4"/>
  <c r="P11" i="4"/>
  <c r="Q11" i="4"/>
  <c r="W23" i="4"/>
  <c r="X18" i="4"/>
  <c r="Y18" i="4"/>
  <c r="I15" i="4"/>
  <c r="AH15" i="4"/>
  <c r="P13" i="4"/>
  <c r="Q13" i="4" s="1"/>
  <c r="AH16" i="4"/>
  <c r="Q16" i="4"/>
  <c r="P16" i="4"/>
  <c r="P12" i="4"/>
  <c r="AH12" i="4" s="1"/>
  <c r="AF60" i="4"/>
  <c r="AG60" i="4" s="1"/>
  <c r="P10" i="4"/>
  <c r="Q10" i="4" s="1"/>
  <c r="I16" i="4"/>
  <c r="AG57" i="4"/>
  <c r="AF57" i="4"/>
  <c r="P83" i="4"/>
  <c r="AH83" i="4" s="1"/>
  <c r="W25" i="4"/>
  <c r="X25" i="4" s="1"/>
  <c r="W20" i="4"/>
  <c r="I32" i="4"/>
  <c r="AH32" i="4"/>
  <c r="Y56" i="4"/>
  <c r="P65" i="4"/>
  <c r="Q65" i="4" s="1"/>
  <c r="X10" i="4"/>
  <c r="X20" i="4" s="1"/>
  <c r="H14" i="4"/>
  <c r="AH14" i="4" s="1"/>
  <c r="Q37" i="4"/>
  <c r="Y42" i="4"/>
  <c r="AI42" i="4" s="1"/>
  <c r="P55" i="4"/>
  <c r="Q55" i="4" s="1"/>
  <c r="Q68" i="4"/>
  <c r="P70" i="4"/>
  <c r="Q70" i="4" s="1"/>
  <c r="AD72" i="4"/>
  <c r="AE72" i="4" s="1"/>
  <c r="W72" i="4"/>
  <c r="Q84" i="4"/>
  <c r="P84" i="4"/>
  <c r="Q66" i="4"/>
  <c r="P66" i="4"/>
  <c r="AE25" i="4"/>
  <c r="AF25" i="4" s="1"/>
  <c r="AF35" i="4"/>
  <c r="AF38" i="4" s="1"/>
  <c r="AF78" i="4"/>
  <c r="AG78" i="4" s="1"/>
  <c r="G25" i="4"/>
  <c r="H25" i="4" s="1"/>
  <c r="AH25" i="4" s="1"/>
  <c r="AJ25" i="4" s="1"/>
  <c r="H13" i="4"/>
  <c r="AH13" i="4" s="1"/>
  <c r="G18" i="4"/>
  <c r="G20" i="4" s="1"/>
  <c r="O38" i="4"/>
  <c r="P29" i="4"/>
  <c r="AG43" i="4"/>
  <c r="P80" i="4"/>
  <c r="AH80" i="4" s="1"/>
  <c r="AG34" i="4"/>
  <c r="AF43" i="4"/>
  <c r="AG59" i="4"/>
  <c r="AF59" i="4"/>
  <c r="P72" i="4"/>
  <c r="Q72" i="4" s="1"/>
  <c r="Y76" i="4"/>
  <c r="AH84" i="4"/>
  <c r="I84" i="4"/>
  <c r="H10" i="4"/>
  <c r="AD18" i="4"/>
  <c r="AE18" i="4" s="1"/>
  <c r="Q32" i="4"/>
  <c r="I35" i="4"/>
  <c r="AG42" i="4"/>
  <c r="X55" i="4"/>
  <c r="Y55" i="4" s="1"/>
  <c r="X58" i="4"/>
  <c r="Y58" i="4" s="1"/>
  <c r="I60" i="4"/>
  <c r="AF76" i="4"/>
  <c r="AG76" i="4" s="1"/>
  <c r="I78" i="4"/>
  <c r="Y19" i="4"/>
  <c r="X19" i="4"/>
  <c r="P43" i="4"/>
  <c r="P44" i="4" s="1"/>
  <c r="AH56" i="4"/>
  <c r="AF67" i="4"/>
  <c r="AG67" i="4" s="1"/>
  <c r="AD19" i="4"/>
  <c r="AE19" i="4" s="1"/>
  <c r="Q56" i="4"/>
  <c r="Q59" i="4"/>
  <c r="I80" i="4"/>
  <c r="I37" i="4"/>
  <c r="AE61" i="4"/>
  <c r="P69" i="4"/>
  <c r="Q69" i="4" s="1"/>
  <c r="H9" i="4"/>
  <c r="I36" i="4"/>
  <c r="P50" i="4"/>
  <c r="Q50" i="4" s="1"/>
  <c r="I55" i="4"/>
  <c r="I58" i="4"/>
  <c r="AG66" i="4"/>
  <c r="AF66" i="4"/>
  <c r="AG73" i="4"/>
  <c r="I9" i="4"/>
  <c r="P35" i="4"/>
  <c r="Q35" i="4" s="1"/>
  <c r="AF37" i="4"/>
  <c r="AG37" i="4" s="1"/>
  <c r="AG55" i="4"/>
  <c r="AF55" i="4"/>
  <c r="AF58" i="4"/>
  <c r="AG58" i="4" s="1"/>
  <c r="AF65" i="4"/>
  <c r="AH65" i="4" s="1"/>
  <c r="P67" i="4"/>
  <c r="Q67" i="4" s="1"/>
  <c r="AF68" i="4"/>
  <c r="AG68" i="4" s="1"/>
  <c r="P75" i="4"/>
  <c r="Q75" i="4" s="1"/>
  <c r="P78" i="4"/>
  <c r="Q78" i="4" s="1"/>
  <c r="AG80" i="4"/>
  <c r="AF80" i="4"/>
  <c r="AG81" i="4"/>
  <c r="AI81" i="4" s="1"/>
  <c r="AJ81" i="4" s="1"/>
  <c r="I85" i="4"/>
  <c r="AI85" i="4" s="1"/>
  <c r="AG36" i="4"/>
  <c r="AF36" i="4"/>
  <c r="H31" i="4"/>
  <c r="AH31" i="4" s="1"/>
  <c r="AE44" i="4"/>
  <c r="AF41" i="4"/>
  <c r="AF44" i="4" s="1"/>
  <c r="I52" i="4"/>
  <c r="I56" i="4"/>
  <c r="I59" i="4"/>
  <c r="X60" i="4"/>
  <c r="Y60" i="4" s="1"/>
  <c r="H66" i="4"/>
  <c r="AH66" i="4" s="1"/>
  <c r="Y67" i="4"/>
  <c r="X67" i="4"/>
  <c r="W71" i="4"/>
  <c r="AD71" i="4"/>
  <c r="AE71" i="4" s="1"/>
  <c r="AE86" i="4" s="1"/>
  <c r="AG79" i="4"/>
  <c r="Q85" i="4"/>
  <c r="P85" i="4"/>
  <c r="P34" i="4"/>
  <c r="Q34" i="4" s="1"/>
  <c r="P61" i="4"/>
  <c r="AF64" i="4"/>
  <c r="I83" i="4"/>
  <c r="H44" i="4"/>
  <c r="Q47" i="4"/>
  <c r="W86" i="4"/>
  <c r="AF56" i="4"/>
  <c r="AG56" i="4" s="1"/>
  <c r="P58" i="4"/>
  <c r="AH58" i="4" s="1"/>
  <c r="P60" i="4"/>
  <c r="Q60" i="4" s="1"/>
  <c r="H67" i="4"/>
  <c r="AH67" i="4" s="1"/>
  <c r="X68" i="4"/>
  <c r="Y68" i="4" s="1"/>
  <c r="H72" i="4"/>
  <c r="W73" i="4"/>
  <c r="P76" i="4"/>
  <c r="AH76" i="4" s="1"/>
  <c r="P77" i="4"/>
  <c r="AH77" i="4" s="1"/>
  <c r="P79" i="4"/>
  <c r="AH79" i="4" s="1"/>
  <c r="H85" i="4"/>
  <c r="AH85" i="4" s="1"/>
  <c r="P30" i="4"/>
  <c r="Q30" i="4" s="1"/>
  <c r="AI30" i="4" s="1"/>
  <c r="P36" i="4"/>
  <c r="Q36" i="4" s="1"/>
  <c r="P37" i="4"/>
  <c r="AH37" i="4" s="1"/>
  <c r="W44" i="4"/>
  <c r="X47" i="4"/>
  <c r="X61" i="4" s="1"/>
  <c r="X52" i="4"/>
  <c r="Y52" i="4" s="1"/>
  <c r="P56" i="4"/>
  <c r="P57" i="4"/>
  <c r="AH57" i="4" s="1"/>
  <c r="P59" i="4"/>
  <c r="AH59" i="4" s="1"/>
  <c r="P64" i="4"/>
  <c r="H68" i="4"/>
  <c r="I68" i="4" s="1"/>
  <c r="AI68" i="4" s="1"/>
  <c r="O71" i="4"/>
  <c r="O86" i="4" s="1"/>
  <c r="G86" i="4"/>
  <c r="X43" i="4"/>
  <c r="Y43" i="4" s="1"/>
  <c r="H48" i="4"/>
  <c r="AH48" i="4" s="1"/>
  <c r="X50" i="4"/>
  <c r="Y50" i="4" s="1"/>
  <c r="H53" i="4"/>
  <c r="AH53" i="4" s="1"/>
  <c r="Q64" i="4"/>
  <c r="H69" i="4"/>
  <c r="AH69" i="4" s="1"/>
  <c r="H29" i="4"/>
  <c r="P31" i="4"/>
  <c r="Q31" i="4" s="1"/>
  <c r="H34" i="4"/>
  <c r="I34" i="4" s="1"/>
  <c r="AI34" i="4" s="1"/>
  <c r="Y34" i="4"/>
  <c r="X35" i="4"/>
  <c r="X38" i="4" s="1"/>
  <c r="X42" i="4"/>
  <c r="AH42" i="4" s="1"/>
  <c r="AJ42" i="4" s="1"/>
  <c r="G44" i="4"/>
  <c r="H47" i="4"/>
  <c r="I47" i="4" s="1"/>
  <c r="H49" i="4"/>
  <c r="AH49" i="4" s="1"/>
  <c r="H52" i="4"/>
  <c r="H54" i="4"/>
  <c r="AH54" i="4" s="1"/>
  <c r="H75" i="4"/>
  <c r="I75" i="4" s="1"/>
  <c r="AI75" i="4" s="1"/>
  <c r="X76" i="4"/>
  <c r="X77" i="4"/>
  <c r="Y77" i="4" s="1"/>
  <c r="X78" i="4"/>
  <c r="Y78" i="4" s="1"/>
  <c r="X79" i="4"/>
  <c r="Y79" i="4" s="1"/>
  <c r="X80" i="4"/>
  <c r="Y80" i="4" s="1"/>
  <c r="H35" i="4"/>
  <c r="X37" i="4"/>
  <c r="Y37" i="4" s="1"/>
  <c r="X41" i="4"/>
  <c r="X44" i="4" s="1"/>
  <c r="H43" i="4"/>
  <c r="AF47" i="4"/>
  <c r="AF61" i="4" s="1"/>
  <c r="H50" i="4"/>
  <c r="AH50" i="4" s="1"/>
  <c r="AF52" i="4"/>
  <c r="AG52" i="4" s="1"/>
  <c r="H55" i="4"/>
  <c r="X57" i="4"/>
  <c r="Y57" i="4" s="1"/>
  <c r="X59" i="4"/>
  <c r="Y59" i="4" s="1"/>
  <c r="X64" i="4"/>
  <c r="H70" i="4"/>
  <c r="AH70" i="4" s="1"/>
  <c r="AB81" i="2"/>
  <c r="AH81" i="2"/>
  <c r="L80" i="2"/>
  <c r="L50" i="2"/>
  <c r="AJ59" i="4" l="1"/>
  <c r="AJ37" i="4"/>
  <c r="AJ79" i="4"/>
  <c r="AJ58" i="4"/>
  <c r="AJ76" i="4"/>
  <c r="AI9" i="4"/>
  <c r="AJ32" i="4"/>
  <c r="Q61" i="4"/>
  <c r="AG65" i="4"/>
  <c r="AI65" i="4" s="1"/>
  <c r="AJ65" i="4" s="1"/>
  <c r="AG47" i="4"/>
  <c r="AG61" i="4" s="1"/>
  <c r="AH60" i="4"/>
  <c r="Q83" i="4"/>
  <c r="AI83" i="4"/>
  <c r="AJ83" i="4" s="1"/>
  <c r="Y71" i="4"/>
  <c r="X71" i="4"/>
  <c r="AI59" i="4"/>
  <c r="I70" i="4"/>
  <c r="AI70" i="4" s="1"/>
  <c r="AI37" i="4"/>
  <c r="Q43" i="4"/>
  <c r="AE23" i="4"/>
  <c r="AF18" i="4"/>
  <c r="AF20" i="4" s="1"/>
  <c r="AG18" i="4"/>
  <c r="Q58" i="4"/>
  <c r="AE20" i="4"/>
  <c r="W87" i="4"/>
  <c r="Q12" i="4"/>
  <c r="W26" i="4"/>
  <c r="X23" i="4"/>
  <c r="X26" i="4" s="1"/>
  <c r="AG12" i="4"/>
  <c r="P23" i="4"/>
  <c r="P26" i="4" s="1"/>
  <c r="O26" i="4"/>
  <c r="Q71" i="4"/>
  <c r="Q86" i="4" s="1"/>
  <c r="P71" i="4"/>
  <c r="AG41" i="4"/>
  <c r="AG44" i="4" s="1"/>
  <c r="Y41" i="4"/>
  <c r="Q80" i="4"/>
  <c r="AG35" i="4"/>
  <c r="AG38" i="4" s="1"/>
  <c r="AI32" i="4"/>
  <c r="AJ70" i="4"/>
  <c r="AH68" i="4"/>
  <c r="AJ68" i="4" s="1"/>
  <c r="AH43" i="4"/>
  <c r="P86" i="4"/>
  <c r="Q57" i="4"/>
  <c r="AI57" i="4" s="1"/>
  <c r="AJ57" i="4" s="1"/>
  <c r="Y35" i="4"/>
  <c r="AI35" i="4" s="1"/>
  <c r="AI36" i="4"/>
  <c r="AH36" i="4"/>
  <c r="AF19" i="4"/>
  <c r="AG19" i="4" s="1"/>
  <c r="AI19" i="4" s="1"/>
  <c r="AH19" i="4"/>
  <c r="I53" i="4"/>
  <c r="AI53" i="4" s="1"/>
  <c r="AJ53" i="4" s="1"/>
  <c r="Y10" i="4"/>
  <c r="Y20" i="4" s="1"/>
  <c r="I13" i="4"/>
  <c r="AI13" i="4" s="1"/>
  <c r="AJ13" i="4" s="1"/>
  <c r="AH29" i="4"/>
  <c r="H38" i="4"/>
  <c r="X73" i="4"/>
  <c r="AH73" i="4" s="1"/>
  <c r="AI56" i="4"/>
  <c r="AH30" i="4"/>
  <c r="AJ30" i="4" s="1"/>
  <c r="Y72" i="4"/>
  <c r="X72" i="4"/>
  <c r="X86" i="4" s="1"/>
  <c r="X87" i="4" s="1"/>
  <c r="Q76" i="4"/>
  <c r="AI76" i="4" s="1"/>
  <c r="AJ85" i="4"/>
  <c r="I50" i="4"/>
  <c r="AI50" i="4" s="1"/>
  <c r="AJ50" i="4" s="1"/>
  <c r="AG64" i="4"/>
  <c r="AI52" i="4"/>
  <c r="I31" i="4"/>
  <c r="AI31" i="4" s="1"/>
  <c r="AH64" i="4"/>
  <c r="AH9" i="4"/>
  <c r="H20" i="4"/>
  <c r="AI80" i="4"/>
  <c r="AJ80" i="4" s="1"/>
  <c r="Q79" i="4"/>
  <c r="AI79" i="4" s="1"/>
  <c r="AI60" i="4"/>
  <c r="AI84" i="4"/>
  <c r="P38" i="4"/>
  <c r="AF72" i="4"/>
  <c r="AG72" i="4" s="1"/>
  <c r="AI64" i="4"/>
  <c r="AJ15" i="4"/>
  <c r="O87" i="4"/>
  <c r="AI11" i="4"/>
  <c r="AJ11" i="4" s="1"/>
  <c r="AI55" i="4"/>
  <c r="G23" i="4"/>
  <c r="H18" i="4"/>
  <c r="I18" i="4"/>
  <c r="H61" i="4"/>
  <c r="AH47" i="4"/>
  <c r="AH10" i="4"/>
  <c r="P20" i="4"/>
  <c r="AH75" i="4"/>
  <c r="AJ75" i="4" s="1"/>
  <c r="AJ54" i="4"/>
  <c r="Y47" i="4"/>
  <c r="Y61" i="4" s="1"/>
  <c r="I66" i="4"/>
  <c r="I49" i="4"/>
  <c r="AI49" i="4" s="1"/>
  <c r="AJ49" i="4" s="1"/>
  <c r="I69" i="4"/>
  <c r="AI69" i="4" s="1"/>
  <c r="AJ69" i="4" s="1"/>
  <c r="H86" i="4"/>
  <c r="I72" i="4"/>
  <c r="Q77" i="4"/>
  <c r="AI77" i="4" s="1"/>
  <c r="AJ77" i="4" s="1"/>
  <c r="AH78" i="4"/>
  <c r="AJ78" i="4" s="1"/>
  <c r="AJ84" i="4"/>
  <c r="Q29" i="4"/>
  <c r="Q38" i="4" s="1"/>
  <c r="AI15" i="4"/>
  <c r="I10" i="4"/>
  <c r="AI10" i="4" s="1"/>
  <c r="AJ56" i="4"/>
  <c r="AF71" i="4"/>
  <c r="AF86" i="4" s="1"/>
  <c r="AJ31" i="4"/>
  <c r="I67" i="4"/>
  <c r="AI67" i="4" s="1"/>
  <c r="AJ67" i="4" s="1"/>
  <c r="Y38" i="4"/>
  <c r="AH55" i="4"/>
  <c r="AJ55" i="4" s="1"/>
  <c r="AH35" i="4"/>
  <c r="AH34" i="4"/>
  <c r="AJ34" i="4" s="1"/>
  <c r="I29" i="4"/>
  <c r="AH52" i="4"/>
  <c r="AJ52" i="4" s="1"/>
  <c r="AH41" i="4"/>
  <c r="I54" i="4"/>
  <c r="AI54" i="4" s="1"/>
  <c r="Y64" i="4"/>
  <c r="I43" i="4"/>
  <c r="AI43" i="4" s="1"/>
  <c r="AI58" i="4"/>
  <c r="AI78" i="4"/>
  <c r="I48" i="4"/>
  <c r="AI48" i="4" s="1"/>
  <c r="AJ48" i="4" s="1"/>
  <c r="AI16" i="4"/>
  <c r="AJ16" i="4" s="1"/>
  <c r="I14" i="4"/>
  <c r="AI14" i="4" s="1"/>
  <c r="AJ14" i="4" s="1"/>
  <c r="AI81" i="2"/>
  <c r="AJ81" i="2" s="1"/>
  <c r="AF87" i="4" l="1"/>
  <c r="AI29" i="4"/>
  <c r="AI38" i="4" s="1"/>
  <c r="I38" i="4"/>
  <c r="AI18" i="4"/>
  <c r="AH20" i="4"/>
  <c r="AJ9" i="4"/>
  <c r="AJ43" i="4"/>
  <c r="Y44" i="4"/>
  <c r="AI41" i="4"/>
  <c r="AI44" i="4" s="1"/>
  <c r="AE26" i="4"/>
  <c r="AF23" i="4"/>
  <c r="AF26" i="4" s="1"/>
  <c r="AH72" i="4"/>
  <c r="AJ72" i="4" s="1"/>
  <c r="AJ41" i="4"/>
  <c r="AH44" i="4"/>
  <c r="AG71" i="4"/>
  <c r="AI71" i="4" s="1"/>
  <c r="AI86" i="4" s="1"/>
  <c r="AI72" i="4"/>
  <c r="AH18" i="4"/>
  <c r="AJ64" i="4"/>
  <c r="AH61" i="4"/>
  <c r="AJ47" i="4"/>
  <c r="Y73" i="4"/>
  <c r="AI73" i="4" s="1"/>
  <c r="AJ73" i="4" s="1"/>
  <c r="AJ35" i="4"/>
  <c r="P87" i="4"/>
  <c r="H23" i="4"/>
  <c r="G26" i="4"/>
  <c r="G87" i="4" s="1"/>
  <c r="AH38" i="4"/>
  <c r="AJ36" i="4"/>
  <c r="AH71" i="4"/>
  <c r="AI12" i="4"/>
  <c r="AJ12" i="4" s="1"/>
  <c r="Q20" i="4"/>
  <c r="Q87" i="4" s="1"/>
  <c r="W89" i="4"/>
  <c r="AJ60" i="4"/>
  <c r="I20" i="4"/>
  <c r="I87" i="4" s="1"/>
  <c r="AI47" i="4"/>
  <c r="AI61" i="4" s="1"/>
  <c r="AJ19" i="4"/>
  <c r="AJ10" i="4"/>
  <c r="AE87" i="4"/>
  <c r="I61" i="4"/>
  <c r="AG20" i="4"/>
  <c r="Y86" i="4"/>
  <c r="Y87" i="4" s="1"/>
  <c r="AI66" i="4"/>
  <c r="AJ66" i="4" s="1"/>
  <c r="I86" i="4"/>
  <c r="O89" i="4"/>
  <c r="AJ61" i="4" l="1"/>
  <c r="AJ44" i="4"/>
  <c r="AG86" i="4"/>
  <c r="AG87" i="4" s="1"/>
  <c r="AE89" i="4"/>
  <c r="W90" i="4"/>
  <c r="W91" i="4" s="1"/>
  <c r="X89" i="4"/>
  <c r="X90" i="4" s="1"/>
  <c r="X91" i="4" s="1"/>
  <c r="AJ29" i="4"/>
  <c r="AJ38" i="4" s="1"/>
  <c r="G89" i="4"/>
  <c r="H26" i="4"/>
  <c r="H87" i="4" s="1"/>
  <c r="AH23" i="4"/>
  <c r="AJ18" i="4"/>
  <c r="AJ20" i="4" s="1"/>
  <c r="AJ71" i="4"/>
  <c r="AJ86" i="4" s="1"/>
  <c r="P89" i="4"/>
  <c r="P90" i="4" s="1"/>
  <c r="P91" i="4" s="1"/>
  <c r="O90" i="4"/>
  <c r="O91" i="4" s="1"/>
  <c r="AH86" i="4"/>
  <c r="AI20" i="4"/>
  <c r="AI87" i="4" l="1"/>
  <c r="H89" i="4"/>
  <c r="I89" i="4" s="1"/>
  <c r="G90" i="4"/>
  <c r="G91" i="4" s="1"/>
  <c r="AH26" i="4"/>
  <c r="AJ23" i="4"/>
  <c r="AJ26" i="4" s="1"/>
  <c r="Y89" i="4"/>
  <c r="Y90" i="4" s="1"/>
  <c r="Y91" i="4" s="1"/>
  <c r="AG89" i="4"/>
  <c r="AG90" i="4" s="1"/>
  <c r="AG91" i="4" s="1"/>
  <c r="AF89" i="4"/>
  <c r="AF90" i="4" s="1"/>
  <c r="AF91" i="4" s="1"/>
  <c r="AE90" i="4"/>
  <c r="AE91" i="4" s="1"/>
  <c r="Q89" i="4"/>
  <c r="Q90" i="4" s="1"/>
  <c r="Q91" i="4" s="1"/>
  <c r="AH87" i="4"/>
  <c r="AJ87" i="4" s="1"/>
  <c r="AI89" i="4" l="1"/>
  <c r="I90" i="4"/>
  <c r="AH89" i="4"/>
  <c r="H90" i="4"/>
  <c r="AH90" i="4" l="1"/>
  <c r="H91" i="4"/>
  <c r="AH91" i="4" s="1"/>
  <c r="AJ89" i="4"/>
  <c r="AI90" i="4"/>
  <c r="I91" i="4"/>
  <c r="AI91" i="4" s="1"/>
  <c r="AJ90" i="4" l="1"/>
  <c r="AJ91" i="4"/>
  <c r="AL96" i="4" s="1"/>
  <c r="Q37" i="2" l="1"/>
  <c r="Q36" i="2"/>
  <c r="Q35" i="2"/>
  <c r="Q34" i="2"/>
  <c r="Q32" i="2"/>
  <c r="Z12" i="2" l="1"/>
  <c r="Z10" i="2"/>
  <c r="Q85" i="2"/>
  <c r="R85" i="2" s="1"/>
  <c r="S85" i="2" s="1"/>
  <c r="T85" i="2" s="1"/>
  <c r="Q84" i="2"/>
  <c r="R84" i="2" s="1"/>
  <c r="Q83" i="2"/>
  <c r="R83" i="2" s="1"/>
  <c r="S83" i="2" s="1"/>
  <c r="R75" i="2"/>
  <c r="S75" i="2" s="1"/>
  <c r="T75" i="2" s="1"/>
  <c r="R70" i="2"/>
  <c r="R69" i="2"/>
  <c r="S69" i="2" s="1"/>
  <c r="Y71" i="2"/>
  <c r="AH50" i="2"/>
  <c r="AH52" i="2"/>
  <c r="AI52" i="2" s="1"/>
  <c r="AJ52" i="2" s="1"/>
  <c r="AI56" i="2"/>
  <c r="AJ56" i="2" s="1"/>
  <c r="AH57" i="2"/>
  <c r="AI57" i="2" s="1"/>
  <c r="AH59" i="2"/>
  <c r="AI59" i="2" s="1"/>
  <c r="AJ59" i="2" s="1"/>
  <c r="R48" i="2"/>
  <c r="S48" i="2" s="1"/>
  <c r="R49" i="2"/>
  <c r="S49" i="2" s="1"/>
  <c r="S50" i="2"/>
  <c r="S52" i="2"/>
  <c r="T52" i="2" s="1"/>
  <c r="R53" i="2"/>
  <c r="R54" i="2"/>
  <c r="R56" i="2"/>
  <c r="S56" i="2" s="1"/>
  <c r="R57" i="2"/>
  <c r="R58" i="2"/>
  <c r="S58" i="2" s="1"/>
  <c r="R59" i="2"/>
  <c r="S59" i="2" s="1"/>
  <c r="T59" i="2" s="1"/>
  <c r="Z50" i="2"/>
  <c r="Z52" i="2"/>
  <c r="AA52" i="2" s="1"/>
  <c r="AB52" i="2" s="1"/>
  <c r="Z57" i="2"/>
  <c r="AA57" i="2" s="1"/>
  <c r="Z59" i="2"/>
  <c r="AA59" i="2" s="1"/>
  <c r="AB59" i="2" s="1"/>
  <c r="Z60" i="2"/>
  <c r="AA60" i="2" s="1"/>
  <c r="S57" i="2" l="1"/>
  <c r="T57" i="2" s="1"/>
  <c r="AB60" i="2"/>
  <c r="T69" i="2"/>
  <c r="AJ57" i="2"/>
  <c r="T83" i="2"/>
  <c r="S84" i="2"/>
  <c r="T84" i="2" s="1"/>
  <c r="S70" i="2"/>
  <c r="T70" i="2" s="1"/>
  <c r="S54" i="2"/>
  <c r="S53" i="2"/>
  <c r="T49" i="2"/>
  <c r="AI50" i="2"/>
  <c r="AJ50" i="2" s="1"/>
  <c r="T58" i="2"/>
  <c r="T50" i="2"/>
  <c r="T56" i="2"/>
  <c r="T48" i="2"/>
  <c r="AA50" i="2"/>
  <c r="AB50" i="2" s="1"/>
  <c r="AB57" i="2"/>
  <c r="T54" i="2" l="1"/>
  <c r="T53" i="2"/>
  <c r="R37" i="2" l="1"/>
  <c r="S37" i="2" s="1"/>
  <c r="R34" i="2"/>
  <c r="R32" i="2"/>
  <c r="S32" i="2" s="1"/>
  <c r="Q31" i="2"/>
  <c r="R31" i="2" s="1"/>
  <c r="Q30" i="2"/>
  <c r="R30" i="2" s="1"/>
  <c r="S30" i="2" s="1"/>
  <c r="T30" i="2" s="1"/>
  <c r="Q29" i="2"/>
  <c r="R29" i="2" s="1"/>
  <c r="S29" i="2" s="1"/>
  <c r="Q15" i="2"/>
  <c r="R15" i="2" s="1"/>
  <c r="S15" i="2" s="1"/>
  <c r="T15" i="2" s="1"/>
  <c r="Q14" i="2"/>
  <c r="R14" i="2" s="1"/>
  <c r="Q13" i="2"/>
  <c r="R13" i="2" s="1"/>
  <c r="S13" i="2" s="1"/>
  <c r="Q11" i="2"/>
  <c r="Q9" i="2"/>
  <c r="R9" i="2" s="1"/>
  <c r="R10" i="2"/>
  <c r="S10" i="2" s="1"/>
  <c r="R12" i="2"/>
  <c r="S12" i="2" s="1"/>
  <c r="R16" i="2"/>
  <c r="S16" i="2" s="1"/>
  <c r="J85" i="2"/>
  <c r="J84" i="2"/>
  <c r="J83" i="2"/>
  <c r="K83" i="2" s="1"/>
  <c r="J75" i="2"/>
  <c r="K75" i="2" s="1"/>
  <c r="AK75" i="2" s="1"/>
  <c r="J76" i="2"/>
  <c r="J77" i="2"/>
  <c r="K77" i="2" s="1"/>
  <c r="J78" i="2"/>
  <c r="J68" i="2"/>
  <c r="K68" i="2" s="1"/>
  <c r="J69" i="2"/>
  <c r="J70" i="2"/>
  <c r="K70" i="2" s="1"/>
  <c r="J71" i="2"/>
  <c r="K71" i="2" s="1"/>
  <c r="J53" i="2"/>
  <c r="K53" i="2" s="1"/>
  <c r="AK53" i="2" s="1"/>
  <c r="J54" i="2"/>
  <c r="K54" i="2" s="1"/>
  <c r="AK54" i="2" s="1"/>
  <c r="K55" i="2"/>
  <c r="J56" i="2"/>
  <c r="K56" i="2" s="1"/>
  <c r="J48" i="2"/>
  <c r="K48" i="2" s="1"/>
  <c r="AK48" i="2" s="1"/>
  <c r="J49" i="2"/>
  <c r="K49" i="2" s="1"/>
  <c r="J32" i="2"/>
  <c r="K32" i="2" s="1"/>
  <c r="J31" i="2"/>
  <c r="K31" i="2" s="1"/>
  <c r="J30" i="2"/>
  <c r="K30" i="2" s="1"/>
  <c r="J29" i="2"/>
  <c r="I18" i="2"/>
  <c r="J15" i="2"/>
  <c r="K15" i="2" s="1"/>
  <c r="J14" i="2"/>
  <c r="J13" i="2"/>
  <c r="K13" i="2" s="1"/>
  <c r="J11" i="2"/>
  <c r="J12" i="2"/>
  <c r="K12" i="2" s="1"/>
  <c r="AL25" i="2"/>
  <c r="AL23" i="2"/>
  <c r="J9" i="2"/>
  <c r="J16" i="2"/>
  <c r="K16" i="2" s="1"/>
  <c r="S81" i="2"/>
  <c r="T81" i="2" s="1"/>
  <c r="J81" i="2"/>
  <c r="AG80" i="2"/>
  <c r="AH80" i="2" s="1"/>
  <c r="AI80" i="2" s="1"/>
  <c r="R80" i="2"/>
  <c r="S80" i="2" s="1"/>
  <c r="AH79" i="2"/>
  <c r="Z79" i="2"/>
  <c r="AA79" i="2" s="1"/>
  <c r="AB79" i="2" s="1"/>
  <c r="R79" i="2"/>
  <c r="S79" i="2" s="1"/>
  <c r="T79" i="2" s="1"/>
  <c r="J79" i="2"/>
  <c r="K79" i="2" s="1"/>
  <c r="Z78" i="2"/>
  <c r="R78" i="2"/>
  <c r="AH77" i="2"/>
  <c r="Z77" i="2"/>
  <c r="AA77" i="2" s="1"/>
  <c r="AB77" i="2" s="1"/>
  <c r="R77" i="2"/>
  <c r="S77" i="2" s="1"/>
  <c r="Z76" i="2"/>
  <c r="R76" i="2"/>
  <c r="S76" i="2" s="1"/>
  <c r="T76" i="2" s="1"/>
  <c r="Y73" i="2"/>
  <c r="AH73" i="2" s="1"/>
  <c r="R73" i="2"/>
  <c r="K73" i="2"/>
  <c r="AG72" i="2"/>
  <c r="AH72" i="2" s="1"/>
  <c r="AI72" i="2" s="1"/>
  <c r="J72" i="2"/>
  <c r="R71" i="2"/>
  <c r="AG68" i="2"/>
  <c r="AH68" i="2" s="1"/>
  <c r="R68" i="2"/>
  <c r="Z67" i="2"/>
  <c r="R67" i="2"/>
  <c r="S67" i="2" s="1"/>
  <c r="T67" i="2" s="1"/>
  <c r="J67" i="2"/>
  <c r="K67" i="2" s="1"/>
  <c r="Z66" i="2"/>
  <c r="R66" i="2"/>
  <c r="S66" i="2" s="1"/>
  <c r="T66" i="2" s="1"/>
  <c r="J66" i="2"/>
  <c r="K66" i="2" s="1"/>
  <c r="AG65" i="2"/>
  <c r="AH65" i="2" s="1"/>
  <c r="R65" i="2"/>
  <c r="J65" i="2"/>
  <c r="K65" i="2" s="1"/>
  <c r="AG64" i="2"/>
  <c r="AH64" i="2" s="1"/>
  <c r="Z64" i="2"/>
  <c r="AA64" i="2" s="1"/>
  <c r="R64" i="2"/>
  <c r="J64" i="2"/>
  <c r="K64" i="2" s="1"/>
  <c r="L64" i="2" s="1"/>
  <c r="AH60" i="2"/>
  <c r="R60" i="2"/>
  <c r="S60" i="2" s="1"/>
  <c r="T60" i="2" s="1"/>
  <c r="J60" i="2"/>
  <c r="K60" i="2" s="1"/>
  <c r="J59" i="2"/>
  <c r="Z58" i="2"/>
  <c r="J58" i="2"/>
  <c r="K58" i="2" s="1"/>
  <c r="J57" i="2"/>
  <c r="K57" i="2" s="1"/>
  <c r="AK57" i="2" s="1"/>
  <c r="Y56" i="2"/>
  <c r="Z56" i="2" s="1"/>
  <c r="AF55" i="2"/>
  <c r="AH55" i="2" s="1"/>
  <c r="AI55" i="2" s="1"/>
  <c r="AJ55" i="2" s="1"/>
  <c r="X55" i="2"/>
  <c r="Z55" i="2" s="1"/>
  <c r="AA55" i="2" s="1"/>
  <c r="AB55" i="2" s="1"/>
  <c r="P55" i="2"/>
  <c r="R55" i="2" s="1"/>
  <c r="J52" i="2"/>
  <c r="K52" i="2" s="1"/>
  <c r="AK52" i="2" s="1"/>
  <c r="AH47" i="2"/>
  <c r="AA47" i="2"/>
  <c r="R47" i="2"/>
  <c r="S47" i="2" s="1"/>
  <c r="T47" i="2" s="1"/>
  <c r="J47" i="2"/>
  <c r="AG43" i="2"/>
  <c r="AH43" i="2" s="1"/>
  <c r="AI43" i="2" s="1"/>
  <c r="Z43" i="2"/>
  <c r="R43" i="2"/>
  <c r="J43" i="2"/>
  <c r="K43" i="2" s="1"/>
  <c r="AH42" i="2"/>
  <c r="AI42" i="2" s="1"/>
  <c r="AJ42" i="2" s="1"/>
  <c r="Z42" i="2"/>
  <c r="AA42" i="2" s="1"/>
  <c r="AB42" i="2" s="1"/>
  <c r="S42" i="2"/>
  <c r="T42" i="2" s="1"/>
  <c r="J42" i="2"/>
  <c r="R41" i="2"/>
  <c r="J41" i="2"/>
  <c r="J37" i="2"/>
  <c r="J36" i="2"/>
  <c r="AG35" i="2"/>
  <c r="AH35" i="2" s="1"/>
  <c r="R35" i="2"/>
  <c r="J35" i="2"/>
  <c r="K35" i="2" s="1"/>
  <c r="L35" i="2" s="1"/>
  <c r="J34" i="2"/>
  <c r="AJ26" i="2"/>
  <c r="L6" i="1" s="1"/>
  <c r="AB26" i="2"/>
  <c r="I6" i="1" s="1"/>
  <c r="T26" i="2"/>
  <c r="F6" i="1" s="1"/>
  <c r="L26" i="2"/>
  <c r="C6" i="1" s="1"/>
  <c r="J19" i="2"/>
  <c r="Z18" i="2"/>
  <c r="AH16" i="2"/>
  <c r="AA10" i="2"/>
  <c r="J10" i="2"/>
  <c r="AA18" i="2" l="1"/>
  <c r="AB18" i="2" s="1"/>
  <c r="K78" i="2"/>
  <c r="L78" i="2"/>
  <c r="J18" i="2"/>
  <c r="Q18" i="2"/>
  <c r="R18" i="2" s="1"/>
  <c r="R11" i="2"/>
  <c r="S11" i="2" s="1"/>
  <c r="O6" i="1"/>
  <c r="L83" i="2"/>
  <c r="AL83" i="2" s="1"/>
  <c r="AK83" i="2"/>
  <c r="AI64" i="2"/>
  <c r="AJ64" i="2" s="1"/>
  <c r="L71" i="2"/>
  <c r="L65" i="2"/>
  <c r="L73" i="2"/>
  <c r="L70" i="2"/>
  <c r="AL70" i="2" s="1"/>
  <c r="AK70" i="2"/>
  <c r="S55" i="2"/>
  <c r="T55" i="2" s="1"/>
  <c r="AI16" i="2"/>
  <c r="AJ16" i="2" s="1"/>
  <c r="Z16" i="2"/>
  <c r="AA56" i="2"/>
  <c r="AB56" i="2" s="1"/>
  <c r="L49" i="2"/>
  <c r="AL49" i="2" s="1"/>
  <c r="AK49" i="2"/>
  <c r="T16" i="2"/>
  <c r="J86" i="2"/>
  <c r="L56" i="2"/>
  <c r="AL50" i="2"/>
  <c r="AK50" i="2"/>
  <c r="AK13" i="2"/>
  <c r="AA58" i="2"/>
  <c r="AB58" i="2" s="1"/>
  <c r="K85" i="2"/>
  <c r="AG34" i="2"/>
  <c r="AH34" i="2" s="1"/>
  <c r="AI34" i="2" s="1"/>
  <c r="AG37" i="2"/>
  <c r="AH37" i="2" s="1"/>
  <c r="AI37" i="2" s="1"/>
  <c r="AJ37" i="2" s="1"/>
  <c r="AK15" i="2"/>
  <c r="S14" i="2"/>
  <c r="T13" i="2"/>
  <c r="S9" i="2"/>
  <c r="AB10" i="2"/>
  <c r="T10" i="2"/>
  <c r="T12" i="2"/>
  <c r="K84" i="2"/>
  <c r="K76" i="2"/>
  <c r="L77" i="2"/>
  <c r="L75" i="2"/>
  <c r="AL75" i="2" s="1"/>
  <c r="AM75" i="2" s="1"/>
  <c r="K69" i="2"/>
  <c r="L68" i="2"/>
  <c r="L55" i="2"/>
  <c r="L54" i="2"/>
  <c r="AL54" i="2" s="1"/>
  <c r="AM54" i="2" s="1"/>
  <c r="L53" i="2"/>
  <c r="AL53" i="2" s="1"/>
  <c r="AM53" i="2" s="1"/>
  <c r="L48" i="2"/>
  <c r="AL48" i="2" s="1"/>
  <c r="AM48" i="2" s="1"/>
  <c r="L31" i="2"/>
  <c r="L30" i="2"/>
  <c r="L32" i="2"/>
  <c r="S31" i="2"/>
  <c r="T32" i="2"/>
  <c r="T29" i="2"/>
  <c r="J38" i="2"/>
  <c r="K29" i="2"/>
  <c r="J25" i="2"/>
  <c r="K25" i="2" s="1"/>
  <c r="L15" i="2"/>
  <c r="AL15" i="2" s="1"/>
  <c r="K14" i="2"/>
  <c r="L14" i="2" s="1"/>
  <c r="L13" i="2"/>
  <c r="T80" i="2"/>
  <c r="K11" i="2"/>
  <c r="L11" i="2" s="1"/>
  <c r="L12" i="2"/>
  <c r="T77" i="2"/>
  <c r="AB47" i="2"/>
  <c r="J20" i="2"/>
  <c r="K9" i="2"/>
  <c r="S43" i="2"/>
  <c r="S78" i="2"/>
  <c r="AJ43" i="2"/>
  <c r="AG67" i="2"/>
  <c r="AH67" i="2" s="1"/>
  <c r="AI67" i="2" s="1"/>
  <c r="AJ67" i="2" s="1"/>
  <c r="AA43" i="2"/>
  <c r="AB43" i="2" s="1"/>
  <c r="AI47" i="2"/>
  <c r="AJ47" i="2" s="1"/>
  <c r="Z80" i="2"/>
  <c r="AA80" i="2" s="1"/>
  <c r="AK80" i="2" s="1"/>
  <c r="AA67" i="2"/>
  <c r="AB67" i="2" s="1"/>
  <c r="L67" i="2"/>
  <c r="Z72" i="2"/>
  <c r="AA72" i="2" s="1"/>
  <c r="AB72" i="2" s="1"/>
  <c r="L57" i="2"/>
  <c r="AL57" i="2" s="1"/>
  <c r="AM57" i="2" s="1"/>
  <c r="K42" i="2"/>
  <c r="AK42" i="2" s="1"/>
  <c r="AG36" i="2"/>
  <c r="AH36" i="2" s="1"/>
  <c r="AI36" i="2" s="1"/>
  <c r="R36" i="2"/>
  <c r="K36" i="2"/>
  <c r="AG18" i="2"/>
  <c r="AH18" i="2" s="1"/>
  <c r="AI35" i="2"/>
  <c r="AG10" i="2"/>
  <c r="AH10" i="2" s="1"/>
  <c r="AI65" i="2"/>
  <c r="AH41" i="2"/>
  <c r="AI73" i="2"/>
  <c r="AJ73" i="2" s="1"/>
  <c r="AI68" i="2"/>
  <c r="AJ68" i="2" s="1"/>
  <c r="S64" i="2"/>
  <c r="L66" i="2"/>
  <c r="AI79" i="2"/>
  <c r="AK79" i="2" s="1"/>
  <c r="L16" i="2"/>
  <c r="S35" i="2"/>
  <c r="T37" i="2"/>
  <c r="AB64" i="2"/>
  <c r="S65" i="2"/>
  <c r="T65" i="2" s="1"/>
  <c r="Z73" i="2"/>
  <c r="L79" i="2"/>
  <c r="AJ80" i="2"/>
  <c r="S71" i="2"/>
  <c r="T71" i="2" s="1"/>
  <c r="S73" i="2"/>
  <c r="K34" i="2"/>
  <c r="AA76" i="2"/>
  <c r="AB76" i="2" s="1"/>
  <c r="Z35" i="2"/>
  <c r="L43" i="2"/>
  <c r="L52" i="2"/>
  <c r="AL52" i="2" s="1"/>
  <c r="AM52" i="2" s="1"/>
  <c r="Z65" i="2"/>
  <c r="AG76" i="2"/>
  <c r="AH76" i="2" s="1"/>
  <c r="K81" i="2"/>
  <c r="K41" i="2"/>
  <c r="J44" i="2"/>
  <c r="AA66" i="2"/>
  <c r="AL26" i="2"/>
  <c r="S34" i="2"/>
  <c r="T34" i="2" s="1"/>
  <c r="R44" i="2"/>
  <c r="L58" i="2"/>
  <c r="K59" i="2"/>
  <c r="AK59" i="2" s="1"/>
  <c r="AI60" i="2"/>
  <c r="AJ60" i="2" s="1"/>
  <c r="AG66" i="2"/>
  <c r="AH66" i="2" s="1"/>
  <c r="K72" i="2"/>
  <c r="AI77" i="2"/>
  <c r="AK77" i="2" s="1"/>
  <c r="AA78" i="2"/>
  <c r="K37" i="2"/>
  <c r="K10" i="2"/>
  <c r="AA12" i="2"/>
  <c r="K19" i="2"/>
  <c r="S41" i="2"/>
  <c r="K47" i="2"/>
  <c r="J61" i="2"/>
  <c r="AG58" i="2"/>
  <c r="L60" i="2"/>
  <c r="S68" i="2"/>
  <c r="AJ72" i="2"/>
  <c r="AH78" i="2"/>
  <c r="Z68" i="2"/>
  <c r="R72" i="2"/>
  <c r="R86" i="2" s="1"/>
  <c r="T11" i="2" l="1"/>
  <c r="R25" i="2"/>
  <c r="K18" i="2"/>
  <c r="L18" i="2" s="1"/>
  <c r="J23" i="2"/>
  <c r="AA16" i="2"/>
  <c r="AK16" i="2" s="1"/>
  <c r="Z25" i="2"/>
  <c r="S18" i="2"/>
  <c r="T18" i="2" s="1"/>
  <c r="R23" i="2"/>
  <c r="S23" i="2" s="1"/>
  <c r="AH38" i="2"/>
  <c r="AK55" i="2"/>
  <c r="R38" i="2"/>
  <c r="AL55" i="2"/>
  <c r="AM55" i="2" s="1"/>
  <c r="AM70" i="2"/>
  <c r="L76" i="2"/>
  <c r="L84" i="2"/>
  <c r="AL84" i="2" s="1"/>
  <c r="AK84" i="2"/>
  <c r="L85" i="2"/>
  <c r="AL85" i="2" s="1"/>
  <c r="AK85" i="2"/>
  <c r="L69" i="2"/>
  <c r="AL69" i="2" s="1"/>
  <c r="AK69" i="2"/>
  <c r="AK67" i="2"/>
  <c r="AK81" i="2"/>
  <c r="AL67" i="2"/>
  <c r="AM83" i="2"/>
  <c r="AB12" i="2"/>
  <c r="AM50" i="2"/>
  <c r="AK56" i="2"/>
  <c r="AK14" i="2"/>
  <c r="AM15" i="2"/>
  <c r="AL56" i="2"/>
  <c r="AI10" i="2"/>
  <c r="AK10" i="2" s="1"/>
  <c r="K86" i="2"/>
  <c r="B12" i="1" s="1"/>
  <c r="AM49" i="2"/>
  <c r="AK9" i="2"/>
  <c r="AK60" i="2"/>
  <c r="AL60" i="2"/>
  <c r="AI18" i="2"/>
  <c r="AH58" i="2"/>
  <c r="AH61" i="2" s="1"/>
  <c r="AL13" i="2"/>
  <c r="AM13" i="2" s="1"/>
  <c r="Z34" i="2"/>
  <c r="AA34" i="2" s="1"/>
  <c r="AB34" i="2" s="1"/>
  <c r="AJ34" i="2"/>
  <c r="AA37" i="2"/>
  <c r="AK37" i="2" s="1"/>
  <c r="T14" i="2"/>
  <c r="AL14" i="2" s="1"/>
  <c r="T9" i="2"/>
  <c r="AK31" i="2"/>
  <c r="AL30" i="2"/>
  <c r="T31" i="2"/>
  <c r="AL32" i="2"/>
  <c r="AK43" i="2"/>
  <c r="AK30" i="2"/>
  <c r="AI38" i="2"/>
  <c r="K7" i="1" s="1"/>
  <c r="AK32" i="2"/>
  <c r="K38" i="2"/>
  <c r="B7" i="1" s="1"/>
  <c r="AK29" i="2"/>
  <c r="L29" i="2"/>
  <c r="AJ79" i="2"/>
  <c r="AL79" i="2" s="1"/>
  <c r="AM79" i="2" s="1"/>
  <c r="AK47" i="2"/>
  <c r="R20" i="2"/>
  <c r="T43" i="2"/>
  <c r="AL43" i="2" s="1"/>
  <c r="L72" i="2"/>
  <c r="L34" i="2"/>
  <c r="L9" i="2"/>
  <c r="L19" i="2"/>
  <c r="L36" i="2"/>
  <c r="L37" i="2"/>
  <c r="T35" i="2"/>
  <c r="L81" i="2"/>
  <c r="AL81" i="2" s="1"/>
  <c r="S44" i="2"/>
  <c r="E9" i="1" s="1"/>
  <c r="T73" i="2"/>
  <c r="AB80" i="2"/>
  <c r="AL80" i="2" s="1"/>
  <c r="AM80" i="2" s="1"/>
  <c r="T64" i="2"/>
  <c r="AK64" i="2"/>
  <c r="T78" i="2"/>
  <c r="K20" i="2"/>
  <c r="B5" i="1" s="1"/>
  <c r="L42" i="2"/>
  <c r="S61" i="2"/>
  <c r="E10" i="1" s="1"/>
  <c r="R61" i="2"/>
  <c r="L59" i="2"/>
  <c r="AL59" i="2" s="1"/>
  <c r="AM59" i="2" s="1"/>
  <c r="AJ36" i="2"/>
  <c r="AA36" i="2"/>
  <c r="AB36" i="2" s="1"/>
  <c r="S36" i="2"/>
  <c r="S38" i="2" s="1"/>
  <c r="E7" i="1" s="1"/>
  <c r="AB61" i="2"/>
  <c r="I10" i="1" s="1"/>
  <c r="L10" i="2"/>
  <c r="AG12" i="2"/>
  <c r="AJ77" i="2"/>
  <c r="AL77" i="2" s="1"/>
  <c r="AM77" i="2" s="1"/>
  <c r="AA35" i="2"/>
  <c r="AK35" i="2" s="1"/>
  <c r="K61" i="2"/>
  <c r="B10" i="1" s="1"/>
  <c r="L47" i="2"/>
  <c r="AL47" i="2" s="1"/>
  <c r="S25" i="2"/>
  <c r="AI66" i="2"/>
  <c r="AJ66" i="2" s="1"/>
  <c r="AH44" i="2"/>
  <c r="AI41" i="2"/>
  <c r="AI44" i="2" s="1"/>
  <c r="K9" i="1" s="1"/>
  <c r="AJ65" i="2"/>
  <c r="AJ35" i="2"/>
  <c r="AA68" i="2"/>
  <c r="AB68" i="2" s="1"/>
  <c r="Z44" i="2"/>
  <c r="AA44" i="2"/>
  <c r="H9" i="1" s="1"/>
  <c r="AA73" i="2"/>
  <c r="AB73" i="2" s="1"/>
  <c r="S19" i="2"/>
  <c r="K44" i="2"/>
  <c r="B9" i="1" s="1"/>
  <c r="AI76" i="2"/>
  <c r="AK76" i="2" s="1"/>
  <c r="AG19" i="2"/>
  <c r="AH19" i="2" s="1"/>
  <c r="AH23" i="2" s="1"/>
  <c r="Z19" i="2"/>
  <c r="Z23" i="2" s="1"/>
  <c r="AA23" i="2" s="1"/>
  <c r="T68" i="2"/>
  <c r="AI78" i="2"/>
  <c r="AK78" i="2" s="1"/>
  <c r="Z61" i="2"/>
  <c r="J26" i="2"/>
  <c r="J87" i="2" s="1"/>
  <c r="K23" i="2"/>
  <c r="AB78" i="2"/>
  <c r="T41" i="2"/>
  <c r="T44" i="2" s="1"/>
  <c r="AB66" i="2"/>
  <c r="L41" i="2"/>
  <c r="Z71" i="2"/>
  <c r="Z86" i="2" s="1"/>
  <c r="AG71" i="2"/>
  <c r="AH71" i="2" s="1"/>
  <c r="AH86" i="2" s="1"/>
  <c r="S72" i="2"/>
  <c r="AK72" i="2" s="1"/>
  <c r="AA65" i="2"/>
  <c r="AK65" i="2" s="1"/>
  <c r="AK18" i="2" l="1"/>
  <c r="AB16" i="2"/>
  <c r="AL16" i="2" s="1"/>
  <c r="AM14" i="2"/>
  <c r="AK11" i="2"/>
  <c r="AM84" i="2"/>
  <c r="AK66" i="2"/>
  <c r="AL68" i="2"/>
  <c r="AM67" i="2"/>
  <c r="AM56" i="2"/>
  <c r="AM85" i="2"/>
  <c r="AL66" i="2"/>
  <c r="AM81" i="2"/>
  <c r="T36" i="2"/>
  <c r="T38" i="2" s="1"/>
  <c r="F7" i="1" s="1"/>
  <c r="G7" i="1" s="1"/>
  <c r="AL73" i="2"/>
  <c r="AM69" i="2"/>
  <c r="AK34" i="2"/>
  <c r="AK73" i="2"/>
  <c r="AM16" i="2"/>
  <c r="AK68" i="2"/>
  <c r="F9" i="1"/>
  <c r="G9" i="1" s="1"/>
  <c r="N9" i="1"/>
  <c r="L86" i="2"/>
  <c r="C12" i="1" s="1"/>
  <c r="D12" i="1" s="1"/>
  <c r="AL9" i="2"/>
  <c r="AM9" i="2" s="1"/>
  <c r="AJ10" i="2"/>
  <c r="AL10" i="2" s="1"/>
  <c r="AM10" i="2" s="1"/>
  <c r="AI58" i="2"/>
  <c r="AK58" i="2" s="1"/>
  <c r="AK61" i="2" s="1"/>
  <c r="AJ18" i="2"/>
  <c r="AL18" i="2" s="1"/>
  <c r="AM60" i="2"/>
  <c r="AL34" i="2"/>
  <c r="AH12" i="2"/>
  <c r="AI12" i="2" s="1"/>
  <c r="S86" i="2"/>
  <c r="E12" i="1" s="1"/>
  <c r="AB65" i="2"/>
  <c r="AL65" i="2" s="1"/>
  <c r="AM65" i="2" s="1"/>
  <c r="AL64" i="2"/>
  <c r="AM64" i="2" s="1"/>
  <c r="AB37" i="2"/>
  <c r="AL37" i="2" s="1"/>
  <c r="AM37" i="2" s="1"/>
  <c r="Z38" i="2"/>
  <c r="AM30" i="2"/>
  <c r="AM43" i="2"/>
  <c r="AM32" i="2"/>
  <c r="AJ38" i="2"/>
  <c r="L7" i="1" s="1"/>
  <c r="M7" i="1" s="1"/>
  <c r="AL31" i="2"/>
  <c r="AM31" i="2" s="1"/>
  <c r="AA38" i="2"/>
  <c r="H7" i="1" s="1"/>
  <c r="N7" i="1" s="1"/>
  <c r="L38" i="2"/>
  <c r="C7" i="1" s="1"/>
  <c r="D7" i="1" s="1"/>
  <c r="AL29" i="2"/>
  <c r="AJ78" i="2"/>
  <c r="AL78" i="2" s="1"/>
  <c r="AM78" i="2" s="1"/>
  <c r="AK36" i="2"/>
  <c r="Z20" i="2"/>
  <c r="K26" i="2"/>
  <c r="AL42" i="2"/>
  <c r="AM42" i="2" s="1"/>
  <c r="S20" i="2"/>
  <c r="E5" i="1" s="1"/>
  <c r="T61" i="2"/>
  <c r="F10" i="1" s="1"/>
  <c r="AK41" i="2"/>
  <c r="L20" i="2"/>
  <c r="C5" i="1" s="1"/>
  <c r="D5" i="1" s="1"/>
  <c r="AB41" i="2"/>
  <c r="AB44" i="2" s="1"/>
  <c r="I9" i="1" s="1"/>
  <c r="J9" i="1" s="1"/>
  <c r="AJ76" i="2"/>
  <c r="AL76" i="2" s="1"/>
  <c r="AM76" i="2" s="1"/>
  <c r="T72" i="2"/>
  <c r="T86" i="2" s="1"/>
  <c r="F12" i="1" s="1"/>
  <c r="AI19" i="2"/>
  <c r="AJ19" i="2" s="1"/>
  <c r="AB35" i="2"/>
  <c r="AL35" i="2" s="1"/>
  <c r="AI71" i="2"/>
  <c r="AJ71" i="2" s="1"/>
  <c r="J89" i="2"/>
  <c r="AJ61" i="2"/>
  <c r="L10" i="1" s="1"/>
  <c r="AJ41" i="2"/>
  <c r="AJ44" i="2" s="1"/>
  <c r="L9" i="1" s="1"/>
  <c r="M9" i="1" s="1"/>
  <c r="AA71" i="2"/>
  <c r="L61" i="2"/>
  <c r="C10" i="1" s="1"/>
  <c r="D10" i="1" s="1"/>
  <c r="AA25" i="2"/>
  <c r="L44" i="2"/>
  <c r="C9" i="1" s="1"/>
  <c r="R26" i="2"/>
  <c r="R87" i="2" s="1"/>
  <c r="AA19" i="2"/>
  <c r="T19" i="2"/>
  <c r="AA61" i="2"/>
  <c r="H10" i="1" s="1"/>
  <c r="AK38" i="2" l="1"/>
  <c r="AM34" i="2"/>
  <c r="AM18" i="2"/>
  <c r="AM66" i="2"/>
  <c r="AM68" i="2"/>
  <c r="AL11" i="2"/>
  <c r="AM11" i="2" s="1"/>
  <c r="AM73" i="2"/>
  <c r="AL72" i="2"/>
  <c r="AM72" i="2" s="1"/>
  <c r="O9" i="1"/>
  <c r="P9" i="1" s="1"/>
  <c r="AB71" i="2"/>
  <c r="AL71" i="2" s="1"/>
  <c r="AK71" i="2"/>
  <c r="AK86" i="2" s="1"/>
  <c r="K87" i="2"/>
  <c r="B6" i="1"/>
  <c r="C13" i="1"/>
  <c r="D9" i="1"/>
  <c r="O10" i="1"/>
  <c r="AH20" i="2"/>
  <c r="G10" i="1"/>
  <c r="AJ86" i="2"/>
  <c r="L12" i="1" s="1"/>
  <c r="AH25" i="2"/>
  <c r="AI25" i="2" s="1"/>
  <c r="AK25" i="2" s="1"/>
  <c r="AM25" i="2" s="1"/>
  <c r="AJ58" i="2"/>
  <c r="AL58" i="2" s="1"/>
  <c r="AM58" i="2" s="1"/>
  <c r="AI61" i="2"/>
  <c r="K10" i="1" s="1"/>
  <c r="N10" i="1" s="1"/>
  <c r="AJ12" i="2"/>
  <c r="AL12" i="2" s="1"/>
  <c r="AK12" i="2"/>
  <c r="AI86" i="2"/>
  <c r="K12" i="1" s="1"/>
  <c r="AA86" i="2"/>
  <c r="H12" i="1" s="1"/>
  <c r="AB38" i="2"/>
  <c r="I7" i="1" s="1"/>
  <c r="O7" i="1" s="1"/>
  <c r="P7" i="1" s="1"/>
  <c r="AM29" i="2"/>
  <c r="T20" i="2"/>
  <c r="F5" i="1" s="1"/>
  <c r="F13" i="1" s="1"/>
  <c r="AK19" i="2"/>
  <c r="AL41" i="2"/>
  <c r="AL44" i="2" s="1"/>
  <c r="AL36" i="2"/>
  <c r="AM36" i="2" s="1"/>
  <c r="AA20" i="2"/>
  <c r="H5" i="1" s="1"/>
  <c r="AI20" i="2"/>
  <c r="K5" i="1" s="1"/>
  <c r="R89" i="2"/>
  <c r="AB19" i="2"/>
  <c r="AB20" i="2" s="1"/>
  <c r="I5" i="1" s="1"/>
  <c r="AA26" i="2"/>
  <c r="Z26" i="2"/>
  <c r="Z87" i="2" s="1"/>
  <c r="S26" i="2"/>
  <c r="E6" i="1" s="1"/>
  <c r="E13" i="1" s="1"/>
  <c r="G12" i="1"/>
  <c r="AK44" i="2"/>
  <c r="K89" i="2"/>
  <c r="B14" i="1" s="1"/>
  <c r="J90" i="2"/>
  <c r="J91" i="2" s="1"/>
  <c r="AI23" i="2"/>
  <c r="J10" i="1"/>
  <c r="AM47" i="2"/>
  <c r="L87" i="2"/>
  <c r="AB86" i="2" l="1"/>
  <c r="I12" i="1" s="1"/>
  <c r="I13" i="1" s="1"/>
  <c r="P10" i="1"/>
  <c r="AM71" i="2"/>
  <c r="N5" i="1"/>
  <c r="G13" i="1"/>
  <c r="M10" i="1"/>
  <c r="AI26" i="2"/>
  <c r="AI87" i="2" s="1"/>
  <c r="D6" i="1"/>
  <c r="B13" i="1"/>
  <c r="H6" i="1"/>
  <c r="J6" i="1" s="1"/>
  <c r="N12" i="1"/>
  <c r="M12" i="1"/>
  <c r="AM12" i="2"/>
  <c r="AL61" i="2"/>
  <c r="AH26" i="2"/>
  <c r="AH87" i="2" s="1"/>
  <c r="AJ20" i="2"/>
  <c r="AL86" i="2"/>
  <c r="AL38" i="2"/>
  <c r="T87" i="2"/>
  <c r="AM41" i="2"/>
  <c r="AM44" i="2" s="1"/>
  <c r="AK20" i="2"/>
  <c r="AL19" i="2"/>
  <c r="AM19" i="2" s="1"/>
  <c r="AK23" i="2"/>
  <c r="AM23" i="2" s="1"/>
  <c r="AM26" i="2" s="1"/>
  <c r="AM61" i="2"/>
  <c r="J7" i="1"/>
  <c r="R90" i="2"/>
  <c r="R91" i="2" s="1"/>
  <c r="S89" i="2"/>
  <c r="K90" i="2"/>
  <c r="L89" i="2"/>
  <c r="C14" i="1" s="1"/>
  <c r="C15" i="1" s="1"/>
  <c r="AM35" i="2"/>
  <c r="AM38" i="2" s="1"/>
  <c r="AA87" i="2"/>
  <c r="G6" i="1"/>
  <c r="S87" i="2"/>
  <c r="G5" i="1"/>
  <c r="J12" i="1" l="1"/>
  <c r="AB87" i="2"/>
  <c r="O12" i="1"/>
  <c r="H13" i="1"/>
  <c r="J13" i="1" s="1"/>
  <c r="D14" i="1"/>
  <c r="AK87" i="2"/>
  <c r="S90" i="2"/>
  <c r="S91" i="2" s="1"/>
  <c r="E14" i="1"/>
  <c r="E15" i="1" s="1"/>
  <c r="B15" i="1"/>
  <c r="D13" i="1"/>
  <c r="P12" i="1"/>
  <c r="AJ87" i="2"/>
  <c r="L5" i="1"/>
  <c r="M5" i="1" s="1"/>
  <c r="K6" i="1"/>
  <c r="AM86" i="2"/>
  <c r="AL20" i="2"/>
  <c r="AK26" i="2"/>
  <c r="K91" i="2"/>
  <c r="AM20" i="2"/>
  <c r="T89" i="2"/>
  <c r="J5" i="1"/>
  <c r="L90" i="2"/>
  <c r="AI89" i="2"/>
  <c r="AK89" i="2" s="1"/>
  <c r="AH90" i="2"/>
  <c r="AH91" i="2" s="1"/>
  <c r="AA89" i="2"/>
  <c r="Z90" i="2"/>
  <c r="Z91" i="2" s="1"/>
  <c r="D15" i="1" l="1"/>
  <c r="AL87" i="2"/>
  <c r="AM87" i="2" s="1"/>
  <c r="L13" i="1"/>
  <c r="O13" i="1" s="1"/>
  <c r="O5" i="1"/>
  <c r="P5" i="1" s="1"/>
  <c r="AA90" i="2"/>
  <c r="AA91" i="2" s="1"/>
  <c r="H14" i="1"/>
  <c r="H15" i="1" s="1"/>
  <c r="T90" i="2"/>
  <c r="T91" i="2" s="1"/>
  <c r="F14" i="1"/>
  <c r="F15" i="1" s="1"/>
  <c r="N6" i="1"/>
  <c r="P6" i="1" s="1"/>
  <c r="K13" i="1"/>
  <c r="M6" i="1"/>
  <c r="AI90" i="2"/>
  <c r="AI91" i="2" s="1"/>
  <c r="K14" i="1"/>
  <c r="N14" i="1" s="1"/>
  <c r="AB89" i="2"/>
  <c r="AJ89" i="2"/>
  <c r="L91" i="2"/>
  <c r="AK91" i="2" l="1"/>
  <c r="AK90" i="2"/>
  <c r="AB90" i="2"/>
  <c r="AB91" i="2" s="1"/>
  <c r="I14" i="1"/>
  <c r="I15" i="1" s="1"/>
  <c r="G14" i="1"/>
  <c r="G15" i="1" s="1"/>
  <c r="N13" i="1"/>
  <c r="M13" i="1"/>
  <c r="AJ90" i="2"/>
  <c r="AJ91" i="2" s="1"/>
  <c r="L14" i="1"/>
  <c r="K15" i="1"/>
  <c r="AL89" i="2"/>
  <c r="AM89" i="2" s="1"/>
  <c r="M14" i="1" l="1"/>
  <c r="O14" i="1"/>
  <c r="P14" i="1" s="1"/>
  <c r="P13" i="1"/>
  <c r="N15" i="1"/>
  <c r="AL91" i="2"/>
  <c r="AM91" i="2" s="1"/>
  <c r="AO96" i="2" s="1"/>
  <c r="J14" i="1"/>
  <c r="J15" i="1" s="1"/>
  <c r="M15" i="1"/>
  <c r="AL90" i="2"/>
  <c r="AM90" i="2" s="1"/>
  <c r="L15" i="1"/>
  <c r="O15" i="1" s="1"/>
  <c r="P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tc={5874A4B2-FBAF-49F6-A82B-615FDA18E2BA}</author>
    <author>tc={DD5DDBF9-53FA-4312-84AF-D2C5E4B53226}</author>
  </authors>
  <commentList>
    <comment ref="Q6" authorId="0" shapeId="0" xr:uid="{5874A4B2-FBAF-49F6-A82B-615FDA18E2B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assumptions from Original Budget and Extension Budget related to merit increase and Fringe. 
1. Merit Increase: Budget 01 was 4%, Budget 02 was 5%
2. Fringe: Budget 01 was %, Budget 02 was %</t>
      </text>
    </comment>
    <comment ref="Q76" authorId="1" shapeId="0" xr:uid="{DD5DDBF9-53FA-4312-84AF-D2C5E4B53226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rates used in the two budgets. $260 per ad for original budget; $250 per ad for extension budget.
I averaged the two amounts, and ended up with 255.7% per add. The final amount is just 1 dollar off.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tc={B5EAF592-1470-4081-AB98-43195EAFEC65}</author>
    <author>tc={7A57E08C-23CB-4C9E-BBEF-60C56B588490}</author>
    <author>tc={5286049D-82E4-4B93-9FC7-C98B5AFAB19E}</author>
  </authors>
  <commentList>
    <comment ref="N6" authorId="0" shapeId="0" xr:uid="{B5EAF592-1470-4081-AB98-43195EAFEC65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assumptions from Original Budget and Extension Budget related to merit increase and Fringe. 
1. Merit Increase: Budget 01 was 4%, Budget 02 was 5%
2. Fringe: Budget 01 was %, Budget 02 was %</t>
      </text>
    </comment>
    <comment ref="N47" authorId="1" shapeId="0" xr:uid="{7A57E08C-23CB-4C9E-BBEF-60C56B588490}">
      <text>
        <t>[Threaded comment]
Your version of Excel allows you to read this threaded comment; however, any edits to it will get removed if the file is opened in a newer version of Excel. Learn more: https://go.microsoft.com/fwlink/?linkid=870924
Comment:
    Decía 4000</t>
      </text>
    </comment>
    <comment ref="N76" authorId="2" shapeId="0" xr:uid="{5286049D-82E4-4B93-9FC7-C98B5AFA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rates used in the two budgets. $260 per ad for original budget; $250 per ad for extension budget.
I averaged the two amounts, and ended up with 255.7% per add. The final amount is just 1 dollar off.</t>
      </text>
    </comment>
  </commentList>
</comments>
</file>

<file path=xl/sharedStrings.xml><?xml version="1.0" encoding="utf-8"?>
<sst xmlns="http://schemas.openxmlformats.org/spreadsheetml/2006/main" count="800" uniqueCount="205">
  <si>
    <t>PARTNERS OF THE AMERICAS</t>
  </si>
  <si>
    <t>SUMMARY BUDGET FOR MEXICO MIGRATION MESSAGING EXTENSION</t>
  </si>
  <si>
    <t>Year 1</t>
  </si>
  <si>
    <t xml:space="preserve">Year 2 (Oct 2024 - Sept 2025) </t>
  </si>
  <si>
    <t>Year 3 (Oct 2025 - Sept 2026)</t>
  </si>
  <si>
    <t>Year 4 (Oct  2026 - Apr 2027)</t>
  </si>
  <si>
    <t>Total</t>
  </si>
  <si>
    <t>BUDGET SUMMARY CATEGORIES</t>
  </si>
  <si>
    <t>Grant</t>
  </si>
  <si>
    <t>Cost Share</t>
  </si>
  <si>
    <t>A. Personnel</t>
  </si>
  <si>
    <t>B. Fringe Benefits</t>
  </si>
  <si>
    <t xml:space="preserve">C. Travel </t>
  </si>
  <si>
    <t>D. Equipment</t>
  </si>
  <si>
    <t>E. Supplies</t>
  </si>
  <si>
    <t>F. Contractual and Subawards</t>
  </si>
  <si>
    <t>G. Construction</t>
  </si>
  <si>
    <t>H. Other Direct Costs</t>
  </si>
  <si>
    <t>I. Total Direct Costs</t>
  </si>
  <si>
    <t>J. Indirect Costs</t>
  </si>
  <si>
    <t>K. Total Costs</t>
  </si>
  <si>
    <t>PARTNERS OF THE AMERICAS - Mexico Migration Messaging Project (MMMP) - Cost Extension</t>
  </si>
  <si>
    <t>Entity:</t>
  </si>
  <si>
    <t>P</t>
  </si>
  <si>
    <t>Merit and Cost of Living Increases - 5%</t>
  </si>
  <si>
    <t>Program/Dept.:</t>
  </si>
  <si>
    <t>Inflation - 4%</t>
  </si>
  <si>
    <t>Change in  calculation component</t>
  </si>
  <si>
    <t>Green Text is Budget 01</t>
  </si>
  <si>
    <t>Black Text is Budget 02</t>
  </si>
  <si>
    <t>Purple Text has Budget 01 + 02</t>
  </si>
  <si>
    <t>Funder-Grant:</t>
  </si>
  <si>
    <t>DOS453</t>
  </si>
  <si>
    <t>Budget Code</t>
  </si>
  <si>
    <t>Account Code</t>
  </si>
  <si>
    <t>Country Code</t>
  </si>
  <si>
    <t>All costs in US$</t>
  </si>
  <si>
    <t>Year 1 (Oct 2023 - Sept 2024)</t>
  </si>
  <si>
    <t xml:space="preserve">Year 2 (October 2024 - September 2025) </t>
  </si>
  <si>
    <t>Year 3 (October 2025 - September 2026)</t>
  </si>
  <si>
    <t>Year 4 (October 2026 - April 2027)</t>
  </si>
  <si>
    <t xml:space="preserve">Total </t>
  </si>
  <si>
    <t>Budget Line Items</t>
  </si>
  <si>
    <t>No.</t>
  </si>
  <si>
    <t>Unit Type</t>
  </si>
  <si>
    <t>Freq.</t>
  </si>
  <si>
    <t>%</t>
  </si>
  <si>
    <t>Rate</t>
  </si>
  <si>
    <t>Federal</t>
  </si>
  <si>
    <t>Grand Total</t>
  </si>
  <si>
    <t>A.1 Field Staff Salaries</t>
  </si>
  <si>
    <t>PERSNL-CDM</t>
  </si>
  <si>
    <t>MEX</t>
  </si>
  <si>
    <t>A.1.1 Country Director Mexico</t>
  </si>
  <si>
    <t>Month</t>
  </si>
  <si>
    <t>PERSNL-PD</t>
  </si>
  <si>
    <t>A.1.2 Program Director/Coordinator</t>
  </si>
  <si>
    <t>PERSNL-SCS</t>
  </si>
  <si>
    <t>A.1.3 Senior Communications Specialist</t>
  </si>
  <si>
    <t>PERSNL-COM</t>
  </si>
  <si>
    <t>A.1.4 Communications Specialist</t>
  </si>
  <si>
    <t>PERSNL-SMA</t>
  </si>
  <si>
    <t>A.1.5 Social Media Analyst</t>
  </si>
  <si>
    <t>PERSNL-M&amp;E</t>
  </si>
  <si>
    <t>A.1.6 Monitoring, Evaluation, and Learning Officer</t>
  </si>
  <si>
    <t>PERSNL-F&amp;A</t>
  </si>
  <si>
    <t>A.1.7 Finance &amp; Administration Director</t>
  </si>
  <si>
    <t xml:space="preserve">A.1.8 Finance &amp; Administration Officer </t>
  </si>
  <si>
    <t>A.2 HQ Staff Salaries</t>
  </si>
  <si>
    <t>PERSNL</t>
  </si>
  <si>
    <t>USA</t>
  </si>
  <si>
    <t>A.2.1 Program Manager (HQ)</t>
  </si>
  <si>
    <t>PERSNL-PO</t>
  </si>
  <si>
    <t xml:space="preserve">A.2.2. Program Officer (HQ) </t>
  </si>
  <si>
    <t>Subtotal Personnel</t>
  </si>
  <si>
    <t xml:space="preserve">B.1 HQ Fringe Benefits </t>
  </si>
  <si>
    <t>FRINGE</t>
  </si>
  <si>
    <t>B.1.1 U.S.-Based Personnel Fringe Benefits</t>
  </si>
  <si>
    <t xml:space="preserve">B.2 Field Fringe Benefits </t>
  </si>
  <si>
    <t>FRINGE-MX</t>
  </si>
  <si>
    <t xml:space="preserve">B.2.1 Mexico Field Staff Fringe Benefits </t>
  </si>
  <si>
    <t>Subtotal Fringe Benefits</t>
  </si>
  <si>
    <t xml:space="preserve">C.1 HQ Staff International Travel </t>
  </si>
  <si>
    <t>STFTRAVEL</t>
  </si>
  <si>
    <t>C.1.1 International Airfare (DC-MX)</t>
  </si>
  <si>
    <t>Flight</t>
  </si>
  <si>
    <t>GROUNDTRAN</t>
  </si>
  <si>
    <t>C.1.2 Ground Transportation</t>
  </si>
  <si>
    <t>Trip</t>
  </si>
  <si>
    <t>LODGING</t>
  </si>
  <si>
    <t>C.1.3 Lodging</t>
  </si>
  <si>
    <t>Night</t>
  </si>
  <si>
    <t>STFCN DIEM</t>
  </si>
  <si>
    <t>C.1.4 M&amp;IE</t>
  </si>
  <si>
    <t>Day</t>
  </si>
  <si>
    <t>C.2 Local Staff In-Country Travel to Target Geographic Regions</t>
  </si>
  <si>
    <t>LSDOMAIR</t>
  </si>
  <si>
    <t>C.2.1 Domestic Airfare</t>
  </si>
  <si>
    <t>LSLODGING</t>
  </si>
  <si>
    <t>C.2.2 Lodging</t>
  </si>
  <si>
    <t>LSM&amp;IE</t>
  </si>
  <si>
    <t>C.2.3 M&amp;IE</t>
  </si>
  <si>
    <t>LSTRANS</t>
  </si>
  <si>
    <t>C.2.4 Ground Transportation</t>
  </si>
  <si>
    <t xml:space="preserve">Subtotal Travel </t>
  </si>
  <si>
    <t>SUPPLIES</t>
  </si>
  <si>
    <t>E.1 Office Supplies</t>
  </si>
  <si>
    <t>LAPTOP</t>
  </si>
  <si>
    <t xml:space="preserve">E.2 Laptop Computers &amp; Software </t>
  </si>
  <si>
    <t>Unit</t>
  </si>
  <si>
    <t>PHOTO</t>
  </si>
  <si>
    <t>E.3 Photography Supplies</t>
  </si>
  <si>
    <t>Lumpsum</t>
  </si>
  <si>
    <t>Subtotal Supplies</t>
  </si>
  <si>
    <t>F. Contractual</t>
  </si>
  <si>
    <t>F.1 Consultants</t>
  </si>
  <si>
    <t>CONSULTSM</t>
  </si>
  <si>
    <t>F.1.1 Social Media Influencer Consultants</t>
  </si>
  <si>
    <t>TECHADPP</t>
  </si>
  <si>
    <t>F.1.2 Technical Advisor on Public Policy</t>
  </si>
  <si>
    <t>CONSULTDC</t>
  </si>
  <si>
    <t>F.1.3 Consultant for Participatory Research for Data Collection</t>
  </si>
  <si>
    <t>CONSULTGDS</t>
  </si>
  <si>
    <t>F.1.4 Consultant for Graphic Design Services</t>
  </si>
  <si>
    <t>Contract</t>
  </si>
  <si>
    <t>F.2 Contracts</t>
  </si>
  <si>
    <t>IMMERSIVE</t>
  </si>
  <si>
    <t>F.2.1 Contract for Live Portrait and Immersive Experience</t>
  </si>
  <si>
    <t>FILMPROD</t>
  </si>
  <si>
    <t>F.2.2 Contract to Film &amp; Produce Soap Opera</t>
  </si>
  <si>
    <t>SECURITY</t>
  </si>
  <si>
    <t xml:space="preserve">F.2.3 Security Advisors </t>
  </si>
  <si>
    <t>CONTRANS</t>
  </si>
  <si>
    <t>F.2.4 Contract for Translation Services</t>
  </si>
  <si>
    <t>Year</t>
  </si>
  <si>
    <t>CONEXVIDEO</t>
  </si>
  <si>
    <t>F.2.5 Contract for Production of Explainer Videos</t>
  </si>
  <si>
    <t>CONMARKET</t>
  </si>
  <si>
    <t>F.2.6 Contract for Transit Marketing Campaign</t>
  </si>
  <si>
    <t>CONPRINT</t>
  </si>
  <si>
    <t>F.2.7 Contract for Printing Services</t>
  </si>
  <si>
    <t>CONSHELTER</t>
  </si>
  <si>
    <t>F.2.8 Contract for Shelter Coordination and Monitoring</t>
  </si>
  <si>
    <t>CONDISSEM</t>
  </si>
  <si>
    <t>F.2.9 Contract Dissemination Research and Response</t>
  </si>
  <si>
    <t>Subtotal Contractual</t>
  </si>
  <si>
    <t>G. Other Direct Costs</t>
  </si>
  <si>
    <t>G.1 Office Costs</t>
  </si>
  <si>
    <t>RENT &amp; UT</t>
  </si>
  <si>
    <t>G.1.1 Office Space &amp; Utilities</t>
  </si>
  <si>
    <t>BANK FEES</t>
  </si>
  <si>
    <t>G.1.2 Banking and Cash Handling Fees</t>
  </si>
  <si>
    <t>PAYROLL</t>
  </si>
  <si>
    <t>G.1.3 Payroll Processing</t>
  </si>
  <si>
    <t>COMM</t>
  </si>
  <si>
    <t>G.1.4 Communications Costs (Phone, Data, Internet, etc.)</t>
  </si>
  <si>
    <t>SUBSCRIPT</t>
  </si>
  <si>
    <t>G.1.5 HR, Platform Subscriptions (Timekeeping and Expense Reporting)</t>
  </si>
  <si>
    <t>MEETING</t>
  </si>
  <si>
    <t>G.1.6 Meeting Expenses</t>
  </si>
  <si>
    <t>RECRUIT</t>
  </si>
  <si>
    <t xml:space="preserve">G.1.7 Procurement Advertising </t>
  </si>
  <si>
    <t>LEGAL</t>
  </si>
  <si>
    <t>G.1.8 Legal Fees</t>
  </si>
  <si>
    <t>AUDIT</t>
  </si>
  <si>
    <t>G.1.9 Audit Fees</t>
  </si>
  <si>
    <t>POSTAGE</t>
  </si>
  <si>
    <t>G.1.10 Postage/Shipping</t>
  </si>
  <si>
    <t>G.2 Activities Costs</t>
  </si>
  <si>
    <t>TRANS</t>
  </si>
  <si>
    <t>G.2.1 Translation Costs</t>
  </si>
  <si>
    <t>SOCIALADS</t>
  </si>
  <si>
    <t>G.2.2 Social Media Ads/Boosts</t>
  </si>
  <si>
    <t>Ad</t>
  </si>
  <si>
    <t>WEBSITE</t>
  </si>
  <si>
    <t>G.2.3 Website Development Fees</t>
  </si>
  <si>
    <t>HOSTMAINT</t>
  </si>
  <si>
    <t>G.2.4 Website Hosting and Maintenance Fees</t>
  </si>
  <si>
    <t>AIAPPPROMO</t>
  </si>
  <si>
    <t>G.2.5 AI App Promotion, Training, and Events</t>
  </si>
  <si>
    <t>Event</t>
  </si>
  <si>
    <t>EVENTSIOM</t>
  </si>
  <si>
    <t>G.2.6 Events in Partnership with IOM</t>
  </si>
  <si>
    <t>REGIONADS</t>
  </si>
  <si>
    <t>G.2.7 Social Media Ads/Boosts (Regional Advertising Initiative)</t>
  </si>
  <si>
    <t>G.3 M&amp;E</t>
  </si>
  <si>
    <t>M&amp;EMATL</t>
  </si>
  <si>
    <t>G.3.1 M&amp;E Materials</t>
  </si>
  <si>
    <t>M&amp;ETRAIN</t>
  </si>
  <si>
    <t>G.3.2 M&amp;E Training and Coordination Meetings</t>
  </si>
  <si>
    <t>Meetings</t>
  </si>
  <si>
    <t>EVAL</t>
  </si>
  <si>
    <t>G.3.3 External Project Evaluation support costs</t>
  </si>
  <si>
    <t>Subtotal Other Direct Costs</t>
  </si>
  <si>
    <t>H. Total Direct Costs</t>
  </si>
  <si>
    <t>I. Indirect Cost</t>
  </si>
  <si>
    <t>IDC</t>
  </si>
  <si>
    <t>I.1 Indirect Cost (28.28% NICRA rate)</t>
  </si>
  <si>
    <t>I.2 Total Indirect Cost</t>
  </si>
  <si>
    <t>J. GRAND TOTAL</t>
  </si>
  <si>
    <t>Extra</t>
  </si>
  <si>
    <t>Original</t>
  </si>
  <si>
    <t>Budget 01</t>
  </si>
  <si>
    <t>Budget 02</t>
  </si>
  <si>
    <t>Budget 01+02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</si>
</sst>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$-1009]#,##0;\-[$$-1009]#,##0"/>
    <numFmt numFmtId="167" formatCode="_(&quot;$&quot;* #,##0_);_(&quot;$&quot;* \(#,##0\);_(&quot;$&quot;* &quot;-&quot;??_);_(@_)"/>
    <numFmt numFmtId="168" formatCode="[$INR]\ #,##0.00"/>
    <numFmt numFmtId="169" formatCode="_(* #,##0_);_(* \(#,##0\);_(* &quot;-&quot;??_);_(@_)"/>
    <numFmt numFmtId="170" formatCode="#,##0.0"/>
    <numFmt numFmtId="171" formatCode="[$$-1009]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0" tint="-0.249977111117893"/>
      <name val="Times New Roman"/>
      <family val="1"/>
    </font>
    <font>
      <sz val="12"/>
      <color theme="1"/>
      <name val="Times New Roman"/>
      <family val="1"/>
    </font>
    <font>
      <sz val="11"/>
      <color rgb="FF00B050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name val="Aptos Narrow"/>
      <family val="2"/>
      <scheme val="minor"/>
    </font>
    <font>
      <sz val="9"/>
      <name val="Arial"/>
      <family val="2"/>
    </font>
    <font>
      <i/>
      <sz val="12"/>
      <color theme="1"/>
      <name val="Times New Roman"/>
      <family val="1"/>
    </font>
    <font>
      <sz val="12"/>
      <color theme="9" tint="-0.249977111117893"/>
      <name val="Times New Roman"/>
      <family val="1"/>
    </font>
    <font>
      <b/>
      <sz val="12"/>
      <color theme="9" tint="-0.249977111117893"/>
      <name val="Times New Roman"/>
      <family val="1"/>
    </font>
    <font>
      <sz val="12"/>
      <color theme="8"/>
      <name val="Times New Roman"/>
      <family val="1"/>
    </font>
    <font>
      <sz val="1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4F3C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</cellStyleXfs>
  <cellXfs count="656">
    <xf numFmtId="0" fontId="0" fillId="0" borderId="0" xfId="0"/>
    <xf numFmtId="3" fontId="5" fillId="3" borderId="5" xfId="0" applyNumberFormat="1" applyFont="1" applyFill="1" applyBorder="1"/>
    <xf numFmtId="3" fontId="6" fillId="3" borderId="9" xfId="0" applyNumberFormat="1" applyFont="1" applyFill="1" applyBorder="1"/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3" fontId="5" fillId="4" borderId="9" xfId="0" applyNumberFormat="1" applyFont="1" applyFill="1" applyBorder="1"/>
    <xf numFmtId="166" fontId="5" fillId="0" borderId="10" xfId="2" applyNumberFormat="1" applyFont="1" applyBorder="1" applyAlignment="1"/>
    <xf numFmtId="166" fontId="5" fillId="0" borderId="12" xfId="2" applyNumberFormat="1" applyFont="1" applyBorder="1" applyAlignment="1"/>
    <xf numFmtId="166" fontId="5" fillId="0" borderId="11" xfId="2" applyNumberFormat="1" applyFont="1" applyBorder="1" applyAlignment="1"/>
    <xf numFmtId="166" fontId="5" fillId="5" borderId="10" xfId="2" applyNumberFormat="1" applyFont="1" applyFill="1" applyBorder="1" applyAlignment="1"/>
    <xf numFmtId="166" fontId="5" fillId="5" borderId="11" xfId="2" applyNumberFormat="1" applyFont="1" applyFill="1" applyBorder="1" applyAlignment="1"/>
    <xf numFmtId="166" fontId="5" fillId="5" borderId="12" xfId="2" applyNumberFormat="1" applyFont="1" applyFill="1" applyBorder="1" applyAlignment="1"/>
    <xf numFmtId="3" fontId="6" fillId="4" borderId="9" xfId="0" applyNumberFormat="1" applyFont="1" applyFill="1" applyBorder="1"/>
    <xf numFmtId="166" fontId="6" fillId="0" borderId="10" xfId="2" applyNumberFormat="1" applyFont="1" applyBorder="1" applyAlignment="1"/>
    <xf numFmtId="166" fontId="6" fillId="0" borderId="11" xfId="2" applyNumberFormat="1" applyFont="1" applyBorder="1" applyAlignment="1"/>
    <xf numFmtId="166" fontId="6" fillId="0" borderId="12" xfId="2" applyNumberFormat="1" applyFont="1" applyBorder="1" applyAlignment="1"/>
    <xf numFmtId="3" fontId="6" fillId="4" borderId="13" xfId="0" applyNumberFormat="1" applyFont="1" applyFill="1" applyBorder="1"/>
    <xf numFmtId="166" fontId="6" fillId="0" borderId="14" xfId="2" applyNumberFormat="1" applyFont="1" applyBorder="1" applyAlignment="1"/>
    <xf numFmtId="166" fontId="6" fillId="0" borderId="15" xfId="2" applyNumberFormat="1" applyFont="1" applyBorder="1" applyAlignment="1"/>
    <xf numFmtId="166" fontId="6" fillId="0" borderId="16" xfId="2" applyNumberFormat="1" applyFont="1" applyBorder="1" applyAlignment="1"/>
    <xf numFmtId="166" fontId="0" fillId="0" borderId="0" xfId="0" applyNumberFormat="1"/>
    <xf numFmtId="0" fontId="5" fillId="6" borderId="11" xfId="0" applyFont="1" applyFill="1" applyBorder="1" applyAlignment="1">
      <alignment vertical="center" wrapText="1"/>
    </xf>
    <xf numFmtId="9" fontId="5" fillId="6" borderId="11" xfId="3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167" fontId="5" fillId="0" borderId="0" xfId="2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4" fontId="5" fillId="0" borderId="0" xfId="0" applyNumberFormat="1" applyFont="1" applyAlignment="1">
      <alignment vertical="center" wrapText="1"/>
    </xf>
    <xf numFmtId="9" fontId="5" fillId="0" borderId="0" xfId="3" applyFont="1" applyAlignment="1">
      <alignment vertical="center" wrapText="1"/>
    </xf>
    <xf numFmtId="167" fontId="5" fillId="0" borderId="0" xfId="2" applyNumberFormat="1" applyFont="1" applyAlignment="1">
      <alignment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9" fontId="6" fillId="0" borderId="11" xfId="0" applyNumberFormat="1" applyFont="1" applyBorder="1" applyAlignment="1">
      <alignment horizontal="center" vertical="center" wrapText="1"/>
    </xf>
    <xf numFmtId="167" fontId="6" fillId="0" borderId="11" xfId="2" applyNumberFormat="1" applyFont="1" applyBorder="1" applyAlignment="1">
      <alignment horizontal="center" vertical="center" wrapText="1"/>
    </xf>
    <xf numFmtId="167" fontId="6" fillId="0" borderId="12" xfId="2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9" fontId="6" fillId="0" borderId="11" xfId="3" applyFont="1" applyBorder="1" applyAlignment="1">
      <alignment horizontal="center" vertical="center" wrapText="1"/>
    </xf>
    <xf numFmtId="167" fontId="6" fillId="0" borderId="22" xfId="2" applyNumberFormat="1" applyFont="1" applyBorder="1" applyAlignment="1">
      <alignment horizontal="center" vertical="center" wrapText="1"/>
    </xf>
    <xf numFmtId="167" fontId="6" fillId="0" borderId="10" xfId="2" applyNumberFormat="1" applyFont="1" applyBorder="1" applyAlignment="1">
      <alignment horizontal="center" vertical="center" wrapText="1"/>
    </xf>
    <xf numFmtId="0" fontId="6" fillId="4" borderId="23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167" fontId="6" fillId="4" borderId="11" xfId="0" applyNumberFormat="1" applyFont="1" applyFill="1" applyBorder="1" applyAlignment="1">
      <alignment horizontal="center" vertical="center" wrapText="1"/>
    </xf>
    <xf numFmtId="168" fontId="7" fillId="4" borderId="11" xfId="0" applyNumberFormat="1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7" fontId="7" fillId="4" borderId="11" xfId="2" applyNumberFormat="1" applyFont="1" applyFill="1" applyBorder="1" applyAlignment="1">
      <alignment vertical="center" wrapText="1"/>
    </xf>
    <xf numFmtId="167" fontId="7" fillId="4" borderId="11" xfId="2" applyNumberFormat="1" applyFont="1" applyFill="1" applyBorder="1" applyAlignment="1">
      <alignment horizontal="center" vertical="center" wrapText="1"/>
    </xf>
    <xf numFmtId="167" fontId="7" fillId="4" borderId="12" xfId="2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9" fontId="7" fillId="4" borderId="11" xfId="3" applyFont="1" applyFill="1" applyBorder="1" applyAlignment="1">
      <alignment vertical="center" wrapText="1"/>
    </xf>
    <xf numFmtId="167" fontId="7" fillId="4" borderId="10" xfId="2" applyNumberFormat="1" applyFont="1" applyFill="1" applyBorder="1" applyAlignment="1">
      <alignment horizontal="center" vertical="center" wrapText="1"/>
    </xf>
    <xf numFmtId="167" fontId="7" fillId="4" borderId="12" xfId="2" applyNumberFormat="1" applyFont="1" applyFill="1" applyBorder="1" applyAlignment="1">
      <alignment vertical="center" wrapText="1"/>
    </xf>
    <xf numFmtId="0" fontId="6" fillId="0" borderId="24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9" fontId="5" fillId="0" borderId="11" xfId="3" applyFont="1" applyBorder="1" applyAlignment="1">
      <alignment vertical="center" wrapText="1"/>
    </xf>
    <xf numFmtId="167" fontId="5" fillId="0" borderId="11" xfId="2" applyNumberFormat="1" applyFont="1" applyFill="1" applyBorder="1" applyAlignment="1">
      <alignment vertical="center" wrapText="1"/>
    </xf>
    <xf numFmtId="167" fontId="6" fillId="0" borderId="11" xfId="2" applyNumberFormat="1" applyFont="1" applyFill="1" applyBorder="1" applyAlignment="1">
      <alignment horizontal="center" vertical="center" wrapText="1"/>
    </xf>
    <xf numFmtId="167" fontId="5" fillId="0" borderId="11" xfId="2" applyNumberFormat="1" applyFont="1" applyBorder="1" applyAlignment="1">
      <alignment vertical="center" wrapText="1"/>
    </xf>
    <xf numFmtId="167" fontId="6" fillId="0" borderId="10" xfId="2" applyNumberFormat="1" applyFont="1" applyFill="1" applyBorder="1" applyAlignment="1">
      <alignment horizontal="center" vertical="center" wrapText="1"/>
    </xf>
    <xf numFmtId="167" fontId="5" fillId="0" borderId="12" xfId="2" applyNumberFormat="1" applyFont="1" applyFill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9" fontId="5" fillId="9" borderId="11" xfId="0" applyNumberFormat="1" applyFont="1" applyFill="1" applyBorder="1" applyAlignment="1">
      <alignment horizontal="center" vertical="center" wrapText="1"/>
    </xf>
    <xf numFmtId="167" fontId="5" fillId="9" borderId="11" xfId="2" applyNumberFormat="1" applyFont="1" applyFill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9" fontId="8" fillId="0" borderId="11" xfId="3" applyFont="1" applyFill="1" applyBorder="1" applyAlignment="1">
      <alignment horizontal="center" vertical="center" wrapText="1"/>
    </xf>
    <xf numFmtId="167" fontId="8" fillId="0" borderId="11" xfId="2" applyNumberFormat="1" applyFont="1" applyFill="1" applyBorder="1" applyAlignment="1">
      <alignment vertical="center" wrapText="1"/>
    </xf>
    <xf numFmtId="167" fontId="8" fillId="0" borderId="12" xfId="2" applyNumberFormat="1" applyFont="1" applyFill="1" applyBorder="1" applyAlignment="1">
      <alignment vertical="center" wrapText="1"/>
    </xf>
    <xf numFmtId="167" fontId="8" fillId="0" borderId="10" xfId="2" applyNumberFormat="1" applyFont="1" applyFill="1" applyBorder="1" applyAlignment="1">
      <alignment vertical="center" wrapText="1"/>
    </xf>
    <xf numFmtId="0" fontId="9" fillId="0" borderId="0" xfId="0" applyFont="1"/>
    <xf numFmtId="0" fontId="10" fillId="7" borderId="24" xfId="0" applyFont="1" applyFill="1" applyBorder="1" applyAlignment="1">
      <alignment horizontal="left" vertical="center" wrapText="1"/>
    </xf>
    <xf numFmtId="0" fontId="8" fillId="7" borderId="10" xfId="0" applyFont="1" applyFill="1" applyBorder="1" applyAlignment="1">
      <alignment vertical="center" wrapText="1"/>
    </xf>
    <xf numFmtId="0" fontId="8" fillId="7" borderId="21" xfId="0" applyFont="1" applyFill="1" applyBorder="1" applyAlignment="1">
      <alignment vertical="center" wrapText="1"/>
    </xf>
    <xf numFmtId="0" fontId="8" fillId="7" borderId="11" xfId="0" applyFont="1" applyFill="1" applyBorder="1" applyAlignment="1">
      <alignment vertical="center" wrapText="1"/>
    </xf>
    <xf numFmtId="9" fontId="8" fillId="7" borderId="11" xfId="3" applyFont="1" applyFill="1" applyBorder="1" applyAlignment="1">
      <alignment vertical="center" wrapText="1"/>
    </xf>
    <xf numFmtId="167" fontId="8" fillId="7" borderId="11" xfId="2" applyNumberFormat="1" applyFont="1" applyFill="1" applyBorder="1" applyAlignment="1">
      <alignment vertical="center" wrapText="1"/>
    </xf>
    <xf numFmtId="167" fontId="8" fillId="7" borderId="12" xfId="2" applyNumberFormat="1" applyFont="1" applyFill="1" applyBorder="1" applyAlignment="1">
      <alignment vertical="center" wrapText="1"/>
    </xf>
    <xf numFmtId="167" fontId="8" fillId="7" borderId="10" xfId="2" applyNumberFormat="1" applyFont="1" applyFill="1" applyBorder="1" applyAlignment="1">
      <alignment vertical="center" wrapText="1"/>
    </xf>
    <xf numFmtId="0" fontId="11" fillId="7" borderId="0" xfId="0" applyFont="1" applyFill="1"/>
    <xf numFmtId="0" fontId="10" fillId="10" borderId="24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vertical="center" wrapText="1"/>
    </xf>
    <xf numFmtId="167" fontId="10" fillId="10" borderId="11" xfId="2" applyNumberFormat="1" applyFont="1" applyFill="1" applyBorder="1" applyAlignment="1">
      <alignment vertical="center" wrapText="1"/>
    </xf>
    <xf numFmtId="0" fontId="10" fillId="10" borderId="21" xfId="0" applyFont="1" applyFill="1" applyBorder="1" applyAlignment="1">
      <alignment vertical="center" wrapText="1"/>
    </xf>
    <xf numFmtId="0" fontId="10" fillId="10" borderId="11" xfId="0" applyFont="1" applyFill="1" applyBorder="1" applyAlignment="1">
      <alignment vertical="center" wrapText="1"/>
    </xf>
    <xf numFmtId="9" fontId="10" fillId="10" borderId="11" xfId="3" applyFont="1" applyFill="1" applyBorder="1" applyAlignment="1">
      <alignment vertical="center" wrapText="1"/>
    </xf>
    <xf numFmtId="167" fontId="10" fillId="10" borderId="10" xfId="2" applyNumberFormat="1" applyFont="1" applyFill="1" applyBorder="1" applyAlignment="1">
      <alignment vertical="center" wrapText="1"/>
    </xf>
    <xf numFmtId="167" fontId="10" fillId="10" borderId="12" xfId="2" applyNumberFormat="1" applyFont="1" applyFill="1" applyBorder="1" applyAlignment="1">
      <alignment vertical="center" wrapText="1"/>
    </xf>
    <xf numFmtId="0" fontId="11" fillId="0" borderId="0" xfId="0" applyFont="1"/>
    <xf numFmtId="0" fontId="10" fillId="4" borderId="24" xfId="0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horizontal="center" vertical="center" wrapText="1"/>
    </xf>
    <xf numFmtId="167" fontId="10" fillId="4" borderId="11" xfId="2" applyNumberFormat="1" applyFont="1" applyFill="1" applyBorder="1" applyAlignment="1">
      <alignment vertical="center" wrapText="1"/>
    </xf>
    <xf numFmtId="167" fontId="10" fillId="4" borderId="11" xfId="2" applyNumberFormat="1" applyFont="1" applyFill="1" applyBorder="1" applyAlignment="1">
      <alignment horizontal="center" vertical="center" wrapText="1"/>
    </xf>
    <xf numFmtId="167" fontId="10" fillId="4" borderId="12" xfId="2" applyNumberFormat="1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vertical="center" wrapText="1"/>
    </xf>
    <xf numFmtId="9" fontId="10" fillId="4" borderId="11" xfId="3" applyFont="1" applyFill="1" applyBorder="1" applyAlignment="1">
      <alignment vertical="center" wrapText="1"/>
    </xf>
    <xf numFmtId="167" fontId="10" fillId="4" borderId="10" xfId="2" applyNumberFormat="1" applyFont="1" applyFill="1" applyBorder="1" applyAlignment="1">
      <alignment horizontal="center" vertical="center" wrapText="1"/>
    </xf>
    <xf numFmtId="167" fontId="8" fillId="4" borderId="12" xfId="2" applyNumberFormat="1" applyFont="1" applyFill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9" fontId="8" fillId="0" borderId="11" xfId="3" applyFont="1" applyBorder="1" applyAlignment="1">
      <alignment horizontal="center" vertical="center" wrapText="1"/>
    </xf>
    <xf numFmtId="167" fontId="8" fillId="0" borderId="11" xfId="2" applyNumberFormat="1" applyFont="1" applyBorder="1" applyAlignment="1">
      <alignment vertical="center" wrapText="1"/>
    </xf>
    <xf numFmtId="167" fontId="8" fillId="0" borderId="12" xfId="2" applyNumberFormat="1" applyFont="1" applyBorder="1" applyAlignment="1">
      <alignment vertical="center" wrapText="1"/>
    </xf>
    <xf numFmtId="167" fontId="8" fillId="0" borderId="10" xfId="2" applyNumberFormat="1" applyFont="1" applyBorder="1" applyAlignment="1">
      <alignment vertical="center" wrapText="1"/>
    </xf>
    <xf numFmtId="9" fontId="8" fillId="7" borderId="11" xfId="3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167" fontId="8" fillId="10" borderId="11" xfId="2" applyNumberFormat="1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9" fontId="8" fillId="10" borderId="11" xfId="3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9" fontId="10" fillId="4" borderId="11" xfId="3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9" fontId="8" fillId="7" borderId="11" xfId="0" applyNumberFormat="1" applyFont="1" applyFill="1" applyBorder="1" applyAlignment="1">
      <alignment horizontal="center" vertical="center" wrapText="1"/>
    </xf>
    <xf numFmtId="9" fontId="8" fillId="0" borderId="11" xfId="0" applyNumberFormat="1" applyFont="1" applyBorder="1" applyAlignment="1">
      <alignment horizontal="center" vertical="center" wrapText="1"/>
    </xf>
    <xf numFmtId="0" fontId="6" fillId="10" borderId="24" xfId="0" applyFont="1" applyFill="1" applyBorder="1" applyAlignment="1">
      <alignment vertical="center" wrapText="1"/>
    </xf>
    <xf numFmtId="3" fontId="6" fillId="10" borderId="10" xfId="0" applyNumberFormat="1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169" fontId="6" fillId="10" borderId="11" xfId="1" applyNumberFormat="1" applyFont="1" applyFill="1" applyBorder="1" applyAlignment="1">
      <alignment vertical="center" wrapText="1"/>
    </xf>
    <xf numFmtId="9" fontId="6" fillId="10" borderId="11" xfId="0" applyNumberFormat="1" applyFont="1" applyFill="1" applyBorder="1" applyAlignment="1">
      <alignment horizontal="center" vertical="center" wrapText="1"/>
    </xf>
    <xf numFmtId="167" fontId="6" fillId="10" borderId="11" xfId="2" applyNumberFormat="1" applyFont="1" applyFill="1" applyBorder="1" applyAlignment="1">
      <alignment vertical="center" wrapText="1"/>
    </xf>
    <xf numFmtId="167" fontId="6" fillId="10" borderId="12" xfId="2" applyNumberFormat="1" applyFont="1" applyFill="1" applyBorder="1" applyAlignment="1">
      <alignment vertical="center" wrapText="1"/>
    </xf>
    <xf numFmtId="166" fontId="6" fillId="10" borderId="10" xfId="2" applyNumberFormat="1" applyFont="1" applyFill="1" applyBorder="1" applyAlignment="1">
      <alignment vertical="center" wrapText="1"/>
    </xf>
    <xf numFmtId="166" fontId="6" fillId="10" borderId="21" xfId="2" applyNumberFormat="1" applyFont="1" applyFill="1" applyBorder="1" applyAlignment="1">
      <alignment vertical="center" wrapText="1"/>
    </xf>
    <xf numFmtId="166" fontId="6" fillId="10" borderId="11" xfId="2" applyNumberFormat="1" applyFont="1" applyFill="1" applyBorder="1" applyAlignment="1">
      <alignment vertical="center" wrapText="1"/>
    </xf>
    <xf numFmtId="9" fontId="6" fillId="10" borderId="11" xfId="3" applyFont="1" applyFill="1" applyBorder="1" applyAlignment="1">
      <alignment vertical="center" wrapText="1"/>
    </xf>
    <xf numFmtId="167" fontId="6" fillId="10" borderId="10" xfId="2" applyNumberFormat="1" applyFont="1" applyFill="1" applyBorder="1" applyAlignment="1">
      <alignment vertical="center" wrapText="1"/>
    </xf>
    <xf numFmtId="0" fontId="6" fillId="4" borderId="24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69" fontId="6" fillId="4" borderId="11" xfId="1" applyNumberFormat="1" applyFont="1" applyFill="1" applyBorder="1" applyAlignment="1">
      <alignment vertical="center" wrapText="1"/>
    </xf>
    <xf numFmtId="9" fontId="6" fillId="4" borderId="11" xfId="0" applyNumberFormat="1" applyFont="1" applyFill="1" applyBorder="1" applyAlignment="1">
      <alignment horizontal="center" vertical="center" wrapText="1"/>
    </xf>
    <xf numFmtId="167" fontId="6" fillId="4" borderId="11" xfId="2" applyNumberFormat="1" applyFont="1" applyFill="1" applyBorder="1" applyAlignment="1">
      <alignment vertical="center" wrapText="1"/>
    </xf>
    <xf numFmtId="167" fontId="5" fillId="4" borderId="11" xfId="2" applyNumberFormat="1" applyFont="1" applyFill="1" applyBorder="1" applyAlignment="1">
      <alignment horizontal="center" vertical="center" wrapText="1"/>
    </xf>
    <xf numFmtId="167" fontId="5" fillId="4" borderId="12" xfId="2" applyNumberFormat="1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9" fontId="6" fillId="4" borderId="11" xfId="3" applyFont="1" applyFill="1" applyBorder="1" applyAlignment="1">
      <alignment horizontal="center" vertical="center" wrapText="1"/>
    </xf>
    <xf numFmtId="167" fontId="5" fillId="4" borderId="10" xfId="2" applyNumberFormat="1" applyFont="1" applyFill="1" applyBorder="1" applyAlignment="1">
      <alignment horizontal="center" vertical="center" wrapText="1"/>
    </xf>
    <xf numFmtId="167" fontId="5" fillId="4" borderId="12" xfId="2" applyNumberFormat="1" applyFont="1" applyFill="1" applyBorder="1" applyAlignment="1">
      <alignment vertical="center" wrapText="1"/>
    </xf>
    <xf numFmtId="167" fontId="8" fillId="10" borderId="11" xfId="2" applyNumberFormat="1" applyFont="1" applyFill="1" applyBorder="1" applyAlignment="1">
      <alignment vertical="center" wrapText="1"/>
    </xf>
    <xf numFmtId="166" fontId="10" fillId="10" borderId="10" xfId="2" applyNumberFormat="1" applyFont="1" applyFill="1" applyBorder="1" applyAlignment="1">
      <alignment vertical="center" wrapText="1"/>
    </xf>
    <xf numFmtId="166" fontId="10" fillId="10" borderId="21" xfId="2" applyNumberFormat="1" applyFont="1" applyFill="1" applyBorder="1" applyAlignment="1">
      <alignment vertical="center" wrapText="1"/>
    </xf>
    <xf numFmtId="166" fontId="10" fillId="10" borderId="11" xfId="2" applyNumberFormat="1" applyFont="1" applyFill="1" applyBorder="1" applyAlignment="1">
      <alignment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9" fontId="10" fillId="4" borderId="27" xfId="3" applyFont="1" applyFill="1" applyBorder="1" applyAlignment="1">
      <alignment horizontal="center" vertical="center" wrapText="1"/>
    </xf>
    <xf numFmtId="167" fontId="10" fillId="4" borderId="27" xfId="2" applyNumberFormat="1" applyFont="1" applyFill="1" applyBorder="1" applyAlignment="1">
      <alignment vertical="center" wrapText="1"/>
    </xf>
    <xf numFmtId="167" fontId="8" fillId="4" borderId="27" xfId="2" applyNumberFormat="1" applyFont="1" applyFill="1" applyBorder="1" applyAlignment="1">
      <alignment horizontal="center" vertical="center" wrapText="1"/>
    </xf>
    <xf numFmtId="167" fontId="8" fillId="4" borderId="28" xfId="2" applyNumberFormat="1" applyFont="1" applyFill="1" applyBorder="1" applyAlignment="1">
      <alignment horizontal="center" vertical="center" wrapText="1"/>
    </xf>
    <xf numFmtId="167" fontId="8" fillId="4" borderId="25" xfId="2" applyNumberFormat="1" applyFont="1" applyFill="1" applyBorder="1" applyAlignment="1">
      <alignment horizontal="center" vertical="center" wrapText="1"/>
    </xf>
    <xf numFmtId="167" fontId="8" fillId="4" borderId="28" xfId="2" applyNumberFormat="1" applyFont="1" applyFill="1" applyBorder="1" applyAlignment="1">
      <alignment vertical="center" wrapText="1"/>
    </xf>
    <xf numFmtId="0" fontId="10" fillId="0" borderId="24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9" fontId="8" fillId="0" borderId="11" xfId="3" applyFont="1" applyFill="1" applyBorder="1" applyAlignment="1">
      <alignment vertical="center" wrapText="1"/>
    </xf>
    <xf numFmtId="167" fontId="10" fillId="0" borderId="11" xfId="2" applyNumberFormat="1" applyFont="1" applyFill="1" applyBorder="1" applyAlignment="1">
      <alignment horizontal="center" vertical="center" wrapText="1"/>
    </xf>
    <xf numFmtId="167" fontId="10" fillId="0" borderId="12" xfId="2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2" fillId="0" borderId="0" xfId="0" applyFont="1"/>
    <xf numFmtId="44" fontId="9" fillId="0" borderId="0" xfId="0" applyNumberFormat="1" applyFont="1"/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167" fontId="8" fillId="4" borderId="11" xfId="2" applyNumberFormat="1" applyFont="1" applyFill="1" applyBorder="1" applyAlignment="1">
      <alignment vertical="center" wrapText="1"/>
    </xf>
    <xf numFmtId="167" fontId="8" fillId="4" borderId="11" xfId="2" applyNumberFormat="1" applyFont="1" applyFill="1" applyBorder="1" applyAlignment="1">
      <alignment horizontal="center" vertical="center" wrapText="1"/>
    </xf>
    <xf numFmtId="167" fontId="8" fillId="4" borderId="12" xfId="2" applyNumberFormat="1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9" fontId="8" fillId="4" borderId="11" xfId="3" applyFont="1" applyFill="1" applyBorder="1" applyAlignment="1">
      <alignment horizontal="center" vertical="center" wrapText="1"/>
    </xf>
    <xf numFmtId="167" fontId="8" fillId="4" borderId="10" xfId="2" applyNumberFormat="1" applyFont="1" applyFill="1" applyBorder="1" applyAlignment="1">
      <alignment horizontal="center" vertical="center" wrapText="1"/>
    </xf>
    <xf numFmtId="0" fontId="13" fillId="10" borderId="24" xfId="0" applyFont="1" applyFill="1" applyBorder="1" applyAlignment="1">
      <alignment vertical="center" wrapText="1"/>
    </xf>
    <xf numFmtId="167" fontId="8" fillId="10" borderId="12" xfId="2" applyNumberFormat="1" applyFont="1" applyFill="1" applyBorder="1" applyAlignment="1">
      <alignment horizontal="center" vertical="center" wrapText="1"/>
    </xf>
    <xf numFmtId="167" fontId="8" fillId="10" borderId="10" xfId="2" applyNumberFormat="1" applyFont="1" applyFill="1" applyBorder="1" applyAlignment="1">
      <alignment horizontal="center" vertical="center" wrapText="1"/>
    </xf>
    <xf numFmtId="167" fontId="9" fillId="0" borderId="0" xfId="0" applyNumberFormat="1" applyFont="1"/>
    <xf numFmtId="167" fontId="11" fillId="0" borderId="0" xfId="0" applyNumberFormat="1" applyFont="1"/>
    <xf numFmtId="0" fontId="6" fillId="10" borderId="10" xfId="0" applyFont="1" applyFill="1" applyBorder="1" applyAlignment="1">
      <alignment horizontal="center" vertical="center" wrapText="1"/>
    </xf>
    <xf numFmtId="3" fontId="6" fillId="10" borderId="11" xfId="0" applyNumberFormat="1" applyFont="1" applyFill="1" applyBorder="1" applyAlignment="1">
      <alignment horizontal="center" vertical="center" wrapText="1"/>
    </xf>
    <xf numFmtId="167" fontId="6" fillId="4" borderId="12" xfId="2" applyNumberFormat="1" applyFont="1" applyFill="1" applyBorder="1" applyAlignment="1">
      <alignment vertical="center" wrapText="1"/>
    </xf>
    <xf numFmtId="0" fontId="6" fillId="4" borderId="21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9" fontId="6" fillId="4" borderId="11" xfId="3" applyFont="1" applyFill="1" applyBorder="1" applyAlignment="1">
      <alignment vertical="center" wrapText="1"/>
    </xf>
    <xf numFmtId="167" fontId="6" fillId="4" borderId="10" xfId="2" applyNumberFormat="1" applyFont="1" applyFill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9" borderId="10" xfId="0" applyFont="1" applyFill="1" applyBorder="1" applyAlignment="1">
      <alignment vertical="center" wrapText="1"/>
    </xf>
    <xf numFmtId="10" fontId="6" fillId="9" borderId="11" xfId="3" applyNumberFormat="1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9" fontId="6" fillId="9" borderId="11" xfId="0" applyNumberFormat="1" applyFont="1" applyFill="1" applyBorder="1" applyAlignment="1">
      <alignment horizontal="center" vertical="center" wrapText="1"/>
    </xf>
    <xf numFmtId="167" fontId="6" fillId="9" borderId="11" xfId="2" applyNumberFormat="1" applyFont="1" applyFill="1" applyBorder="1" applyAlignment="1">
      <alignment vertical="center" wrapText="1"/>
    </xf>
    <xf numFmtId="167" fontId="6" fillId="9" borderId="12" xfId="2" applyNumberFormat="1" applyFont="1" applyFill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0" fontId="6" fillId="0" borderId="11" xfId="3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9" fontId="6" fillId="0" borderId="11" xfId="3" applyFont="1" applyBorder="1" applyAlignment="1">
      <alignment vertical="center" wrapText="1"/>
    </xf>
    <xf numFmtId="167" fontId="6" fillId="0" borderId="11" xfId="2" applyNumberFormat="1" applyFont="1" applyFill="1" applyBorder="1" applyAlignment="1">
      <alignment vertical="center" wrapText="1"/>
    </xf>
    <xf numFmtId="167" fontId="6" fillId="0" borderId="12" xfId="2" applyNumberFormat="1" applyFont="1" applyFill="1" applyBorder="1" applyAlignment="1">
      <alignment vertical="center" wrapText="1"/>
    </xf>
    <xf numFmtId="167" fontId="6" fillId="0" borderId="12" xfId="2" applyNumberFormat="1" applyFont="1" applyBorder="1" applyAlignment="1">
      <alignment vertical="center" wrapText="1"/>
    </xf>
    <xf numFmtId="167" fontId="6" fillId="0" borderId="11" xfId="2" applyNumberFormat="1" applyFont="1" applyBorder="1" applyAlignment="1">
      <alignment vertical="center" wrapText="1"/>
    </xf>
    <xf numFmtId="167" fontId="6" fillId="0" borderId="10" xfId="2" applyNumberFormat="1" applyFont="1" applyFill="1" applyBorder="1" applyAlignment="1">
      <alignment vertical="center" wrapText="1"/>
    </xf>
    <xf numFmtId="0" fontId="6" fillId="4" borderId="29" xfId="0" applyFont="1" applyFill="1" applyBorder="1" applyAlignment="1">
      <alignment vertical="center" wrapText="1"/>
    </xf>
    <xf numFmtId="0" fontId="6" fillId="4" borderId="30" xfId="0" applyFont="1" applyFill="1" applyBorder="1" applyAlignment="1">
      <alignment vertical="center" wrapText="1"/>
    </xf>
    <xf numFmtId="10" fontId="6" fillId="4" borderId="31" xfId="3" applyNumberFormat="1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9" fontId="6" fillId="4" borderId="31" xfId="0" applyNumberFormat="1" applyFont="1" applyFill="1" applyBorder="1" applyAlignment="1">
      <alignment horizontal="center" vertical="center" wrapText="1"/>
    </xf>
    <xf numFmtId="167" fontId="6" fillId="4" borderId="31" xfId="2" applyNumberFormat="1" applyFont="1" applyFill="1" applyBorder="1" applyAlignment="1">
      <alignment vertical="center" wrapText="1"/>
    </xf>
    <xf numFmtId="167" fontId="6" fillId="4" borderId="32" xfId="2" applyNumberFormat="1" applyFont="1" applyFill="1" applyBorder="1" applyAlignment="1">
      <alignment vertical="center" wrapText="1"/>
    </xf>
    <xf numFmtId="0" fontId="6" fillId="4" borderId="33" xfId="0" applyFont="1" applyFill="1" applyBorder="1" applyAlignment="1">
      <alignment vertical="center" wrapText="1"/>
    </xf>
    <xf numFmtId="0" fontId="6" fillId="4" borderId="31" xfId="0" applyFont="1" applyFill="1" applyBorder="1" applyAlignment="1">
      <alignment vertical="center" wrapText="1"/>
    </xf>
    <xf numFmtId="9" fontId="6" fillId="4" borderId="31" xfId="3" applyFont="1" applyFill="1" applyBorder="1" applyAlignment="1">
      <alignment vertical="center" wrapText="1"/>
    </xf>
    <xf numFmtId="0" fontId="6" fillId="4" borderId="3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5" xfId="0" applyFont="1" applyFill="1" applyBorder="1" applyAlignment="1">
      <alignment horizontal="center" vertical="center" wrapText="1"/>
    </xf>
    <xf numFmtId="9" fontId="6" fillId="4" borderId="15" xfId="0" applyNumberFormat="1" applyFont="1" applyFill="1" applyBorder="1" applyAlignment="1">
      <alignment horizontal="center" vertical="center" wrapText="1"/>
    </xf>
    <xf numFmtId="167" fontId="6" fillId="4" borderId="15" xfId="2" applyNumberFormat="1" applyFont="1" applyFill="1" applyBorder="1" applyAlignment="1">
      <alignment vertical="center" wrapText="1"/>
    </xf>
    <xf numFmtId="167" fontId="6" fillId="4" borderId="16" xfId="2" applyNumberFormat="1" applyFont="1" applyFill="1" applyBorder="1" applyAlignment="1">
      <alignment vertical="center" wrapText="1"/>
    </xf>
    <xf numFmtId="167" fontId="6" fillId="4" borderId="14" xfId="2" applyNumberFormat="1" applyFont="1" applyFill="1" applyBorder="1" applyAlignment="1">
      <alignment vertical="center" wrapText="1"/>
    </xf>
    <xf numFmtId="167" fontId="6" fillId="4" borderId="35" xfId="2" applyNumberFormat="1" applyFont="1" applyFill="1" applyBorder="1" applyAlignment="1">
      <alignment vertical="center" wrapText="1"/>
    </xf>
    <xf numFmtId="9" fontId="6" fillId="4" borderId="15" xfId="3" applyFont="1" applyFill="1" applyBorder="1" applyAlignment="1">
      <alignment vertical="center" wrapText="1"/>
    </xf>
    <xf numFmtId="3" fontId="10" fillId="0" borderId="0" xfId="0" applyNumberFormat="1" applyFont="1"/>
    <xf numFmtId="9" fontId="0" fillId="0" borderId="0" xfId="3" applyFont="1"/>
    <xf numFmtId="167" fontId="0" fillId="0" borderId="0" xfId="0" applyNumberFormat="1"/>
    <xf numFmtId="3" fontId="8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44" fontId="0" fillId="0" borderId="0" xfId="0" applyNumberFormat="1"/>
    <xf numFmtId="167" fontId="8" fillId="12" borderId="11" xfId="2" applyNumberFormat="1" applyFont="1" applyFill="1" applyBorder="1" applyAlignment="1">
      <alignment vertical="center" wrapText="1"/>
    </xf>
    <xf numFmtId="167" fontId="8" fillId="12" borderId="12" xfId="2" applyNumberFormat="1" applyFont="1" applyFill="1" applyBorder="1" applyAlignment="1">
      <alignment vertical="center" wrapText="1"/>
    </xf>
    <xf numFmtId="9" fontId="5" fillId="12" borderId="11" xfId="3" applyFont="1" applyFill="1" applyBorder="1" applyAlignment="1">
      <alignment horizontal="center" vertical="center" wrapText="1"/>
    </xf>
    <xf numFmtId="166" fontId="5" fillId="0" borderId="11" xfId="2" applyNumberFormat="1" applyFont="1" applyBorder="1"/>
    <xf numFmtId="0" fontId="5" fillId="10" borderId="10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9" fontId="14" fillId="10" borderId="11" xfId="0" applyNumberFormat="1" applyFont="1" applyFill="1" applyBorder="1" applyAlignment="1">
      <alignment horizontal="center" vertical="center" wrapText="1"/>
    </xf>
    <xf numFmtId="167" fontId="14" fillId="10" borderId="11" xfId="2" applyNumberFormat="1" applyFont="1" applyFill="1" applyBorder="1" applyAlignment="1">
      <alignment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3" fontId="14" fillId="9" borderId="11" xfId="0" applyNumberFormat="1" applyFont="1" applyFill="1" applyBorder="1" applyAlignment="1">
      <alignment horizontal="center" vertical="center" wrapText="1"/>
    </xf>
    <xf numFmtId="9" fontId="14" fillId="9" borderId="11" xfId="0" applyNumberFormat="1" applyFont="1" applyFill="1" applyBorder="1" applyAlignment="1">
      <alignment horizontal="center" vertical="center" wrapText="1"/>
    </xf>
    <xf numFmtId="167" fontId="14" fillId="9" borderId="11" xfId="2" applyNumberFormat="1" applyFont="1" applyFill="1" applyBorder="1" applyAlignment="1">
      <alignment vertical="center" wrapText="1"/>
    </xf>
    <xf numFmtId="167" fontId="15" fillId="9" borderId="11" xfId="2" applyNumberFormat="1" applyFont="1" applyFill="1" applyBorder="1" applyAlignment="1">
      <alignment horizontal="center" vertical="center" wrapText="1"/>
    </xf>
    <xf numFmtId="167" fontId="15" fillId="9" borderId="12" xfId="2" applyNumberFormat="1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vertical="center" wrapText="1"/>
    </xf>
    <xf numFmtId="167" fontId="14" fillId="9" borderId="12" xfId="2" applyNumberFormat="1" applyFont="1" applyFill="1" applyBorder="1" applyAlignment="1">
      <alignment vertical="center" wrapText="1"/>
    </xf>
    <xf numFmtId="167" fontId="14" fillId="9" borderId="11" xfId="2" applyNumberFormat="1" applyFont="1" applyFill="1" applyBorder="1" applyAlignment="1">
      <alignment horizontal="center" vertical="center" wrapText="1"/>
    </xf>
    <xf numFmtId="9" fontId="14" fillId="9" borderId="11" xfId="3" applyFont="1" applyFill="1" applyBorder="1" applyAlignment="1">
      <alignment horizontal="center" vertical="center" wrapText="1"/>
    </xf>
    <xf numFmtId="167" fontId="14" fillId="9" borderId="22" xfId="2" applyNumberFormat="1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11" xfId="0" applyFont="1" applyFill="1" applyBorder="1" applyAlignment="1">
      <alignment horizontal="center" vertical="center" wrapText="1"/>
    </xf>
    <xf numFmtId="169" fontId="15" fillId="10" borderId="11" xfId="1" applyNumberFormat="1" applyFont="1" applyFill="1" applyBorder="1" applyAlignment="1">
      <alignment horizontal="center" vertical="center" wrapText="1"/>
    </xf>
    <xf numFmtId="9" fontId="15" fillId="10" borderId="11" xfId="0" applyNumberFormat="1" applyFont="1" applyFill="1" applyBorder="1" applyAlignment="1">
      <alignment horizontal="center" vertical="center" wrapText="1"/>
    </xf>
    <xf numFmtId="167" fontId="15" fillId="10" borderId="11" xfId="2" applyNumberFormat="1" applyFont="1" applyFill="1" applyBorder="1" applyAlignment="1">
      <alignment vertical="center" wrapText="1"/>
    </xf>
    <xf numFmtId="0" fontId="15" fillId="4" borderId="10" xfId="0" applyFont="1" applyFill="1" applyBorder="1" applyAlignment="1">
      <alignment vertical="center" wrapText="1"/>
    </xf>
    <xf numFmtId="0" fontId="15" fillId="4" borderId="11" xfId="0" applyFont="1" applyFill="1" applyBorder="1" applyAlignment="1">
      <alignment horizontal="center" vertical="center" wrapText="1"/>
    </xf>
    <xf numFmtId="169" fontId="15" fillId="4" borderId="11" xfId="1" applyNumberFormat="1" applyFont="1" applyFill="1" applyBorder="1" applyAlignment="1">
      <alignment horizontal="center" vertical="center" wrapText="1"/>
    </xf>
    <xf numFmtId="9" fontId="15" fillId="4" borderId="11" xfId="0" applyNumberFormat="1" applyFont="1" applyFill="1" applyBorder="1" applyAlignment="1">
      <alignment horizontal="center" vertical="center" wrapText="1"/>
    </xf>
    <xf numFmtId="167" fontId="15" fillId="4" borderId="11" xfId="2" applyNumberFormat="1" applyFont="1" applyFill="1" applyBorder="1" applyAlignment="1">
      <alignment vertical="center" wrapText="1"/>
    </xf>
    <xf numFmtId="167" fontId="15" fillId="4" borderId="11" xfId="2" applyNumberFormat="1" applyFont="1" applyFill="1" applyBorder="1" applyAlignment="1">
      <alignment horizontal="center" vertical="center" wrapText="1"/>
    </xf>
    <xf numFmtId="167" fontId="15" fillId="4" borderId="12" xfId="2" applyNumberFormat="1" applyFont="1" applyFill="1" applyBorder="1" applyAlignment="1">
      <alignment horizontal="center" vertical="center" wrapText="1"/>
    </xf>
    <xf numFmtId="170" fontId="14" fillId="9" borderId="10" xfId="0" applyNumberFormat="1" applyFont="1" applyFill="1" applyBorder="1" applyAlignment="1">
      <alignment horizontal="center" vertical="center" wrapText="1"/>
    </xf>
    <xf numFmtId="171" fontId="14" fillId="9" borderId="11" xfId="0" applyNumberFormat="1" applyFont="1" applyFill="1" applyBorder="1" applyAlignment="1">
      <alignment horizontal="center" vertical="center" wrapText="1"/>
    </xf>
    <xf numFmtId="2" fontId="14" fillId="9" borderId="10" xfId="0" applyNumberFormat="1" applyFont="1" applyFill="1" applyBorder="1" applyAlignment="1">
      <alignment horizontal="center" vertical="center" wrapText="1"/>
    </xf>
    <xf numFmtId="10" fontId="14" fillId="9" borderId="11" xfId="0" applyNumberFormat="1" applyFont="1" applyFill="1" applyBorder="1" applyAlignment="1">
      <alignment horizontal="center" vertical="center" wrapText="1"/>
    </xf>
    <xf numFmtId="171" fontId="14" fillId="10" borderId="10" xfId="0" applyNumberFormat="1" applyFont="1" applyFill="1" applyBorder="1" applyAlignment="1">
      <alignment horizontal="center" vertical="center" wrapText="1"/>
    </xf>
    <xf numFmtId="10" fontId="14" fillId="10" borderId="11" xfId="3" applyNumberFormat="1" applyFont="1" applyFill="1" applyBorder="1" applyAlignment="1">
      <alignment horizontal="center" vertical="center" wrapText="1"/>
    </xf>
    <xf numFmtId="169" fontId="14" fillId="10" borderId="11" xfId="1" applyNumberFormat="1" applyFont="1" applyFill="1" applyBorder="1" applyAlignment="1">
      <alignment horizontal="center" vertical="center" wrapText="1"/>
    </xf>
    <xf numFmtId="167" fontId="14" fillId="10" borderId="11" xfId="2" applyNumberFormat="1" applyFont="1" applyFill="1" applyBorder="1" applyAlignment="1">
      <alignment horizontal="center" vertical="center" wrapText="1"/>
    </xf>
    <xf numFmtId="167" fontId="15" fillId="10" borderId="12" xfId="2" applyNumberFormat="1" applyFont="1" applyFill="1" applyBorder="1" applyAlignment="1">
      <alignment vertical="center" wrapText="1"/>
    </xf>
    <xf numFmtId="171" fontId="15" fillId="4" borderId="10" xfId="0" applyNumberFormat="1" applyFont="1" applyFill="1" applyBorder="1" applyAlignment="1">
      <alignment horizontal="center" vertical="center" wrapText="1"/>
    </xf>
    <xf numFmtId="169" fontId="14" fillId="9" borderId="11" xfId="1" applyNumberFormat="1" applyFont="1" applyFill="1" applyBorder="1" applyAlignment="1">
      <alignment horizontal="center" vertical="center"/>
    </xf>
    <xf numFmtId="3" fontId="15" fillId="10" borderId="10" xfId="0" applyNumberFormat="1" applyFont="1" applyFill="1" applyBorder="1" applyAlignment="1">
      <alignment horizontal="center" vertical="center" wrapText="1"/>
    </xf>
    <xf numFmtId="169" fontId="15" fillId="10" borderId="11" xfId="1" applyNumberFormat="1" applyFont="1" applyFill="1" applyBorder="1" applyAlignment="1">
      <alignment vertical="center" wrapText="1"/>
    </xf>
    <xf numFmtId="0" fontId="15" fillId="4" borderId="10" xfId="0" applyFont="1" applyFill="1" applyBorder="1" applyAlignment="1">
      <alignment horizontal="center" vertical="center" wrapText="1"/>
    </xf>
    <xf numFmtId="169" fontId="15" fillId="4" borderId="11" xfId="1" applyNumberFormat="1" applyFont="1" applyFill="1" applyBorder="1" applyAlignment="1">
      <alignment vertical="center" wrapText="1"/>
    </xf>
    <xf numFmtId="167" fontId="14" fillId="4" borderId="11" xfId="2" applyNumberFormat="1" applyFont="1" applyFill="1" applyBorder="1" applyAlignment="1">
      <alignment horizontal="center" vertical="center" wrapText="1"/>
    </xf>
    <xf numFmtId="167" fontId="14" fillId="4" borderId="12" xfId="2" applyNumberFormat="1" applyFont="1" applyFill="1" applyBorder="1" applyAlignment="1">
      <alignment horizontal="center" vertical="center" wrapText="1"/>
    </xf>
    <xf numFmtId="169" fontId="14" fillId="9" borderId="11" xfId="1" applyNumberFormat="1" applyFont="1" applyFill="1" applyBorder="1" applyAlignment="1">
      <alignment horizontal="center" vertical="center" wrapText="1"/>
    </xf>
    <xf numFmtId="0" fontId="14" fillId="9" borderId="11" xfId="4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3" fontId="15" fillId="10" borderId="11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14" fillId="4" borderId="11" xfId="0" applyNumberFormat="1" applyFont="1" applyFill="1" applyBorder="1" applyAlignment="1">
      <alignment horizontal="center" vertical="center" wrapText="1"/>
    </xf>
    <xf numFmtId="167" fontId="14" fillId="4" borderId="11" xfId="2" applyNumberFormat="1" applyFont="1" applyFill="1" applyBorder="1" applyAlignment="1">
      <alignment vertical="center" wrapText="1"/>
    </xf>
    <xf numFmtId="167" fontId="14" fillId="10" borderId="12" xfId="2" applyNumberFormat="1" applyFont="1" applyFill="1" applyBorder="1" applyAlignment="1">
      <alignment horizontal="center" vertical="center" wrapText="1"/>
    </xf>
    <xf numFmtId="167" fontId="14" fillId="9" borderId="12" xfId="2" applyNumberFormat="1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/>
    </xf>
    <xf numFmtId="167" fontId="5" fillId="9" borderId="12" xfId="2" applyNumberFormat="1" applyFont="1" applyFill="1" applyBorder="1" applyAlignment="1">
      <alignment vertical="center" wrapText="1"/>
    </xf>
    <xf numFmtId="0" fontId="5" fillId="9" borderId="11" xfId="4" applyFont="1" applyFill="1" applyBorder="1" applyAlignment="1">
      <alignment horizontal="center" vertical="center" wrapText="1"/>
    </xf>
    <xf numFmtId="167" fontId="5" fillId="10" borderId="11" xfId="2" applyNumberFormat="1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167" fontId="5" fillId="10" borderId="11" xfId="2" applyNumberFormat="1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9" fontId="14" fillId="7" borderId="11" xfId="3" applyFont="1" applyFill="1" applyBorder="1" applyAlignment="1">
      <alignment horizontal="center" vertical="center" wrapText="1"/>
    </xf>
    <xf numFmtId="167" fontId="14" fillId="7" borderId="11" xfId="2" applyNumberFormat="1" applyFont="1" applyFill="1" applyBorder="1" applyAlignment="1">
      <alignment vertical="center" wrapText="1"/>
    </xf>
    <xf numFmtId="167" fontId="14" fillId="7" borderId="12" xfId="2" applyNumberFormat="1" applyFont="1" applyFill="1" applyBorder="1" applyAlignment="1">
      <alignment vertical="center" wrapText="1"/>
    </xf>
    <xf numFmtId="169" fontId="5" fillId="9" borderId="11" xfId="1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9" fontId="14" fillId="7" borderId="11" xfId="0" applyNumberFormat="1" applyFont="1" applyFill="1" applyBorder="1" applyAlignment="1">
      <alignment horizontal="center" vertical="center" wrapText="1"/>
    </xf>
    <xf numFmtId="167" fontId="14" fillId="7" borderId="11" xfId="2" applyNumberFormat="1" applyFont="1" applyFill="1" applyBorder="1" applyAlignment="1">
      <alignment horizontal="center" vertical="center" wrapText="1"/>
    </xf>
    <xf numFmtId="167" fontId="14" fillId="7" borderId="12" xfId="2" applyNumberFormat="1" applyFont="1" applyFill="1" applyBorder="1" applyAlignment="1">
      <alignment horizontal="center" vertical="center" wrapText="1"/>
    </xf>
    <xf numFmtId="0" fontId="9" fillId="7" borderId="0" xfId="0" applyFont="1" applyFill="1"/>
    <xf numFmtId="0" fontId="5" fillId="7" borderId="10" xfId="0" applyFont="1" applyFill="1" applyBorder="1" applyAlignment="1">
      <alignment vertical="center" wrapText="1"/>
    </xf>
    <xf numFmtId="0" fontId="8" fillId="7" borderId="24" xfId="0" applyFont="1" applyFill="1" applyBorder="1" applyAlignment="1">
      <alignment vertical="center" wrapText="1"/>
    </xf>
    <xf numFmtId="167" fontId="5" fillId="9" borderId="11" xfId="2" applyNumberFormat="1" applyFont="1" applyFill="1" applyBorder="1" applyAlignment="1">
      <alignment horizontal="center" vertical="center" wrapText="1"/>
    </xf>
    <xf numFmtId="167" fontId="5" fillId="9" borderId="12" xfId="2" applyNumberFormat="1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center" vertical="center" wrapText="1"/>
    </xf>
    <xf numFmtId="167" fontId="8" fillId="7" borderId="22" xfId="2" applyNumberFormat="1" applyFont="1" applyFill="1" applyBorder="1" applyAlignment="1">
      <alignment vertical="center" wrapText="1"/>
    </xf>
    <xf numFmtId="0" fontId="0" fillId="7" borderId="0" xfId="0" applyFill="1"/>
    <xf numFmtId="9" fontId="5" fillId="9" borderId="11" xfId="3" applyFont="1" applyFill="1" applyBorder="1" applyAlignment="1">
      <alignment horizontal="center" vertical="center" wrapText="1"/>
    </xf>
    <xf numFmtId="167" fontId="5" fillId="9" borderId="22" xfId="2" applyNumberFormat="1" applyFont="1" applyFill="1" applyBorder="1" applyAlignment="1">
      <alignment vertical="center" wrapText="1"/>
    </xf>
    <xf numFmtId="0" fontId="5" fillId="12" borderId="10" xfId="0" applyFont="1" applyFill="1" applyBorder="1" applyAlignment="1">
      <alignment horizontal="center" vertical="center" wrapText="1"/>
    </xf>
    <xf numFmtId="167" fontId="5" fillId="12" borderId="11" xfId="2" applyNumberFormat="1" applyFont="1" applyFill="1" applyBorder="1" applyAlignment="1">
      <alignment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9" fontId="5" fillId="7" borderId="11" xfId="3" applyFont="1" applyFill="1" applyBorder="1" applyAlignment="1">
      <alignment horizontal="center" vertical="center" wrapText="1"/>
    </xf>
    <xf numFmtId="167" fontId="5" fillId="7" borderId="11" xfId="2" applyNumberFormat="1" applyFont="1" applyFill="1" applyBorder="1" applyAlignment="1">
      <alignment vertical="center" wrapText="1"/>
    </xf>
    <xf numFmtId="167" fontId="5" fillId="7" borderId="12" xfId="2" applyNumberFormat="1" applyFont="1" applyFill="1" applyBorder="1" applyAlignment="1">
      <alignment vertical="center" wrapText="1"/>
    </xf>
    <xf numFmtId="2" fontId="8" fillId="7" borderId="10" xfId="0" applyNumberFormat="1" applyFont="1" applyFill="1" applyBorder="1" applyAlignment="1">
      <alignment horizontal="center" vertical="center" wrapText="1"/>
    </xf>
    <xf numFmtId="2" fontId="8" fillId="7" borderId="21" xfId="0" applyNumberFormat="1" applyFont="1" applyFill="1" applyBorder="1" applyAlignment="1">
      <alignment horizontal="center" vertical="center" wrapText="1"/>
    </xf>
    <xf numFmtId="2" fontId="14" fillId="7" borderId="21" xfId="0" applyNumberFormat="1" applyFont="1" applyFill="1" applyBorder="1" applyAlignment="1">
      <alignment horizontal="center" vertical="center" wrapText="1"/>
    </xf>
    <xf numFmtId="10" fontId="14" fillId="7" borderId="11" xfId="0" applyNumberFormat="1" applyFont="1" applyFill="1" applyBorder="1" applyAlignment="1">
      <alignment horizontal="center" vertical="center" wrapText="1"/>
    </xf>
    <xf numFmtId="10" fontId="8" fillId="7" borderId="11" xfId="0" applyNumberFormat="1" applyFont="1" applyFill="1" applyBorder="1" applyAlignment="1">
      <alignment horizontal="center" vertical="center" wrapText="1"/>
    </xf>
    <xf numFmtId="167" fontId="5" fillId="7" borderId="11" xfId="2" applyNumberFormat="1" applyFont="1" applyFill="1" applyBorder="1" applyAlignment="1">
      <alignment horizontal="center" vertical="center" wrapText="1"/>
    </xf>
    <xf numFmtId="167" fontId="8" fillId="7" borderId="11" xfId="2" applyNumberFormat="1" applyFont="1" applyFill="1" applyBorder="1" applyAlignment="1">
      <alignment horizontal="center" vertical="center" wrapText="1"/>
    </xf>
    <xf numFmtId="167" fontId="8" fillId="7" borderId="12" xfId="2" applyNumberFormat="1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 wrapText="1"/>
    </xf>
    <xf numFmtId="9" fontId="5" fillId="13" borderId="11" xfId="0" applyNumberFormat="1" applyFont="1" applyFill="1" applyBorder="1" applyAlignment="1">
      <alignment horizontal="center" vertical="center" wrapText="1"/>
    </xf>
    <xf numFmtId="167" fontId="5" fillId="13" borderId="11" xfId="2" applyNumberFormat="1" applyFont="1" applyFill="1" applyBorder="1" applyAlignment="1">
      <alignment vertical="center" wrapText="1"/>
    </xf>
    <xf numFmtId="167" fontId="5" fillId="13" borderId="12" xfId="2" applyNumberFormat="1" applyFont="1" applyFill="1" applyBorder="1" applyAlignment="1">
      <alignment vertical="center" wrapText="1"/>
    </xf>
    <xf numFmtId="167" fontId="5" fillId="13" borderId="11" xfId="2" applyNumberFormat="1" applyFont="1" applyFill="1" applyBorder="1" applyAlignment="1">
      <alignment horizontal="center" vertical="center" wrapText="1"/>
    </xf>
    <xf numFmtId="9" fontId="5" fillId="13" borderId="11" xfId="3" applyFont="1" applyFill="1" applyBorder="1" applyAlignment="1">
      <alignment horizontal="center" vertical="center" wrapText="1"/>
    </xf>
    <xf numFmtId="166" fontId="5" fillId="7" borderId="12" xfId="2" applyNumberFormat="1" applyFont="1" applyFill="1" applyBorder="1" applyAlignment="1"/>
    <xf numFmtId="9" fontId="8" fillId="14" borderId="11" xfId="3" applyFont="1" applyFill="1" applyBorder="1" applyAlignment="1">
      <alignment horizontal="center" vertical="center" wrapText="1"/>
    </xf>
    <xf numFmtId="167" fontId="8" fillId="14" borderId="11" xfId="2" applyNumberFormat="1" applyFont="1" applyFill="1" applyBorder="1" applyAlignment="1">
      <alignment vertical="center" wrapText="1"/>
    </xf>
    <xf numFmtId="10" fontId="8" fillId="14" borderId="11" xfId="0" applyNumberFormat="1" applyFont="1" applyFill="1" applyBorder="1" applyAlignment="1">
      <alignment horizontal="center" vertical="center" wrapText="1"/>
    </xf>
    <xf numFmtId="166" fontId="10" fillId="14" borderId="10" xfId="2" applyNumberFormat="1" applyFont="1" applyFill="1" applyBorder="1" applyAlignment="1">
      <alignment vertical="center" wrapText="1"/>
    </xf>
    <xf numFmtId="0" fontId="5" fillId="15" borderId="11" xfId="0" applyFont="1" applyFill="1" applyBorder="1" applyAlignment="1">
      <alignment horizontal="center" vertical="center" wrapText="1"/>
    </xf>
    <xf numFmtId="3" fontId="5" fillId="15" borderId="11" xfId="0" applyNumberFormat="1" applyFont="1" applyFill="1" applyBorder="1" applyAlignment="1">
      <alignment horizontal="center" vertical="center" wrapText="1"/>
    </xf>
    <xf numFmtId="9" fontId="5" fillId="15" borderId="11" xfId="0" applyNumberFormat="1" applyFont="1" applyFill="1" applyBorder="1" applyAlignment="1">
      <alignment horizontal="center" vertical="center" wrapText="1"/>
    </xf>
    <xf numFmtId="167" fontId="5" fillId="15" borderId="11" xfId="2" applyNumberFormat="1" applyFont="1" applyFill="1" applyBorder="1" applyAlignment="1">
      <alignment vertical="center" wrapText="1"/>
    </xf>
    <xf numFmtId="167" fontId="8" fillId="15" borderId="11" xfId="2" applyNumberFormat="1" applyFont="1" applyFill="1" applyBorder="1" applyAlignment="1">
      <alignment vertical="center" wrapText="1"/>
    </xf>
    <xf numFmtId="167" fontId="8" fillId="15" borderId="12" xfId="2" applyNumberFormat="1" applyFont="1" applyFill="1" applyBorder="1" applyAlignment="1">
      <alignment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9" fontId="5" fillId="15" borderId="11" xfId="3" applyFont="1" applyFill="1" applyBorder="1" applyAlignment="1">
      <alignment horizontal="center" vertical="center" wrapText="1"/>
    </xf>
    <xf numFmtId="167" fontId="5" fillId="15" borderId="12" xfId="2" applyNumberFormat="1" applyFont="1" applyFill="1" applyBorder="1" applyAlignment="1">
      <alignment vertical="center" wrapText="1"/>
    </xf>
    <xf numFmtId="167" fontId="5" fillId="15" borderId="11" xfId="2" applyNumberFormat="1" applyFont="1" applyFill="1" applyBorder="1" applyAlignment="1">
      <alignment horizontal="center" vertical="center" wrapText="1"/>
    </xf>
    <xf numFmtId="167" fontId="5" fillId="15" borderId="22" xfId="2" applyNumberFormat="1" applyFont="1" applyFill="1" applyBorder="1" applyAlignment="1">
      <alignment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5" fillId="16" borderId="21" xfId="0" applyFont="1" applyFill="1" applyBorder="1" applyAlignment="1">
      <alignment horizontal="center" vertical="center" wrapText="1"/>
    </xf>
    <xf numFmtId="0" fontId="5" fillId="16" borderId="11" xfId="0" applyFont="1" applyFill="1" applyBorder="1" applyAlignment="1">
      <alignment horizontal="center" vertical="center" wrapText="1"/>
    </xf>
    <xf numFmtId="9" fontId="5" fillId="16" borderId="11" xfId="3" applyFont="1" applyFill="1" applyBorder="1" applyAlignment="1">
      <alignment horizontal="center" vertical="center" wrapText="1"/>
    </xf>
    <xf numFmtId="167" fontId="5" fillId="16" borderId="11" xfId="2" applyNumberFormat="1" applyFont="1" applyFill="1" applyBorder="1" applyAlignment="1">
      <alignment vertical="center" wrapText="1"/>
    </xf>
    <xf numFmtId="167" fontId="5" fillId="16" borderId="12" xfId="2" applyNumberFormat="1" applyFont="1" applyFill="1" applyBorder="1" applyAlignment="1">
      <alignment vertical="center" wrapText="1"/>
    </xf>
    <xf numFmtId="2" fontId="5" fillId="17" borderId="21" xfId="0" applyNumberFormat="1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10" fontId="5" fillId="17" borderId="11" xfId="0" applyNumberFormat="1" applyFont="1" applyFill="1" applyBorder="1" applyAlignment="1">
      <alignment horizontal="center" vertical="center" wrapText="1"/>
    </xf>
    <xf numFmtId="167" fontId="5" fillId="17" borderId="11" xfId="2" applyNumberFormat="1" applyFont="1" applyFill="1" applyBorder="1" applyAlignment="1">
      <alignment vertical="center" wrapText="1"/>
    </xf>
    <xf numFmtId="167" fontId="5" fillId="17" borderId="12" xfId="2" applyNumberFormat="1" applyFont="1" applyFill="1" applyBorder="1" applyAlignment="1">
      <alignment vertical="center" wrapText="1"/>
    </xf>
    <xf numFmtId="167" fontId="5" fillId="15" borderId="12" xfId="2" applyNumberFormat="1" applyFont="1" applyFill="1" applyBorder="1" applyAlignment="1">
      <alignment horizontal="center" vertical="center" wrapText="1"/>
    </xf>
    <xf numFmtId="167" fontId="8" fillId="13" borderId="12" xfId="2" applyNumberFormat="1" applyFont="1" applyFill="1" applyBorder="1" applyAlignment="1">
      <alignment vertical="center" wrapText="1"/>
    </xf>
    <xf numFmtId="0" fontId="8" fillId="13" borderId="10" xfId="0" applyFont="1" applyFill="1" applyBorder="1" applyAlignment="1">
      <alignment horizontal="center" vertical="center" wrapText="1"/>
    </xf>
    <xf numFmtId="167" fontId="8" fillId="13" borderId="11" xfId="2" applyNumberFormat="1" applyFont="1" applyFill="1" applyBorder="1" applyAlignment="1">
      <alignment vertical="center" wrapText="1"/>
    </xf>
    <xf numFmtId="0" fontId="5" fillId="13" borderId="11" xfId="4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169" fontId="5" fillId="13" borderId="11" xfId="1" applyNumberFormat="1" applyFont="1" applyFill="1" applyBorder="1" applyAlignment="1">
      <alignment horizontal="center" vertical="center" wrapText="1"/>
    </xf>
    <xf numFmtId="167" fontId="5" fillId="13" borderId="12" xfId="2" applyNumberFormat="1" applyFont="1" applyFill="1" applyBorder="1" applyAlignment="1">
      <alignment horizontal="center" vertical="center" wrapText="1"/>
    </xf>
    <xf numFmtId="3" fontId="5" fillId="7" borderId="11" xfId="0" applyNumberFormat="1" applyFont="1" applyFill="1" applyBorder="1" applyAlignment="1">
      <alignment horizontal="center" vertical="center" wrapText="1"/>
    </xf>
    <xf numFmtId="9" fontId="5" fillId="7" borderId="11" xfId="0" applyNumberFormat="1" applyFont="1" applyFill="1" applyBorder="1" applyAlignment="1">
      <alignment horizontal="center" vertical="center" wrapText="1"/>
    </xf>
    <xf numFmtId="167" fontId="6" fillId="7" borderId="11" xfId="2" applyNumberFormat="1" applyFont="1" applyFill="1" applyBorder="1" applyAlignment="1">
      <alignment horizontal="center" vertical="center" wrapText="1"/>
    </xf>
    <xf numFmtId="167" fontId="6" fillId="7" borderId="12" xfId="2" applyNumberFormat="1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9" fontId="5" fillId="7" borderId="11" xfId="3" applyFont="1" applyFill="1" applyBorder="1" applyAlignment="1">
      <alignment vertical="center" wrapText="1"/>
    </xf>
    <xf numFmtId="167" fontId="10" fillId="7" borderId="11" xfId="2" applyNumberFormat="1" applyFont="1" applyFill="1" applyBorder="1" applyAlignment="1">
      <alignment horizontal="center" vertical="center" wrapText="1"/>
    </xf>
    <xf numFmtId="167" fontId="10" fillId="7" borderId="12" xfId="2" applyNumberFormat="1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10" fontId="6" fillId="15" borderId="11" xfId="3" applyNumberFormat="1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9" fontId="6" fillId="15" borderId="11" xfId="0" applyNumberFormat="1" applyFont="1" applyFill="1" applyBorder="1" applyAlignment="1">
      <alignment horizontal="center" vertical="center" wrapText="1"/>
    </xf>
    <xf numFmtId="167" fontId="6" fillId="15" borderId="11" xfId="2" applyNumberFormat="1" applyFont="1" applyFill="1" applyBorder="1" applyAlignment="1">
      <alignment vertical="center" wrapText="1"/>
    </xf>
    <xf numFmtId="167" fontId="6" fillId="15" borderId="12" xfId="2" applyNumberFormat="1" applyFont="1" applyFill="1" applyBorder="1" applyAlignment="1">
      <alignment vertical="center" wrapText="1"/>
    </xf>
    <xf numFmtId="167" fontId="5" fillId="7" borderId="12" xfId="2" applyNumberFormat="1" applyFont="1" applyFill="1" applyBorder="1" applyAlignment="1">
      <alignment horizontal="center" vertical="center" wrapText="1"/>
    </xf>
    <xf numFmtId="169" fontId="5" fillId="7" borderId="11" xfId="1" applyNumberFormat="1" applyFont="1" applyFill="1" applyBorder="1" applyAlignment="1">
      <alignment horizontal="center" vertical="center" wrapText="1"/>
    </xf>
    <xf numFmtId="168" fontId="6" fillId="4" borderId="11" xfId="0" applyNumberFormat="1" applyFont="1" applyFill="1" applyBorder="1" applyAlignment="1">
      <alignment horizontal="center" vertical="center" wrapText="1"/>
    </xf>
    <xf numFmtId="167" fontId="6" fillId="4" borderId="11" xfId="2" applyNumberFormat="1" applyFont="1" applyFill="1" applyBorder="1" applyAlignment="1">
      <alignment horizontal="center" vertical="center" wrapText="1"/>
    </xf>
    <xf numFmtId="167" fontId="6" fillId="4" borderId="12" xfId="2" applyNumberFormat="1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169" fontId="6" fillId="10" borderId="11" xfId="1" applyNumberFormat="1" applyFont="1" applyFill="1" applyBorder="1" applyAlignment="1">
      <alignment horizontal="center" vertical="center" wrapText="1"/>
    </xf>
    <xf numFmtId="169" fontId="6" fillId="4" borderId="11" xfId="1" applyNumberFormat="1" applyFont="1" applyFill="1" applyBorder="1" applyAlignment="1">
      <alignment horizontal="center" vertical="center" wrapText="1"/>
    </xf>
    <xf numFmtId="170" fontId="5" fillId="7" borderId="10" xfId="0" applyNumberFormat="1" applyFont="1" applyFill="1" applyBorder="1" applyAlignment="1">
      <alignment horizontal="center" vertical="center" wrapText="1"/>
    </xf>
    <xf numFmtId="171" fontId="5" fillId="7" borderId="11" xfId="0" applyNumberFormat="1" applyFont="1" applyFill="1" applyBorder="1" applyAlignment="1">
      <alignment horizontal="center" vertical="center" wrapText="1"/>
    </xf>
    <xf numFmtId="2" fontId="5" fillId="13" borderId="10" xfId="0" applyNumberFormat="1" applyFont="1" applyFill="1" applyBorder="1" applyAlignment="1">
      <alignment horizontal="center" vertical="center" wrapText="1"/>
    </xf>
    <xf numFmtId="10" fontId="5" fillId="13" borderId="11" xfId="0" applyNumberFormat="1" applyFont="1" applyFill="1" applyBorder="1" applyAlignment="1">
      <alignment horizontal="center" vertical="center" wrapText="1"/>
    </xf>
    <xf numFmtId="170" fontId="5" fillId="13" borderId="10" xfId="0" applyNumberFormat="1" applyFont="1" applyFill="1" applyBorder="1" applyAlignment="1">
      <alignment horizontal="center" vertical="center" wrapText="1"/>
    </xf>
    <xf numFmtId="171" fontId="5" fillId="10" borderId="10" xfId="0" applyNumberFormat="1" applyFont="1" applyFill="1" applyBorder="1" applyAlignment="1">
      <alignment horizontal="center" vertical="center" wrapText="1"/>
    </xf>
    <xf numFmtId="10" fontId="5" fillId="10" borderId="11" xfId="3" applyNumberFormat="1" applyFont="1" applyFill="1" applyBorder="1" applyAlignment="1">
      <alignment horizontal="center" vertical="center" wrapText="1"/>
    </xf>
    <xf numFmtId="169" fontId="5" fillId="10" borderId="11" xfId="1" applyNumberFormat="1" applyFont="1" applyFill="1" applyBorder="1" applyAlignment="1">
      <alignment horizontal="center" vertical="center" wrapText="1"/>
    </xf>
    <xf numFmtId="171" fontId="6" fillId="4" borderId="10" xfId="0" applyNumberFormat="1" applyFont="1" applyFill="1" applyBorder="1" applyAlignment="1">
      <alignment horizontal="center" vertical="center" wrapText="1"/>
    </xf>
    <xf numFmtId="169" fontId="5" fillId="7" borderId="11" xfId="1" applyNumberFormat="1" applyFont="1" applyFill="1" applyBorder="1" applyAlignment="1">
      <alignment horizontal="center" vertical="center"/>
    </xf>
    <xf numFmtId="169" fontId="5" fillId="13" borderId="11" xfId="1" applyNumberFormat="1" applyFont="1" applyFill="1" applyBorder="1" applyAlignment="1">
      <alignment horizontal="center" vertical="center"/>
    </xf>
    <xf numFmtId="9" fontId="5" fillId="10" borderId="11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9" fontId="5" fillId="4" borderId="11" xfId="0" applyNumberFormat="1" applyFont="1" applyFill="1" applyBorder="1" applyAlignment="1">
      <alignment horizontal="center" vertical="center" wrapText="1"/>
    </xf>
    <xf numFmtId="167" fontId="5" fillId="4" borderId="11" xfId="2" applyNumberFormat="1" applyFont="1" applyFill="1" applyBorder="1" applyAlignment="1">
      <alignment vertical="center" wrapText="1"/>
    </xf>
    <xf numFmtId="167" fontId="5" fillId="10" borderId="12" xfId="2" applyNumberFormat="1" applyFont="1" applyFill="1" applyBorder="1" applyAlignment="1">
      <alignment horizontal="center" vertical="center" wrapText="1"/>
    </xf>
    <xf numFmtId="0" fontId="5" fillId="7" borderId="11" xfId="4" applyFont="1" applyFill="1" applyBorder="1" applyAlignment="1">
      <alignment horizontal="center" vertical="center" wrapText="1"/>
    </xf>
    <xf numFmtId="167" fontId="5" fillId="7" borderId="22" xfId="2" applyNumberFormat="1" applyFont="1" applyFill="1" applyBorder="1" applyAlignment="1">
      <alignment vertical="center" wrapText="1"/>
    </xf>
    <xf numFmtId="2" fontId="5" fillId="13" borderId="21" xfId="0" applyNumberFormat="1" applyFont="1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8" fillId="16" borderId="21" xfId="0" applyFont="1" applyFill="1" applyBorder="1" applyAlignment="1">
      <alignment horizontal="center" vertical="center" wrapText="1"/>
    </xf>
    <xf numFmtId="0" fontId="8" fillId="16" borderId="11" xfId="0" applyFont="1" applyFill="1" applyBorder="1" applyAlignment="1">
      <alignment horizontal="center" vertical="center" wrapText="1"/>
    </xf>
    <xf numFmtId="9" fontId="8" fillId="16" borderId="11" xfId="3" applyFont="1" applyFill="1" applyBorder="1" applyAlignment="1">
      <alignment horizontal="center" vertical="center" wrapText="1"/>
    </xf>
    <xf numFmtId="167" fontId="8" fillId="16" borderId="11" xfId="2" applyNumberFormat="1" applyFont="1" applyFill="1" applyBorder="1" applyAlignment="1">
      <alignment vertical="center" wrapText="1"/>
    </xf>
    <xf numFmtId="167" fontId="8" fillId="16" borderId="12" xfId="2" applyNumberFormat="1" applyFont="1" applyFill="1" applyBorder="1" applyAlignment="1">
      <alignment vertical="center" wrapText="1"/>
    </xf>
    <xf numFmtId="167" fontId="5" fillId="16" borderId="11" xfId="2" applyNumberFormat="1" applyFont="1" applyFill="1" applyBorder="1" applyAlignment="1">
      <alignment horizontal="center" vertical="center" wrapText="1"/>
    </xf>
    <xf numFmtId="167" fontId="8" fillId="16" borderId="22" xfId="2" applyNumberFormat="1" applyFont="1" applyFill="1" applyBorder="1" applyAlignment="1">
      <alignment vertical="center" wrapText="1"/>
    </xf>
    <xf numFmtId="2" fontId="8" fillId="16" borderId="10" xfId="0" applyNumberFormat="1" applyFont="1" applyFill="1" applyBorder="1" applyAlignment="1">
      <alignment horizontal="center" vertical="center" wrapText="1"/>
    </xf>
    <xf numFmtId="2" fontId="8" fillId="16" borderId="21" xfId="0" applyNumberFormat="1" applyFont="1" applyFill="1" applyBorder="1" applyAlignment="1">
      <alignment horizontal="center" vertical="center" wrapText="1"/>
    </xf>
    <xf numFmtId="10" fontId="8" fillId="16" borderId="11" xfId="0" applyNumberFormat="1" applyFont="1" applyFill="1" applyBorder="1" applyAlignment="1">
      <alignment horizontal="center" vertical="center" wrapText="1"/>
    </xf>
    <xf numFmtId="0" fontId="0" fillId="16" borderId="0" xfId="0" applyFill="1"/>
    <xf numFmtId="9" fontId="8" fillId="16" borderId="11" xfId="0" applyNumberFormat="1" applyFont="1" applyFill="1" applyBorder="1" applyAlignment="1">
      <alignment horizontal="center" vertical="center" wrapText="1"/>
    </xf>
    <xf numFmtId="167" fontId="8" fillId="16" borderId="11" xfId="2" applyNumberFormat="1" applyFont="1" applyFill="1" applyBorder="1" applyAlignment="1">
      <alignment horizontal="center" vertical="center" wrapText="1"/>
    </xf>
    <xf numFmtId="167" fontId="8" fillId="16" borderId="12" xfId="2" applyNumberFormat="1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vertical="center" wrapText="1"/>
    </xf>
    <xf numFmtId="10" fontId="6" fillId="12" borderId="11" xfId="3" applyNumberFormat="1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vertical="center" wrapText="1"/>
    </xf>
    <xf numFmtId="9" fontId="6" fillId="12" borderId="11" xfId="3" applyFont="1" applyFill="1" applyBorder="1" applyAlignment="1">
      <alignment vertical="center" wrapText="1"/>
    </xf>
    <xf numFmtId="167" fontId="6" fillId="12" borderId="11" xfId="2" applyNumberFormat="1" applyFont="1" applyFill="1" applyBorder="1" applyAlignment="1">
      <alignment vertical="center" wrapText="1"/>
    </xf>
    <xf numFmtId="167" fontId="6" fillId="12" borderId="12" xfId="2" applyNumberFormat="1" applyFont="1" applyFill="1" applyBorder="1" applyAlignment="1">
      <alignment vertical="center" wrapText="1"/>
    </xf>
    <xf numFmtId="167" fontId="5" fillId="12" borderId="11" xfId="2" applyNumberFormat="1" applyFont="1" applyFill="1" applyBorder="1" applyAlignment="1">
      <alignment horizontal="center" vertical="center" wrapText="1"/>
    </xf>
    <xf numFmtId="167" fontId="5" fillId="12" borderId="12" xfId="2" applyNumberFormat="1" applyFont="1" applyFill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center" vertical="center" wrapText="1"/>
    </xf>
    <xf numFmtId="167" fontId="17" fillId="15" borderId="0" xfId="0" applyNumberFormat="1" applyFont="1" applyFill="1" applyAlignment="1">
      <alignment vertical="center" wrapText="1"/>
    </xf>
    <xf numFmtId="167" fontId="5" fillId="16" borderId="0" xfId="3" applyNumberFormat="1" applyFont="1" applyFill="1" applyAlignment="1">
      <alignment vertical="center" wrapText="1"/>
    </xf>
    <xf numFmtId="164" fontId="5" fillId="12" borderId="0" xfId="2" applyFont="1" applyFill="1" applyBorder="1" applyAlignment="1">
      <alignment vertical="center" wrapText="1"/>
    </xf>
    <xf numFmtId="167" fontId="8" fillId="13" borderId="10" xfId="2" applyNumberFormat="1" applyFont="1" applyFill="1" applyBorder="1" applyAlignment="1">
      <alignment vertical="center" wrapText="1"/>
    </xf>
    <xf numFmtId="167" fontId="8" fillId="12" borderId="10" xfId="2" applyNumberFormat="1" applyFont="1" applyFill="1" applyBorder="1" applyAlignment="1">
      <alignment vertical="center" wrapText="1"/>
    </xf>
    <xf numFmtId="167" fontId="8" fillId="15" borderId="10" xfId="2" applyNumberFormat="1" applyFont="1" applyFill="1" applyBorder="1" applyAlignment="1">
      <alignment vertical="center" wrapText="1"/>
    </xf>
    <xf numFmtId="167" fontId="8" fillId="18" borderId="10" xfId="2" applyNumberFormat="1" applyFont="1" applyFill="1" applyBorder="1" applyAlignment="1">
      <alignment vertical="center" wrapText="1"/>
    </xf>
    <xf numFmtId="167" fontId="8" fillId="18" borderId="11" xfId="2" applyNumberFormat="1" applyFont="1" applyFill="1" applyBorder="1" applyAlignment="1">
      <alignment vertical="center" wrapText="1"/>
    </xf>
    <xf numFmtId="167" fontId="8" fillId="18" borderId="12" xfId="2" applyNumberFormat="1" applyFont="1" applyFill="1" applyBorder="1" applyAlignment="1">
      <alignment vertical="center" wrapText="1"/>
    </xf>
    <xf numFmtId="167" fontId="8" fillId="16" borderId="10" xfId="2" applyNumberFormat="1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/>
    </xf>
    <xf numFmtId="9" fontId="5" fillId="6" borderId="11" xfId="3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7" fontId="5" fillId="0" borderId="0" xfId="2" applyNumberFormat="1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9" fontId="5" fillId="0" borderId="0" xfId="3" applyFont="1" applyAlignment="1">
      <alignment vertical="center"/>
    </xf>
    <xf numFmtId="167" fontId="5" fillId="0" borderId="0" xfId="2" applyNumberFormat="1" applyFont="1" applyAlignment="1">
      <alignment vertical="center"/>
    </xf>
    <xf numFmtId="0" fontId="16" fillId="14" borderId="10" xfId="0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 wrapText="1"/>
    </xf>
    <xf numFmtId="9" fontId="16" fillId="14" borderId="11" xfId="3" applyFont="1" applyFill="1" applyBorder="1" applyAlignment="1">
      <alignment horizontal="center" vertical="center" wrapText="1"/>
    </xf>
    <xf numFmtId="167" fontId="16" fillId="14" borderId="11" xfId="2" applyNumberFormat="1" applyFont="1" applyFill="1" applyBorder="1" applyAlignment="1">
      <alignment vertical="center" wrapText="1"/>
    </xf>
    <xf numFmtId="167" fontId="16" fillId="14" borderId="11" xfId="2" applyNumberFormat="1" applyFont="1" applyFill="1" applyBorder="1" applyAlignment="1">
      <alignment horizontal="center" vertical="center" wrapText="1"/>
    </xf>
    <xf numFmtId="167" fontId="16" fillId="14" borderId="12" xfId="2" applyNumberFormat="1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left"/>
    </xf>
    <xf numFmtId="0" fontId="18" fillId="0" borderId="33" xfId="0" applyFont="1" applyBorder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0" fontId="18" fillId="0" borderId="39" xfId="0" applyFont="1" applyBorder="1" applyAlignment="1">
      <alignment horizontal="left"/>
    </xf>
    <xf numFmtId="0" fontId="18" fillId="0" borderId="26" xfId="0" applyFont="1" applyBorder="1" applyAlignment="1">
      <alignment horizontal="left"/>
    </xf>
    <xf numFmtId="0" fontId="5" fillId="0" borderId="40" xfId="0" applyFont="1" applyBorder="1" applyAlignment="1">
      <alignment horizontal="left" vertical="center" wrapText="1"/>
    </xf>
    <xf numFmtId="0" fontId="5" fillId="0" borderId="40" xfId="0" applyFont="1" applyBorder="1" applyAlignment="1">
      <alignment vertical="center" wrapText="1"/>
    </xf>
    <xf numFmtId="0" fontId="5" fillId="7" borderId="40" xfId="0" applyFont="1" applyFill="1" applyBorder="1" applyAlignment="1">
      <alignment horizontal="left" vertical="center" wrapText="1"/>
    </xf>
    <xf numFmtId="0" fontId="5" fillId="7" borderId="40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8" fillId="7" borderId="40" xfId="0" applyFont="1" applyFill="1" applyBorder="1" applyAlignment="1">
      <alignment vertical="center" wrapText="1"/>
    </xf>
    <xf numFmtId="0" fontId="5" fillId="7" borderId="42" xfId="0" applyFont="1" applyFill="1" applyBorder="1" applyAlignment="1">
      <alignment vertical="center" wrapText="1"/>
    </xf>
    <xf numFmtId="0" fontId="6" fillId="4" borderId="40" xfId="0" applyFont="1" applyFill="1" applyBorder="1" applyAlignment="1">
      <alignment vertical="center" wrapText="1"/>
    </xf>
    <xf numFmtId="0" fontId="6" fillId="10" borderId="40" xfId="0" applyFont="1" applyFill="1" applyBorder="1" applyAlignment="1">
      <alignment vertical="center" wrapText="1"/>
    </xf>
    <xf numFmtId="0" fontId="6" fillId="0" borderId="40" xfId="0" applyFont="1" applyBorder="1" applyAlignment="1">
      <alignment vertical="center" wrapText="1"/>
    </xf>
    <xf numFmtId="0" fontId="10" fillId="10" borderId="40" xfId="0" applyFont="1" applyFill="1" applyBorder="1" applyAlignment="1">
      <alignment vertical="center" wrapText="1"/>
    </xf>
    <xf numFmtId="0" fontId="10" fillId="4" borderId="40" xfId="0" applyFont="1" applyFill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40" xfId="0" applyFont="1" applyBorder="1" applyAlignment="1">
      <alignment horizontal="left" vertical="center" wrapText="1"/>
    </xf>
    <xf numFmtId="0" fontId="8" fillId="0" borderId="40" xfId="0" applyFont="1" applyBorder="1" applyAlignment="1">
      <alignment vertical="center"/>
    </xf>
    <xf numFmtId="0" fontId="13" fillId="10" borderId="40" xfId="0" applyFont="1" applyFill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6" fillId="4" borderId="0" xfId="0" applyFont="1" applyFill="1" applyAlignment="1">
      <alignment horizontal="left" vertical="center" wrapText="1"/>
    </xf>
    <xf numFmtId="0" fontId="14" fillId="9" borderId="27" xfId="0" applyFont="1" applyFill="1" applyBorder="1" applyAlignment="1">
      <alignment horizontal="center" vertical="center" wrapText="1"/>
    </xf>
    <xf numFmtId="167" fontId="14" fillId="9" borderId="27" xfId="2" applyNumberFormat="1" applyFont="1" applyFill="1" applyBorder="1" applyAlignment="1">
      <alignment vertical="center" wrapText="1"/>
    </xf>
    <xf numFmtId="0" fontId="8" fillId="7" borderId="27" xfId="0" applyFont="1" applyFill="1" applyBorder="1" applyAlignment="1">
      <alignment horizontal="center" vertical="center" wrapText="1"/>
    </xf>
    <xf numFmtId="167" fontId="8" fillId="7" borderId="27" xfId="2" applyNumberFormat="1" applyFont="1" applyFill="1" applyBorder="1" applyAlignment="1">
      <alignment vertical="center" wrapText="1"/>
    </xf>
    <xf numFmtId="167" fontId="8" fillId="7" borderId="25" xfId="2" applyNumberFormat="1" applyFont="1" applyFill="1" applyBorder="1" applyAlignment="1">
      <alignment vertical="center" wrapText="1"/>
    </xf>
    <xf numFmtId="167" fontId="8" fillId="7" borderId="28" xfId="2" applyNumberFormat="1" applyFont="1" applyFill="1" applyBorder="1" applyAlignment="1">
      <alignment vertical="center" wrapText="1"/>
    </xf>
    <xf numFmtId="167" fontId="14" fillId="9" borderId="28" xfId="2" applyNumberFormat="1" applyFont="1" applyFill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9" fillId="0" borderId="42" xfId="0" applyFont="1" applyBorder="1"/>
    <xf numFmtId="0" fontId="5" fillId="7" borderId="42" xfId="0" applyFont="1" applyFill="1" applyBorder="1" applyAlignment="1">
      <alignment horizontal="left" vertical="center" wrapText="1"/>
    </xf>
    <xf numFmtId="0" fontId="0" fillId="7" borderId="42" xfId="0" applyFill="1" applyBorder="1"/>
    <xf numFmtId="0" fontId="6" fillId="0" borderId="43" xfId="0" applyFont="1" applyBorder="1" applyAlignment="1">
      <alignment horizontal="left" vertical="center" wrapText="1"/>
    </xf>
    <xf numFmtId="0" fontId="5" fillId="8" borderId="30" xfId="0" applyFont="1" applyFill="1" applyBorder="1" applyAlignment="1">
      <alignment vertical="center" wrapText="1"/>
    </xf>
    <xf numFmtId="0" fontId="5" fillId="8" borderId="31" xfId="0" applyFont="1" applyFill="1" applyBorder="1" applyAlignment="1">
      <alignment horizontal="center" vertical="center" wrapText="1"/>
    </xf>
    <xf numFmtId="3" fontId="5" fillId="8" borderId="31" xfId="0" applyNumberFormat="1" applyFont="1" applyFill="1" applyBorder="1" applyAlignment="1">
      <alignment horizontal="center" vertical="center" wrapText="1"/>
    </xf>
    <xf numFmtId="9" fontId="5" fillId="8" borderId="31" xfId="0" applyNumberFormat="1" applyFont="1" applyFill="1" applyBorder="1" applyAlignment="1">
      <alignment horizontal="center" vertical="center" wrapText="1"/>
    </xf>
    <xf numFmtId="167" fontId="5" fillId="8" borderId="31" xfId="2" applyNumberFormat="1" applyFont="1" applyFill="1" applyBorder="1" applyAlignment="1">
      <alignment vertical="center" wrapText="1"/>
    </xf>
    <xf numFmtId="167" fontId="6" fillId="8" borderId="31" xfId="2" applyNumberFormat="1" applyFont="1" applyFill="1" applyBorder="1" applyAlignment="1">
      <alignment horizontal="center" vertical="center" wrapText="1"/>
    </xf>
    <xf numFmtId="167" fontId="6" fillId="8" borderId="32" xfId="2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9" fontId="5" fillId="0" borderId="31" xfId="3" applyFont="1" applyBorder="1" applyAlignment="1">
      <alignment vertical="center" wrapText="1"/>
    </xf>
    <xf numFmtId="167" fontId="5" fillId="0" borderId="31" xfId="2" applyNumberFormat="1" applyFont="1" applyFill="1" applyBorder="1" applyAlignment="1">
      <alignment vertical="center" wrapText="1"/>
    </xf>
    <xf numFmtId="167" fontId="6" fillId="0" borderId="31" xfId="2" applyNumberFormat="1" applyFont="1" applyFill="1" applyBorder="1" applyAlignment="1">
      <alignment horizontal="center" vertical="center" wrapText="1"/>
    </xf>
    <xf numFmtId="167" fontId="6" fillId="0" borderId="32" xfId="2" applyNumberFormat="1" applyFont="1" applyFill="1" applyBorder="1" applyAlignment="1">
      <alignment horizontal="center" vertical="center" wrapText="1"/>
    </xf>
    <xf numFmtId="167" fontId="6" fillId="0" borderId="32" xfId="2" applyNumberFormat="1" applyFont="1" applyBorder="1" applyAlignment="1">
      <alignment horizontal="center" vertical="center" wrapText="1"/>
    </xf>
    <xf numFmtId="167" fontId="5" fillId="0" borderId="31" xfId="2" applyNumberFormat="1" applyFont="1" applyBorder="1" applyAlignment="1">
      <alignment vertical="center" wrapText="1"/>
    </xf>
    <xf numFmtId="167" fontId="6" fillId="0" borderId="31" xfId="2" applyNumberFormat="1" applyFont="1" applyBorder="1" applyAlignment="1">
      <alignment horizontal="center" vertical="center" wrapText="1"/>
    </xf>
    <xf numFmtId="167" fontId="6" fillId="0" borderId="30" xfId="2" applyNumberFormat="1" applyFont="1" applyFill="1" applyBorder="1" applyAlignment="1">
      <alignment horizontal="center" vertical="center" wrapText="1"/>
    </xf>
    <xf numFmtId="167" fontId="5" fillId="0" borderId="32" xfId="2" applyNumberFormat="1" applyFont="1" applyFill="1" applyBorder="1" applyAlignment="1">
      <alignment vertical="center" wrapText="1"/>
    </xf>
    <xf numFmtId="0" fontId="14" fillId="9" borderId="45" xfId="0" applyFont="1" applyFill="1" applyBorder="1" applyAlignment="1">
      <alignment horizontal="center" vertical="center" wrapText="1"/>
    </xf>
    <xf numFmtId="3" fontId="14" fillId="9" borderId="45" xfId="0" applyNumberFormat="1" applyFont="1" applyFill="1" applyBorder="1" applyAlignment="1">
      <alignment horizontal="center" vertical="center" wrapText="1"/>
    </xf>
    <xf numFmtId="9" fontId="14" fillId="9" borderId="45" xfId="0" applyNumberFormat="1" applyFont="1" applyFill="1" applyBorder="1" applyAlignment="1">
      <alignment horizontal="center" vertical="center" wrapText="1"/>
    </xf>
    <xf numFmtId="167" fontId="14" fillId="9" borderId="45" xfId="2" applyNumberFormat="1" applyFont="1" applyFill="1" applyBorder="1" applyAlignment="1">
      <alignment vertical="center" wrapText="1"/>
    </xf>
    <xf numFmtId="0" fontId="8" fillId="7" borderId="44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45" xfId="0" applyFont="1" applyFill="1" applyBorder="1" applyAlignment="1">
      <alignment horizontal="center" vertical="center" wrapText="1"/>
    </xf>
    <xf numFmtId="167" fontId="8" fillId="7" borderId="45" xfId="2" applyNumberFormat="1" applyFont="1" applyFill="1" applyBorder="1" applyAlignment="1">
      <alignment vertical="center" wrapText="1"/>
    </xf>
    <xf numFmtId="167" fontId="8" fillId="7" borderId="37" xfId="2" applyNumberFormat="1" applyFont="1" applyFill="1" applyBorder="1" applyAlignment="1">
      <alignment vertical="center" wrapText="1"/>
    </xf>
    <xf numFmtId="167" fontId="8" fillId="7" borderId="44" xfId="2" applyNumberFormat="1" applyFont="1" applyFill="1" applyBorder="1" applyAlignment="1">
      <alignment vertical="center" wrapText="1"/>
    </xf>
    <xf numFmtId="167" fontId="8" fillId="7" borderId="46" xfId="2" applyNumberFormat="1" applyFont="1" applyFill="1" applyBorder="1" applyAlignment="1">
      <alignment vertical="center" wrapText="1"/>
    </xf>
    <xf numFmtId="9" fontId="8" fillId="7" borderId="45" xfId="3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left" vertical="center" wrapText="1"/>
    </xf>
    <xf numFmtId="0" fontId="14" fillId="9" borderId="44" xfId="0" applyFont="1" applyFill="1" applyBorder="1" applyAlignment="1">
      <alignment vertical="center" wrapText="1"/>
    </xf>
    <xf numFmtId="167" fontId="15" fillId="9" borderId="45" xfId="2" applyNumberFormat="1" applyFont="1" applyFill="1" applyBorder="1" applyAlignment="1">
      <alignment horizontal="center" vertical="center" wrapText="1"/>
    </xf>
    <xf numFmtId="167" fontId="14" fillId="9" borderId="46" xfId="2" applyNumberFormat="1" applyFont="1" applyFill="1" applyBorder="1" applyAlignment="1">
      <alignment vertical="center" wrapText="1"/>
    </xf>
    <xf numFmtId="0" fontId="8" fillId="7" borderId="44" xfId="0" applyFont="1" applyFill="1" applyBorder="1" applyAlignment="1">
      <alignment vertical="center" wrapText="1"/>
    </xf>
    <xf numFmtId="0" fontId="8" fillId="7" borderId="38" xfId="0" applyFont="1" applyFill="1" applyBorder="1" applyAlignment="1">
      <alignment vertical="center" wrapText="1"/>
    </xf>
    <xf numFmtId="0" fontId="8" fillId="7" borderId="45" xfId="0" applyFont="1" applyFill="1" applyBorder="1" applyAlignment="1">
      <alignment vertical="center" wrapText="1"/>
    </xf>
    <xf numFmtId="9" fontId="8" fillId="7" borderId="45" xfId="3" applyFont="1" applyFill="1" applyBorder="1" applyAlignment="1">
      <alignment vertical="center" wrapText="1"/>
    </xf>
    <xf numFmtId="0" fontId="0" fillId="0" borderId="40" xfId="0" applyBorder="1"/>
    <xf numFmtId="0" fontId="9" fillId="0" borderId="40" xfId="0" applyFont="1" applyBorder="1"/>
    <xf numFmtId="0" fontId="0" fillId="7" borderId="40" xfId="0" applyFill="1" applyBorder="1"/>
    <xf numFmtId="0" fontId="9" fillId="7" borderId="40" xfId="0" applyFont="1" applyFill="1" applyBorder="1"/>
    <xf numFmtId="0" fontId="5" fillId="11" borderId="40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170" fontId="14" fillId="9" borderId="44" xfId="0" applyNumberFormat="1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167" fontId="8" fillId="0" borderId="45" xfId="2" applyNumberFormat="1" applyFont="1" applyFill="1" applyBorder="1" applyAlignment="1">
      <alignment vertical="center" wrapText="1"/>
    </xf>
    <xf numFmtId="167" fontId="8" fillId="0" borderId="46" xfId="2" applyNumberFormat="1" applyFont="1" applyBorder="1" applyAlignment="1">
      <alignment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167" fontId="8" fillId="0" borderId="45" xfId="2" applyNumberFormat="1" applyFont="1" applyBorder="1" applyAlignment="1">
      <alignment vertical="center" wrapText="1"/>
    </xf>
    <xf numFmtId="2" fontId="14" fillId="9" borderId="25" xfId="0" applyNumberFormat="1" applyFont="1" applyFill="1" applyBorder="1" applyAlignment="1">
      <alignment horizontal="center" vertical="center" wrapText="1"/>
    </xf>
    <xf numFmtId="10" fontId="14" fillId="9" borderId="27" xfId="0" applyNumberFormat="1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 wrapText="1"/>
    </xf>
    <xf numFmtId="2" fontId="16" fillId="7" borderId="26" xfId="0" applyNumberFormat="1" applyFont="1" applyFill="1" applyBorder="1" applyAlignment="1">
      <alignment horizontal="center" vertical="center" wrapText="1"/>
    </xf>
    <xf numFmtId="0" fontId="16" fillId="7" borderId="27" xfId="0" applyFont="1" applyFill="1" applyBorder="1" applyAlignment="1">
      <alignment horizontal="center" vertical="center" wrapText="1"/>
    </xf>
    <xf numFmtId="10" fontId="16" fillId="7" borderId="27" xfId="0" applyNumberFormat="1" applyFont="1" applyFill="1" applyBorder="1" applyAlignment="1">
      <alignment horizontal="center" vertical="center" wrapText="1"/>
    </xf>
    <xf numFmtId="167" fontId="16" fillId="7" borderId="27" xfId="2" applyNumberFormat="1" applyFont="1" applyFill="1" applyBorder="1" applyAlignment="1">
      <alignment vertical="center" wrapText="1"/>
    </xf>
    <xf numFmtId="167" fontId="16" fillId="7" borderId="28" xfId="2" applyNumberFormat="1" applyFont="1" applyFill="1" applyBorder="1" applyAlignment="1">
      <alignment vertical="center" wrapText="1"/>
    </xf>
    <xf numFmtId="2" fontId="8" fillId="7" borderId="25" xfId="0" applyNumberFormat="1" applyFont="1" applyFill="1" applyBorder="1" applyAlignment="1">
      <alignment horizontal="center" vertical="center" wrapText="1"/>
    </xf>
    <xf numFmtId="2" fontId="8" fillId="7" borderId="26" xfId="0" applyNumberFormat="1" applyFont="1" applyFill="1" applyBorder="1" applyAlignment="1">
      <alignment horizontal="center" vertical="center" wrapText="1"/>
    </xf>
    <xf numFmtId="10" fontId="8" fillId="7" borderId="27" xfId="0" applyNumberFormat="1" applyFont="1" applyFill="1" applyBorder="1" applyAlignment="1">
      <alignment horizontal="center" vertical="center" wrapText="1"/>
    </xf>
    <xf numFmtId="167" fontId="8" fillId="0" borderId="28" xfId="2" applyNumberFormat="1" applyFont="1" applyFill="1" applyBorder="1" applyAlignment="1">
      <alignment vertical="center" wrapText="1"/>
    </xf>
    <xf numFmtId="2" fontId="8" fillId="0" borderId="25" xfId="0" applyNumberFormat="1" applyFont="1" applyBorder="1" applyAlignment="1">
      <alignment horizontal="center" vertical="center" wrapText="1"/>
    </xf>
    <xf numFmtId="0" fontId="15" fillId="10" borderId="40" xfId="0" applyFont="1" applyFill="1" applyBorder="1" applyAlignment="1">
      <alignment vertical="center" wrapText="1"/>
    </xf>
    <xf numFmtId="0" fontId="11" fillId="0" borderId="40" xfId="0" applyFont="1" applyBorder="1"/>
    <xf numFmtId="0" fontId="15" fillId="4" borderId="40" xfId="0" applyFont="1" applyFill="1" applyBorder="1" applyAlignment="1">
      <alignment vertical="center" wrapText="1"/>
    </xf>
    <xf numFmtId="171" fontId="14" fillId="10" borderId="40" xfId="0" applyNumberFormat="1" applyFont="1" applyFill="1" applyBorder="1" applyAlignment="1">
      <alignment horizontal="center" vertical="center" wrapText="1"/>
    </xf>
    <xf numFmtId="171" fontId="15" fillId="4" borderId="40" xfId="0" applyNumberFormat="1" applyFont="1" applyFill="1" applyBorder="1" applyAlignment="1">
      <alignment horizontal="center" vertical="center" wrapText="1"/>
    </xf>
    <xf numFmtId="3" fontId="15" fillId="10" borderId="40" xfId="0" applyNumberFormat="1" applyFont="1" applyFill="1" applyBorder="1" applyAlignment="1">
      <alignment horizontal="center" vertical="center" wrapText="1"/>
    </xf>
    <xf numFmtId="0" fontId="15" fillId="4" borderId="40" xfId="0" applyFont="1" applyFill="1" applyBorder="1" applyAlignment="1">
      <alignment horizontal="center" vertical="center" wrapText="1"/>
    </xf>
    <xf numFmtId="0" fontId="14" fillId="10" borderId="40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9" fontId="15" fillId="4" borderId="31" xfId="0" applyNumberFormat="1" applyFont="1" applyFill="1" applyBorder="1" applyAlignment="1">
      <alignment horizontal="center" vertical="center" wrapText="1"/>
    </xf>
    <xf numFmtId="167" fontId="15" fillId="4" borderId="31" xfId="2" applyNumberFormat="1" applyFont="1" applyFill="1" applyBorder="1" applyAlignment="1">
      <alignment vertical="center" wrapText="1"/>
    </xf>
    <xf numFmtId="167" fontId="15" fillId="4" borderId="32" xfId="2" applyNumberFormat="1" applyFont="1" applyFill="1" applyBorder="1" applyAlignment="1">
      <alignment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9" fontId="10" fillId="4" borderId="31" xfId="3" applyFont="1" applyFill="1" applyBorder="1" applyAlignment="1">
      <alignment horizontal="center" vertical="center" wrapText="1"/>
    </xf>
    <xf numFmtId="167" fontId="10" fillId="4" borderId="31" xfId="2" applyNumberFormat="1" applyFont="1" applyFill="1" applyBorder="1" applyAlignment="1">
      <alignment vertical="center" wrapText="1"/>
    </xf>
    <xf numFmtId="167" fontId="8" fillId="4" borderId="31" xfId="2" applyNumberFormat="1" applyFont="1" applyFill="1" applyBorder="1" applyAlignment="1">
      <alignment horizontal="center" vertical="center" wrapText="1"/>
    </xf>
    <xf numFmtId="167" fontId="8" fillId="4" borderId="32" xfId="2" applyNumberFormat="1" applyFont="1" applyFill="1" applyBorder="1" applyAlignment="1">
      <alignment horizontal="center" vertical="center" wrapText="1"/>
    </xf>
    <xf numFmtId="167" fontId="8" fillId="4" borderId="30" xfId="2" applyNumberFormat="1" applyFont="1" applyFill="1" applyBorder="1" applyAlignment="1">
      <alignment horizontal="center" vertical="center" wrapText="1"/>
    </xf>
    <xf numFmtId="167" fontId="8" fillId="4" borderId="32" xfId="2" applyNumberFormat="1" applyFont="1" applyFill="1" applyBorder="1" applyAlignment="1">
      <alignment vertical="center" wrapText="1"/>
    </xf>
    <xf numFmtId="0" fontId="11" fillId="0" borderId="43" xfId="0" applyFont="1" applyBorder="1"/>
    <xf numFmtId="0" fontId="2" fillId="0" borderId="40" xfId="0" applyFont="1" applyBorder="1"/>
    <xf numFmtId="44" fontId="9" fillId="0" borderId="40" xfId="0" applyNumberFormat="1" applyFont="1" applyBorder="1"/>
    <xf numFmtId="0" fontId="15" fillId="10" borderId="40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167" fontId="9" fillId="0" borderId="40" xfId="0" applyNumberFormat="1" applyFont="1" applyBorder="1"/>
    <xf numFmtId="167" fontId="11" fillId="0" borderId="40" xfId="0" applyNumberFormat="1" applyFont="1" applyBorder="1"/>
    <xf numFmtId="0" fontId="14" fillId="10" borderId="43" xfId="0" applyFont="1" applyFill="1" applyBorder="1" applyAlignment="1">
      <alignment horizontal="center" vertical="center" wrapText="1"/>
    </xf>
    <xf numFmtId="0" fontId="13" fillId="10" borderId="43" xfId="0" applyFont="1" applyFill="1" applyBorder="1" applyAlignment="1">
      <alignment vertical="center" wrapText="1"/>
    </xf>
    <xf numFmtId="0" fontId="14" fillId="10" borderId="30" xfId="0" applyFont="1" applyFill="1" applyBorder="1" applyAlignment="1">
      <alignment horizontal="center" vertical="center" wrapText="1"/>
    </xf>
    <xf numFmtId="0" fontId="14" fillId="10" borderId="31" xfId="0" applyFont="1" applyFill="1" applyBorder="1" applyAlignment="1">
      <alignment horizontal="center" vertical="center" wrapText="1"/>
    </xf>
    <xf numFmtId="9" fontId="14" fillId="10" borderId="31" xfId="0" applyNumberFormat="1" applyFont="1" applyFill="1" applyBorder="1" applyAlignment="1">
      <alignment horizontal="center" vertical="center" wrapText="1"/>
    </xf>
    <xf numFmtId="167" fontId="14" fillId="10" borderId="31" xfId="2" applyNumberFormat="1" applyFont="1" applyFill="1" applyBorder="1" applyAlignment="1">
      <alignment vertical="center" wrapText="1"/>
    </xf>
    <xf numFmtId="167" fontId="14" fillId="10" borderId="31" xfId="2" applyNumberFormat="1" applyFont="1" applyFill="1" applyBorder="1" applyAlignment="1">
      <alignment horizontal="center" vertical="center" wrapText="1"/>
    </xf>
    <xf numFmtId="167" fontId="14" fillId="10" borderId="32" xfId="2" applyNumberFormat="1" applyFont="1" applyFill="1" applyBorder="1" applyAlignment="1">
      <alignment horizontal="center" vertical="center" wrapText="1"/>
    </xf>
    <xf numFmtId="0" fontId="8" fillId="10" borderId="30" xfId="0" applyFont="1" applyFill="1" applyBorder="1" applyAlignment="1">
      <alignment horizontal="center" vertical="center" wrapText="1"/>
    </xf>
    <xf numFmtId="0" fontId="8" fillId="10" borderId="33" xfId="0" applyFont="1" applyFill="1" applyBorder="1" applyAlignment="1">
      <alignment horizontal="center" vertical="center" wrapText="1"/>
    </xf>
    <xf numFmtId="0" fontId="8" fillId="10" borderId="31" xfId="0" applyFont="1" applyFill="1" applyBorder="1" applyAlignment="1">
      <alignment horizontal="center" vertical="center" wrapText="1"/>
    </xf>
    <xf numFmtId="9" fontId="8" fillId="10" borderId="31" xfId="3" applyFont="1" applyFill="1" applyBorder="1" applyAlignment="1">
      <alignment horizontal="center" vertical="center" wrapText="1"/>
    </xf>
    <xf numFmtId="167" fontId="8" fillId="10" borderId="31" xfId="2" applyNumberFormat="1" applyFont="1" applyFill="1" applyBorder="1" applyAlignment="1">
      <alignment vertical="center" wrapText="1"/>
    </xf>
    <xf numFmtId="167" fontId="8" fillId="10" borderId="31" xfId="2" applyNumberFormat="1" applyFont="1" applyFill="1" applyBorder="1" applyAlignment="1">
      <alignment horizontal="center" vertical="center" wrapText="1"/>
    </xf>
    <xf numFmtId="167" fontId="8" fillId="10" borderId="32" xfId="2" applyNumberFormat="1" applyFont="1" applyFill="1" applyBorder="1" applyAlignment="1">
      <alignment horizontal="center" vertical="center" wrapText="1"/>
    </xf>
    <xf numFmtId="167" fontId="8" fillId="10" borderId="30" xfId="2" applyNumberFormat="1" applyFont="1" applyFill="1" applyBorder="1" applyAlignment="1">
      <alignment horizontal="center" vertical="center" wrapText="1"/>
    </xf>
    <xf numFmtId="167" fontId="11" fillId="0" borderId="43" xfId="0" applyNumberFormat="1" applyFont="1" applyBorder="1"/>
    <xf numFmtId="0" fontId="8" fillId="7" borderId="40" xfId="0" applyFont="1" applyFill="1" applyBorder="1" applyAlignment="1">
      <alignment horizontal="left" vertical="center" wrapText="1"/>
    </xf>
    <xf numFmtId="10" fontId="6" fillId="4" borderId="11" xfId="3" applyNumberFormat="1" applyFont="1" applyFill="1" applyBorder="1" applyAlignment="1">
      <alignment horizontal="center" vertical="center" wrapText="1"/>
    </xf>
    <xf numFmtId="167" fontId="6" fillId="4" borderId="21" xfId="2" applyNumberFormat="1" applyFont="1" applyFill="1" applyBorder="1" applyAlignment="1">
      <alignment vertical="center" wrapText="1"/>
    </xf>
    <xf numFmtId="3" fontId="10" fillId="0" borderId="40" xfId="0" applyNumberFormat="1" applyFont="1" applyBorder="1"/>
    <xf numFmtId="0" fontId="5" fillId="11" borderId="40" xfId="0" applyFont="1" applyFill="1" applyBorder="1" applyAlignment="1">
      <alignment horizontal="left"/>
    </xf>
    <xf numFmtId="166" fontId="5" fillId="0" borderId="10" xfId="2" applyNumberFormat="1" applyFont="1" applyFill="1" applyBorder="1" applyAlignment="1"/>
    <xf numFmtId="0" fontId="4" fillId="2" borderId="1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9" fillId="7" borderId="41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horizontal="left" vertical="center" wrapText="1"/>
    </xf>
    <xf numFmtId="0" fontId="19" fillId="7" borderId="20" xfId="0" applyFont="1" applyFill="1" applyBorder="1" applyAlignment="1">
      <alignment horizontal="left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167" fontId="5" fillId="14" borderId="2" xfId="0" applyNumberFormat="1" applyFont="1" applyFill="1" applyBorder="1" applyAlignment="1">
      <alignment horizontal="left" vertical="center"/>
    </xf>
    <xf numFmtId="167" fontId="5" fillId="14" borderId="3" xfId="0" applyNumberFormat="1" applyFont="1" applyFill="1" applyBorder="1" applyAlignment="1">
      <alignment horizontal="left" vertical="center"/>
    </xf>
    <xf numFmtId="167" fontId="5" fillId="14" borderId="4" xfId="0" applyNumberFormat="1" applyFont="1" applyFill="1" applyBorder="1" applyAlignment="1">
      <alignment horizontal="left" vertical="center"/>
    </xf>
    <xf numFmtId="167" fontId="14" fillId="0" borderId="2" xfId="2" applyNumberFormat="1" applyFont="1" applyBorder="1" applyAlignment="1">
      <alignment horizontal="left" vertical="center"/>
    </xf>
    <xf numFmtId="167" fontId="14" fillId="0" borderId="4" xfId="2" applyNumberFormat="1" applyFont="1" applyBorder="1" applyAlignment="1">
      <alignment horizontal="left" vertical="center"/>
    </xf>
    <xf numFmtId="167" fontId="5" fillId="0" borderId="2" xfId="2" applyNumberFormat="1" applyFont="1" applyBorder="1" applyAlignment="1">
      <alignment horizontal="center" vertical="center"/>
    </xf>
    <xf numFmtId="167" fontId="5" fillId="0" borderId="4" xfId="2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</cellXfs>
  <cellStyles count="5">
    <cellStyle name="Comma" xfId="1" builtinId="3"/>
    <cellStyle name="Currency" xfId="2" builtinId="4"/>
    <cellStyle name="Normal" xfId="0" builtinId="0"/>
    <cellStyle name="Normal_IOCC BPRM Budget - June 2008 draft 1 (051208)" xfId="4" xr:uid="{4F628BFD-9A81-43B4-975C-9922F60E7494}"/>
    <cellStyle name="Percent" xfId="3" builtinId="5"/>
  </cellStyles>
  <dxfs count="0"/>
  <tableStyles count="0" defaultTableStyle="TableStyleMedium2" defaultPivotStyle="PivotStyleLight16"/>
  <colors>
    <mruColors>
      <color rgb="FFFFFFCC"/>
      <color rgb="FFE4F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ra Lishansky" id="{D5A7EC9B-4D59-472E-BC7E-02FAC6BBD625}" userId="S::alishansky@partners.net::043e359c-4bc8-4ecf-8dad-4bf46e5371f5" providerId="AD"/>
  <person displayName="Carlos Alejandro Hernández" id="{00B54641-E636-4E62-9086-AE7050F65F96}" userId="S::chernandez@partners.net::2382d6fe-7e16-4e4f-8742-e10421c5630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4-10-14T18:59:44.93" personId="{D5A7EC9B-4D59-472E-BC7E-02FAC6BBD625}" id="{5874A4B2-FBAF-49F6-A82B-615FDA18E2BA}">
    <text>Different assumptions from Original Budget and Extension Budget related to merit increase and Fringe. 
1. Merit Increase: Budget 01 was 4%, Budget 02 was 5%
2. Fringe: Budget 01 was %, Budget 02 was %</text>
  </threadedComment>
  <threadedComment ref="Q76" dT="2024-10-14T18:25:22.69" personId="{D5A7EC9B-4D59-472E-BC7E-02FAC6BBD625}" id="{DD5DDBF9-53FA-4312-84AF-D2C5E4B53226}">
    <text>Different rates used in the two budgets. $260 per ad for original budget; $250 per ad for extension budget.
I averaged the two amounts, and ended up with 255.7% per add. The final amount is just 1 dollar off.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6" dT="2024-10-14T18:59:44.93" personId="{D5A7EC9B-4D59-472E-BC7E-02FAC6BBD625}" id="{B5EAF592-1470-4081-AB98-43195EAFEC65}">
    <text>Different assumptions from Original Budget and Extension Budget related to merit increase and Fringe. 
1. Merit Increase: Budget 01 was 4%, Budget 02 was 5%
2. Fringe: Budget 01 was %, Budget 02 was %</text>
  </threadedComment>
  <threadedComment ref="N47" dT="2024-10-02T19:49:22.68" personId="{00B54641-E636-4E62-9086-AE7050F65F96}" id="{7A57E08C-23CB-4C9E-BBEF-60C56B588490}">
    <text>Decía 4000</text>
  </threadedComment>
  <threadedComment ref="N76" dT="2024-10-14T18:25:22.69" personId="{D5A7EC9B-4D59-472E-BC7E-02FAC6BBD625}" id="{5286049D-82E4-4B93-9FC7-C98B5AFAB19E}">
    <text>Different rates used in the two budgets. $260 per ad for original budget; $250 per ad for extension budget.
I averaged the two amounts, and ended up with 255.7% per add. The final amount is just 1 dollar off.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C50F-5674-41FE-BF95-E36EDFE09C5A}">
  <dimension ref="A1:P17"/>
  <sheetViews>
    <sheetView zoomScale="110" zoomScaleNormal="110" workbookViewId="0">
      <selection activeCell="A26" sqref="A26"/>
    </sheetView>
  </sheetViews>
  <sheetFormatPr defaultColWidth="10.85546875" defaultRowHeight="13.9"/>
  <cols>
    <col min="1" max="1" width="33.140625" bestFit="1" customWidth="1"/>
    <col min="2" max="16" width="12.7109375" customWidth="1"/>
  </cols>
  <sheetData>
    <row r="1" spans="1:16" ht="15.4" thickBot="1">
      <c r="A1" s="631" t="s">
        <v>0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</row>
    <row r="2" spans="1:16" ht="15.6" thickBot="1">
      <c r="A2" s="632" t="s">
        <v>1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4"/>
    </row>
    <row r="3" spans="1:16" ht="15.4">
      <c r="A3" s="1"/>
      <c r="B3" s="635" t="s">
        <v>2</v>
      </c>
      <c r="C3" s="636"/>
      <c r="D3" s="637"/>
      <c r="E3" s="635" t="s">
        <v>3</v>
      </c>
      <c r="F3" s="636"/>
      <c r="G3" s="637"/>
      <c r="H3" s="635" t="s">
        <v>4</v>
      </c>
      <c r="I3" s="636"/>
      <c r="J3" s="637"/>
      <c r="K3" s="635" t="s">
        <v>5</v>
      </c>
      <c r="L3" s="636"/>
      <c r="M3" s="637"/>
      <c r="N3" s="635" t="s">
        <v>6</v>
      </c>
      <c r="O3" s="636"/>
      <c r="P3" s="637"/>
    </row>
    <row r="4" spans="1:16" ht="15">
      <c r="A4" s="2" t="s">
        <v>7</v>
      </c>
      <c r="B4" s="3" t="s">
        <v>8</v>
      </c>
      <c r="C4" s="4" t="s">
        <v>9</v>
      </c>
      <c r="D4" s="5" t="s">
        <v>6</v>
      </c>
      <c r="E4" s="3" t="s">
        <v>8</v>
      </c>
      <c r="F4" s="4" t="s">
        <v>9</v>
      </c>
      <c r="G4" s="5" t="s">
        <v>6</v>
      </c>
      <c r="H4" s="3" t="s">
        <v>8</v>
      </c>
      <c r="I4" s="4" t="s">
        <v>9</v>
      </c>
      <c r="J4" s="5" t="s">
        <v>6</v>
      </c>
      <c r="K4" s="3" t="s">
        <v>8</v>
      </c>
      <c r="L4" s="4" t="s">
        <v>9</v>
      </c>
      <c r="M4" s="5" t="s">
        <v>6</v>
      </c>
      <c r="N4" s="3" t="s">
        <v>8</v>
      </c>
      <c r="O4" s="4" t="s">
        <v>9</v>
      </c>
      <c r="P4" s="5" t="s">
        <v>6</v>
      </c>
    </row>
    <row r="5" spans="1:16" ht="15.4">
      <c r="A5" s="6" t="s">
        <v>10</v>
      </c>
      <c r="B5" s="7">
        <f>+'Line Item Budget'!K20</f>
        <v>80210</v>
      </c>
      <c r="C5" s="239">
        <f>+'Line Item Budget'!L20</f>
        <v>0</v>
      </c>
      <c r="D5" s="8">
        <f t="shared" ref="D5:D7" si="0">B5+C5</f>
        <v>80210</v>
      </c>
      <c r="E5" s="7">
        <f>+'Line Item Budget'!S20</f>
        <v>99954.400000000009</v>
      </c>
      <c r="F5" s="239">
        <f>+'Line Item Budget'!T20</f>
        <v>0</v>
      </c>
      <c r="G5" s="8">
        <f t="shared" ref="G5:G10" si="1">E5+F5</f>
        <v>99954.400000000009</v>
      </c>
      <c r="H5" s="7">
        <f>+'Line Item Budget'!AA20</f>
        <v>114905.7</v>
      </c>
      <c r="I5" s="239">
        <f>+'Line Item Budget'!AB20</f>
        <v>0</v>
      </c>
      <c r="J5" s="8">
        <f t="shared" ref="J5:J12" si="2">H5+I5</f>
        <v>114905.7</v>
      </c>
      <c r="K5" s="7">
        <f>+'Line Item Budget'!AI20</f>
        <v>59635.107000000004</v>
      </c>
      <c r="L5" s="239">
        <f>+'Line Item Budget'!AJ20</f>
        <v>0</v>
      </c>
      <c r="M5" s="8">
        <f t="shared" ref="M5:M7" si="3">K5+L5</f>
        <v>59635.107000000004</v>
      </c>
      <c r="N5" s="7">
        <f>+B5+E5+H5+K5</f>
        <v>354705.20700000005</v>
      </c>
      <c r="O5" s="239">
        <f t="shared" ref="O5:O12" si="4">+C5+F5+I5+L5</f>
        <v>0</v>
      </c>
      <c r="P5" s="8">
        <f>+N5+O5</f>
        <v>354705.20700000005</v>
      </c>
    </row>
    <row r="6" spans="1:16" ht="15.4">
      <c r="A6" s="6" t="s">
        <v>11</v>
      </c>
      <c r="B6" s="7">
        <f>+'Line Item Budget'!K26</f>
        <v>27988.690999999999</v>
      </c>
      <c r="C6" s="239">
        <f>+'Line Item Budget'!L26</f>
        <v>0</v>
      </c>
      <c r="D6" s="8">
        <f t="shared" si="0"/>
        <v>27988.690999999999</v>
      </c>
      <c r="E6" s="7">
        <f>+'Line Item Budget'!S26</f>
        <v>32989.237840000002</v>
      </c>
      <c r="F6" s="239">
        <f>+'Line Item Budget'!T26</f>
        <v>0</v>
      </c>
      <c r="G6" s="8">
        <f t="shared" si="1"/>
        <v>32989.237840000002</v>
      </c>
      <c r="H6" s="7">
        <f>+'Line Item Budget'!AA26</f>
        <v>53739.034650000001</v>
      </c>
      <c r="I6" s="239">
        <f>+'Line Item Budget'!AB26</f>
        <v>0</v>
      </c>
      <c r="J6" s="8">
        <f t="shared" si="2"/>
        <v>53739.034650000001</v>
      </c>
      <c r="K6" s="7">
        <f>+'Line Item Budget'!AI26</f>
        <v>27864.962451899999</v>
      </c>
      <c r="L6" s="239">
        <f>+'Line Item Budget'!AJ26</f>
        <v>0</v>
      </c>
      <c r="M6" s="8">
        <f t="shared" si="3"/>
        <v>27864.962451899999</v>
      </c>
      <c r="N6" s="7">
        <f t="shared" ref="N6:N13" si="5">+B6+E6+H6+K6</f>
        <v>142581.9259419</v>
      </c>
      <c r="O6" s="239">
        <f t="shared" si="4"/>
        <v>0</v>
      </c>
      <c r="P6" s="8">
        <f t="shared" ref="P6:P13" si="6">+N6+O6</f>
        <v>142581.9259419</v>
      </c>
    </row>
    <row r="7" spans="1:16" ht="15.4">
      <c r="A7" s="6" t="s">
        <v>12</v>
      </c>
      <c r="B7" s="7">
        <f>+'Line Item Budget'!K38</f>
        <v>7135</v>
      </c>
      <c r="C7" s="239">
        <f>+'Line Item Budget'!L38</f>
        <v>0</v>
      </c>
      <c r="D7" s="8">
        <f t="shared" si="0"/>
        <v>7135</v>
      </c>
      <c r="E7" s="7">
        <f>+'Line Item Budget'!S38</f>
        <v>7420.4</v>
      </c>
      <c r="F7" s="239">
        <f>+'Line Item Budget'!T38</f>
        <v>0</v>
      </c>
      <c r="G7" s="8">
        <f t="shared" si="1"/>
        <v>7420.4</v>
      </c>
      <c r="H7" s="7">
        <f>+'Line Item Budget'!AA38</f>
        <v>2573</v>
      </c>
      <c r="I7" s="239">
        <f>+'Line Item Budget'!AB38</f>
        <v>0</v>
      </c>
      <c r="J7" s="8">
        <f t="shared" si="2"/>
        <v>2573</v>
      </c>
      <c r="K7" s="7">
        <f>+'Line Item Budget'!AI38</f>
        <v>1175.2</v>
      </c>
      <c r="L7" s="239">
        <f>+'Line Item Budget'!AJ38</f>
        <v>0</v>
      </c>
      <c r="M7" s="8">
        <f t="shared" si="3"/>
        <v>1175.2</v>
      </c>
      <c r="N7" s="7">
        <f t="shared" si="5"/>
        <v>18303.600000000002</v>
      </c>
      <c r="O7" s="239">
        <f t="shared" si="4"/>
        <v>0</v>
      </c>
      <c r="P7" s="8">
        <f t="shared" si="6"/>
        <v>18303.600000000002</v>
      </c>
    </row>
    <row r="8" spans="1:16" ht="15.4">
      <c r="A8" s="6" t="s">
        <v>13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</row>
    <row r="9" spans="1:16" ht="15.4">
      <c r="A9" s="6" t="s">
        <v>14</v>
      </c>
      <c r="B9" s="7">
        <f>+'Line Item Budget'!K44</f>
        <v>3600</v>
      </c>
      <c r="C9" s="239">
        <f>+'Line Item Budget'!L44</f>
        <v>0</v>
      </c>
      <c r="D9" s="8">
        <f>B9+C9</f>
        <v>3600</v>
      </c>
      <c r="E9" s="7">
        <f>+'Line Item Budget'!S44</f>
        <v>3046</v>
      </c>
      <c r="F9" s="239">
        <f>+'Line Item Budget'!T44</f>
        <v>0</v>
      </c>
      <c r="G9" s="8">
        <f>E9+F9</f>
        <v>3046</v>
      </c>
      <c r="H9" s="7">
        <f>+'Line Item Budget'!AA44</f>
        <v>374.40000000000003</v>
      </c>
      <c r="I9" s="239">
        <f>+'Line Item Budget'!AB44</f>
        <v>0</v>
      </c>
      <c r="J9" s="8">
        <f t="shared" si="2"/>
        <v>374.40000000000003</v>
      </c>
      <c r="K9" s="7">
        <f>+'Line Item Budget'!AI44</f>
        <v>193.79999999999998</v>
      </c>
      <c r="L9" s="239">
        <f>+'Line Item Budget'!AJ44</f>
        <v>0</v>
      </c>
      <c r="M9" s="8">
        <f t="shared" ref="M9:M10" si="7">K9+L9</f>
        <v>193.79999999999998</v>
      </c>
      <c r="N9" s="7">
        <f t="shared" si="5"/>
        <v>7214.2</v>
      </c>
      <c r="O9" s="239">
        <f t="shared" si="4"/>
        <v>0</v>
      </c>
      <c r="P9" s="8">
        <f t="shared" si="6"/>
        <v>7214.2</v>
      </c>
    </row>
    <row r="10" spans="1:16" ht="15.4">
      <c r="A10" s="6" t="s">
        <v>15</v>
      </c>
      <c r="B10" s="7">
        <f>+'Line Item Budget'!K61</f>
        <v>115900</v>
      </c>
      <c r="C10" s="239">
        <f>+'Line Item Budget'!L61</f>
        <v>0</v>
      </c>
      <c r="D10" s="8">
        <f t="shared" ref="D10" si="8">B10+C10</f>
        <v>115900</v>
      </c>
      <c r="E10" s="7">
        <f>+'Line Item Budget'!S61</f>
        <v>324287.41666666669</v>
      </c>
      <c r="F10" s="239">
        <f>+'Line Item Budget'!T61</f>
        <v>0</v>
      </c>
      <c r="G10" s="8">
        <f t="shared" si="1"/>
        <v>324287.41666666669</v>
      </c>
      <c r="H10" s="7">
        <f>+'Line Item Budget'!AA61</f>
        <v>535208.16666666674</v>
      </c>
      <c r="I10" s="239">
        <f>+'Line Item Budget'!AB61</f>
        <v>0</v>
      </c>
      <c r="J10" s="8">
        <f t="shared" si="2"/>
        <v>535208.16666666674</v>
      </c>
      <c r="K10" s="7">
        <f>+'Line Item Budget'!AI61</f>
        <v>46687.416666666664</v>
      </c>
      <c r="L10" s="239">
        <f>+'Line Item Budget'!AJ61</f>
        <v>0</v>
      </c>
      <c r="M10" s="8">
        <f t="shared" si="7"/>
        <v>46687.416666666664</v>
      </c>
      <c r="N10" s="7">
        <f t="shared" si="5"/>
        <v>1022083.0000000001</v>
      </c>
      <c r="O10" s="239">
        <f t="shared" si="4"/>
        <v>0</v>
      </c>
      <c r="P10" s="8">
        <f t="shared" si="6"/>
        <v>1022083.0000000001</v>
      </c>
    </row>
    <row r="11" spans="1:16" ht="15.4">
      <c r="A11" s="6" t="s">
        <v>16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</row>
    <row r="12" spans="1:16" ht="15.4">
      <c r="A12" s="6" t="s">
        <v>17</v>
      </c>
      <c r="B12" s="7">
        <f>+'Line Item Budget'!K86</f>
        <v>39031</v>
      </c>
      <c r="C12" s="239">
        <f>+'Line Item Budget'!L86</f>
        <v>0</v>
      </c>
      <c r="D12" s="8">
        <f>B12+C12</f>
        <v>39031</v>
      </c>
      <c r="E12" s="630">
        <f>+'Line Item Budget'!S86</f>
        <v>251211.63999999998</v>
      </c>
      <c r="F12" s="239">
        <f>+'Line Item Budget'!T86</f>
        <v>0</v>
      </c>
      <c r="G12" s="8">
        <f>E12+F12</f>
        <v>251211.63999999998</v>
      </c>
      <c r="H12" s="7">
        <f>+'Line Item Budget'!AA86</f>
        <v>48315.040000000001</v>
      </c>
      <c r="I12" s="239">
        <f>+'Line Item Budget'!AB86</f>
        <v>0</v>
      </c>
      <c r="J12" s="8">
        <f t="shared" si="2"/>
        <v>48315.040000000001</v>
      </c>
      <c r="K12" s="7">
        <f>+'Line Item Budget'!AI86</f>
        <v>23728.088800000005</v>
      </c>
      <c r="L12" s="239">
        <f>+'Line Item Budget'!AJ86</f>
        <v>0</v>
      </c>
      <c r="M12" s="8">
        <f t="shared" ref="M12" si="9">K12+L12</f>
        <v>23728.088800000005</v>
      </c>
      <c r="N12" s="7">
        <f t="shared" si="5"/>
        <v>362285.76880000002</v>
      </c>
      <c r="O12" s="239">
        <f t="shared" si="4"/>
        <v>0</v>
      </c>
      <c r="P12" s="346">
        <f t="shared" si="6"/>
        <v>362285.76880000002</v>
      </c>
    </row>
    <row r="13" spans="1:16" ht="15">
      <c r="A13" s="13" t="s">
        <v>18</v>
      </c>
      <c r="B13" s="14">
        <f>SUM(B5:B12)</f>
        <v>273864.69099999999</v>
      </c>
      <c r="C13" s="15">
        <f>SUM(C5:C12)</f>
        <v>0</v>
      </c>
      <c r="D13" s="16">
        <f>B13+C13</f>
        <v>273864.69099999999</v>
      </c>
      <c r="E13" s="14">
        <f>SUM(E5:E12)</f>
        <v>718909.09450666665</v>
      </c>
      <c r="F13" s="15">
        <f>SUM(F5:F12)</f>
        <v>0</v>
      </c>
      <c r="G13" s="16">
        <f>E13+F13</f>
        <v>718909.09450666665</v>
      </c>
      <c r="H13" s="14">
        <f>SUM(H5:H12)</f>
        <v>755115.3413166668</v>
      </c>
      <c r="I13" s="15">
        <f>SUM(I5:I12)</f>
        <v>0</v>
      </c>
      <c r="J13" s="16">
        <f>H13+I13</f>
        <v>755115.3413166668</v>
      </c>
      <c r="K13" s="14">
        <f>SUM(K5:K12)</f>
        <v>159284.57491856665</v>
      </c>
      <c r="L13" s="15">
        <f>SUM(L5:L12)</f>
        <v>0</v>
      </c>
      <c r="M13" s="16">
        <f>K13+L13</f>
        <v>159284.57491856665</v>
      </c>
      <c r="N13" s="14">
        <f t="shared" si="5"/>
        <v>1907173.7017419003</v>
      </c>
      <c r="O13" s="15">
        <f>+C13+F13+I13+L13</f>
        <v>0</v>
      </c>
      <c r="P13" s="16">
        <f t="shared" si="6"/>
        <v>1907173.7017419003</v>
      </c>
    </row>
    <row r="14" spans="1:16" ht="15.4">
      <c r="A14" s="6" t="s">
        <v>19</v>
      </c>
      <c r="B14" s="7">
        <f>+'Line Item Budget'!K89</f>
        <v>77448.93461479999</v>
      </c>
      <c r="C14" s="9">
        <f>+'Line Item Budget'!L89</f>
        <v>0</v>
      </c>
      <c r="D14" s="8">
        <f>B14+C14</f>
        <v>77448.93461479999</v>
      </c>
      <c r="E14" s="7">
        <f>+'Line Item Budget'!S89</f>
        <v>203307.49192648532</v>
      </c>
      <c r="F14" s="9">
        <f>+'Line Item Budget'!T89</f>
        <v>0</v>
      </c>
      <c r="G14" s="8">
        <f>E14+F14</f>
        <v>203307.49192648532</v>
      </c>
      <c r="H14" s="7">
        <f>+'Line Item Budget'!AA89</f>
        <v>213546.61852435337</v>
      </c>
      <c r="I14" s="9">
        <f>+'Line Item Budget'!AB89</f>
        <v>0</v>
      </c>
      <c r="J14" s="8">
        <f>H14+I14</f>
        <v>213546.61852435337</v>
      </c>
      <c r="K14" s="7">
        <f>+'Line Item Budget'!AI89</f>
        <v>45048.127786970646</v>
      </c>
      <c r="L14" s="9">
        <f>+'Line Item Budget'!AJ89</f>
        <v>0</v>
      </c>
      <c r="M14" s="8">
        <f>K14+L14</f>
        <v>45048.127786970646</v>
      </c>
      <c r="N14" s="7">
        <f t="shared" ref="N14" si="10">+B14+E14+H14+K14</f>
        <v>539351.17285260931</v>
      </c>
      <c r="O14" s="239">
        <f t="shared" ref="O14" si="11">+C14+F14+I14+L14</f>
        <v>0</v>
      </c>
      <c r="P14" s="346">
        <f t="shared" ref="P14" si="12">+N14+O14</f>
        <v>539351.17285260931</v>
      </c>
    </row>
    <row r="15" spans="1:16" ht="15.4" thickBot="1">
      <c r="A15" s="17" t="s">
        <v>20</v>
      </c>
      <c r="B15" s="18">
        <f>+B13+B14</f>
        <v>351313.62561479997</v>
      </c>
      <c r="C15" s="19">
        <f>+C13+C14</f>
        <v>0</v>
      </c>
      <c r="D15" s="20">
        <f>D13+D14</f>
        <v>351313.62561479997</v>
      </c>
      <c r="E15" s="18">
        <f>+E13+E14</f>
        <v>922216.58643315197</v>
      </c>
      <c r="F15" s="19">
        <f>+F13+F14</f>
        <v>0</v>
      </c>
      <c r="G15" s="20">
        <f>G13+G14</f>
        <v>922216.58643315197</v>
      </c>
      <c r="H15" s="18">
        <f>+H13+H14</f>
        <v>968661.95984102017</v>
      </c>
      <c r="I15" s="19">
        <f>+I13+I14</f>
        <v>0</v>
      </c>
      <c r="J15" s="20">
        <f>J13+J14</f>
        <v>968661.95984102017</v>
      </c>
      <c r="K15" s="18">
        <f>+K13+K14</f>
        <v>204332.70270553729</v>
      </c>
      <c r="L15" s="19">
        <f>+L13+L14</f>
        <v>0</v>
      </c>
      <c r="M15" s="20">
        <f>M13+M14</f>
        <v>204332.70270553729</v>
      </c>
      <c r="N15" s="18">
        <f>N14+N13</f>
        <v>2446524.8745945096</v>
      </c>
      <c r="O15" s="19">
        <f>+C15+F15+I15+L15</f>
        <v>0</v>
      </c>
      <c r="P15" s="20">
        <f>+N15+O15</f>
        <v>2446524.8745945096</v>
      </c>
    </row>
    <row r="17" spans="10:10">
      <c r="J17" s="21"/>
    </row>
  </sheetData>
  <mergeCells count="7">
    <mergeCell ref="A1:P1"/>
    <mergeCell ref="A2:P2"/>
    <mergeCell ref="E3:G3"/>
    <mergeCell ref="H3:J3"/>
    <mergeCell ref="K3:M3"/>
    <mergeCell ref="N3:P3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5BD6-A943-4164-9720-5BEBF0D9F7CD}">
  <dimension ref="A1:BA98"/>
  <sheetViews>
    <sheetView tabSelected="1" zoomScale="85" zoomScaleNormal="85" workbookViewId="0">
      <pane xSplit="4" ySplit="1" topLeftCell="E2" activePane="bottomRight" state="frozen"/>
      <selection pane="bottomRight" activeCell="A33" sqref="A33"/>
      <selection pane="bottomLeft" activeCell="C20" sqref="C20"/>
      <selection pane="topRight" activeCell="C20" sqref="C20"/>
    </sheetView>
  </sheetViews>
  <sheetFormatPr defaultColWidth="9.140625" defaultRowHeight="13.9"/>
  <cols>
    <col min="1" max="1" width="16" customWidth="1"/>
    <col min="2" max="2" width="13.42578125" customWidth="1"/>
    <col min="4" max="4" width="49.28515625" customWidth="1"/>
    <col min="5" max="5" width="7.7109375" customWidth="1"/>
    <col min="6" max="6" width="15.85546875" customWidth="1"/>
    <col min="7" max="7" width="6.7109375" customWidth="1"/>
    <col min="8" max="8" width="8.42578125" customWidth="1"/>
    <col min="9" max="9" width="15.140625" customWidth="1"/>
    <col min="10" max="10" width="19" customWidth="1"/>
    <col min="11" max="11" width="15.140625" customWidth="1"/>
    <col min="12" max="12" width="11.42578125" customWidth="1"/>
    <col min="13" max="13" width="6.7109375" customWidth="1"/>
    <col min="14" max="14" width="16.42578125" customWidth="1"/>
    <col min="15" max="15" width="11.42578125" customWidth="1"/>
    <col min="16" max="16" width="11.42578125" style="230" customWidth="1"/>
    <col min="17" max="17" width="13.85546875" customWidth="1"/>
    <col min="18" max="18" width="21.28515625" customWidth="1"/>
    <col min="19" max="19" width="17.5703125" customWidth="1"/>
    <col min="20" max="20" width="11.42578125" customWidth="1"/>
    <col min="21" max="21" width="15.7109375" customWidth="1"/>
    <col min="22" max="22" width="17.28515625" customWidth="1"/>
    <col min="23" max="23" width="6.7109375" customWidth="1"/>
    <col min="24" max="24" width="11.5703125" style="230" customWidth="1"/>
    <col min="25" max="25" width="15.140625" customWidth="1"/>
    <col min="26" max="26" width="16.42578125" customWidth="1"/>
    <col min="27" max="27" width="15.42578125" customWidth="1"/>
    <col min="28" max="28" width="13.42578125" customWidth="1"/>
    <col min="29" max="29" width="6.85546875" customWidth="1"/>
    <col min="30" max="30" width="13.140625" customWidth="1"/>
    <col min="31" max="31" width="6.85546875" customWidth="1"/>
    <col min="32" max="32" width="12.85546875" style="230" customWidth="1"/>
    <col min="33" max="33" width="14.42578125" customWidth="1"/>
    <col min="34" max="34" width="15.140625" customWidth="1"/>
    <col min="35" max="35" width="14.85546875" customWidth="1"/>
    <col min="36" max="36" width="11.42578125" customWidth="1"/>
    <col min="37" max="37" width="19.5703125" customWidth="1"/>
    <col min="38" max="38" width="11.42578125" customWidth="1"/>
    <col min="39" max="39" width="17.28515625" customWidth="1"/>
    <col min="40" max="40" width="13.140625" customWidth="1"/>
    <col min="41" max="41" width="11.28515625" bestFit="1" customWidth="1"/>
  </cols>
  <sheetData>
    <row r="1" spans="1:42" ht="30.75" customHeight="1">
      <c r="D1" s="644" t="s">
        <v>21</v>
      </c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</row>
    <row r="2" spans="1:42" ht="20.45" thickBot="1">
      <c r="A2" s="475" t="s">
        <v>22</v>
      </c>
      <c r="B2" s="476" t="s">
        <v>23</v>
      </c>
      <c r="D2" s="22" t="s">
        <v>24</v>
      </c>
      <c r="E2" s="23">
        <v>1.05</v>
      </c>
      <c r="F2" s="24"/>
      <c r="G2" s="25"/>
      <c r="H2" s="26"/>
      <c r="I2" s="27"/>
      <c r="J2" s="27"/>
      <c r="K2" s="27"/>
      <c r="L2" s="27"/>
      <c r="M2" s="28"/>
      <c r="N2" s="28"/>
      <c r="O2" s="29"/>
      <c r="P2" s="30"/>
      <c r="Q2" s="27"/>
      <c r="R2" s="27"/>
      <c r="S2" s="27"/>
      <c r="T2" s="27"/>
      <c r="U2" s="28"/>
      <c r="V2" s="28"/>
      <c r="W2" s="28"/>
      <c r="X2" s="30"/>
      <c r="Y2" s="27"/>
      <c r="Z2" s="27"/>
      <c r="AA2" s="27"/>
      <c r="AB2" s="27"/>
      <c r="AC2" s="28"/>
      <c r="AD2" s="28"/>
      <c r="AE2" s="28"/>
      <c r="AF2" s="30"/>
      <c r="AG2" s="31"/>
      <c r="AH2" s="31"/>
      <c r="AI2" s="31"/>
      <c r="AJ2" s="31"/>
      <c r="AK2" s="27"/>
      <c r="AL2" s="27"/>
      <c r="AM2" s="27"/>
    </row>
    <row r="3" spans="1:42" ht="29.45" customHeight="1" thickBot="1">
      <c r="A3" s="477" t="s">
        <v>25</v>
      </c>
      <c r="B3" s="478">
        <v>20200</v>
      </c>
      <c r="D3" s="459" t="s">
        <v>26</v>
      </c>
      <c r="E3" s="460">
        <v>1.04</v>
      </c>
      <c r="F3" s="461"/>
      <c r="G3" s="462"/>
      <c r="H3" s="463"/>
      <c r="I3" s="464"/>
      <c r="J3" s="464"/>
      <c r="K3" s="464"/>
      <c r="L3" s="464"/>
      <c r="M3" s="465"/>
      <c r="N3" s="466"/>
      <c r="O3" s="646" t="s">
        <v>27</v>
      </c>
      <c r="P3" s="647"/>
      <c r="Q3" s="648"/>
      <c r="R3" s="649" t="s">
        <v>28</v>
      </c>
      <c r="S3" s="650"/>
      <c r="T3" s="651" t="s">
        <v>29</v>
      </c>
      <c r="U3" s="652"/>
      <c r="V3" s="653" t="s">
        <v>30</v>
      </c>
      <c r="W3" s="654"/>
      <c r="X3" s="655"/>
      <c r="Y3" s="464"/>
      <c r="Z3" s="464"/>
      <c r="AA3" s="464"/>
      <c r="AB3" s="464"/>
      <c r="AC3" s="466"/>
      <c r="AD3" s="466"/>
      <c r="AE3" s="466"/>
      <c r="AF3" s="467"/>
      <c r="AG3" s="468"/>
      <c r="AH3" s="468"/>
      <c r="AI3" s="468"/>
      <c r="AJ3" s="468"/>
      <c r="AK3" s="464"/>
      <c r="AL3" s="464"/>
      <c r="AM3" s="464"/>
    </row>
    <row r="4" spans="1:42" ht="20.45" thickBot="1">
      <c r="A4" s="479" t="s">
        <v>31</v>
      </c>
      <c r="B4" s="480" t="s">
        <v>32</v>
      </c>
      <c r="D4" s="28"/>
      <c r="E4" s="28"/>
      <c r="F4" s="24"/>
      <c r="G4" s="25"/>
      <c r="H4" s="26"/>
      <c r="I4" s="27"/>
      <c r="J4" s="27"/>
      <c r="K4" s="27"/>
      <c r="L4" s="27"/>
      <c r="M4" s="28"/>
      <c r="N4" s="28"/>
      <c r="O4" s="28"/>
      <c r="P4" s="30"/>
      <c r="Q4" s="27"/>
      <c r="R4" s="27"/>
      <c r="S4" s="27"/>
      <c r="T4" s="27"/>
      <c r="U4" s="28"/>
      <c r="V4" s="28"/>
      <c r="W4" s="28"/>
      <c r="X4" s="30"/>
      <c r="Y4" s="27"/>
      <c r="Z4" s="27"/>
      <c r="AA4" s="27"/>
      <c r="AB4" s="27"/>
      <c r="AC4" s="28"/>
      <c r="AD4" s="28"/>
      <c r="AE4" s="28"/>
      <c r="AF4" s="30"/>
      <c r="AG4" s="31"/>
      <c r="AH4" s="31"/>
      <c r="AI4" s="31"/>
      <c r="AJ4" s="31"/>
      <c r="AK4" s="27"/>
      <c r="AL4" s="27"/>
      <c r="AM4" s="27"/>
    </row>
    <row r="5" spans="1:42" ht="18.75" customHeight="1">
      <c r="A5" s="638" t="s">
        <v>33</v>
      </c>
      <c r="B5" s="640" t="s">
        <v>34</v>
      </c>
      <c r="C5" s="642" t="s">
        <v>35</v>
      </c>
      <c r="D5" s="32" t="s">
        <v>36</v>
      </c>
      <c r="E5" s="645" t="s">
        <v>37</v>
      </c>
      <c r="F5" s="645"/>
      <c r="G5" s="645"/>
      <c r="H5" s="645"/>
      <c r="I5" s="645"/>
      <c r="J5" s="645"/>
      <c r="K5" s="645"/>
      <c r="L5" s="645"/>
      <c r="M5" s="645" t="s">
        <v>38</v>
      </c>
      <c r="N5" s="645"/>
      <c r="O5" s="645"/>
      <c r="P5" s="645"/>
      <c r="Q5" s="645"/>
      <c r="R5" s="645"/>
      <c r="S5" s="645"/>
      <c r="T5" s="645"/>
      <c r="U5" s="645" t="s">
        <v>39</v>
      </c>
      <c r="V5" s="645"/>
      <c r="W5" s="645"/>
      <c r="X5" s="645"/>
      <c r="Y5" s="645"/>
      <c r="Z5" s="645"/>
      <c r="AA5" s="645"/>
      <c r="AB5" s="645"/>
      <c r="AC5" s="645" t="s">
        <v>40</v>
      </c>
      <c r="AD5" s="645"/>
      <c r="AE5" s="645"/>
      <c r="AF5" s="645"/>
      <c r="AG5" s="645"/>
      <c r="AH5" s="645"/>
      <c r="AI5" s="645"/>
      <c r="AJ5" s="645"/>
      <c r="AK5" s="645" t="s">
        <v>41</v>
      </c>
      <c r="AL5" s="645"/>
      <c r="AM5" s="645"/>
    </row>
    <row r="6" spans="1:42" ht="15.4" thickBot="1">
      <c r="A6" s="639"/>
      <c r="B6" s="641"/>
      <c r="C6" s="643"/>
      <c r="D6" s="33" t="s">
        <v>42</v>
      </c>
      <c r="E6" s="34" t="s">
        <v>43</v>
      </c>
      <c r="F6" s="35" t="s">
        <v>44</v>
      </c>
      <c r="G6" s="35" t="s">
        <v>45</v>
      </c>
      <c r="H6" s="36" t="s">
        <v>46</v>
      </c>
      <c r="I6" s="37" t="s">
        <v>47</v>
      </c>
      <c r="J6" s="37" t="s">
        <v>6</v>
      </c>
      <c r="K6" s="37" t="s">
        <v>48</v>
      </c>
      <c r="L6" s="38" t="s">
        <v>9</v>
      </c>
      <c r="M6" s="39" t="s">
        <v>43</v>
      </c>
      <c r="N6" s="34" t="s">
        <v>44</v>
      </c>
      <c r="O6" s="35" t="s">
        <v>45</v>
      </c>
      <c r="P6" s="40" t="s">
        <v>46</v>
      </c>
      <c r="Q6" s="37" t="s">
        <v>47</v>
      </c>
      <c r="R6" s="37" t="s">
        <v>6</v>
      </c>
      <c r="S6" s="37" t="s">
        <v>48</v>
      </c>
      <c r="T6" s="38" t="s">
        <v>9</v>
      </c>
      <c r="U6" s="39" t="s">
        <v>43</v>
      </c>
      <c r="V6" s="34" t="s">
        <v>44</v>
      </c>
      <c r="W6" s="35" t="s">
        <v>45</v>
      </c>
      <c r="X6" s="40" t="s">
        <v>46</v>
      </c>
      <c r="Y6" s="37" t="s">
        <v>47</v>
      </c>
      <c r="Z6" s="37" t="s">
        <v>6</v>
      </c>
      <c r="AA6" s="37" t="s">
        <v>48</v>
      </c>
      <c r="AB6" s="41" t="s">
        <v>9</v>
      </c>
      <c r="AC6" s="39" t="s">
        <v>43</v>
      </c>
      <c r="AD6" s="34" t="s">
        <v>44</v>
      </c>
      <c r="AE6" s="35" t="s">
        <v>45</v>
      </c>
      <c r="AF6" s="40" t="s">
        <v>46</v>
      </c>
      <c r="AG6" s="37" t="s">
        <v>47</v>
      </c>
      <c r="AH6" s="37" t="s">
        <v>6</v>
      </c>
      <c r="AI6" s="37" t="s">
        <v>48</v>
      </c>
      <c r="AJ6" s="41" t="s">
        <v>9</v>
      </c>
      <c r="AK6" s="42" t="s">
        <v>48</v>
      </c>
      <c r="AL6" s="37" t="s">
        <v>9</v>
      </c>
      <c r="AM6" s="38" t="s">
        <v>49</v>
      </c>
    </row>
    <row r="7" spans="1:42" ht="15">
      <c r="A7" s="485"/>
      <c r="B7" s="499"/>
      <c r="C7" s="485"/>
      <c r="D7" s="43" t="s">
        <v>10</v>
      </c>
      <c r="E7" s="44"/>
      <c r="F7" s="45"/>
      <c r="G7" s="46"/>
      <c r="H7" s="47"/>
      <c r="I7" s="48"/>
      <c r="J7" s="48"/>
      <c r="K7" s="49"/>
      <c r="L7" s="50"/>
      <c r="M7" s="51"/>
      <c r="N7" s="52"/>
      <c r="O7" s="53"/>
      <c r="P7" s="54"/>
      <c r="Q7" s="48"/>
      <c r="R7" s="48"/>
      <c r="S7" s="48"/>
      <c r="T7" s="50"/>
      <c r="U7" s="51"/>
      <c r="V7" s="52"/>
      <c r="W7" s="53"/>
      <c r="X7" s="54"/>
      <c r="Y7" s="48"/>
      <c r="Z7" s="48"/>
      <c r="AA7" s="48"/>
      <c r="AB7" s="50"/>
      <c r="AC7" s="51"/>
      <c r="AD7" s="52"/>
      <c r="AE7" s="53"/>
      <c r="AF7" s="54"/>
      <c r="AG7" s="48"/>
      <c r="AH7" s="48"/>
      <c r="AI7" s="48"/>
      <c r="AJ7" s="50"/>
      <c r="AK7" s="55"/>
      <c r="AL7" s="49"/>
      <c r="AM7" s="56"/>
    </row>
    <row r="8" spans="1:42" ht="15.4">
      <c r="D8" s="511" t="s">
        <v>50</v>
      </c>
      <c r="E8" s="512"/>
      <c r="F8" s="513"/>
      <c r="G8" s="514"/>
      <c r="H8" s="515"/>
      <c r="I8" s="516"/>
      <c r="J8" s="516"/>
      <c r="K8" s="517"/>
      <c r="L8" s="518"/>
      <c r="M8" s="519"/>
      <c r="N8" s="520"/>
      <c r="O8" s="521"/>
      <c r="P8" s="522"/>
      <c r="Q8" s="523"/>
      <c r="R8" s="523"/>
      <c r="S8" s="524"/>
      <c r="T8" s="525"/>
      <c r="U8" s="519"/>
      <c r="V8" s="520"/>
      <c r="W8" s="521"/>
      <c r="X8" s="522"/>
      <c r="Y8" s="523"/>
      <c r="Z8" s="523"/>
      <c r="AA8" s="524"/>
      <c r="AB8" s="526"/>
      <c r="AC8" s="519"/>
      <c r="AD8" s="520"/>
      <c r="AE8" s="521"/>
      <c r="AF8" s="522"/>
      <c r="AG8" s="527"/>
      <c r="AH8" s="527"/>
      <c r="AI8" s="528"/>
      <c r="AJ8" s="526"/>
      <c r="AK8" s="529"/>
      <c r="AL8" s="524"/>
      <c r="AM8" s="530"/>
    </row>
    <row r="9" spans="1:42" s="552" customFormat="1" ht="15.4">
      <c r="A9" s="482" t="s">
        <v>51</v>
      </c>
      <c r="B9" s="481">
        <v>70000</v>
      </c>
      <c r="C9" s="482" t="s">
        <v>52</v>
      </c>
      <c r="D9" s="486" t="s">
        <v>53</v>
      </c>
      <c r="E9" s="246">
        <v>1</v>
      </c>
      <c r="F9" s="247" t="s">
        <v>54</v>
      </c>
      <c r="G9" s="248">
        <v>12</v>
      </c>
      <c r="H9" s="249">
        <v>0.05</v>
      </c>
      <c r="I9" s="250">
        <v>13450</v>
      </c>
      <c r="J9" s="250">
        <f>E9*I9*G9*H9</f>
        <v>8070</v>
      </c>
      <c r="K9" s="255">
        <f>J9</f>
        <v>8070</v>
      </c>
      <c r="L9" s="296">
        <f>J9-K9</f>
        <v>0</v>
      </c>
      <c r="M9" s="303">
        <v>1</v>
      </c>
      <c r="N9" s="318" t="s">
        <v>54</v>
      </c>
      <c r="O9" s="304">
        <v>12</v>
      </c>
      <c r="P9" s="305">
        <v>0.05</v>
      </c>
      <c r="Q9" s="306">
        <f>+I9*1.04</f>
        <v>13988</v>
      </c>
      <c r="R9" s="306">
        <f t="shared" ref="R9:R16" si="0">M9*Q9*O9*P9</f>
        <v>8392.8000000000011</v>
      </c>
      <c r="S9" s="306">
        <f t="shared" ref="S9:S18" si="1">R9</f>
        <v>8392.8000000000011</v>
      </c>
      <c r="T9" s="307">
        <f t="shared" ref="T9:T18" si="2">R9-S9</f>
        <v>0</v>
      </c>
      <c r="U9" s="123"/>
      <c r="V9" s="124"/>
      <c r="W9" s="125"/>
      <c r="X9" s="114"/>
      <c r="Y9" s="85"/>
      <c r="Z9" s="85"/>
      <c r="AA9" s="85"/>
      <c r="AB9" s="319"/>
      <c r="AC9" s="123"/>
      <c r="AD9" s="124"/>
      <c r="AE9" s="125"/>
      <c r="AF9" s="114"/>
      <c r="AG9" s="85"/>
      <c r="AH9" s="85"/>
      <c r="AI9" s="85"/>
      <c r="AJ9" s="319"/>
      <c r="AK9" s="87">
        <f t="shared" ref="AK9:AL16" si="3">K9+S9+AA9+AI9</f>
        <v>16462.800000000003</v>
      </c>
      <c r="AL9" s="85">
        <f t="shared" si="3"/>
        <v>0</v>
      </c>
      <c r="AM9" s="86">
        <f t="shared" ref="AM9:AM18" si="4">+AK9+AL9</f>
        <v>16462.800000000003</v>
      </c>
      <c r="AN9" s="551"/>
      <c r="AO9" s="551"/>
      <c r="AP9" s="551"/>
    </row>
    <row r="10" spans="1:42" s="552" customFormat="1" ht="15.4">
      <c r="A10" s="484" t="s">
        <v>55</v>
      </c>
      <c r="B10" s="483">
        <v>70000</v>
      </c>
      <c r="C10" s="484" t="s">
        <v>52</v>
      </c>
      <c r="D10" s="487" t="s">
        <v>56</v>
      </c>
      <c r="E10" s="246">
        <v>1</v>
      </c>
      <c r="F10" s="247" t="s">
        <v>54</v>
      </c>
      <c r="G10" s="248">
        <v>12</v>
      </c>
      <c r="H10" s="249">
        <v>0.1</v>
      </c>
      <c r="I10" s="250">
        <v>8650</v>
      </c>
      <c r="J10" s="250">
        <f>E10*I10*G10*H10</f>
        <v>10380</v>
      </c>
      <c r="K10" s="255">
        <f>J10</f>
        <v>10380</v>
      </c>
      <c r="L10" s="296">
        <f>J10-K10</f>
        <v>0</v>
      </c>
      <c r="M10" s="303">
        <v>1</v>
      </c>
      <c r="N10" s="318" t="s">
        <v>54</v>
      </c>
      <c r="O10" s="304">
        <v>12</v>
      </c>
      <c r="P10" s="305">
        <v>0.1</v>
      </c>
      <c r="Q10" s="306">
        <f>I10*$E$3</f>
        <v>8996</v>
      </c>
      <c r="R10" s="306">
        <f t="shared" si="0"/>
        <v>10795.2</v>
      </c>
      <c r="S10" s="306">
        <f t="shared" si="1"/>
        <v>10795.2</v>
      </c>
      <c r="T10" s="307">
        <f t="shared" si="2"/>
        <v>0</v>
      </c>
      <c r="U10" s="123">
        <v>1</v>
      </c>
      <c r="V10" s="124" t="s">
        <v>54</v>
      </c>
      <c r="W10" s="125">
        <v>12</v>
      </c>
      <c r="X10" s="347">
        <v>1</v>
      </c>
      <c r="Y10" s="348">
        <v>4830</v>
      </c>
      <c r="Z10" s="85">
        <f>U10*Y10*W10*X10</f>
        <v>57960</v>
      </c>
      <c r="AA10" s="85">
        <f t="shared" ref="AA10:AA18" si="5">Z10</f>
        <v>57960</v>
      </c>
      <c r="AB10" s="319">
        <f t="shared" ref="AB10:AB18" si="6">Z10-AA10</f>
        <v>0</v>
      </c>
      <c r="AC10" s="123">
        <v>1</v>
      </c>
      <c r="AD10" s="124" t="s">
        <v>54</v>
      </c>
      <c r="AE10" s="125">
        <v>7</v>
      </c>
      <c r="AF10" s="347">
        <v>1</v>
      </c>
      <c r="AG10" s="348">
        <f>Y10*$E$2</f>
        <v>5071.5</v>
      </c>
      <c r="AH10" s="85">
        <f t="shared" ref="AH10:AH18" si="7">AC10*AG10*AE10*AF10</f>
        <v>35500.5</v>
      </c>
      <c r="AI10" s="85">
        <f t="shared" ref="AI10:AI18" si="8">AH10</f>
        <v>35500.5</v>
      </c>
      <c r="AJ10" s="319">
        <f t="shared" ref="AJ10:AJ18" si="9">AH10-AI10</f>
        <v>0</v>
      </c>
      <c r="AK10" s="87">
        <f t="shared" si="3"/>
        <v>114635.7</v>
      </c>
      <c r="AL10" s="85">
        <f t="shared" si="3"/>
        <v>0</v>
      </c>
      <c r="AM10" s="86">
        <f t="shared" si="4"/>
        <v>114635.7</v>
      </c>
      <c r="AN10" s="551"/>
      <c r="AO10" s="551"/>
      <c r="AP10" s="551"/>
    </row>
    <row r="11" spans="1:42" s="554" customFormat="1" ht="15.4">
      <c r="A11" s="484" t="s">
        <v>57</v>
      </c>
      <c r="B11" s="483">
        <v>70000</v>
      </c>
      <c r="C11" s="484" t="s">
        <v>52</v>
      </c>
      <c r="D11" s="487" t="s">
        <v>58</v>
      </c>
      <c r="E11" s="246">
        <v>1</v>
      </c>
      <c r="F11" s="247" t="s">
        <v>54</v>
      </c>
      <c r="G11" s="248">
        <v>12</v>
      </c>
      <c r="H11" s="249">
        <v>0.3</v>
      </c>
      <c r="I11" s="250">
        <v>4100</v>
      </c>
      <c r="J11" s="250">
        <f t="shared" ref="J11:J15" si="10">E11*I11*G11*H11</f>
        <v>14760</v>
      </c>
      <c r="K11" s="255">
        <f t="shared" ref="K11:K15" si="11">J11</f>
        <v>14760</v>
      </c>
      <c r="L11" s="296">
        <f t="shared" ref="L11:L15" si="12">J11-K11</f>
        <v>0</v>
      </c>
      <c r="M11" s="303">
        <v>1</v>
      </c>
      <c r="N11" s="318" t="s">
        <v>54</v>
      </c>
      <c r="O11" s="304">
        <v>12</v>
      </c>
      <c r="P11" s="305">
        <v>0.3</v>
      </c>
      <c r="Q11" s="306">
        <f>+I11*1.04</f>
        <v>4264</v>
      </c>
      <c r="R11" s="306">
        <f t="shared" si="0"/>
        <v>15350.4</v>
      </c>
      <c r="S11" s="306">
        <f t="shared" si="1"/>
        <v>15350.4</v>
      </c>
      <c r="T11" s="307">
        <f t="shared" si="2"/>
        <v>0</v>
      </c>
      <c r="U11" s="123"/>
      <c r="V11" s="124"/>
      <c r="W11" s="125"/>
      <c r="X11" s="114"/>
      <c r="Y11" s="85"/>
      <c r="Z11" s="85"/>
      <c r="AA11" s="85"/>
      <c r="AB11" s="319"/>
      <c r="AC11" s="123"/>
      <c r="AD11" s="124"/>
      <c r="AE11" s="125"/>
      <c r="AF11" s="114"/>
      <c r="AG11" s="85"/>
      <c r="AH11" s="85"/>
      <c r="AI11" s="85"/>
      <c r="AJ11" s="319"/>
      <c r="AK11" s="87">
        <f t="shared" si="3"/>
        <v>30110.400000000001</v>
      </c>
      <c r="AL11" s="85">
        <f t="shared" si="3"/>
        <v>0</v>
      </c>
      <c r="AM11" s="86">
        <f t="shared" si="4"/>
        <v>30110.400000000001</v>
      </c>
      <c r="AN11" s="553"/>
      <c r="AO11" s="553"/>
      <c r="AP11" s="553"/>
    </row>
    <row r="12" spans="1:42" s="552" customFormat="1" ht="15.4">
      <c r="A12" s="484" t="s">
        <v>59</v>
      </c>
      <c r="B12" s="483">
        <v>70000</v>
      </c>
      <c r="C12" s="484" t="s">
        <v>52</v>
      </c>
      <c r="D12" s="487" t="s">
        <v>60</v>
      </c>
      <c r="E12" s="246">
        <v>1</v>
      </c>
      <c r="F12" s="247" t="s">
        <v>54</v>
      </c>
      <c r="G12" s="248">
        <v>12</v>
      </c>
      <c r="H12" s="249">
        <v>0.3</v>
      </c>
      <c r="I12" s="250">
        <v>3000</v>
      </c>
      <c r="J12" s="250">
        <f t="shared" si="10"/>
        <v>10800</v>
      </c>
      <c r="K12" s="255">
        <f t="shared" si="11"/>
        <v>10800</v>
      </c>
      <c r="L12" s="296">
        <f t="shared" si="12"/>
        <v>0</v>
      </c>
      <c r="M12" s="303">
        <v>1</v>
      </c>
      <c r="N12" s="318" t="s">
        <v>54</v>
      </c>
      <c r="O12" s="304">
        <v>12</v>
      </c>
      <c r="P12" s="305">
        <v>0.3</v>
      </c>
      <c r="Q12" s="306">
        <f>I12*E3</f>
        <v>3120</v>
      </c>
      <c r="R12" s="306">
        <f t="shared" si="0"/>
        <v>11232</v>
      </c>
      <c r="S12" s="306">
        <f t="shared" si="1"/>
        <v>11232</v>
      </c>
      <c r="T12" s="307">
        <f t="shared" si="2"/>
        <v>0</v>
      </c>
      <c r="U12" s="123">
        <v>1</v>
      </c>
      <c r="V12" s="124" t="s">
        <v>54</v>
      </c>
      <c r="W12" s="125">
        <v>12</v>
      </c>
      <c r="X12" s="347">
        <v>0.75</v>
      </c>
      <c r="Y12" s="348">
        <f>2300*$E$2</f>
        <v>2415</v>
      </c>
      <c r="Z12" s="85">
        <f>U12*Y12*W12*X12</f>
        <v>21735</v>
      </c>
      <c r="AA12" s="85">
        <f t="shared" si="5"/>
        <v>21735</v>
      </c>
      <c r="AB12" s="319">
        <f t="shared" si="6"/>
        <v>0</v>
      </c>
      <c r="AC12" s="123">
        <v>1</v>
      </c>
      <c r="AD12" s="124" t="s">
        <v>54</v>
      </c>
      <c r="AE12" s="125">
        <v>3</v>
      </c>
      <c r="AF12" s="347">
        <v>0.75</v>
      </c>
      <c r="AG12" s="348">
        <f>Y12*$E$2</f>
        <v>2535.75</v>
      </c>
      <c r="AH12" s="85">
        <f t="shared" si="7"/>
        <v>5705.4375</v>
      </c>
      <c r="AI12" s="85">
        <f t="shared" si="8"/>
        <v>5705.4375</v>
      </c>
      <c r="AJ12" s="319">
        <f t="shared" si="9"/>
        <v>0</v>
      </c>
      <c r="AK12" s="87">
        <f t="shared" si="3"/>
        <v>49472.4375</v>
      </c>
      <c r="AL12" s="85">
        <f t="shared" si="3"/>
        <v>0</v>
      </c>
      <c r="AM12" s="86">
        <f t="shared" si="4"/>
        <v>49472.4375</v>
      </c>
      <c r="AN12" s="551"/>
      <c r="AO12" s="551"/>
      <c r="AP12" s="551"/>
    </row>
    <row r="13" spans="1:42" s="552" customFormat="1" ht="15.4">
      <c r="A13" s="484" t="s">
        <v>61</v>
      </c>
      <c r="B13" s="483">
        <v>70000</v>
      </c>
      <c r="C13" s="484" t="s">
        <v>52</v>
      </c>
      <c r="D13" s="487" t="s">
        <v>62</v>
      </c>
      <c r="E13" s="246">
        <v>1</v>
      </c>
      <c r="F13" s="247" t="s">
        <v>54</v>
      </c>
      <c r="G13" s="248">
        <v>12</v>
      </c>
      <c r="H13" s="249">
        <v>0.3</v>
      </c>
      <c r="I13" s="250">
        <v>2100</v>
      </c>
      <c r="J13" s="250">
        <f t="shared" si="10"/>
        <v>7560</v>
      </c>
      <c r="K13" s="255">
        <f t="shared" si="11"/>
        <v>7560</v>
      </c>
      <c r="L13" s="296">
        <f t="shared" si="12"/>
        <v>0</v>
      </c>
      <c r="M13" s="303">
        <v>1</v>
      </c>
      <c r="N13" s="318" t="s">
        <v>54</v>
      </c>
      <c r="O13" s="304">
        <v>12</v>
      </c>
      <c r="P13" s="305">
        <v>0.3</v>
      </c>
      <c r="Q13" s="306">
        <f>+I13*1.04</f>
        <v>2184</v>
      </c>
      <c r="R13" s="306">
        <f t="shared" si="0"/>
        <v>7862.4</v>
      </c>
      <c r="S13" s="306">
        <f t="shared" si="1"/>
        <v>7862.4</v>
      </c>
      <c r="T13" s="307">
        <f t="shared" si="2"/>
        <v>0</v>
      </c>
      <c r="U13" s="123"/>
      <c r="V13" s="124"/>
      <c r="W13" s="124"/>
      <c r="X13" s="114"/>
      <c r="Y13" s="85"/>
      <c r="Z13" s="85"/>
      <c r="AA13" s="85"/>
      <c r="AB13" s="319"/>
      <c r="AC13" s="123"/>
      <c r="AD13" s="124"/>
      <c r="AE13" s="124"/>
      <c r="AF13" s="114"/>
      <c r="AG13" s="85"/>
      <c r="AH13" s="85"/>
      <c r="AI13" s="85"/>
      <c r="AJ13" s="319"/>
      <c r="AK13" s="87">
        <f t="shared" si="3"/>
        <v>15422.4</v>
      </c>
      <c r="AL13" s="85">
        <f t="shared" si="3"/>
        <v>0</v>
      </c>
      <c r="AM13" s="86">
        <f t="shared" si="4"/>
        <v>15422.4</v>
      </c>
      <c r="AN13" s="551"/>
      <c r="AO13" s="551"/>
      <c r="AP13" s="551"/>
    </row>
    <row r="14" spans="1:42" s="552" customFormat="1" ht="15.4">
      <c r="A14" s="484" t="s">
        <v>63</v>
      </c>
      <c r="B14" s="483">
        <v>70000</v>
      </c>
      <c r="C14" s="484" t="s">
        <v>52</v>
      </c>
      <c r="D14" s="487" t="s">
        <v>64</v>
      </c>
      <c r="E14" s="246">
        <v>1</v>
      </c>
      <c r="F14" s="247" t="s">
        <v>54</v>
      </c>
      <c r="G14" s="248">
        <v>12</v>
      </c>
      <c r="H14" s="249">
        <v>0.25</v>
      </c>
      <c r="I14" s="250">
        <v>3100</v>
      </c>
      <c r="J14" s="250">
        <f t="shared" si="10"/>
        <v>9300</v>
      </c>
      <c r="K14" s="255">
        <f t="shared" si="11"/>
        <v>9300</v>
      </c>
      <c r="L14" s="296">
        <f t="shared" si="12"/>
        <v>0</v>
      </c>
      <c r="M14" s="303">
        <v>1</v>
      </c>
      <c r="N14" s="318" t="s">
        <v>54</v>
      </c>
      <c r="O14" s="304">
        <v>12</v>
      </c>
      <c r="P14" s="305">
        <v>0.25</v>
      </c>
      <c r="Q14" s="306">
        <f>+I14*1.04</f>
        <v>3224</v>
      </c>
      <c r="R14" s="306">
        <f t="shared" si="0"/>
        <v>9672</v>
      </c>
      <c r="S14" s="306">
        <f t="shared" si="1"/>
        <v>9672</v>
      </c>
      <c r="T14" s="307">
        <f t="shared" si="2"/>
        <v>0</v>
      </c>
      <c r="U14" s="123"/>
      <c r="V14" s="124"/>
      <c r="W14" s="124"/>
      <c r="X14" s="114"/>
      <c r="Y14" s="85"/>
      <c r="Z14" s="85"/>
      <c r="AA14" s="85"/>
      <c r="AB14" s="319"/>
      <c r="AC14" s="123"/>
      <c r="AD14" s="124"/>
      <c r="AE14" s="124"/>
      <c r="AF14" s="114"/>
      <c r="AG14" s="85"/>
      <c r="AH14" s="85"/>
      <c r="AI14" s="85"/>
      <c r="AJ14" s="319"/>
      <c r="AK14" s="87">
        <f t="shared" si="3"/>
        <v>18972</v>
      </c>
      <c r="AL14" s="85">
        <f t="shared" si="3"/>
        <v>0</v>
      </c>
      <c r="AM14" s="86">
        <f t="shared" si="4"/>
        <v>18972</v>
      </c>
      <c r="AN14" s="551"/>
      <c r="AO14" s="551"/>
      <c r="AP14" s="551"/>
    </row>
    <row r="15" spans="1:42" s="552" customFormat="1" ht="15.4">
      <c r="A15" s="483" t="s">
        <v>65</v>
      </c>
      <c r="B15" s="483">
        <v>70000</v>
      </c>
      <c r="C15" s="484" t="s">
        <v>52</v>
      </c>
      <c r="D15" s="487" t="s">
        <v>66</v>
      </c>
      <c r="E15" s="246">
        <v>1</v>
      </c>
      <c r="F15" s="247" t="s">
        <v>54</v>
      </c>
      <c r="G15" s="248">
        <v>12</v>
      </c>
      <c r="H15" s="249">
        <v>0.05</v>
      </c>
      <c r="I15" s="250">
        <v>5500</v>
      </c>
      <c r="J15" s="250">
        <f t="shared" si="10"/>
        <v>3300</v>
      </c>
      <c r="K15" s="255">
        <f t="shared" si="11"/>
        <v>3300</v>
      </c>
      <c r="L15" s="296">
        <f t="shared" si="12"/>
        <v>0</v>
      </c>
      <c r="M15" s="303">
        <v>1</v>
      </c>
      <c r="N15" s="318" t="s">
        <v>54</v>
      </c>
      <c r="O15" s="304">
        <v>12</v>
      </c>
      <c r="P15" s="305">
        <v>0.05</v>
      </c>
      <c r="Q15" s="306">
        <f>+I15*1.04</f>
        <v>5720</v>
      </c>
      <c r="R15" s="306">
        <f t="shared" si="0"/>
        <v>3432</v>
      </c>
      <c r="S15" s="306">
        <f t="shared" si="1"/>
        <v>3432</v>
      </c>
      <c r="T15" s="307">
        <f t="shared" si="2"/>
        <v>0</v>
      </c>
      <c r="U15" s="123"/>
      <c r="V15" s="124"/>
      <c r="W15" s="124"/>
      <c r="X15" s="114"/>
      <c r="Y15" s="85"/>
      <c r="Z15" s="85"/>
      <c r="AA15" s="85"/>
      <c r="AB15" s="319"/>
      <c r="AC15" s="123"/>
      <c r="AD15" s="124"/>
      <c r="AE15" s="124"/>
      <c r="AF15" s="114"/>
      <c r="AG15" s="85"/>
      <c r="AH15" s="85"/>
      <c r="AI15" s="85"/>
      <c r="AJ15" s="319"/>
      <c r="AK15" s="87">
        <f t="shared" si="3"/>
        <v>6732</v>
      </c>
      <c r="AL15" s="85">
        <f t="shared" si="3"/>
        <v>0</v>
      </c>
      <c r="AM15" s="86">
        <f t="shared" si="4"/>
        <v>6732</v>
      </c>
      <c r="AN15" s="551"/>
      <c r="AO15" s="551"/>
      <c r="AP15" s="551"/>
    </row>
    <row r="16" spans="1:42" s="552" customFormat="1" ht="15.4">
      <c r="A16" s="483" t="s">
        <v>65</v>
      </c>
      <c r="B16" s="483">
        <v>70000</v>
      </c>
      <c r="C16" s="484" t="s">
        <v>52</v>
      </c>
      <c r="D16" s="487" t="s">
        <v>67</v>
      </c>
      <c r="E16" s="246">
        <v>1</v>
      </c>
      <c r="F16" s="247" t="s">
        <v>54</v>
      </c>
      <c r="G16" s="248">
        <v>12</v>
      </c>
      <c r="H16" s="249">
        <v>0.2</v>
      </c>
      <c r="I16" s="250">
        <v>2100</v>
      </c>
      <c r="J16" s="250">
        <f>E16*I16*G16*H16</f>
        <v>5040</v>
      </c>
      <c r="K16" s="255">
        <f>J16</f>
        <v>5040</v>
      </c>
      <c r="L16" s="296">
        <f t="shared" ref="L16" si="13">J16-K16</f>
        <v>0</v>
      </c>
      <c r="M16" s="303">
        <v>1</v>
      </c>
      <c r="N16" s="318" t="s">
        <v>54</v>
      </c>
      <c r="O16" s="304">
        <v>12</v>
      </c>
      <c r="P16" s="305">
        <v>0.2</v>
      </c>
      <c r="Q16" s="306">
        <f>I16*1.04</f>
        <v>2184</v>
      </c>
      <c r="R16" s="306">
        <f t="shared" si="0"/>
        <v>5241.6000000000004</v>
      </c>
      <c r="S16" s="306">
        <f t="shared" si="1"/>
        <v>5241.6000000000004</v>
      </c>
      <c r="T16" s="307">
        <f t="shared" si="2"/>
        <v>0</v>
      </c>
      <c r="U16" s="123">
        <v>1</v>
      </c>
      <c r="V16" s="124" t="s">
        <v>54</v>
      </c>
      <c r="W16" s="124">
        <v>12</v>
      </c>
      <c r="X16" s="347">
        <v>0.5</v>
      </c>
      <c r="Y16" s="348">
        <f>1833*$E$2</f>
        <v>1924.65</v>
      </c>
      <c r="Z16" s="85">
        <f t="shared" ref="Z16:Z18" si="14">U16*Y16*W16*X16</f>
        <v>11547.900000000001</v>
      </c>
      <c r="AA16" s="85">
        <f t="shared" si="5"/>
        <v>11547.900000000001</v>
      </c>
      <c r="AB16" s="319">
        <f t="shared" si="6"/>
        <v>0</v>
      </c>
      <c r="AC16" s="123">
        <v>1</v>
      </c>
      <c r="AD16" s="124" t="s">
        <v>54</v>
      </c>
      <c r="AE16" s="125">
        <v>6</v>
      </c>
      <c r="AF16" s="347">
        <v>0.5</v>
      </c>
      <c r="AG16" s="348">
        <f>Y16*$E$2</f>
        <v>2020.8825000000002</v>
      </c>
      <c r="AH16" s="85">
        <f t="shared" si="7"/>
        <v>6062.6475000000009</v>
      </c>
      <c r="AI16" s="85">
        <f t="shared" si="8"/>
        <v>6062.6475000000009</v>
      </c>
      <c r="AJ16" s="319">
        <f t="shared" si="9"/>
        <v>0</v>
      </c>
      <c r="AK16" s="87">
        <f t="shared" si="3"/>
        <v>27892.147499999999</v>
      </c>
      <c r="AL16" s="85">
        <f t="shared" si="3"/>
        <v>0</v>
      </c>
      <c r="AM16" s="86">
        <f t="shared" si="4"/>
        <v>27892.147499999999</v>
      </c>
      <c r="AN16" s="551"/>
      <c r="AO16" s="551"/>
      <c r="AP16" s="551"/>
    </row>
    <row r="17" spans="1:42" s="88" customFormat="1" ht="16.5" customHeight="1">
      <c r="D17" s="543" t="s">
        <v>68</v>
      </c>
      <c r="E17" s="544"/>
      <c r="F17" s="531"/>
      <c r="G17" s="532"/>
      <c r="H17" s="533"/>
      <c r="I17" s="534"/>
      <c r="J17" s="534"/>
      <c r="K17" s="545"/>
      <c r="L17" s="546"/>
      <c r="M17" s="547"/>
      <c r="N17" s="548"/>
      <c r="O17" s="549"/>
      <c r="P17" s="550"/>
      <c r="Q17" s="538"/>
      <c r="R17" s="538"/>
      <c r="S17" s="538"/>
      <c r="T17" s="541"/>
      <c r="U17" s="547"/>
      <c r="V17" s="548"/>
      <c r="W17" s="549"/>
      <c r="X17" s="550"/>
      <c r="Y17" s="538"/>
      <c r="Z17" s="538"/>
      <c r="AA17" s="538"/>
      <c r="AB17" s="539"/>
      <c r="AC17" s="547"/>
      <c r="AD17" s="548"/>
      <c r="AE17" s="549"/>
      <c r="AF17" s="550"/>
      <c r="AG17" s="538"/>
      <c r="AH17" s="538"/>
      <c r="AI17" s="538"/>
      <c r="AJ17" s="539"/>
      <c r="AK17" s="540"/>
      <c r="AL17" s="538"/>
      <c r="AM17" s="541"/>
      <c r="AN17"/>
      <c r="AO17"/>
      <c r="AP17"/>
    </row>
    <row r="18" spans="1:42" s="552" customFormat="1" ht="15.4">
      <c r="A18" s="483" t="s">
        <v>69</v>
      </c>
      <c r="B18" s="483">
        <v>50000</v>
      </c>
      <c r="C18" s="484" t="s">
        <v>70</v>
      </c>
      <c r="D18" s="486" t="s">
        <v>71</v>
      </c>
      <c r="E18" s="246">
        <v>1</v>
      </c>
      <c r="F18" s="255" t="s">
        <v>54</v>
      </c>
      <c r="G18" s="247">
        <v>12</v>
      </c>
      <c r="H18" s="256">
        <v>0.2</v>
      </c>
      <c r="I18" s="250">
        <f>55000/12</f>
        <v>4583.333333333333</v>
      </c>
      <c r="J18" s="250">
        <f>E18*I18*G18*H18</f>
        <v>11000</v>
      </c>
      <c r="K18" s="250">
        <f>J18</f>
        <v>11000</v>
      </c>
      <c r="L18" s="257">
        <f>J18-K18</f>
        <v>0</v>
      </c>
      <c r="M18" s="303">
        <v>1</v>
      </c>
      <c r="N18" s="318" t="s">
        <v>54</v>
      </c>
      <c r="O18" s="304">
        <v>12</v>
      </c>
      <c r="P18" s="305">
        <v>0.2</v>
      </c>
      <c r="Q18" s="306">
        <f>I18*1.04</f>
        <v>4766.6666666666661</v>
      </c>
      <c r="R18" s="306">
        <f>M18*Q18*O18*P18</f>
        <v>11440</v>
      </c>
      <c r="S18" s="306">
        <f t="shared" si="1"/>
        <v>11440</v>
      </c>
      <c r="T18" s="307">
        <f t="shared" si="2"/>
        <v>0</v>
      </c>
      <c r="U18" s="123">
        <v>1</v>
      </c>
      <c r="V18" s="124" t="s">
        <v>54</v>
      </c>
      <c r="W18" s="125">
        <v>12</v>
      </c>
      <c r="X18" s="347">
        <v>0.05</v>
      </c>
      <c r="Y18" s="348">
        <f>10000*$E$2</f>
        <v>10500</v>
      </c>
      <c r="Z18" s="85">
        <f t="shared" si="14"/>
        <v>6300</v>
      </c>
      <c r="AA18" s="85">
        <f t="shared" si="5"/>
        <v>6300</v>
      </c>
      <c r="AB18" s="319">
        <f t="shared" si="6"/>
        <v>0</v>
      </c>
      <c r="AC18" s="123">
        <v>1</v>
      </c>
      <c r="AD18" s="124" t="s">
        <v>54</v>
      </c>
      <c r="AE18" s="125">
        <v>7</v>
      </c>
      <c r="AF18" s="347">
        <v>0.05</v>
      </c>
      <c r="AG18" s="348">
        <f>Y18*$E$2</f>
        <v>11025</v>
      </c>
      <c r="AH18" s="85">
        <f t="shared" si="7"/>
        <v>3858.75</v>
      </c>
      <c r="AI18" s="85">
        <f t="shared" si="8"/>
        <v>3858.75</v>
      </c>
      <c r="AJ18" s="319">
        <f t="shared" si="9"/>
        <v>0</v>
      </c>
      <c r="AK18" s="87">
        <f>K18+S18+AA18+AI18</f>
        <v>32598.75</v>
      </c>
      <c r="AL18" s="85">
        <f>L18+T18+AB18+AJ18</f>
        <v>0</v>
      </c>
      <c r="AM18" s="86">
        <f t="shared" si="4"/>
        <v>32598.75</v>
      </c>
      <c r="AN18" s="551"/>
      <c r="AO18" s="551"/>
      <c r="AP18" s="551"/>
    </row>
    <row r="19" spans="1:42" s="552" customFormat="1" ht="15.4">
      <c r="A19" s="555" t="s">
        <v>72</v>
      </c>
      <c r="B19" s="555">
        <v>50000</v>
      </c>
      <c r="C19" s="484" t="s">
        <v>70</v>
      </c>
      <c r="D19" s="486" t="s">
        <v>73</v>
      </c>
      <c r="E19" s="68">
        <v>0</v>
      </c>
      <c r="F19" s="316" t="s">
        <v>54</v>
      </c>
      <c r="G19" s="69">
        <v>0</v>
      </c>
      <c r="H19" s="321"/>
      <c r="I19" s="71"/>
      <c r="J19" s="71">
        <f>E19*I19*G19*H19</f>
        <v>0</v>
      </c>
      <c r="K19" s="71">
        <f>J19</f>
        <v>0</v>
      </c>
      <c r="L19" s="322">
        <f>J19-K19</f>
        <v>0</v>
      </c>
      <c r="M19" s="325">
        <v>1</v>
      </c>
      <c r="N19" s="326" t="s">
        <v>54</v>
      </c>
      <c r="O19" s="327">
        <v>12</v>
      </c>
      <c r="P19" s="328">
        <v>0.25</v>
      </c>
      <c r="Q19" s="329">
        <v>5512</v>
      </c>
      <c r="R19" s="329">
        <f>M19*Q19*O19*P19</f>
        <v>16536</v>
      </c>
      <c r="S19" s="329">
        <f t="shared" ref="S19" si="15">R19</f>
        <v>16536</v>
      </c>
      <c r="T19" s="330">
        <f t="shared" ref="T19" si="16">R19-S19</f>
        <v>0</v>
      </c>
      <c r="U19" s="123">
        <v>1</v>
      </c>
      <c r="V19" s="124" t="s">
        <v>54</v>
      </c>
      <c r="W19" s="125">
        <v>12</v>
      </c>
      <c r="X19" s="114">
        <v>0.25</v>
      </c>
      <c r="Y19" s="85">
        <f>Q19*$E$2</f>
        <v>5787.6</v>
      </c>
      <c r="Z19" s="85">
        <f>U19*Y19*W19*X19</f>
        <v>17362.800000000003</v>
      </c>
      <c r="AA19" s="85">
        <f t="shared" ref="AA19" si="17">Z19</f>
        <v>17362.800000000003</v>
      </c>
      <c r="AB19" s="319">
        <f>Z19-AA19</f>
        <v>0</v>
      </c>
      <c r="AC19" s="123">
        <v>1</v>
      </c>
      <c r="AD19" s="124" t="s">
        <v>54</v>
      </c>
      <c r="AE19" s="125">
        <v>7</v>
      </c>
      <c r="AF19" s="114">
        <v>0.2</v>
      </c>
      <c r="AG19" s="85">
        <f>Y19*$E$2</f>
        <v>6076.9800000000005</v>
      </c>
      <c r="AH19" s="85">
        <f t="shared" ref="AH19" si="18">AC19*AG19*AE19*AF19</f>
        <v>8507.7720000000008</v>
      </c>
      <c r="AI19" s="85">
        <f t="shared" ref="AI19" si="19">AH19</f>
        <v>8507.7720000000008</v>
      </c>
      <c r="AJ19" s="319">
        <f>AH19-AI19</f>
        <v>0</v>
      </c>
      <c r="AK19" s="87">
        <f>K19+S19+AA19+AI19</f>
        <v>42406.572</v>
      </c>
      <c r="AL19" s="85">
        <f>L19+T19+AB19+AJ19</f>
        <v>0</v>
      </c>
      <c r="AM19" s="86">
        <f t="shared" ref="AM19" si="20">+AK19+AL19</f>
        <v>42406.572</v>
      </c>
      <c r="AN19" s="551"/>
      <c r="AO19" s="551"/>
      <c r="AP19" s="551"/>
    </row>
    <row r="20" spans="1:42" s="578" customFormat="1" ht="15">
      <c r="A20" s="577"/>
      <c r="B20" s="577"/>
      <c r="C20" s="577"/>
      <c r="D20" s="492" t="s">
        <v>74</v>
      </c>
      <c r="E20" s="258"/>
      <c r="F20" s="259"/>
      <c r="G20" s="260"/>
      <c r="H20" s="261"/>
      <c r="I20" s="262"/>
      <c r="J20" s="262">
        <f t="shared" ref="J20:L20" si="21">SUM(J9:J19)</f>
        <v>80210</v>
      </c>
      <c r="K20" s="262">
        <f t="shared" si="21"/>
        <v>80210</v>
      </c>
      <c r="L20" s="262">
        <f t="shared" si="21"/>
        <v>0</v>
      </c>
      <c r="M20" s="90"/>
      <c r="N20" s="92"/>
      <c r="O20" s="93"/>
      <c r="P20" s="94"/>
      <c r="Q20" s="91"/>
      <c r="R20" s="91">
        <f t="shared" ref="R20:T20" si="22">SUM(R9:R19)</f>
        <v>99954.400000000009</v>
      </c>
      <c r="S20" s="91">
        <f t="shared" si="22"/>
        <v>99954.400000000009</v>
      </c>
      <c r="T20" s="91">
        <f t="shared" si="22"/>
        <v>0</v>
      </c>
      <c r="U20" s="90"/>
      <c r="V20" s="92"/>
      <c r="W20" s="93"/>
      <c r="X20" s="94"/>
      <c r="Y20" s="91"/>
      <c r="Z20" s="91">
        <f t="shared" ref="Z20:AB20" si="23">SUM(Z9:Z19)</f>
        <v>114905.7</v>
      </c>
      <c r="AA20" s="91">
        <f t="shared" si="23"/>
        <v>114905.7</v>
      </c>
      <c r="AB20" s="91">
        <f t="shared" si="23"/>
        <v>0</v>
      </c>
      <c r="AC20" s="90"/>
      <c r="AD20" s="92"/>
      <c r="AE20" s="93"/>
      <c r="AF20" s="94"/>
      <c r="AG20" s="91"/>
      <c r="AH20" s="91">
        <f t="shared" ref="AH20:AJ20" si="24">SUM(AH9:AH19)</f>
        <v>59635.107000000004</v>
      </c>
      <c r="AI20" s="91">
        <f t="shared" si="24"/>
        <v>59635.107000000004</v>
      </c>
      <c r="AJ20" s="91">
        <f t="shared" si="24"/>
        <v>0</v>
      </c>
      <c r="AK20" s="95">
        <f>SUM(AK9:AK19)</f>
        <v>354705.20699999999</v>
      </c>
      <c r="AL20" s="91">
        <f t="shared" ref="AL20:AM20" si="25">SUM(AL9:AL19)</f>
        <v>0</v>
      </c>
      <c r="AM20" s="96">
        <f t="shared" si="25"/>
        <v>354705.20699999999</v>
      </c>
      <c r="AN20" s="551"/>
      <c r="AO20" s="551"/>
      <c r="AP20" s="551"/>
    </row>
    <row r="21" spans="1:42" s="578" customFormat="1" ht="15.4">
      <c r="A21" s="579"/>
      <c r="B21" s="579"/>
      <c r="C21" s="579"/>
      <c r="D21" s="493" t="s">
        <v>11</v>
      </c>
      <c r="E21" s="263"/>
      <c r="F21" s="264"/>
      <c r="G21" s="265"/>
      <c r="H21" s="266"/>
      <c r="I21" s="267"/>
      <c r="J21" s="267"/>
      <c r="K21" s="268"/>
      <c r="L21" s="269"/>
      <c r="M21" s="99"/>
      <c r="N21" s="104"/>
      <c r="O21" s="105"/>
      <c r="P21" s="106"/>
      <c r="Q21" s="101"/>
      <c r="R21" s="101"/>
      <c r="S21" s="102"/>
      <c r="T21" s="103"/>
      <c r="U21" s="99"/>
      <c r="V21" s="104"/>
      <c r="W21" s="105"/>
      <c r="X21" s="106"/>
      <c r="Y21" s="101"/>
      <c r="Z21" s="101"/>
      <c r="AA21" s="102"/>
      <c r="AB21" s="103"/>
      <c r="AC21" s="99"/>
      <c r="AD21" s="104"/>
      <c r="AE21" s="105"/>
      <c r="AF21" s="106"/>
      <c r="AG21" s="101"/>
      <c r="AH21" s="101"/>
      <c r="AI21" s="102"/>
      <c r="AJ21" s="103"/>
      <c r="AK21" s="107"/>
      <c r="AL21" s="102"/>
      <c r="AM21" s="108"/>
      <c r="AN21" s="551"/>
      <c r="AO21" s="551"/>
      <c r="AP21" s="551"/>
    </row>
    <row r="22" spans="1:42" s="578" customFormat="1" ht="15.4">
      <c r="D22" s="494" t="s">
        <v>75</v>
      </c>
      <c r="E22" s="270"/>
      <c r="F22" s="271"/>
      <c r="G22" s="247"/>
      <c r="H22" s="249"/>
      <c r="I22" s="250"/>
      <c r="J22" s="250"/>
      <c r="K22" s="250"/>
      <c r="L22" s="254"/>
      <c r="M22" s="72"/>
      <c r="N22" s="73"/>
      <c r="O22" s="74"/>
      <c r="P22" s="110"/>
      <c r="Q22" s="111"/>
      <c r="R22" s="111"/>
      <c r="S22" s="111"/>
      <c r="T22" s="112"/>
      <c r="U22" s="72"/>
      <c r="V22" s="73"/>
      <c r="W22" s="74"/>
      <c r="X22" s="110"/>
      <c r="Y22" s="111"/>
      <c r="Z22" s="111"/>
      <c r="AA22" s="111"/>
      <c r="AB22" s="112"/>
      <c r="AC22" s="72"/>
      <c r="AD22" s="73"/>
      <c r="AE22" s="74"/>
      <c r="AF22" s="110"/>
      <c r="AG22" s="111"/>
      <c r="AH22" s="111"/>
      <c r="AI22" s="111"/>
      <c r="AJ22" s="112"/>
      <c r="AK22" s="87"/>
      <c r="AL22" s="85"/>
      <c r="AM22" s="86"/>
      <c r="AN22" s="551"/>
      <c r="AO22" s="551"/>
      <c r="AP22" s="551"/>
    </row>
    <row r="23" spans="1:42" s="508" customFormat="1" ht="15.4">
      <c r="A23" s="488" t="s">
        <v>76</v>
      </c>
      <c r="B23" s="509">
        <v>50900</v>
      </c>
      <c r="C23" s="488" t="s">
        <v>70</v>
      </c>
      <c r="D23" s="507" t="s">
        <v>77</v>
      </c>
      <c r="E23" s="564"/>
      <c r="F23" s="500" t="s">
        <v>46</v>
      </c>
      <c r="G23" s="500"/>
      <c r="H23" s="565">
        <v>0.23469999999999999</v>
      </c>
      <c r="I23" s="501"/>
      <c r="J23" s="501">
        <f>$H23*SUM(J18:J19)</f>
        <v>2581.6999999999998</v>
      </c>
      <c r="K23" s="501">
        <f>J23</f>
        <v>2581.6999999999998</v>
      </c>
      <c r="L23" s="506">
        <v>0</v>
      </c>
      <c r="M23" s="566"/>
      <c r="N23" s="567" t="s">
        <v>46</v>
      </c>
      <c r="O23" s="568"/>
      <c r="P23" s="569">
        <v>0.23469999999999999</v>
      </c>
      <c r="Q23" s="570"/>
      <c r="R23" s="570">
        <f>P23*SUM(R18:R19)</f>
        <v>6565.9672</v>
      </c>
      <c r="S23" s="570">
        <f t="shared" ref="S23" si="26">R23</f>
        <v>6565.9672</v>
      </c>
      <c r="T23" s="571">
        <v>0</v>
      </c>
      <c r="U23" s="572"/>
      <c r="V23" s="573" t="s">
        <v>46</v>
      </c>
      <c r="W23" s="573"/>
      <c r="X23" s="574">
        <v>0.23469999999999999</v>
      </c>
      <c r="Y23" s="510"/>
      <c r="Z23" s="503">
        <f>X23*SUM(Z18:Z19)</f>
        <v>5553.6591600000002</v>
      </c>
      <c r="AA23" s="503">
        <f>Z23</f>
        <v>5553.6591600000002</v>
      </c>
      <c r="AB23" s="575">
        <v>0</v>
      </c>
      <c r="AC23" s="576"/>
      <c r="AD23" s="573" t="s">
        <v>46</v>
      </c>
      <c r="AE23" s="502"/>
      <c r="AF23" s="574">
        <v>0.23469999999999999</v>
      </c>
      <c r="AG23" s="510"/>
      <c r="AH23" s="503">
        <f>AF23*SUM(AH18:AH19)</f>
        <v>2902.4227134000002</v>
      </c>
      <c r="AI23" s="503">
        <f>AH23</f>
        <v>2902.4227134000002</v>
      </c>
      <c r="AJ23" s="505">
        <v>0</v>
      </c>
      <c r="AK23" s="504">
        <f>K23+S23+AA23+AI23</f>
        <v>17603.749073399998</v>
      </c>
      <c r="AL23" s="503">
        <f>L23+T23+AB23+AJ23</f>
        <v>0</v>
      </c>
      <c r="AM23" s="505">
        <f>+AK23+AL23</f>
        <v>17603.749073399998</v>
      </c>
    </row>
    <row r="24" spans="1:42" s="97" customFormat="1" ht="15.4">
      <c r="D24" s="556" t="s">
        <v>78</v>
      </c>
      <c r="E24" s="557"/>
      <c r="F24" s="531"/>
      <c r="G24" s="531"/>
      <c r="H24" s="533"/>
      <c r="I24" s="534"/>
      <c r="J24" s="534"/>
      <c r="K24" s="534"/>
      <c r="L24" s="546"/>
      <c r="M24" s="535"/>
      <c r="N24" s="536"/>
      <c r="O24" s="537"/>
      <c r="P24" s="542"/>
      <c r="Q24" s="538"/>
      <c r="R24" s="538"/>
      <c r="S24" s="538"/>
      <c r="T24" s="541"/>
      <c r="U24" s="535"/>
      <c r="V24" s="536"/>
      <c r="W24" s="536"/>
      <c r="X24" s="558"/>
      <c r="Y24" s="542"/>
      <c r="Z24" s="559"/>
      <c r="AA24" s="559"/>
      <c r="AB24" s="560"/>
      <c r="AC24" s="561"/>
      <c r="AD24" s="562"/>
      <c r="AE24" s="558"/>
      <c r="AF24" s="558"/>
      <c r="AG24" s="542"/>
      <c r="AH24" s="559"/>
      <c r="AI24" s="563"/>
      <c r="AJ24" s="541"/>
      <c r="AK24" s="540"/>
      <c r="AL24" s="538"/>
      <c r="AM24" s="541"/>
    </row>
    <row r="25" spans="1:42" s="552" customFormat="1" ht="15.4">
      <c r="A25" s="483" t="s">
        <v>79</v>
      </c>
      <c r="B25" s="483">
        <v>70015</v>
      </c>
      <c r="C25" s="484" t="s">
        <v>52</v>
      </c>
      <c r="D25" s="486" t="s">
        <v>80</v>
      </c>
      <c r="E25" s="272"/>
      <c r="F25" s="247" t="s">
        <v>46</v>
      </c>
      <c r="G25" s="247"/>
      <c r="H25" s="273">
        <v>0.36709999999999998</v>
      </c>
      <c r="I25" s="250"/>
      <c r="J25" s="250">
        <f>$H25*SUM(J9:J16)</f>
        <v>25406.990999999998</v>
      </c>
      <c r="K25" s="250">
        <f>J25</f>
        <v>25406.990999999998</v>
      </c>
      <c r="L25" s="254">
        <v>0</v>
      </c>
      <c r="M25" s="123"/>
      <c r="N25" s="333" t="s">
        <v>46</v>
      </c>
      <c r="O25" s="304"/>
      <c r="P25" s="334">
        <f>H25</f>
        <v>0.36709999999999998</v>
      </c>
      <c r="Q25" s="306"/>
      <c r="R25" s="306">
        <f>P25*SUM(R9:R16)</f>
        <v>26423.270640000002</v>
      </c>
      <c r="S25" s="306">
        <f>R25</f>
        <v>26423.270640000002</v>
      </c>
      <c r="T25" s="307">
        <v>0</v>
      </c>
      <c r="U25" s="331"/>
      <c r="V25" s="332" t="s">
        <v>46</v>
      </c>
      <c r="W25" s="332"/>
      <c r="X25" s="349">
        <v>0.52810000000000001</v>
      </c>
      <c r="Y25" s="553"/>
      <c r="Z25" s="85">
        <f>X25*SUM(Z10:Z16)</f>
        <v>48185.375489999999</v>
      </c>
      <c r="AA25" s="85">
        <f>Z25</f>
        <v>48185.375489999999</v>
      </c>
      <c r="AB25" s="86">
        <v>0</v>
      </c>
      <c r="AC25" s="331"/>
      <c r="AD25" s="332" t="s">
        <v>46</v>
      </c>
      <c r="AE25" s="125"/>
      <c r="AF25" s="335">
        <v>0.52810000000000001</v>
      </c>
      <c r="AG25" s="553"/>
      <c r="AH25" s="85">
        <f>AF25*SUM(AH10:AH16)</f>
        <v>24962.5397385</v>
      </c>
      <c r="AI25" s="85">
        <f>AH25</f>
        <v>24962.5397385</v>
      </c>
      <c r="AJ25" s="86">
        <v>0</v>
      </c>
      <c r="AK25" s="87">
        <f>K25+S25+AA25+AI25</f>
        <v>124978.17686849998</v>
      </c>
      <c r="AL25" s="85">
        <f>L25+T25+AB25+AJ25</f>
        <v>0</v>
      </c>
      <c r="AM25" s="86">
        <f>+AK25+AL25</f>
        <v>124978.17686849998</v>
      </c>
    </row>
    <row r="26" spans="1:42" s="578" customFormat="1" ht="15.4">
      <c r="A26" s="580"/>
      <c r="B26" s="580"/>
      <c r="C26" s="580"/>
      <c r="D26" s="492" t="s">
        <v>81</v>
      </c>
      <c r="E26" s="274"/>
      <c r="F26" s="275"/>
      <c r="G26" s="276"/>
      <c r="H26" s="243"/>
      <c r="I26" s="277"/>
      <c r="J26" s="262">
        <f>SUM(J23:J25)</f>
        <v>27988.690999999999</v>
      </c>
      <c r="K26" s="262">
        <f>SUM(K23:K25)</f>
        <v>27988.690999999999</v>
      </c>
      <c r="L26" s="278">
        <f>SUM(L23:L25)</f>
        <v>0</v>
      </c>
      <c r="M26" s="117"/>
      <c r="N26" s="118"/>
      <c r="O26" s="115"/>
      <c r="P26" s="119"/>
      <c r="Q26" s="116"/>
      <c r="R26" s="91">
        <f>SUM(R23:R25)</f>
        <v>32989.237840000002</v>
      </c>
      <c r="S26" s="91">
        <f>SUM(S23:S25)</f>
        <v>32989.237840000002</v>
      </c>
      <c r="T26" s="96">
        <f>SUM(T23:T25)</f>
        <v>0</v>
      </c>
      <c r="U26" s="117"/>
      <c r="V26" s="118"/>
      <c r="W26" s="115"/>
      <c r="X26" s="119"/>
      <c r="Y26" s="116"/>
      <c r="Z26" s="91">
        <f>SUM(Z23:Z25)</f>
        <v>53739.034650000001</v>
      </c>
      <c r="AA26" s="91">
        <f>SUM(AA23:AA25)</f>
        <v>53739.034650000001</v>
      </c>
      <c r="AB26" s="96">
        <f>SUM(AB23:AB25)</f>
        <v>0</v>
      </c>
      <c r="AC26" s="117"/>
      <c r="AD26" s="118"/>
      <c r="AE26" s="115"/>
      <c r="AF26" s="119"/>
      <c r="AG26" s="116"/>
      <c r="AH26" s="91">
        <f t="shared" ref="AH26:AI26" si="27">SUM(AH23:AH25)</f>
        <v>27864.962451899999</v>
      </c>
      <c r="AI26" s="91">
        <f t="shared" si="27"/>
        <v>27864.962451899999</v>
      </c>
      <c r="AJ26" s="96">
        <f>SUM(AJ23:AJ25)</f>
        <v>0</v>
      </c>
      <c r="AK26" s="95">
        <f>SUM(AK23:AK25)</f>
        <v>142581.92594189997</v>
      </c>
      <c r="AL26" s="91">
        <f>SUM(AL23:AL25)</f>
        <v>0</v>
      </c>
      <c r="AM26" s="96">
        <f>SUM(AM23:AM25)</f>
        <v>142581.92594189997</v>
      </c>
    </row>
    <row r="27" spans="1:42" s="578" customFormat="1" ht="15.4">
      <c r="A27" s="581"/>
      <c r="B27" s="581"/>
      <c r="C27" s="581"/>
      <c r="D27" s="493" t="s">
        <v>12</v>
      </c>
      <c r="E27" s="279"/>
      <c r="F27" s="264"/>
      <c r="G27" s="265"/>
      <c r="H27" s="266"/>
      <c r="I27" s="267"/>
      <c r="J27" s="267"/>
      <c r="K27" s="268"/>
      <c r="L27" s="269"/>
      <c r="M27" s="120"/>
      <c r="N27" s="121"/>
      <c r="O27" s="100"/>
      <c r="P27" s="122"/>
      <c r="Q27" s="101"/>
      <c r="R27" s="101"/>
      <c r="S27" s="102"/>
      <c r="T27" s="103"/>
      <c r="U27" s="120"/>
      <c r="V27" s="121"/>
      <c r="W27" s="100"/>
      <c r="X27" s="122"/>
      <c r="Y27" s="101"/>
      <c r="Z27" s="101"/>
      <c r="AA27" s="102"/>
      <c r="AB27" s="103"/>
      <c r="AC27" s="120"/>
      <c r="AD27" s="121"/>
      <c r="AE27" s="100"/>
      <c r="AF27" s="122"/>
      <c r="AG27" s="101"/>
      <c r="AH27" s="101"/>
      <c r="AI27" s="102"/>
      <c r="AJ27" s="103"/>
      <c r="AK27" s="107"/>
      <c r="AL27" s="102"/>
      <c r="AM27" s="108"/>
    </row>
    <row r="28" spans="1:42" s="578" customFormat="1" ht="15.4">
      <c r="D28" s="494" t="s">
        <v>82</v>
      </c>
      <c r="E28" s="246"/>
      <c r="F28" s="247"/>
      <c r="G28" s="280"/>
      <c r="H28" s="249"/>
      <c r="I28" s="250"/>
      <c r="J28" s="250"/>
      <c r="K28" s="250"/>
      <c r="L28" s="254"/>
      <c r="M28" s="123"/>
      <c r="N28" s="124"/>
      <c r="O28" s="125"/>
      <c r="P28" s="126"/>
      <c r="Q28" s="76"/>
      <c r="R28" s="76"/>
      <c r="S28" s="76"/>
      <c r="T28" s="76"/>
      <c r="U28" s="72"/>
      <c r="V28" s="124"/>
      <c r="W28" s="74"/>
      <c r="X28" s="127"/>
      <c r="Y28" s="76"/>
      <c r="Z28" s="76"/>
      <c r="AA28" s="76"/>
      <c r="AB28" s="77"/>
      <c r="AC28" s="72"/>
      <c r="AD28" s="124"/>
      <c r="AE28" s="74"/>
      <c r="AF28" s="127"/>
      <c r="AG28" s="76"/>
      <c r="AH28" s="76"/>
      <c r="AI28" s="76"/>
      <c r="AJ28" s="77"/>
      <c r="AK28" s="113"/>
      <c r="AL28" s="111"/>
      <c r="AM28" s="112"/>
    </row>
    <row r="29" spans="1:42" s="552" customFormat="1" ht="15.4">
      <c r="A29" s="481" t="s">
        <v>83</v>
      </c>
      <c r="B29" s="481">
        <v>86040</v>
      </c>
      <c r="C29" s="482" t="s">
        <v>70</v>
      </c>
      <c r="D29" s="486" t="s">
        <v>84</v>
      </c>
      <c r="E29" s="246">
        <v>1</v>
      </c>
      <c r="F29" s="247" t="s">
        <v>85</v>
      </c>
      <c r="G29" s="280">
        <v>1</v>
      </c>
      <c r="H29" s="249">
        <v>1</v>
      </c>
      <c r="I29" s="250">
        <v>700</v>
      </c>
      <c r="J29" s="250">
        <f t="shared" ref="J29:J32" si="28">E29*I29*G29</f>
        <v>700</v>
      </c>
      <c r="K29" s="250">
        <f t="shared" ref="K29:K32" si="29">J29</f>
        <v>700</v>
      </c>
      <c r="L29" s="254">
        <f t="shared" ref="L29:L32" si="30">J29-K29</f>
        <v>0</v>
      </c>
      <c r="M29" s="303">
        <v>1</v>
      </c>
      <c r="N29" s="318" t="s">
        <v>85</v>
      </c>
      <c r="O29" s="304">
        <v>1</v>
      </c>
      <c r="P29" s="310">
        <v>1</v>
      </c>
      <c r="Q29" s="306">
        <f>+I29*1.04</f>
        <v>728</v>
      </c>
      <c r="R29" s="306">
        <f>M29*Q29*O29*P29</f>
        <v>728</v>
      </c>
      <c r="S29" s="306">
        <f t="shared" ref="S29:S32" si="31">R29</f>
        <v>728</v>
      </c>
      <c r="T29" s="86">
        <f t="shared" ref="T29:T32" si="32">R29-S29</f>
        <v>0</v>
      </c>
      <c r="U29" s="123"/>
      <c r="V29" s="124"/>
      <c r="W29" s="125"/>
      <c r="X29" s="126"/>
      <c r="Y29" s="85"/>
      <c r="Z29" s="85"/>
      <c r="AA29" s="85"/>
      <c r="AB29" s="86"/>
      <c r="AC29" s="123"/>
      <c r="AD29" s="124"/>
      <c r="AE29" s="125"/>
      <c r="AF29" s="126"/>
      <c r="AG29" s="85"/>
      <c r="AH29" s="85"/>
      <c r="AI29" s="85"/>
      <c r="AJ29" s="86"/>
      <c r="AK29" s="87">
        <f t="shared" ref="AK29:AL32" si="33">K29+S29+AA29+AI29</f>
        <v>1428</v>
      </c>
      <c r="AL29" s="85">
        <f t="shared" si="33"/>
        <v>0</v>
      </c>
      <c r="AM29" s="86">
        <f t="shared" ref="AM29:AM32" si="34">+AK29+AL29</f>
        <v>1428</v>
      </c>
    </row>
    <row r="30" spans="1:42" s="552" customFormat="1" ht="15.4">
      <c r="A30" s="481" t="s">
        <v>86</v>
      </c>
      <c r="B30" s="481">
        <v>86000</v>
      </c>
      <c r="C30" s="482" t="s">
        <v>70</v>
      </c>
      <c r="D30" s="487" t="s">
        <v>87</v>
      </c>
      <c r="E30" s="246">
        <v>1</v>
      </c>
      <c r="F30" s="247" t="s">
        <v>88</v>
      </c>
      <c r="G30" s="280">
        <v>1</v>
      </c>
      <c r="H30" s="249">
        <v>1</v>
      </c>
      <c r="I30" s="250">
        <v>100</v>
      </c>
      <c r="J30" s="250">
        <f t="shared" si="28"/>
        <v>100</v>
      </c>
      <c r="K30" s="250">
        <f t="shared" si="29"/>
        <v>100</v>
      </c>
      <c r="L30" s="254">
        <f t="shared" si="30"/>
        <v>0</v>
      </c>
      <c r="M30" s="303">
        <v>1</v>
      </c>
      <c r="N30" s="318" t="s">
        <v>88</v>
      </c>
      <c r="O30" s="304">
        <v>1</v>
      </c>
      <c r="P30" s="310">
        <v>1</v>
      </c>
      <c r="Q30" s="306">
        <f>+I30*1.04</f>
        <v>104</v>
      </c>
      <c r="R30" s="306">
        <f>M30*Q30*O30*P30</f>
        <v>104</v>
      </c>
      <c r="S30" s="306">
        <f t="shared" si="31"/>
        <v>104</v>
      </c>
      <c r="T30" s="86">
        <f t="shared" si="32"/>
        <v>0</v>
      </c>
      <c r="U30" s="123"/>
      <c r="V30" s="124"/>
      <c r="W30" s="125"/>
      <c r="X30" s="126"/>
      <c r="Y30" s="85"/>
      <c r="Z30" s="85"/>
      <c r="AA30" s="85"/>
      <c r="AB30" s="86"/>
      <c r="AC30" s="123"/>
      <c r="AD30" s="124"/>
      <c r="AE30" s="125"/>
      <c r="AF30" s="126"/>
      <c r="AG30" s="85"/>
      <c r="AH30" s="85"/>
      <c r="AI30" s="85"/>
      <c r="AJ30" s="86"/>
      <c r="AK30" s="87">
        <f t="shared" si="33"/>
        <v>204</v>
      </c>
      <c r="AL30" s="85">
        <f t="shared" si="33"/>
        <v>0</v>
      </c>
      <c r="AM30" s="86">
        <f t="shared" si="34"/>
        <v>204</v>
      </c>
    </row>
    <row r="31" spans="1:42" s="552" customFormat="1" ht="15.4">
      <c r="A31" s="481" t="s">
        <v>89</v>
      </c>
      <c r="B31" s="481">
        <v>86030</v>
      </c>
      <c r="C31" s="482" t="s">
        <v>70</v>
      </c>
      <c r="D31" s="486" t="s">
        <v>90</v>
      </c>
      <c r="E31" s="246">
        <v>1</v>
      </c>
      <c r="F31" s="247" t="s">
        <v>91</v>
      </c>
      <c r="G31" s="280">
        <v>4</v>
      </c>
      <c r="H31" s="249">
        <v>1</v>
      </c>
      <c r="I31" s="250">
        <v>120</v>
      </c>
      <c r="J31" s="250">
        <f t="shared" si="28"/>
        <v>480</v>
      </c>
      <c r="K31" s="250">
        <f t="shared" si="29"/>
        <v>480</v>
      </c>
      <c r="L31" s="254">
        <f t="shared" si="30"/>
        <v>0</v>
      </c>
      <c r="M31" s="303">
        <v>1</v>
      </c>
      <c r="N31" s="318" t="s">
        <v>91</v>
      </c>
      <c r="O31" s="304">
        <v>4</v>
      </c>
      <c r="P31" s="310">
        <v>1</v>
      </c>
      <c r="Q31" s="306">
        <f>+I31*1.04</f>
        <v>124.80000000000001</v>
      </c>
      <c r="R31" s="306">
        <f>M31*Q31*O31*P31</f>
        <v>499.20000000000005</v>
      </c>
      <c r="S31" s="306">
        <f t="shared" si="31"/>
        <v>499.20000000000005</v>
      </c>
      <c r="T31" s="86">
        <f t="shared" si="32"/>
        <v>0</v>
      </c>
      <c r="U31" s="123"/>
      <c r="V31" s="124"/>
      <c r="W31" s="125"/>
      <c r="X31" s="126"/>
      <c r="Y31" s="85"/>
      <c r="Z31" s="85"/>
      <c r="AA31" s="85"/>
      <c r="AB31" s="86"/>
      <c r="AC31" s="123"/>
      <c r="AD31" s="124"/>
      <c r="AE31" s="125"/>
      <c r="AF31" s="126"/>
      <c r="AG31" s="85"/>
      <c r="AH31" s="85"/>
      <c r="AI31" s="85"/>
      <c r="AJ31" s="86"/>
      <c r="AK31" s="87">
        <f t="shared" si="33"/>
        <v>979.2</v>
      </c>
      <c r="AL31" s="85">
        <f t="shared" si="33"/>
        <v>0</v>
      </c>
      <c r="AM31" s="86">
        <f t="shared" si="34"/>
        <v>979.2</v>
      </c>
    </row>
    <row r="32" spans="1:42" s="552" customFormat="1" ht="15.4">
      <c r="A32" s="481" t="s">
        <v>92</v>
      </c>
      <c r="B32" s="481">
        <v>86050</v>
      </c>
      <c r="C32" s="482" t="s">
        <v>70</v>
      </c>
      <c r="D32" s="486" t="s">
        <v>93</v>
      </c>
      <c r="E32" s="246">
        <v>1</v>
      </c>
      <c r="F32" s="247" t="s">
        <v>94</v>
      </c>
      <c r="G32" s="280">
        <v>5</v>
      </c>
      <c r="H32" s="249">
        <v>1</v>
      </c>
      <c r="I32" s="250">
        <v>95</v>
      </c>
      <c r="J32" s="250">
        <f t="shared" si="28"/>
        <v>475</v>
      </c>
      <c r="K32" s="250">
        <f t="shared" si="29"/>
        <v>475</v>
      </c>
      <c r="L32" s="254">
        <f t="shared" si="30"/>
        <v>0</v>
      </c>
      <c r="M32" s="303">
        <v>1</v>
      </c>
      <c r="N32" s="318" t="s">
        <v>94</v>
      </c>
      <c r="O32" s="304">
        <v>5</v>
      </c>
      <c r="P32" s="310">
        <v>1</v>
      </c>
      <c r="Q32" s="306">
        <f>+I32*1.04</f>
        <v>98.8</v>
      </c>
      <c r="R32" s="306">
        <f>M32*Q32*O32*P32</f>
        <v>494</v>
      </c>
      <c r="S32" s="306">
        <f t="shared" si="31"/>
        <v>494</v>
      </c>
      <c r="T32" s="86">
        <f t="shared" si="32"/>
        <v>0</v>
      </c>
      <c r="U32" s="123"/>
      <c r="V32" s="124"/>
      <c r="W32" s="125"/>
      <c r="X32" s="126"/>
      <c r="Y32" s="85"/>
      <c r="Z32" s="85"/>
      <c r="AA32" s="85"/>
      <c r="AB32" s="86"/>
      <c r="AC32" s="123"/>
      <c r="AD32" s="124"/>
      <c r="AE32" s="125"/>
      <c r="AF32" s="126"/>
      <c r="AG32" s="85"/>
      <c r="AH32" s="85"/>
      <c r="AI32" s="85"/>
      <c r="AJ32" s="86"/>
      <c r="AK32" s="87">
        <f t="shared" si="33"/>
        <v>969</v>
      </c>
      <c r="AL32" s="85">
        <f t="shared" si="33"/>
        <v>0</v>
      </c>
      <c r="AM32" s="86">
        <f t="shared" si="34"/>
        <v>969</v>
      </c>
    </row>
    <row r="33" spans="1:40" s="578" customFormat="1" ht="30">
      <c r="A33" s="481"/>
      <c r="D33" s="494" t="s">
        <v>95</v>
      </c>
      <c r="E33" s="246"/>
      <c r="F33" s="247"/>
      <c r="G33" s="280"/>
      <c r="H33" s="249"/>
      <c r="I33" s="250"/>
      <c r="J33" s="250"/>
      <c r="K33" s="250"/>
      <c r="L33" s="254"/>
      <c r="M33" s="123"/>
      <c r="N33" s="124"/>
      <c r="O33" s="125"/>
      <c r="P33" s="126"/>
      <c r="Q33" s="85"/>
      <c r="R33" s="85"/>
      <c r="S33" s="85"/>
      <c r="T33" s="85"/>
      <c r="U33" s="72"/>
      <c r="V33" s="124"/>
      <c r="W33" s="74"/>
      <c r="X33" s="127"/>
      <c r="Y33" s="76"/>
      <c r="Z33" s="76"/>
      <c r="AA33" s="76"/>
      <c r="AB33" s="77"/>
      <c r="AC33" s="72"/>
      <c r="AD33" s="124"/>
      <c r="AE33" s="74"/>
      <c r="AF33" s="127"/>
      <c r="AG33" s="76"/>
      <c r="AH33" s="76"/>
      <c r="AI33" s="76"/>
      <c r="AJ33" s="77"/>
      <c r="AK33" s="87"/>
      <c r="AL33" s="85"/>
      <c r="AM33" s="86"/>
    </row>
    <row r="34" spans="1:40" s="552" customFormat="1" ht="15.4">
      <c r="A34" s="481" t="s">
        <v>96</v>
      </c>
      <c r="B34" s="481">
        <v>86030</v>
      </c>
      <c r="C34" s="482" t="s">
        <v>52</v>
      </c>
      <c r="D34" s="486" t="s">
        <v>97</v>
      </c>
      <c r="E34" s="246">
        <v>2</v>
      </c>
      <c r="F34" s="247" t="s">
        <v>85</v>
      </c>
      <c r="G34" s="280">
        <v>1</v>
      </c>
      <c r="H34" s="249">
        <v>1</v>
      </c>
      <c r="I34" s="250">
        <v>200</v>
      </c>
      <c r="J34" s="250">
        <f>E34*I34*G34</f>
        <v>400</v>
      </c>
      <c r="K34" s="250">
        <f>J34</f>
        <v>400</v>
      </c>
      <c r="L34" s="254">
        <f>J34-K34</f>
        <v>0</v>
      </c>
      <c r="M34" s="303">
        <v>2</v>
      </c>
      <c r="N34" s="318" t="s">
        <v>85</v>
      </c>
      <c r="O34" s="304">
        <v>1</v>
      </c>
      <c r="P34" s="310">
        <v>1</v>
      </c>
      <c r="Q34" s="306">
        <f>+I34*1.04</f>
        <v>208</v>
      </c>
      <c r="R34" s="306">
        <f>M34*Q34*O34*P34</f>
        <v>416</v>
      </c>
      <c r="S34" s="306">
        <f t="shared" ref="S34:S37" si="35">R34</f>
        <v>416</v>
      </c>
      <c r="T34" s="86">
        <f t="shared" ref="T34:T37" si="36">R34-S34</f>
        <v>0</v>
      </c>
      <c r="U34" s="123">
        <v>2</v>
      </c>
      <c r="V34" s="124" t="s">
        <v>85</v>
      </c>
      <c r="W34" s="125">
        <v>1</v>
      </c>
      <c r="X34" s="126">
        <v>1</v>
      </c>
      <c r="Y34" s="348">
        <v>208</v>
      </c>
      <c r="Z34" s="85">
        <f t="shared" ref="Z34:Z35" si="37">+Y34*W34*U34*X34</f>
        <v>416</v>
      </c>
      <c r="AA34" s="85">
        <f>Z34</f>
        <v>416</v>
      </c>
      <c r="AB34" s="86">
        <f>Z34-AA34</f>
        <v>0</v>
      </c>
      <c r="AC34" s="123">
        <v>1</v>
      </c>
      <c r="AD34" s="124" t="s">
        <v>85</v>
      </c>
      <c r="AE34" s="125">
        <v>1</v>
      </c>
      <c r="AF34" s="126">
        <v>1</v>
      </c>
      <c r="AG34" s="348">
        <f>Y34*$E$3</f>
        <v>216.32</v>
      </c>
      <c r="AH34" s="85">
        <f t="shared" ref="AH34:AH36" si="38">+AG34*AE34*AC34*$H34</f>
        <v>216.32</v>
      </c>
      <c r="AI34" s="85">
        <f>AH34</f>
        <v>216.32</v>
      </c>
      <c r="AJ34" s="86">
        <f>AH34-AI34</f>
        <v>0</v>
      </c>
      <c r="AK34" s="87">
        <f t="shared" ref="AK34:AL37" si="39">K34+S34+AA34+AI34</f>
        <v>1448.32</v>
      </c>
      <c r="AL34" s="85">
        <f t="shared" si="39"/>
        <v>0</v>
      </c>
      <c r="AM34" s="86">
        <f t="shared" ref="AM34:AM37" si="40">+AK34+AL34</f>
        <v>1448.32</v>
      </c>
    </row>
    <row r="35" spans="1:40" s="552" customFormat="1" ht="15.4">
      <c r="A35" s="481" t="s">
        <v>98</v>
      </c>
      <c r="B35" s="481">
        <v>86050</v>
      </c>
      <c r="C35" s="482" t="s">
        <v>52</v>
      </c>
      <c r="D35" s="486" t="s">
        <v>99</v>
      </c>
      <c r="E35" s="246">
        <v>6</v>
      </c>
      <c r="F35" s="247" t="s">
        <v>91</v>
      </c>
      <c r="G35" s="280">
        <v>3</v>
      </c>
      <c r="H35" s="249">
        <v>1</v>
      </c>
      <c r="I35" s="250">
        <v>100</v>
      </c>
      <c r="J35" s="250">
        <f>E35*I35*G35</f>
        <v>1800</v>
      </c>
      <c r="K35" s="250">
        <f>J35</f>
        <v>1800</v>
      </c>
      <c r="L35" s="254">
        <f>J35-K35</f>
        <v>0</v>
      </c>
      <c r="M35" s="303">
        <v>6</v>
      </c>
      <c r="N35" s="318" t="s">
        <v>91</v>
      </c>
      <c r="O35" s="304">
        <v>3</v>
      </c>
      <c r="P35" s="310">
        <v>1</v>
      </c>
      <c r="Q35" s="306">
        <f>+I35*1.04</f>
        <v>104</v>
      </c>
      <c r="R35" s="306">
        <f>M35*Q35*O35*P35</f>
        <v>1872</v>
      </c>
      <c r="S35" s="306">
        <f t="shared" si="35"/>
        <v>1872</v>
      </c>
      <c r="T35" s="86">
        <f t="shared" si="36"/>
        <v>0</v>
      </c>
      <c r="U35" s="123">
        <v>2</v>
      </c>
      <c r="V35" s="124" t="s">
        <v>91</v>
      </c>
      <c r="W35" s="125">
        <v>3</v>
      </c>
      <c r="X35" s="126">
        <v>1</v>
      </c>
      <c r="Y35" s="348">
        <v>130</v>
      </c>
      <c r="Z35" s="85">
        <f t="shared" si="37"/>
        <v>780</v>
      </c>
      <c r="AA35" s="85">
        <f>Z35</f>
        <v>780</v>
      </c>
      <c r="AB35" s="86">
        <f>Z35-AA35</f>
        <v>0</v>
      </c>
      <c r="AC35" s="123">
        <v>1</v>
      </c>
      <c r="AD35" s="124" t="s">
        <v>91</v>
      </c>
      <c r="AE35" s="125">
        <v>3</v>
      </c>
      <c r="AF35" s="126">
        <v>1</v>
      </c>
      <c r="AG35" s="348">
        <f>Y35*$E$3</f>
        <v>135.20000000000002</v>
      </c>
      <c r="AH35" s="85">
        <f t="shared" si="38"/>
        <v>405.6</v>
      </c>
      <c r="AI35" s="85">
        <f t="shared" ref="AI35:AI37" si="41">AH35</f>
        <v>405.6</v>
      </c>
      <c r="AJ35" s="86">
        <f>AH35-AI35</f>
        <v>0</v>
      </c>
      <c r="AK35" s="87">
        <f t="shared" si="39"/>
        <v>4857.6000000000004</v>
      </c>
      <c r="AL35" s="85">
        <f t="shared" si="39"/>
        <v>0</v>
      </c>
      <c r="AM35" s="86">
        <f t="shared" si="40"/>
        <v>4857.6000000000004</v>
      </c>
    </row>
    <row r="36" spans="1:40" s="552" customFormat="1" ht="15.4">
      <c r="A36" s="481" t="s">
        <v>100</v>
      </c>
      <c r="B36" s="481">
        <v>86000</v>
      </c>
      <c r="C36" s="482" t="s">
        <v>52</v>
      </c>
      <c r="D36" s="486" t="s">
        <v>101</v>
      </c>
      <c r="E36" s="246">
        <v>6</v>
      </c>
      <c r="F36" s="247" t="s">
        <v>94</v>
      </c>
      <c r="G36" s="280">
        <v>4</v>
      </c>
      <c r="H36" s="249">
        <v>1</v>
      </c>
      <c r="I36" s="250">
        <v>70</v>
      </c>
      <c r="J36" s="250">
        <f>E36*I36*G36</f>
        <v>1680</v>
      </c>
      <c r="K36" s="250">
        <f>J36</f>
        <v>1680</v>
      </c>
      <c r="L36" s="254">
        <f>J36-K36</f>
        <v>0</v>
      </c>
      <c r="M36" s="303">
        <v>6</v>
      </c>
      <c r="N36" s="318" t="s">
        <v>94</v>
      </c>
      <c r="O36" s="304">
        <v>4</v>
      </c>
      <c r="P36" s="310">
        <v>1</v>
      </c>
      <c r="Q36" s="306">
        <f>+I36*1.04</f>
        <v>72.8</v>
      </c>
      <c r="R36" s="306">
        <f>M36*Q36*O36*P36</f>
        <v>1747.1999999999998</v>
      </c>
      <c r="S36" s="306">
        <f t="shared" si="35"/>
        <v>1747.1999999999998</v>
      </c>
      <c r="T36" s="86">
        <f>R36-S36</f>
        <v>0</v>
      </c>
      <c r="U36" s="123">
        <v>2</v>
      </c>
      <c r="V36" s="124" t="s">
        <v>94</v>
      </c>
      <c r="W36" s="125">
        <v>4</v>
      </c>
      <c r="X36" s="126">
        <v>1</v>
      </c>
      <c r="Y36" s="348">
        <v>55</v>
      </c>
      <c r="Z36" s="85">
        <v>441</v>
      </c>
      <c r="AA36" s="85">
        <f>Z36</f>
        <v>441</v>
      </c>
      <c r="AB36" s="86">
        <f>Z36-AA36</f>
        <v>0</v>
      </c>
      <c r="AC36" s="123">
        <v>1</v>
      </c>
      <c r="AD36" s="124" t="s">
        <v>94</v>
      </c>
      <c r="AE36" s="125">
        <v>4</v>
      </c>
      <c r="AF36" s="126">
        <v>1</v>
      </c>
      <c r="AG36" s="348">
        <f>Y36*$E$3</f>
        <v>57.2</v>
      </c>
      <c r="AH36" s="85">
        <f t="shared" si="38"/>
        <v>228.8</v>
      </c>
      <c r="AI36" s="85">
        <f t="shared" si="41"/>
        <v>228.8</v>
      </c>
      <c r="AJ36" s="86">
        <f>AH36-AI36</f>
        <v>0</v>
      </c>
      <c r="AK36" s="87">
        <f t="shared" si="39"/>
        <v>4097</v>
      </c>
      <c r="AL36" s="85">
        <f t="shared" si="39"/>
        <v>0</v>
      </c>
      <c r="AM36" s="86">
        <f t="shared" si="40"/>
        <v>4097</v>
      </c>
    </row>
    <row r="37" spans="1:40" s="552" customFormat="1" ht="15.4">
      <c r="A37" s="481" t="s">
        <v>102</v>
      </c>
      <c r="B37" s="481">
        <v>86040</v>
      </c>
      <c r="C37" s="482" t="s">
        <v>52</v>
      </c>
      <c r="D37" s="486" t="s">
        <v>103</v>
      </c>
      <c r="E37" s="246">
        <v>1</v>
      </c>
      <c r="F37" s="247" t="s">
        <v>54</v>
      </c>
      <c r="G37" s="280">
        <v>10</v>
      </c>
      <c r="H37" s="249">
        <v>1</v>
      </c>
      <c r="I37" s="250">
        <v>150</v>
      </c>
      <c r="J37" s="250">
        <f>E37*I37*G37</f>
        <v>1500</v>
      </c>
      <c r="K37" s="250">
        <f>J37</f>
        <v>1500</v>
      </c>
      <c r="L37" s="254">
        <f>J37-K37</f>
        <v>0</v>
      </c>
      <c r="M37" s="303">
        <v>1</v>
      </c>
      <c r="N37" s="318" t="s">
        <v>54</v>
      </c>
      <c r="O37" s="304">
        <v>10</v>
      </c>
      <c r="P37" s="310">
        <v>1</v>
      </c>
      <c r="Q37" s="306">
        <f>+I37*1.04</f>
        <v>156</v>
      </c>
      <c r="R37" s="306">
        <f>M37*Q37*O37*P37</f>
        <v>1560</v>
      </c>
      <c r="S37" s="306">
        <f t="shared" si="35"/>
        <v>1560</v>
      </c>
      <c r="T37" s="86">
        <f t="shared" si="36"/>
        <v>0</v>
      </c>
      <c r="U37" s="123">
        <v>1</v>
      </c>
      <c r="V37" s="124" t="s">
        <v>54</v>
      </c>
      <c r="W37" s="125">
        <v>12</v>
      </c>
      <c r="X37" s="126">
        <v>1</v>
      </c>
      <c r="Y37" s="348">
        <v>78</v>
      </c>
      <c r="Z37" s="85">
        <f>+Y37*W37*U37*X37</f>
        <v>936</v>
      </c>
      <c r="AA37" s="85">
        <f>Z37</f>
        <v>936</v>
      </c>
      <c r="AB37" s="86">
        <f>Z37-AA37</f>
        <v>0</v>
      </c>
      <c r="AC37" s="123">
        <v>1</v>
      </c>
      <c r="AD37" s="124" t="s">
        <v>54</v>
      </c>
      <c r="AE37" s="125">
        <v>4</v>
      </c>
      <c r="AF37" s="126">
        <v>1</v>
      </c>
      <c r="AG37" s="348">
        <f>Y37*$E$3</f>
        <v>81.12</v>
      </c>
      <c r="AH37" s="85">
        <f>+AG37*AE37*AC37*$H37</f>
        <v>324.48</v>
      </c>
      <c r="AI37" s="85">
        <f t="shared" si="41"/>
        <v>324.48</v>
      </c>
      <c r="AJ37" s="86">
        <f>AH37-AI37</f>
        <v>0</v>
      </c>
      <c r="AK37" s="87">
        <f t="shared" si="39"/>
        <v>4320.4799999999996</v>
      </c>
      <c r="AL37" s="85">
        <f t="shared" si="39"/>
        <v>0</v>
      </c>
      <c r="AM37" s="86">
        <f t="shared" si="40"/>
        <v>4320.4799999999996</v>
      </c>
    </row>
    <row r="38" spans="1:40" s="578" customFormat="1" ht="15">
      <c r="A38" s="582"/>
      <c r="B38" s="582"/>
      <c r="C38" s="582"/>
      <c r="D38" s="490" t="s">
        <v>104</v>
      </c>
      <c r="E38" s="281"/>
      <c r="F38" s="259"/>
      <c r="G38" s="282"/>
      <c r="H38" s="261"/>
      <c r="I38" s="262"/>
      <c r="J38" s="262">
        <f>SUM(J29:J37)</f>
        <v>7135</v>
      </c>
      <c r="K38" s="262">
        <f t="shared" ref="K38:L38" si="42">SUM(K29:K37)</f>
        <v>7135</v>
      </c>
      <c r="L38" s="278">
        <f t="shared" si="42"/>
        <v>0</v>
      </c>
      <c r="M38" s="135"/>
      <c r="N38" s="136"/>
      <c r="O38" s="137"/>
      <c r="P38" s="138"/>
      <c r="Q38" s="133"/>
      <c r="R38" s="133">
        <f t="shared" ref="R38:T38" si="43">SUM(R29:R37)</f>
        <v>7420.4</v>
      </c>
      <c r="S38" s="133">
        <f t="shared" si="43"/>
        <v>7420.4</v>
      </c>
      <c r="T38" s="134">
        <f t="shared" si="43"/>
        <v>0</v>
      </c>
      <c r="U38" s="135"/>
      <c r="V38" s="136"/>
      <c r="W38" s="137"/>
      <c r="X38" s="138"/>
      <c r="Y38" s="133"/>
      <c r="Z38" s="133">
        <f t="shared" ref="Z38:AB38" si="44">SUM(Z29:Z37)</f>
        <v>2573</v>
      </c>
      <c r="AA38" s="133">
        <f t="shared" si="44"/>
        <v>2573</v>
      </c>
      <c r="AB38" s="134">
        <f t="shared" si="44"/>
        <v>0</v>
      </c>
      <c r="AC38" s="135"/>
      <c r="AD38" s="136"/>
      <c r="AE38" s="137"/>
      <c r="AF38" s="138"/>
      <c r="AG38" s="133"/>
      <c r="AH38" s="133">
        <f>SUM(AH29:AH37)</f>
        <v>1175.2</v>
      </c>
      <c r="AI38" s="133">
        <f t="shared" ref="AI38:AM38" si="45">SUM(AI29:AI37)</f>
        <v>1175.2</v>
      </c>
      <c r="AJ38" s="134">
        <f t="shared" si="45"/>
        <v>0</v>
      </c>
      <c r="AK38" s="139">
        <f t="shared" si="45"/>
        <v>18303.599999999999</v>
      </c>
      <c r="AL38" s="133">
        <f t="shared" si="45"/>
        <v>0</v>
      </c>
      <c r="AM38" s="134">
        <f t="shared" si="45"/>
        <v>18303.599999999999</v>
      </c>
    </row>
    <row r="39" spans="1:40" s="578" customFormat="1" ht="18" customHeight="1">
      <c r="A39" s="583"/>
      <c r="B39" s="583"/>
      <c r="C39" s="583"/>
      <c r="D39" s="489" t="s">
        <v>13</v>
      </c>
      <c r="E39" s="283"/>
      <c r="F39" s="264"/>
      <c r="G39" s="284"/>
      <c r="H39" s="266"/>
      <c r="I39" s="267"/>
      <c r="J39" s="267"/>
      <c r="K39" s="285"/>
      <c r="L39" s="286"/>
      <c r="M39" s="141"/>
      <c r="N39" s="148"/>
      <c r="O39" s="142"/>
      <c r="P39" s="149"/>
      <c r="Q39" s="145"/>
      <c r="R39" s="145"/>
      <c r="S39" s="146"/>
      <c r="T39" s="147"/>
      <c r="U39" s="141"/>
      <c r="V39" s="148"/>
      <c r="W39" s="142"/>
      <c r="X39" s="149"/>
      <c r="Y39" s="145"/>
      <c r="Z39" s="145"/>
      <c r="AA39" s="146"/>
      <c r="AB39" s="147"/>
      <c r="AC39" s="141"/>
      <c r="AD39" s="148"/>
      <c r="AE39" s="142"/>
      <c r="AF39" s="149"/>
      <c r="AG39" s="145"/>
      <c r="AH39" s="145"/>
      <c r="AI39" s="146"/>
      <c r="AJ39" s="147"/>
      <c r="AK39" s="150"/>
      <c r="AL39" s="146"/>
      <c r="AM39" s="151"/>
    </row>
    <row r="40" spans="1:40" s="578" customFormat="1" ht="15.4">
      <c r="A40" s="583"/>
      <c r="B40" s="583"/>
      <c r="C40" s="583"/>
      <c r="D40" s="489" t="s">
        <v>14</v>
      </c>
      <c r="E40" s="283"/>
      <c r="F40" s="264"/>
      <c r="G40" s="284"/>
      <c r="H40" s="266"/>
      <c r="I40" s="267"/>
      <c r="J40" s="267"/>
      <c r="K40" s="285"/>
      <c r="L40" s="286"/>
      <c r="M40" s="141"/>
      <c r="N40" s="148"/>
      <c r="O40" s="142"/>
      <c r="P40" s="149"/>
      <c r="Q40" s="145"/>
      <c r="R40" s="145"/>
      <c r="S40" s="146"/>
      <c r="T40" s="147"/>
      <c r="U40" s="141"/>
      <c r="V40" s="148"/>
      <c r="W40" s="142"/>
      <c r="X40" s="149"/>
      <c r="Y40" s="145"/>
      <c r="Z40" s="145"/>
      <c r="AA40" s="146"/>
      <c r="AB40" s="147"/>
      <c r="AC40" s="141"/>
      <c r="AD40" s="148"/>
      <c r="AE40" s="142"/>
      <c r="AF40" s="149"/>
      <c r="AG40" s="145"/>
      <c r="AH40" s="145"/>
      <c r="AI40" s="146"/>
      <c r="AJ40" s="147"/>
      <c r="AK40" s="150"/>
      <c r="AL40" s="146"/>
      <c r="AM40" s="151"/>
    </row>
    <row r="41" spans="1:40" s="552" customFormat="1" ht="15.4">
      <c r="A41" s="483" t="s">
        <v>105</v>
      </c>
      <c r="B41" s="483">
        <v>82401</v>
      </c>
      <c r="C41" s="483" t="s">
        <v>52</v>
      </c>
      <c r="D41" s="486" t="s">
        <v>106</v>
      </c>
      <c r="E41" s="246">
        <v>1</v>
      </c>
      <c r="F41" s="247" t="s">
        <v>54</v>
      </c>
      <c r="G41" s="287">
        <v>12</v>
      </c>
      <c r="H41" s="249">
        <v>1</v>
      </c>
      <c r="I41" s="250">
        <v>50</v>
      </c>
      <c r="J41" s="250">
        <f>E41*I41*G41*H41</f>
        <v>600</v>
      </c>
      <c r="K41" s="250">
        <f>J41</f>
        <v>600</v>
      </c>
      <c r="L41" s="254">
        <f>J41-K41</f>
        <v>0</v>
      </c>
      <c r="M41" s="303">
        <v>1</v>
      </c>
      <c r="N41" s="318" t="s">
        <v>54</v>
      </c>
      <c r="O41" s="304">
        <v>12</v>
      </c>
      <c r="P41" s="305">
        <v>1</v>
      </c>
      <c r="Q41" s="306">
        <f>I41*$E$3</f>
        <v>52</v>
      </c>
      <c r="R41" s="306">
        <f>M41*Q41*O41*P41</f>
        <v>624</v>
      </c>
      <c r="S41" s="306">
        <f>R41</f>
        <v>624</v>
      </c>
      <c r="T41" s="307">
        <f>R41-S41</f>
        <v>0</v>
      </c>
      <c r="U41" s="123">
        <v>1</v>
      </c>
      <c r="V41" s="124" t="s">
        <v>54</v>
      </c>
      <c r="W41" s="125">
        <v>12</v>
      </c>
      <c r="X41" s="114">
        <v>1</v>
      </c>
      <c r="Y41" s="348">
        <v>31.200000000000003</v>
      </c>
      <c r="Z41" s="85">
        <f>U41*Y41*W41*X41</f>
        <v>374.40000000000003</v>
      </c>
      <c r="AA41" s="85">
        <f>Z41</f>
        <v>374.40000000000003</v>
      </c>
      <c r="AB41" s="86">
        <f>Z41-AA41</f>
        <v>0</v>
      </c>
      <c r="AC41" s="123">
        <v>1</v>
      </c>
      <c r="AD41" s="124" t="s">
        <v>54</v>
      </c>
      <c r="AE41" s="125">
        <v>6</v>
      </c>
      <c r="AF41" s="114">
        <v>1</v>
      </c>
      <c r="AG41" s="348">
        <v>32.299999999999997</v>
      </c>
      <c r="AH41" s="85">
        <f>AC41*AG41*AE41*AF41</f>
        <v>193.79999999999998</v>
      </c>
      <c r="AI41" s="85">
        <f>AH41</f>
        <v>193.79999999999998</v>
      </c>
      <c r="AJ41" s="86">
        <f>AH41-AI41</f>
        <v>0</v>
      </c>
      <c r="AK41" s="87">
        <f t="shared" ref="AK41:AL43" si="46">K41+S41+AA41+AI41</f>
        <v>1792.2</v>
      </c>
      <c r="AL41" s="85">
        <f t="shared" si="46"/>
        <v>0</v>
      </c>
      <c r="AM41" s="86">
        <f>+AK41+AL41</f>
        <v>1792.2</v>
      </c>
    </row>
    <row r="42" spans="1:40" s="552" customFormat="1" ht="15.4">
      <c r="A42" s="483" t="s">
        <v>107</v>
      </c>
      <c r="B42" s="483">
        <v>82401</v>
      </c>
      <c r="C42" s="483" t="s">
        <v>52</v>
      </c>
      <c r="D42" s="486" t="s">
        <v>108</v>
      </c>
      <c r="E42" s="246">
        <v>1</v>
      </c>
      <c r="F42" s="247" t="s">
        <v>109</v>
      </c>
      <c r="G42" s="287">
        <v>3</v>
      </c>
      <c r="H42" s="249">
        <v>1</v>
      </c>
      <c r="I42" s="250">
        <v>1000</v>
      </c>
      <c r="J42" s="250">
        <f>E42*I42*G42*H42</f>
        <v>3000</v>
      </c>
      <c r="K42" s="250">
        <f>J42</f>
        <v>3000</v>
      </c>
      <c r="L42" s="254">
        <f>J42-K42</f>
        <v>0</v>
      </c>
      <c r="M42" s="123">
        <v>1</v>
      </c>
      <c r="N42" s="124" t="s">
        <v>109</v>
      </c>
      <c r="O42" s="125">
        <v>1</v>
      </c>
      <c r="P42" s="114">
        <v>1</v>
      </c>
      <c r="Q42" s="85">
        <v>1200</v>
      </c>
      <c r="R42" s="85">
        <v>1222</v>
      </c>
      <c r="S42" s="85">
        <f>R42</f>
        <v>1222</v>
      </c>
      <c r="T42" s="86">
        <f>R42-S42</f>
        <v>0</v>
      </c>
      <c r="U42" s="123">
        <v>0</v>
      </c>
      <c r="V42" s="124" t="s">
        <v>109</v>
      </c>
      <c r="W42" s="125">
        <v>0</v>
      </c>
      <c r="X42" s="114">
        <v>0</v>
      </c>
      <c r="Y42" s="85"/>
      <c r="Z42" s="85">
        <f>U42*Y42*W42*X42</f>
        <v>0</v>
      </c>
      <c r="AA42" s="85">
        <f>Z42</f>
        <v>0</v>
      </c>
      <c r="AB42" s="86">
        <f>Z42-AA42</f>
        <v>0</v>
      </c>
      <c r="AC42" s="123">
        <v>0</v>
      </c>
      <c r="AD42" s="124" t="s">
        <v>109</v>
      </c>
      <c r="AE42" s="125">
        <v>0</v>
      </c>
      <c r="AF42" s="114">
        <v>0</v>
      </c>
      <c r="AG42" s="85"/>
      <c r="AH42" s="85">
        <f>AC42*AG42*AE42*$H42</f>
        <v>0</v>
      </c>
      <c r="AI42" s="85">
        <f>AH42</f>
        <v>0</v>
      </c>
      <c r="AJ42" s="86">
        <f>AH42-AI42</f>
        <v>0</v>
      </c>
      <c r="AK42" s="87">
        <f t="shared" si="46"/>
        <v>4222</v>
      </c>
      <c r="AL42" s="85">
        <f t="shared" si="46"/>
        <v>0</v>
      </c>
      <c r="AM42" s="86">
        <f>+AK42+AL42</f>
        <v>4222</v>
      </c>
    </row>
    <row r="43" spans="1:40" s="552" customFormat="1" ht="15.4">
      <c r="A43" s="555" t="s">
        <v>110</v>
      </c>
      <c r="B43" s="629">
        <v>82420</v>
      </c>
      <c r="C43" s="483" t="s">
        <v>52</v>
      </c>
      <c r="D43" s="486" t="s">
        <v>111</v>
      </c>
      <c r="E43" s="246">
        <v>0</v>
      </c>
      <c r="F43" s="247" t="s">
        <v>112</v>
      </c>
      <c r="G43" s="287">
        <v>0</v>
      </c>
      <c r="H43" s="249">
        <v>1</v>
      </c>
      <c r="I43" s="250"/>
      <c r="J43" s="250">
        <f>E43*I43*G43*H43</f>
        <v>0</v>
      </c>
      <c r="K43" s="250">
        <f>J43</f>
        <v>0</v>
      </c>
      <c r="L43" s="254">
        <f>J43-K43</f>
        <v>0</v>
      </c>
      <c r="M43" s="123">
        <v>1</v>
      </c>
      <c r="N43" s="124" t="s">
        <v>112</v>
      </c>
      <c r="O43" s="125">
        <v>1</v>
      </c>
      <c r="P43" s="114">
        <v>1</v>
      </c>
      <c r="Q43" s="85">
        <v>1200</v>
      </c>
      <c r="R43" s="85">
        <f>M43*Q43*O43*P43</f>
        <v>1200</v>
      </c>
      <c r="S43" s="85">
        <f>R43</f>
        <v>1200</v>
      </c>
      <c r="T43" s="86">
        <f>R43-S43</f>
        <v>0</v>
      </c>
      <c r="U43" s="123">
        <v>0</v>
      </c>
      <c r="V43" s="124" t="s">
        <v>112</v>
      </c>
      <c r="W43" s="125">
        <v>0</v>
      </c>
      <c r="X43" s="114">
        <v>0</v>
      </c>
      <c r="Y43" s="85"/>
      <c r="Z43" s="85">
        <f>U43*Y43*W43*X43</f>
        <v>0</v>
      </c>
      <c r="AA43" s="85">
        <f>Z43</f>
        <v>0</v>
      </c>
      <c r="AB43" s="86">
        <f>Z43-AA43</f>
        <v>0</v>
      </c>
      <c r="AC43" s="123">
        <v>0</v>
      </c>
      <c r="AD43" s="124" t="s">
        <v>112</v>
      </c>
      <c r="AE43" s="125">
        <v>0</v>
      </c>
      <c r="AF43" s="114">
        <v>0</v>
      </c>
      <c r="AG43" s="85">
        <f>Y43</f>
        <v>0</v>
      </c>
      <c r="AH43" s="85">
        <f>AC43*AG43*AE43*AF43</f>
        <v>0</v>
      </c>
      <c r="AI43" s="85">
        <f>AH43</f>
        <v>0</v>
      </c>
      <c r="AJ43" s="86">
        <f>AH43-AI43</f>
        <v>0</v>
      </c>
      <c r="AK43" s="87">
        <f t="shared" si="46"/>
        <v>1200</v>
      </c>
      <c r="AL43" s="85">
        <f t="shared" si="46"/>
        <v>0</v>
      </c>
      <c r="AM43" s="86">
        <f>+AK43+AL43</f>
        <v>1200</v>
      </c>
    </row>
    <row r="44" spans="1:40" s="578" customFormat="1" ht="16.5" customHeight="1">
      <c r="A44" s="584"/>
      <c r="B44" s="584"/>
      <c r="C44" s="584"/>
      <c r="D44" s="492" t="s">
        <v>113</v>
      </c>
      <c r="E44" s="242"/>
      <c r="F44" s="243"/>
      <c r="G44" s="276"/>
      <c r="H44" s="244"/>
      <c r="I44" s="245"/>
      <c r="J44" s="262">
        <f>SUM(J41:J42)</f>
        <v>3600</v>
      </c>
      <c r="K44" s="262">
        <f>SUM(K41:K42)</f>
        <v>3600</v>
      </c>
      <c r="L44" s="278">
        <f>SUM(L41:L42)</f>
        <v>0</v>
      </c>
      <c r="M44" s="153"/>
      <c r="N44" s="154"/>
      <c r="O44" s="155"/>
      <c r="P44" s="94"/>
      <c r="Q44" s="91"/>
      <c r="R44" s="91">
        <f>SUM(R41:R43)</f>
        <v>3046</v>
      </c>
      <c r="S44" s="91">
        <f>SUM(S41:S43)</f>
        <v>3046</v>
      </c>
      <c r="T44" s="96">
        <f>SUM(T41:T42)</f>
        <v>0</v>
      </c>
      <c r="U44" s="153"/>
      <c r="V44" s="154"/>
      <c r="W44" s="155"/>
      <c r="X44" s="94"/>
      <c r="Y44" s="91"/>
      <c r="Z44" s="91">
        <f>SUM(Z41:Z43)</f>
        <v>374.40000000000003</v>
      </c>
      <c r="AA44" s="91">
        <f>SUM(AA41:AA43)</f>
        <v>374.40000000000003</v>
      </c>
      <c r="AB44" s="96">
        <f>SUM(AB41:AB42)</f>
        <v>0</v>
      </c>
      <c r="AC44" s="153"/>
      <c r="AD44" s="154"/>
      <c r="AE44" s="155"/>
      <c r="AF44" s="94"/>
      <c r="AG44" s="91"/>
      <c r="AH44" s="91">
        <f>SUM(AH41:AH43)</f>
        <v>193.79999999999998</v>
      </c>
      <c r="AI44" s="91">
        <f>SUM(AI41:AI43)</f>
        <v>193.79999999999998</v>
      </c>
      <c r="AJ44" s="96">
        <f t="shared" ref="AJ44" si="47">SUM(AJ41:AJ42)</f>
        <v>0</v>
      </c>
      <c r="AK44" s="95">
        <f>SUM(AK41:AK43)</f>
        <v>7214.2</v>
      </c>
      <c r="AL44" s="91">
        <f>SUM(AL41:AL43)</f>
        <v>0</v>
      </c>
      <c r="AM44" s="96">
        <f>SUM(AM41:AM43)</f>
        <v>7214.2</v>
      </c>
    </row>
    <row r="45" spans="1:40" s="601" customFormat="1" ht="15.4">
      <c r="A45" s="585"/>
      <c r="B45" s="585"/>
      <c r="C45" s="585"/>
      <c r="D45" s="586" t="s">
        <v>114</v>
      </c>
      <c r="E45" s="587"/>
      <c r="F45" s="588"/>
      <c r="G45" s="588"/>
      <c r="H45" s="589"/>
      <c r="I45" s="590"/>
      <c r="J45" s="590"/>
      <c r="K45" s="590"/>
      <c r="L45" s="591"/>
      <c r="M45" s="592"/>
      <c r="N45" s="593"/>
      <c r="O45" s="594"/>
      <c r="P45" s="595"/>
      <c r="Q45" s="596"/>
      <c r="R45" s="596"/>
      <c r="S45" s="597"/>
      <c r="T45" s="598"/>
      <c r="U45" s="592"/>
      <c r="V45" s="593"/>
      <c r="W45" s="594"/>
      <c r="X45" s="595"/>
      <c r="Y45" s="596"/>
      <c r="Z45" s="596"/>
      <c r="AA45" s="597"/>
      <c r="AB45" s="598"/>
      <c r="AC45" s="592"/>
      <c r="AD45" s="593"/>
      <c r="AE45" s="594"/>
      <c r="AF45" s="595"/>
      <c r="AG45" s="596"/>
      <c r="AH45" s="596"/>
      <c r="AI45" s="597"/>
      <c r="AJ45" s="598"/>
      <c r="AK45" s="599"/>
      <c r="AL45" s="597"/>
      <c r="AM45" s="600"/>
    </row>
    <row r="46" spans="1:40" s="578" customFormat="1" ht="15.4">
      <c r="D46" s="495" t="s">
        <v>115</v>
      </c>
      <c r="E46" s="253"/>
      <c r="F46" s="247"/>
      <c r="G46" s="248"/>
      <c r="H46" s="249"/>
      <c r="I46" s="250"/>
      <c r="J46" s="250"/>
      <c r="K46" s="251"/>
      <c r="L46" s="252"/>
      <c r="M46" s="166"/>
      <c r="N46" s="167"/>
      <c r="O46" s="167"/>
      <c r="P46" s="168"/>
      <c r="Q46" s="76"/>
      <c r="R46" s="76"/>
      <c r="S46" s="169"/>
      <c r="T46" s="170"/>
      <c r="U46" s="166"/>
      <c r="V46" s="167"/>
      <c r="W46" s="171"/>
      <c r="X46" s="168"/>
      <c r="Y46" s="76"/>
      <c r="Z46" s="76"/>
      <c r="AA46" s="169"/>
      <c r="AB46" s="170"/>
      <c r="AC46" s="166"/>
      <c r="AD46" s="167"/>
      <c r="AE46" s="171"/>
      <c r="AF46" s="168"/>
      <c r="AG46" s="76"/>
      <c r="AH46" s="76"/>
      <c r="AI46" s="169"/>
      <c r="AJ46" s="170"/>
      <c r="AK46" s="78"/>
      <c r="AL46" s="76"/>
      <c r="AM46" s="77"/>
    </row>
    <row r="47" spans="1:40" s="552" customFormat="1" ht="15.4">
      <c r="A47" s="484" t="s">
        <v>116</v>
      </c>
      <c r="B47" s="483">
        <v>81000</v>
      </c>
      <c r="C47" s="484" t="s">
        <v>52</v>
      </c>
      <c r="D47" s="486" t="s">
        <v>117</v>
      </c>
      <c r="E47" s="246">
        <v>4</v>
      </c>
      <c r="F47" s="288" t="s">
        <v>54</v>
      </c>
      <c r="G47" s="247">
        <v>6</v>
      </c>
      <c r="H47" s="249">
        <v>1</v>
      </c>
      <c r="I47" s="250">
        <v>1825</v>
      </c>
      <c r="J47" s="250">
        <f>E47*I47*G47</f>
        <v>43800</v>
      </c>
      <c r="K47" s="250">
        <f>J47</f>
        <v>43800</v>
      </c>
      <c r="L47" s="254">
        <f>J47-K47</f>
        <v>0</v>
      </c>
      <c r="M47" s="303">
        <v>4</v>
      </c>
      <c r="N47" s="318" t="s">
        <v>54</v>
      </c>
      <c r="O47" s="304">
        <v>6</v>
      </c>
      <c r="P47" s="305">
        <v>1</v>
      </c>
      <c r="Q47" s="306">
        <v>1825</v>
      </c>
      <c r="R47" s="306">
        <f>M47*Q47*O47*P47</f>
        <v>43800</v>
      </c>
      <c r="S47" s="306">
        <f t="shared" ref="S47:S59" si="48">R47</f>
        <v>43800</v>
      </c>
      <c r="T47" s="307">
        <f t="shared" ref="T47:T59" si="49">R47-S47</f>
        <v>0</v>
      </c>
      <c r="U47" s="123">
        <v>1</v>
      </c>
      <c r="V47" s="124" t="s">
        <v>54</v>
      </c>
      <c r="W47" s="125">
        <v>12</v>
      </c>
      <c r="X47" s="114">
        <v>1</v>
      </c>
      <c r="Y47" s="348">
        <v>4000</v>
      </c>
      <c r="Z47" s="85">
        <f>U47*Y47*W47*X47</f>
        <v>48000</v>
      </c>
      <c r="AA47" s="85">
        <f>Z47</f>
        <v>48000</v>
      </c>
      <c r="AB47" s="86">
        <f>Z47-AA47</f>
        <v>0</v>
      </c>
      <c r="AC47" s="123">
        <v>1</v>
      </c>
      <c r="AD47" s="124" t="s">
        <v>54</v>
      </c>
      <c r="AE47" s="125">
        <v>5</v>
      </c>
      <c r="AF47" s="114">
        <v>1</v>
      </c>
      <c r="AG47" s="348">
        <v>4000</v>
      </c>
      <c r="AH47" s="85">
        <f>AC47*AG47*AE47*AF47</f>
        <v>20000</v>
      </c>
      <c r="AI47" s="85">
        <f>AH47</f>
        <v>20000</v>
      </c>
      <c r="AJ47" s="86">
        <f>AH47-AI47</f>
        <v>0</v>
      </c>
      <c r="AK47" s="87">
        <f t="shared" ref="AK47:AL50" si="50">K47+S47+AA47+AI47</f>
        <v>155600</v>
      </c>
      <c r="AL47" s="85">
        <f t="shared" si="50"/>
        <v>0</v>
      </c>
      <c r="AM47" s="86">
        <f>+AK47+AL47</f>
        <v>155600</v>
      </c>
      <c r="AN47" s="602"/>
    </row>
    <row r="48" spans="1:40" s="552" customFormat="1" ht="15.4">
      <c r="A48" s="484" t="s">
        <v>118</v>
      </c>
      <c r="B48" s="483">
        <v>81000</v>
      </c>
      <c r="C48" s="484" t="s">
        <v>52</v>
      </c>
      <c r="D48" s="486" t="s">
        <v>119</v>
      </c>
      <c r="E48" s="246">
        <v>1</v>
      </c>
      <c r="F48" s="288" t="s">
        <v>54</v>
      </c>
      <c r="G48" s="247">
        <v>5</v>
      </c>
      <c r="H48" s="249">
        <v>1</v>
      </c>
      <c r="I48" s="250">
        <v>3500</v>
      </c>
      <c r="J48" s="250">
        <f t="shared" ref="J48:J49" si="51">E48*I48*G48</f>
        <v>17500</v>
      </c>
      <c r="K48" s="250">
        <f t="shared" ref="K48:K49" si="52">J48</f>
        <v>17500</v>
      </c>
      <c r="L48" s="254">
        <f t="shared" ref="L48:L49" si="53">J48-K48</f>
        <v>0</v>
      </c>
      <c r="M48" s="303">
        <v>1</v>
      </c>
      <c r="N48" s="318" t="s">
        <v>54</v>
      </c>
      <c r="O48" s="304">
        <v>5</v>
      </c>
      <c r="P48" s="305">
        <v>1</v>
      </c>
      <c r="Q48" s="306">
        <v>3500</v>
      </c>
      <c r="R48" s="306">
        <f>M48*Q48*O48*P48</f>
        <v>17500</v>
      </c>
      <c r="S48" s="306">
        <f t="shared" si="48"/>
        <v>17500</v>
      </c>
      <c r="T48" s="307">
        <f t="shared" si="49"/>
        <v>0</v>
      </c>
      <c r="U48" s="123"/>
      <c r="V48" s="124"/>
      <c r="W48" s="125"/>
      <c r="X48" s="114"/>
      <c r="Y48" s="85"/>
      <c r="Z48" s="85"/>
      <c r="AA48" s="85"/>
      <c r="AB48" s="86"/>
      <c r="AC48" s="123"/>
      <c r="AD48" s="124"/>
      <c r="AE48" s="125"/>
      <c r="AF48" s="114"/>
      <c r="AG48" s="85"/>
      <c r="AH48" s="85"/>
      <c r="AI48" s="85"/>
      <c r="AJ48" s="86"/>
      <c r="AK48" s="87">
        <f t="shared" si="50"/>
        <v>35000</v>
      </c>
      <c r="AL48" s="85">
        <f t="shared" si="50"/>
        <v>0</v>
      </c>
      <c r="AM48" s="86">
        <f t="shared" ref="AM48:AM60" si="54">+AK48+AL48</f>
        <v>35000</v>
      </c>
      <c r="AN48" s="602"/>
    </row>
    <row r="49" spans="1:43" s="552" customFormat="1" ht="15.4">
      <c r="A49" s="484" t="s">
        <v>120</v>
      </c>
      <c r="B49" s="483">
        <v>81000</v>
      </c>
      <c r="C49" s="484" t="s">
        <v>52</v>
      </c>
      <c r="D49" s="496" t="s">
        <v>121</v>
      </c>
      <c r="E49" s="246">
        <v>1</v>
      </c>
      <c r="F49" s="288" t="s">
        <v>54</v>
      </c>
      <c r="G49" s="247">
        <v>2</v>
      </c>
      <c r="H49" s="249">
        <v>1</v>
      </c>
      <c r="I49" s="250">
        <v>3000</v>
      </c>
      <c r="J49" s="250">
        <f t="shared" si="51"/>
        <v>6000</v>
      </c>
      <c r="K49" s="250">
        <f t="shared" si="52"/>
        <v>6000</v>
      </c>
      <c r="L49" s="254">
        <f t="shared" si="53"/>
        <v>0</v>
      </c>
      <c r="M49" s="303">
        <v>1</v>
      </c>
      <c r="N49" s="318" t="s">
        <v>54</v>
      </c>
      <c r="O49" s="304">
        <v>2</v>
      </c>
      <c r="P49" s="305">
        <v>1</v>
      </c>
      <c r="Q49" s="306">
        <v>3000</v>
      </c>
      <c r="R49" s="306">
        <f>M49*Q49*O49*P49</f>
        <v>6000</v>
      </c>
      <c r="S49" s="306">
        <f t="shared" si="48"/>
        <v>6000</v>
      </c>
      <c r="T49" s="307">
        <f t="shared" si="49"/>
        <v>0</v>
      </c>
      <c r="U49" s="123"/>
      <c r="V49" s="124"/>
      <c r="W49" s="125"/>
      <c r="X49" s="114"/>
      <c r="Y49" s="85"/>
      <c r="Z49" s="85"/>
      <c r="AA49" s="85"/>
      <c r="AB49" s="86"/>
      <c r="AC49" s="123"/>
      <c r="AD49" s="124"/>
      <c r="AE49" s="125"/>
      <c r="AF49" s="114"/>
      <c r="AG49" s="85"/>
      <c r="AH49" s="85"/>
      <c r="AI49" s="85"/>
      <c r="AJ49" s="86"/>
      <c r="AK49" s="87">
        <f t="shared" si="50"/>
        <v>12000</v>
      </c>
      <c r="AL49" s="85">
        <f t="shared" si="50"/>
        <v>0</v>
      </c>
      <c r="AM49" s="86">
        <f t="shared" si="54"/>
        <v>12000</v>
      </c>
      <c r="AN49" s="602"/>
    </row>
    <row r="50" spans="1:43" s="552" customFormat="1" ht="15.4">
      <c r="A50" s="555" t="s">
        <v>122</v>
      </c>
      <c r="B50" s="555">
        <v>81000</v>
      </c>
      <c r="C50" s="484" t="s">
        <v>52</v>
      </c>
      <c r="D50" s="486" t="s">
        <v>123</v>
      </c>
      <c r="E50" s="68">
        <v>0</v>
      </c>
      <c r="F50" s="299" t="s">
        <v>124</v>
      </c>
      <c r="G50" s="69">
        <v>0</v>
      </c>
      <c r="H50" s="70">
        <v>1</v>
      </c>
      <c r="I50" s="71">
        <v>12000</v>
      </c>
      <c r="J50" s="71">
        <f t="shared" ref="J50" si="55">E50*I50*G50</f>
        <v>0</v>
      </c>
      <c r="K50" s="71">
        <f t="shared" ref="K50" si="56">J50</f>
        <v>0</v>
      </c>
      <c r="L50" s="298">
        <f t="shared" ref="L50" si="57">J50-K50</f>
        <v>0</v>
      </c>
      <c r="M50" s="123">
        <v>1</v>
      </c>
      <c r="N50" s="124" t="s">
        <v>124</v>
      </c>
      <c r="O50" s="125">
        <v>1</v>
      </c>
      <c r="P50" s="114">
        <v>0.45</v>
      </c>
      <c r="Q50" s="85">
        <v>12000</v>
      </c>
      <c r="R50" s="85">
        <f>M50*Q50*O50*P50</f>
        <v>5400</v>
      </c>
      <c r="S50" s="85">
        <f t="shared" si="48"/>
        <v>5400</v>
      </c>
      <c r="T50" s="86">
        <f t="shared" si="49"/>
        <v>0</v>
      </c>
      <c r="U50" s="123">
        <v>1</v>
      </c>
      <c r="V50" s="124" t="s">
        <v>124</v>
      </c>
      <c r="W50" s="125">
        <v>1</v>
      </c>
      <c r="X50" s="114">
        <v>0.45</v>
      </c>
      <c r="Y50" s="85">
        <v>12000</v>
      </c>
      <c r="Z50" s="85">
        <f t="shared" ref="Z50:Z60" si="58">U50*Y50*W50*X50</f>
        <v>5400</v>
      </c>
      <c r="AA50" s="85">
        <f t="shared" ref="AA50:AA60" si="59">Z50</f>
        <v>5400</v>
      </c>
      <c r="AB50" s="86">
        <f t="shared" ref="AB50:AB60" si="60">Z50-AA50</f>
        <v>0</v>
      </c>
      <c r="AC50" s="123">
        <v>1</v>
      </c>
      <c r="AD50" s="124" t="s">
        <v>124</v>
      </c>
      <c r="AE50" s="125">
        <v>1</v>
      </c>
      <c r="AF50" s="114">
        <v>0.1</v>
      </c>
      <c r="AG50" s="85">
        <v>12000</v>
      </c>
      <c r="AH50" s="85">
        <f t="shared" ref="AH50:AH59" si="61">AC50*AG50*AE50*AF50</f>
        <v>1200</v>
      </c>
      <c r="AI50" s="85">
        <f t="shared" ref="AI50:AI59" si="62">AH50</f>
        <v>1200</v>
      </c>
      <c r="AJ50" s="86">
        <f t="shared" ref="AJ50:AJ59" si="63">AH50-AI50</f>
        <v>0</v>
      </c>
      <c r="AK50" s="87">
        <f t="shared" si="50"/>
        <v>12000</v>
      </c>
      <c r="AL50" s="85">
        <f t="shared" si="50"/>
        <v>0</v>
      </c>
      <c r="AM50" s="86">
        <f t="shared" si="54"/>
        <v>12000</v>
      </c>
    </row>
    <row r="51" spans="1:43" s="578" customFormat="1" ht="15.4">
      <c r="D51" s="495" t="s">
        <v>125</v>
      </c>
      <c r="E51" s="246"/>
      <c r="F51" s="288"/>
      <c r="G51" s="247"/>
      <c r="H51" s="249"/>
      <c r="I51" s="250"/>
      <c r="J51" s="250"/>
      <c r="K51" s="250"/>
      <c r="L51" s="254"/>
      <c r="M51" s="72"/>
      <c r="N51" s="73"/>
      <c r="O51" s="74"/>
      <c r="P51" s="75"/>
      <c r="Q51" s="76"/>
      <c r="R51" s="76"/>
      <c r="S51" s="76"/>
      <c r="T51" s="77"/>
      <c r="U51" s="72"/>
      <c r="V51" s="73"/>
      <c r="W51" s="74"/>
      <c r="X51" s="75"/>
      <c r="Y51" s="76"/>
      <c r="Z51" s="76"/>
      <c r="AA51" s="76"/>
      <c r="AB51" s="77"/>
      <c r="AC51" s="72"/>
      <c r="AD51" s="73"/>
      <c r="AE51" s="74"/>
      <c r="AF51" s="75"/>
      <c r="AG51" s="76"/>
      <c r="AH51" s="76"/>
      <c r="AI51" s="76"/>
      <c r="AJ51" s="77"/>
      <c r="AK51" s="87"/>
      <c r="AL51" s="85"/>
      <c r="AM51" s="86"/>
    </row>
    <row r="52" spans="1:43" s="552" customFormat="1" ht="15.4">
      <c r="A52" s="483" t="s">
        <v>126</v>
      </c>
      <c r="B52" s="483">
        <v>81010</v>
      </c>
      <c r="C52" s="484" t="s">
        <v>52</v>
      </c>
      <c r="D52" s="496" t="s">
        <v>127</v>
      </c>
      <c r="E52" s="246">
        <v>1</v>
      </c>
      <c r="F52" s="288" t="s">
        <v>124</v>
      </c>
      <c r="G52" s="247">
        <v>1</v>
      </c>
      <c r="H52" s="249">
        <v>1</v>
      </c>
      <c r="I52" s="250">
        <v>25000</v>
      </c>
      <c r="J52" s="250">
        <f t="shared" ref="J52:J57" si="64">E52*I52*G52</f>
        <v>25000</v>
      </c>
      <c r="K52" s="250">
        <f t="shared" ref="K52:K57" si="65">J52</f>
        <v>25000</v>
      </c>
      <c r="L52" s="254">
        <f t="shared" ref="L52:L57" si="66">J52-K52</f>
        <v>0</v>
      </c>
      <c r="M52" s="123">
        <v>1</v>
      </c>
      <c r="N52" s="124" t="s">
        <v>124</v>
      </c>
      <c r="O52" s="125">
        <v>1</v>
      </c>
      <c r="P52" s="114">
        <v>0.25</v>
      </c>
      <c r="Q52" s="348">
        <v>28000</v>
      </c>
      <c r="R52" s="85">
        <f t="shared" ref="R52:R60" si="67">M52*Q52*O52*P52</f>
        <v>7000</v>
      </c>
      <c r="S52" s="85">
        <f t="shared" si="48"/>
        <v>7000</v>
      </c>
      <c r="T52" s="86">
        <f t="shared" si="49"/>
        <v>0</v>
      </c>
      <c r="U52" s="123">
        <v>1</v>
      </c>
      <c r="V52" s="124" t="s">
        <v>124</v>
      </c>
      <c r="W52" s="125">
        <v>1</v>
      </c>
      <c r="X52" s="114">
        <v>0.5</v>
      </c>
      <c r="Y52" s="348">
        <v>28000</v>
      </c>
      <c r="Z52" s="85">
        <f t="shared" si="58"/>
        <v>14000</v>
      </c>
      <c r="AA52" s="85">
        <f t="shared" si="59"/>
        <v>14000</v>
      </c>
      <c r="AB52" s="86">
        <f t="shared" si="60"/>
        <v>0</v>
      </c>
      <c r="AC52" s="123">
        <v>1</v>
      </c>
      <c r="AD52" s="124" t="s">
        <v>124</v>
      </c>
      <c r="AE52" s="125">
        <v>1</v>
      </c>
      <c r="AF52" s="114">
        <v>0.25</v>
      </c>
      <c r="AG52" s="348">
        <v>28000</v>
      </c>
      <c r="AH52" s="85">
        <f t="shared" si="61"/>
        <v>7000</v>
      </c>
      <c r="AI52" s="85">
        <f t="shared" si="62"/>
        <v>7000</v>
      </c>
      <c r="AJ52" s="86">
        <f t="shared" si="63"/>
        <v>0</v>
      </c>
      <c r="AK52" s="87">
        <f t="shared" ref="AK52:AK60" si="68">K52+S52+AA52+AI52</f>
        <v>53000</v>
      </c>
      <c r="AL52" s="85">
        <f t="shared" ref="AL52:AL60" si="69">L52+T52+AB52+AJ52</f>
        <v>0</v>
      </c>
      <c r="AM52" s="86">
        <f t="shared" si="54"/>
        <v>53000</v>
      </c>
    </row>
    <row r="53" spans="1:43" s="552" customFormat="1" ht="15.4">
      <c r="A53" s="483" t="s">
        <v>128</v>
      </c>
      <c r="B53" s="483">
        <v>81010</v>
      </c>
      <c r="C53" s="484" t="s">
        <v>52</v>
      </c>
      <c r="D53" s="486" t="s">
        <v>129</v>
      </c>
      <c r="E53" s="246">
        <v>1</v>
      </c>
      <c r="F53" s="288" t="s">
        <v>124</v>
      </c>
      <c r="G53" s="247">
        <v>1</v>
      </c>
      <c r="H53" s="249">
        <v>1</v>
      </c>
      <c r="I53" s="250">
        <v>20000</v>
      </c>
      <c r="J53" s="250">
        <f t="shared" ref="J53:J56" si="70">E53*I53*G53</f>
        <v>20000</v>
      </c>
      <c r="K53" s="250">
        <f t="shared" ref="K53:K56" si="71">J53</f>
        <v>20000</v>
      </c>
      <c r="L53" s="254">
        <f t="shared" ref="L53:L56" si="72">J53-K53</f>
        <v>0</v>
      </c>
      <c r="M53" s="303">
        <v>0</v>
      </c>
      <c r="N53" s="318" t="s">
        <v>124</v>
      </c>
      <c r="O53" s="304">
        <v>0</v>
      </c>
      <c r="P53" s="305">
        <v>0</v>
      </c>
      <c r="Q53" s="306">
        <v>20000</v>
      </c>
      <c r="R53" s="306">
        <f t="shared" si="67"/>
        <v>0</v>
      </c>
      <c r="S53" s="306">
        <f t="shared" si="48"/>
        <v>0</v>
      </c>
      <c r="T53" s="307">
        <f t="shared" si="49"/>
        <v>0</v>
      </c>
      <c r="U53" s="123"/>
      <c r="V53" s="124"/>
      <c r="W53" s="125"/>
      <c r="X53" s="114"/>
      <c r="Y53" s="85"/>
      <c r="Z53" s="85"/>
      <c r="AA53" s="85"/>
      <c r="AB53" s="86"/>
      <c r="AC53" s="123"/>
      <c r="AD53" s="124"/>
      <c r="AE53" s="125"/>
      <c r="AF53" s="114"/>
      <c r="AG53" s="85"/>
      <c r="AH53" s="85"/>
      <c r="AI53" s="85"/>
      <c r="AJ53" s="86"/>
      <c r="AK53" s="87">
        <f t="shared" si="68"/>
        <v>20000</v>
      </c>
      <c r="AL53" s="85">
        <f t="shared" si="69"/>
        <v>0</v>
      </c>
      <c r="AM53" s="86">
        <f t="shared" si="54"/>
        <v>20000</v>
      </c>
    </row>
    <row r="54" spans="1:43" s="552" customFormat="1" ht="15.4">
      <c r="A54" s="483" t="s">
        <v>130</v>
      </c>
      <c r="B54" s="483">
        <v>86110</v>
      </c>
      <c r="C54" s="484" t="s">
        <v>52</v>
      </c>
      <c r="D54" s="486" t="s">
        <v>131</v>
      </c>
      <c r="E54" s="246">
        <v>1</v>
      </c>
      <c r="F54" s="288" t="s">
        <v>54</v>
      </c>
      <c r="G54" s="247">
        <v>12</v>
      </c>
      <c r="H54" s="249">
        <v>1</v>
      </c>
      <c r="I54" s="250">
        <v>300</v>
      </c>
      <c r="J54" s="250">
        <f t="shared" si="70"/>
        <v>3600</v>
      </c>
      <c r="K54" s="250">
        <f t="shared" si="71"/>
        <v>3600</v>
      </c>
      <c r="L54" s="254">
        <f t="shared" si="72"/>
        <v>0</v>
      </c>
      <c r="M54" s="303">
        <v>1</v>
      </c>
      <c r="N54" s="318" t="s">
        <v>54</v>
      </c>
      <c r="O54" s="304">
        <v>12</v>
      </c>
      <c r="P54" s="305">
        <v>1</v>
      </c>
      <c r="Q54" s="306">
        <v>300</v>
      </c>
      <c r="R54" s="306">
        <f t="shared" si="67"/>
        <v>3600</v>
      </c>
      <c r="S54" s="306">
        <f t="shared" si="48"/>
        <v>3600</v>
      </c>
      <c r="T54" s="307">
        <f t="shared" si="49"/>
        <v>0</v>
      </c>
      <c r="U54" s="123"/>
      <c r="V54" s="124"/>
      <c r="W54" s="125"/>
      <c r="X54" s="114"/>
      <c r="Y54" s="85"/>
      <c r="Z54" s="85"/>
      <c r="AA54" s="85"/>
      <c r="AB54" s="86"/>
      <c r="AC54" s="123"/>
      <c r="AD54" s="124"/>
      <c r="AE54" s="125"/>
      <c r="AF54" s="114"/>
      <c r="AG54" s="85"/>
      <c r="AH54" s="85"/>
      <c r="AI54" s="85"/>
      <c r="AJ54" s="86"/>
      <c r="AK54" s="87">
        <f t="shared" si="68"/>
        <v>7200</v>
      </c>
      <c r="AL54" s="85">
        <f t="shared" si="69"/>
        <v>0</v>
      </c>
      <c r="AM54" s="86">
        <f t="shared" si="54"/>
        <v>7200</v>
      </c>
    </row>
    <row r="55" spans="1:43" s="551" customFormat="1" ht="15.4">
      <c r="A55" s="555" t="s">
        <v>132</v>
      </c>
      <c r="B55" s="629">
        <v>81021</v>
      </c>
      <c r="C55" s="484" t="s">
        <v>52</v>
      </c>
      <c r="D55" s="167" t="s">
        <v>133</v>
      </c>
      <c r="E55" s="68">
        <v>0</v>
      </c>
      <c r="F55" s="69" t="s">
        <v>134</v>
      </c>
      <c r="G55" s="69">
        <v>0</v>
      </c>
      <c r="H55" s="70">
        <v>1</v>
      </c>
      <c r="I55" s="71">
        <v>20000</v>
      </c>
      <c r="J55" s="71">
        <f>E55*I55*G55</f>
        <v>0</v>
      </c>
      <c r="K55" s="71">
        <f t="shared" si="71"/>
        <v>0</v>
      </c>
      <c r="L55" s="298">
        <f t="shared" si="72"/>
        <v>0</v>
      </c>
      <c r="M55" s="325">
        <v>1</v>
      </c>
      <c r="N55" s="327" t="s">
        <v>124</v>
      </c>
      <c r="O55" s="125">
        <v>1</v>
      </c>
      <c r="P55" s="114">
        <f>1/3</f>
        <v>0.33333333333333331</v>
      </c>
      <c r="Q55" s="336">
        <v>20000</v>
      </c>
      <c r="R55" s="85">
        <f t="shared" si="67"/>
        <v>6666.6666666666661</v>
      </c>
      <c r="S55" s="85">
        <f t="shared" si="48"/>
        <v>6666.6666666666661</v>
      </c>
      <c r="T55" s="86">
        <f t="shared" si="49"/>
        <v>0</v>
      </c>
      <c r="U55" s="123">
        <v>1</v>
      </c>
      <c r="V55" s="327" t="s">
        <v>124</v>
      </c>
      <c r="W55" s="125">
        <v>1</v>
      </c>
      <c r="X55" s="114">
        <f>1/3</f>
        <v>0.33333333333333331</v>
      </c>
      <c r="Y55" s="336">
        <v>20000</v>
      </c>
      <c r="Z55" s="85">
        <f t="shared" si="58"/>
        <v>6666.6666666666661</v>
      </c>
      <c r="AA55" s="85">
        <f t="shared" si="59"/>
        <v>6666.6666666666661</v>
      </c>
      <c r="AB55" s="86">
        <f t="shared" si="60"/>
        <v>0</v>
      </c>
      <c r="AC55" s="123">
        <v>1</v>
      </c>
      <c r="AD55" s="327" t="s">
        <v>124</v>
      </c>
      <c r="AE55" s="125">
        <v>1</v>
      </c>
      <c r="AF55" s="114">
        <f>1/3</f>
        <v>0.33333333333333331</v>
      </c>
      <c r="AG55" s="336">
        <v>20000</v>
      </c>
      <c r="AH55" s="85">
        <f t="shared" si="61"/>
        <v>6666.6666666666661</v>
      </c>
      <c r="AI55" s="85">
        <f t="shared" si="62"/>
        <v>6666.6666666666661</v>
      </c>
      <c r="AJ55" s="86">
        <f t="shared" si="63"/>
        <v>0</v>
      </c>
      <c r="AK55" s="87">
        <f t="shared" si="68"/>
        <v>20000</v>
      </c>
      <c r="AL55" s="85">
        <f t="shared" si="69"/>
        <v>0</v>
      </c>
      <c r="AM55" s="86">
        <f t="shared" si="54"/>
        <v>20000</v>
      </c>
    </row>
    <row r="56" spans="1:43" s="552" customFormat="1" ht="15.4">
      <c r="A56" s="555" t="s">
        <v>135</v>
      </c>
      <c r="B56" s="629">
        <v>81010</v>
      </c>
      <c r="C56" s="484" t="s">
        <v>52</v>
      </c>
      <c r="D56" s="486" t="s">
        <v>136</v>
      </c>
      <c r="E56" s="68">
        <v>0</v>
      </c>
      <c r="F56" s="299" t="s">
        <v>124</v>
      </c>
      <c r="G56" s="69">
        <v>0</v>
      </c>
      <c r="H56" s="70">
        <v>1</v>
      </c>
      <c r="I56" s="71">
        <v>40000</v>
      </c>
      <c r="J56" s="71">
        <f t="shared" si="70"/>
        <v>0</v>
      </c>
      <c r="K56" s="71">
        <f t="shared" si="71"/>
        <v>0</v>
      </c>
      <c r="L56" s="298">
        <f t="shared" si="72"/>
        <v>0</v>
      </c>
      <c r="M56" s="123">
        <v>0</v>
      </c>
      <c r="N56" s="124" t="s">
        <v>124</v>
      </c>
      <c r="O56" s="125">
        <v>0</v>
      </c>
      <c r="P56" s="114">
        <v>0</v>
      </c>
      <c r="Q56" s="85">
        <v>40000</v>
      </c>
      <c r="R56" s="85">
        <f t="shared" si="67"/>
        <v>0</v>
      </c>
      <c r="S56" s="85">
        <f t="shared" si="48"/>
        <v>0</v>
      </c>
      <c r="T56" s="86">
        <f t="shared" si="49"/>
        <v>0</v>
      </c>
      <c r="U56" s="123">
        <v>1</v>
      </c>
      <c r="V56" s="124" t="s">
        <v>124</v>
      </c>
      <c r="W56" s="125">
        <v>1</v>
      </c>
      <c r="X56" s="114">
        <v>1</v>
      </c>
      <c r="Y56" s="85">
        <f>Q56</f>
        <v>40000</v>
      </c>
      <c r="Z56" s="85">
        <f t="shared" si="58"/>
        <v>40000</v>
      </c>
      <c r="AA56" s="85">
        <f t="shared" si="59"/>
        <v>40000</v>
      </c>
      <c r="AB56" s="86">
        <f t="shared" si="60"/>
        <v>0</v>
      </c>
      <c r="AC56" s="123">
        <v>0</v>
      </c>
      <c r="AD56" s="124" t="s">
        <v>124</v>
      </c>
      <c r="AE56" s="125">
        <v>0</v>
      </c>
      <c r="AF56" s="114">
        <v>0</v>
      </c>
      <c r="AG56" s="85">
        <v>40000</v>
      </c>
      <c r="AH56" s="85">
        <f>AC56*AG56*AE56*AF56</f>
        <v>0</v>
      </c>
      <c r="AI56" s="85">
        <f t="shared" si="62"/>
        <v>0</v>
      </c>
      <c r="AJ56" s="86">
        <f t="shared" si="63"/>
        <v>0</v>
      </c>
      <c r="AK56" s="87">
        <f t="shared" si="68"/>
        <v>40000</v>
      </c>
      <c r="AL56" s="85">
        <f t="shared" si="69"/>
        <v>0</v>
      </c>
      <c r="AM56" s="86">
        <f t="shared" si="54"/>
        <v>40000</v>
      </c>
    </row>
    <row r="57" spans="1:43" s="552" customFormat="1" ht="15.4">
      <c r="A57" s="555" t="s">
        <v>137</v>
      </c>
      <c r="B57" s="629">
        <v>90450</v>
      </c>
      <c r="C57" s="484" t="s">
        <v>52</v>
      </c>
      <c r="D57" s="486" t="s">
        <v>138</v>
      </c>
      <c r="E57" s="68">
        <v>0</v>
      </c>
      <c r="F57" s="299" t="s">
        <v>124</v>
      </c>
      <c r="G57" s="69">
        <v>0</v>
      </c>
      <c r="H57" s="70">
        <v>1</v>
      </c>
      <c r="I57" s="71">
        <v>400000</v>
      </c>
      <c r="J57" s="71">
        <f t="shared" si="64"/>
        <v>0</v>
      </c>
      <c r="K57" s="71">
        <f t="shared" si="65"/>
        <v>0</v>
      </c>
      <c r="L57" s="298">
        <f t="shared" si="66"/>
        <v>0</v>
      </c>
      <c r="M57" s="123">
        <v>0</v>
      </c>
      <c r="N57" s="124" t="s">
        <v>124</v>
      </c>
      <c r="O57" s="125">
        <v>0</v>
      </c>
      <c r="P57" s="114">
        <v>0</v>
      </c>
      <c r="Q57" s="85">
        <v>400000</v>
      </c>
      <c r="R57" s="85">
        <f t="shared" si="67"/>
        <v>0</v>
      </c>
      <c r="S57" s="85">
        <f t="shared" si="48"/>
        <v>0</v>
      </c>
      <c r="T57" s="86">
        <f t="shared" si="49"/>
        <v>0</v>
      </c>
      <c r="U57" s="123">
        <v>1</v>
      </c>
      <c r="V57" s="124" t="s">
        <v>124</v>
      </c>
      <c r="W57" s="125">
        <v>1</v>
      </c>
      <c r="X57" s="114">
        <v>1</v>
      </c>
      <c r="Y57" s="85">
        <v>400000</v>
      </c>
      <c r="Z57" s="85">
        <f t="shared" si="58"/>
        <v>400000</v>
      </c>
      <c r="AA57" s="85">
        <f t="shared" si="59"/>
        <v>400000</v>
      </c>
      <c r="AB57" s="86">
        <f t="shared" si="60"/>
        <v>0</v>
      </c>
      <c r="AC57" s="123">
        <v>0</v>
      </c>
      <c r="AD57" s="124" t="s">
        <v>124</v>
      </c>
      <c r="AE57" s="125">
        <v>0</v>
      </c>
      <c r="AF57" s="114">
        <v>0</v>
      </c>
      <c r="AG57" s="85">
        <v>400000</v>
      </c>
      <c r="AH57" s="85">
        <f t="shared" si="61"/>
        <v>0</v>
      </c>
      <c r="AI57" s="85">
        <f t="shared" si="62"/>
        <v>0</v>
      </c>
      <c r="AJ57" s="86">
        <f t="shared" si="63"/>
        <v>0</v>
      </c>
      <c r="AK57" s="87">
        <f t="shared" si="68"/>
        <v>400000</v>
      </c>
      <c r="AL57" s="85">
        <f t="shared" si="69"/>
        <v>0</v>
      </c>
      <c r="AM57" s="86">
        <f t="shared" si="54"/>
        <v>400000</v>
      </c>
    </row>
    <row r="58" spans="1:43" s="552" customFormat="1" ht="15.4">
      <c r="A58" s="555" t="s">
        <v>139</v>
      </c>
      <c r="B58" s="629">
        <v>85300</v>
      </c>
      <c r="C58" s="484" t="s">
        <v>52</v>
      </c>
      <c r="D58" s="486" t="s">
        <v>140</v>
      </c>
      <c r="E58" s="68">
        <v>0</v>
      </c>
      <c r="F58" s="299" t="s">
        <v>124</v>
      </c>
      <c r="G58" s="69">
        <v>0</v>
      </c>
      <c r="H58" s="70">
        <v>1</v>
      </c>
      <c r="I58" s="71">
        <v>37283</v>
      </c>
      <c r="J58" s="71">
        <f>E58*I58*G58</f>
        <v>0</v>
      </c>
      <c r="K58" s="71">
        <f>J58</f>
        <v>0</v>
      </c>
      <c r="L58" s="298">
        <f>J58-K58</f>
        <v>0</v>
      </c>
      <c r="M58" s="123">
        <v>1</v>
      </c>
      <c r="N58" s="124" t="s">
        <v>124</v>
      </c>
      <c r="O58" s="125">
        <v>1</v>
      </c>
      <c r="P58" s="114">
        <v>0.25</v>
      </c>
      <c r="Q58" s="85">
        <v>37283</v>
      </c>
      <c r="R58" s="85">
        <f t="shared" si="67"/>
        <v>9320.75</v>
      </c>
      <c r="S58" s="85">
        <f t="shared" si="48"/>
        <v>9320.75</v>
      </c>
      <c r="T58" s="86">
        <f t="shared" si="49"/>
        <v>0</v>
      </c>
      <c r="U58" s="123">
        <v>1</v>
      </c>
      <c r="V58" s="124" t="s">
        <v>124</v>
      </c>
      <c r="W58" s="125">
        <v>1</v>
      </c>
      <c r="X58" s="114">
        <v>0.5</v>
      </c>
      <c r="Y58" s="85">
        <f>Q58</f>
        <v>37283</v>
      </c>
      <c r="Z58" s="85">
        <f t="shared" si="58"/>
        <v>18641.5</v>
      </c>
      <c r="AA58" s="85">
        <f t="shared" si="59"/>
        <v>18641.5</v>
      </c>
      <c r="AB58" s="86">
        <f t="shared" si="60"/>
        <v>0</v>
      </c>
      <c r="AC58" s="123">
        <v>1</v>
      </c>
      <c r="AD58" s="124" t="s">
        <v>124</v>
      </c>
      <c r="AE58" s="125">
        <v>1</v>
      </c>
      <c r="AF58" s="114">
        <v>0.25</v>
      </c>
      <c r="AG58" s="85">
        <f>Y58</f>
        <v>37283</v>
      </c>
      <c r="AH58" s="85">
        <f t="shared" si="61"/>
        <v>9320.75</v>
      </c>
      <c r="AI58" s="85">
        <f t="shared" si="62"/>
        <v>9320.75</v>
      </c>
      <c r="AJ58" s="86">
        <f t="shared" si="63"/>
        <v>0</v>
      </c>
      <c r="AK58" s="87">
        <f t="shared" si="68"/>
        <v>37283</v>
      </c>
      <c r="AL58" s="85">
        <f t="shared" si="69"/>
        <v>0</v>
      </c>
      <c r="AM58" s="86">
        <f t="shared" si="54"/>
        <v>37283</v>
      </c>
    </row>
    <row r="59" spans="1:43" s="552" customFormat="1" ht="15.4">
      <c r="A59" s="555" t="s">
        <v>141</v>
      </c>
      <c r="B59" s="629">
        <v>81010</v>
      </c>
      <c r="C59" s="484" t="s">
        <v>52</v>
      </c>
      <c r="D59" s="496" t="s">
        <v>142</v>
      </c>
      <c r="E59" s="68">
        <v>0</v>
      </c>
      <c r="F59" s="299" t="s">
        <v>124</v>
      </c>
      <c r="G59" s="69">
        <v>0</v>
      </c>
      <c r="H59" s="70">
        <v>1</v>
      </c>
      <c r="I59" s="71">
        <v>5000</v>
      </c>
      <c r="J59" s="71">
        <f>E59*I59*G59</f>
        <v>0</v>
      </c>
      <c r="K59" s="71">
        <f>J59</f>
        <v>0</v>
      </c>
      <c r="L59" s="298">
        <f>J59-K59</f>
        <v>0</v>
      </c>
      <c r="M59" s="123">
        <v>0</v>
      </c>
      <c r="N59" s="124" t="s">
        <v>124</v>
      </c>
      <c r="O59" s="125">
        <v>0</v>
      </c>
      <c r="P59" s="114">
        <v>0</v>
      </c>
      <c r="Q59" s="85">
        <v>5000</v>
      </c>
      <c r="R59" s="85">
        <f t="shared" si="67"/>
        <v>0</v>
      </c>
      <c r="S59" s="85">
        <f t="shared" si="48"/>
        <v>0</v>
      </c>
      <c r="T59" s="86">
        <f t="shared" si="49"/>
        <v>0</v>
      </c>
      <c r="U59" s="123">
        <v>1</v>
      </c>
      <c r="V59" s="124" t="s">
        <v>124</v>
      </c>
      <c r="W59" s="125">
        <v>1</v>
      </c>
      <c r="X59" s="114">
        <v>0.5</v>
      </c>
      <c r="Y59" s="85">
        <v>5000</v>
      </c>
      <c r="Z59" s="85">
        <f t="shared" si="58"/>
        <v>2500</v>
      </c>
      <c r="AA59" s="85">
        <f t="shared" si="59"/>
        <v>2500</v>
      </c>
      <c r="AB59" s="86">
        <f t="shared" si="60"/>
        <v>0</v>
      </c>
      <c r="AC59" s="123">
        <v>1</v>
      </c>
      <c r="AD59" s="124" t="s">
        <v>124</v>
      </c>
      <c r="AE59" s="125">
        <v>1</v>
      </c>
      <c r="AF59" s="114">
        <v>0.5</v>
      </c>
      <c r="AG59" s="85">
        <v>5000</v>
      </c>
      <c r="AH59" s="85">
        <f t="shared" si="61"/>
        <v>2500</v>
      </c>
      <c r="AI59" s="85">
        <f t="shared" si="62"/>
        <v>2500</v>
      </c>
      <c r="AJ59" s="86">
        <f t="shared" si="63"/>
        <v>0</v>
      </c>
      <c r="AK59" s="87">
        <f t="shared" si="68"/>
        <v>5000</v>
      </c>
      <c r="AL59" s="85">
        <f t="shared" si="69"/>
        <v>0</v>
      </c>
      <c r="AM59" s="86">
        <f t="shared" si="54"/>
        <v>5000</v>
      </c>
    </row>
    <row r="60" spans="1:43" s="552" customFormat="1" ht="19.5" customHeight="1">
      <c r="A60" s="555" t="s">
        <v>143</v>
      </c>
      <c r="B60" s="629">
        <v>81010</v>
      </c>
      <c r="C60" s="484" t="s">
        <v>52</v>
      </c>
      <c r="D60" s="496" t="s">
        <v>144</v>
      </c>
      <c r="E60" s="68">
        <v>0</v>
      </c>
      <c r="F60" s="299" t="s">
        <v>124</v>
      </c>
      <c r="G60" s="69">
        <v>0</v>
      </c>
      <c r="H60" s="70">
        <v>1</v>
      </c>
      <c r="I60" s="71">
        <v>225000</v>
      </c>
      <c r="J60" s="71">
        <f t="shared" ref="J60" si="73">E60*I60*G60</f>
        <v>0</v>
      </c>
      <c r="K60" s="71">
        <f t="shared" ref="K60" si="74">J60</f>
        <v>0</v>
      </c>
      <c r="L60" s="298">
        <f t="shared" ref="L60" si="75">J60-K60</f>
        <v>0</v>
      </c>
      <c r="M60" s="123">
        <v>1</v>
      </c>
      <c r="N60" s="124" t="s">
        <v>124</v>
      </c>
      <c r="O60" s="125">
        <v>1</v>
      </c>
      <c r="P60" s="114">
        <v>1</v>
      </c>
      <c r="Q60" s="85">
        <v>225000</v>
      </c>
      <c r="R60" s="85">
        <f t="shared" si="67"/>
        <v>225000</v>
      </c>
      <c r="S60" s="85">
        <f t="shared" ref="S60" si="76">R60</f>
        <v>225000</v>
      </c>
      <c r="T60" s="86">
        <f t="shared" ref="T60" si="77">R60-S60</f>
        <v>0</v>
      </c>
      <c r="U60" s="123">
        <v>0</v>
      </c>
      <c r="V60" s="124" t="s">
        <v>124</v>
      </c>
      <c r="W60" s="125">
        <v>0</v>
      </c>
      <c r="X60" s="114">
        <v>1</v>
      </c>
      <c r="Y60" s="85">
        <f>Q60*$E$3</f>
        <v>234000</v>
      </c>
      <c r="Z60" s="85">
        <f t="shared" si="58"/>
        <v>0</v>
      </c>
      <c r="AA60" s="85">
        <f t="shared" si="59"/>
        <v>0</v>
      </c>
      <c r="AB60" s="86">
        <f t="shared" si="60"/>
        <v>0</v>
      </c>
      <c r="AC60" s="123">
        <v>0</v>
      </c>
      <c r="AD60" s="124" t="s">
        <v>124</v>
      </c>
      <c r="AE60" s="125">
        <v>0</v>
      </c>
      <c r="AF60" s="114">
        <v>1</v>
      </c>
      <c r="AG60" s="85">
        <f>Y60*$E$3</f>
        <v>243360</v>
      </c>
      <c r="AH60" s="85">
        <f t="shared" ref="AH60" si="78">AC60*AG60*AE60*AF60</f>
        <v>0</v>
      </c>
      <c r="AI60" s="85">
        <f t="shared" ref="AI60" si="79">AH60</f>
        <v>0</v>
      </c>
      <c r="AJ60" s="86">
        <f t="shared" ref="AJ60" si="80">AH60-AI60</f>
        <v>0</v>
      </c>
      <c r="AK60" s="87">
        <f t="shared" si="68"/>
        <v>225000</v>
      </c>
      <c r="AL60" s="85">
        <f t="shared" si="69"/>
        <v>0</v>
      </c>
      <c r="AM60" s="86">
        <f t="shared" si="54"/>
        <v>225000</v>
      </c>
      <c r="AO60" s="603"/>
    </row>
    <row r="61" spans="1:43" s="578" customFormat="1" ht="15">
      <c r="A61" s="604"/>
      <c r="B61" s="604"/>
      <c r="C61" s="604"/>
      <c r="D61" s="492" t="s">
        <v>145</v>
      </c>
      <c r="E61" s="289"/>
      <c r="F61" s="259"/>
      <c r="G61" s="290"/>
      <c r="H61" s="261"/>
      <c r="I61" s="262"/>
      <c r="J61" s="262">
        <f>SUM(J47:J60)</f>
        <v>115900</v>
      </c>
      <c r="K61" s="262">
        <f>SUM(K47:K60)</f>
        <v>115900</v>
      </c>
      <c r="L61" s="262">
        <f>SUM(L47:L60)</f>
        <v>0</v>
      </c>
      <c r="M61" s="153"/>
      <c r="N61" s="154"/>
      <c r="O61" s="155"/>
      <c r="P61" s="94"/>
      <c r="Q61" s="91"/>
      <c r="R61" s="91">
        <f>SUM(R47:R60)</f>
        <v>324287.41666666669</v>
      </c>
      <c r="S61" s="91">
        <f>SUM(S47:S60)</f>
        <v>324287.41666666669</v>
      </c>
      <c r="T61" s="96">
        <f>SUM(T47:T57)</f>
        <v>0</v>
      </c>
      <c r="U61" s="153"/>
      <c r="V61" s="154"/>
      <c r="W61" s="155"/>
      <c r="X61" s="94"/>
      <c r="Y61" s="91"/>
      <c r="Z61" s="91">
        <f>SUM(Z47:Z60)</f>
        <v>535208.16666666674</v>
      </c>
      <c r="AA61" s="91">
        <f>SUM(AA47:AA60)</f>
        <v>535208.16666666674</v>
      </c>
      <c r="AB61" s="96">
        <f>SUM(AB47:AB57)</f>
        <v>0</v>
      </c>
      <c r="AC61" s="153"/>
      <c r="AD61" s="154"/>
      <c r="AE61" s="155"/>
      <c r="AF61" s="94"/>
      <c r="AG61" s="91"/>
      <c r="AH61" s="91">
        <f>SUM(AH47:AH60)</f>
        <v>46687.416666666664</v>
      </c>
      <c r="AI61" s="91">
        <f>SUM(AI47:AI60)</f>
        <v>46687.416666666664</v>
      </c>
      <c r="AJ61" s="96">
        <f>SUM(AJ47:AJ57)</f>
        <v>0</v>
      </c>
      <c r="AK61" s="95">
        <f>SUM(AK47:AK60)</f>
        <v>1022083</v>
      </c>
      <c r="AL61" s="95">
        <f>SUM(AL47:AL59)</f>
        <v>0</v>
      </c>
      <c r="AM61" s="95">
        <f>SUM(AM47:AM60)</f>
        <v>1022083</v>
      </c>
      <c r="AN61" s="552"/>
      <c r="AO61" s="552"/>
      <c r="AP61" s="552"/>
      <c r="AQ61" s="552"/>
    </row>
    <row r="62" spans="1:43" s="578" customFormat="1" ht="15.4">
      <c r="A62" s="605"/>
      <c r="B62" s="605"/>
      <c r="C62" s="605"/>
      <c r="D62" s="493" t="s">
        <v>146</v>
      </c>
      <c r="E62" s="291"/>
      <c r="F62" s="292"/>
      <c r="G62" s="292"/>
      <c r="H62" s="293"/>
      <c r="I62" s="294"/>
      <c r="J62" s="294"/>
      <c r="K62" s="285"/>
      <c r="L62" s="286"/>
      <c r="M62" s="174"/>
      <c r="N62" s="179"/>
      <c r="O62" s="175"/>
      <c r="P62" s="180"/>
      <c r="Q62" s="176"/>
      <c r="R62" s="176"/>
      <c r="S62" s="177"/>
      <c r="T62" s="178"/>
      <c r="U62" s="174"/>
      <c r="V62" s="179"/>
      <c r="W62" s="175"/>
      <c r="X62" s="180"/>
      <c r="Y62" s="176"/>
      <c r="Z62" s="176"/>
      <c r="AA62" s="177"/>
      <c r="AB62" s="178"/>
      <c r="AC62" s="174"/>
      <c r="AD62" s="179"/>
      <c r="AE62" s="175"/>
      <c r="AF62" s="180"/>
      <c r="AG62" s="176"/>
      <c r="AH62" s="176"/>
      <c r="AI62" s="177"/>
      <c r="AJ62" s="178"/>
      <c r="AK62" s="181"/>
      <c r="AL62" s="177"/>
      <c r="AM62" s="108"/>
    </row>
    <row r="63" spans="1:43" s="578" customFormat="1" ht="15.4">
      <c r="A63" s="584"/>
      <c r="B63" s="584"/>
      <c r="C63" s="584"/>
      <c r="D63" s="497" t="s">
        <v>147</v>
      </c>
      <c r="E63" s="242"/>
      <c r="F63" s="243"/>
      <c r="G63" s="243"/>
      <c r="H63" s="244"/>
      <c r="I63" s="245"/>
      <c r="J63" s="245"/>
      <c r="K63" s="277"/>
      <c r="L63" s="295"/>
      <c r="M63" s="117"/>
      <c r="N63" s="118"/>
      <c r="O63" s="115"/>
      <c r="P63" s="119"/>
      <c r="Q63" s="152"/>
      <c r="R63" s="152"/>
      <c r="S63" s="116"/>
      <c r="T63" s="183"/>
      <c r="U63" s="117"/>
      <c r="V63" s="118"/>
      <c r="W63" s="115"/>
      <c r="X63" s="119"/>
      <c r="Y63" s="152"/>
      <c r="Z63" s="152"/>
      <c r="AA63" s="116"/>
      <c r="AB63" s="183"/>
      <c r="AC63" s="117"/>
      <c r="AD63" s="118"/>
      <c r="AE63" s="115"/>
      <c r="AF63" s="119"/>
      <c r="AG63" s="152"/>
      <c r="AH63" s="152"/>
      <c r="AI63" s="116"/>
      <c r="AJ63" s="183"/>
      <c r="AK63" s="184"/>
      <c r="AL63" s="152"/>
      <c r="AM63" s="183"/>
    </row>
    <row r="64" spans="1:43" s="552" customFormat="1" ht="15.4">
      <c r="A64" s="483" t="s">
        <v>148</v>
      </c>
      <c r="B64" s="483">
        <v>85180</v>
      </c>
      <c r="C64" s="483" t="s">
        <v>52</v>
      </c>
      <c r="D64" s="486" t="s">
        <v>149</v>
      </c>
      <c r="E64" s="246">
        <v>1</v>
      </c>
      <c r="F64" s="247" t="s">
        <v>54</v>
      </c>
      <c r="G64" s="287">
        <v>12</v>
      </c>
      <c r="H64" s="249">
        <v>1</v>
      </c>
      <c r="I64" s="250">
        <v>350</v>
      </c>
      <c r="J64" s="250">
        <f t="shared" ref="J64:J72" si="81">E64*I64*G64*H64</f>
        <v>4200</v>
      </c>
      <c r="K64" s="250">
        <f t="shared" ref="K64:K73" si="82">J64</f>
        <v>4200</v>
      </c>
      <c r="L64" s="254">
        <f t="shared" ref="L64:L73" si="83">J64-K64</f>
        <v>0</v>
      </c>
      <c r="M64" s="303">
        <v>1</v>
      </c>
      <c r="N64" s="304" t="s">
        <v>54</v>
      </c>
      <c r="O64" s="304">
        <v>12</v>
      </c>
      <c r="P64" s="305">
        <v>1</v>
      </c>
      <c r="Q64" s="306">
        <f t="shared" ref="Q64:Q72" si="84">I64*$E$3</f>
        <v>364</v>
      </c>
      <c r="R64" s="306">
        <f t="shared" ref="R64:R73" si="85">M64*Q64*O64*P64</f>
        <v>4368</v>
      </c>
      <c r="S64" s="306">
        <f>R64</f>
        <v>4368</v>
      </c>
      <c r="T64" s="307">
        <f>R64-S64</f>
        <v>0</v>
      </c>
      <c r="U64" s="123">
        <v>1</v>
      </c>
      <c r="V64" s="125" t="s">
        <v>54</v>
      </c>
      <c r="W64" s="125">
        <v>12</v>
      </c>
      <c r="X64" s="114">
        <v>1</v>
      </c>
      <c r="Y64" s="348">
        <v>620</v>
      </c>
      <c r="Z64" s="85">
        <f>U64*W64*Y64*X64</f>
        <v>7440</v>
      </c>
      <c r="AA64" s="85">
        <f t="shared" ref="AA64:AA73" si="86">Z64</f>
        <v>7440</v>
      </c>
      <c r="AB64" s="86">
        <f t="shared" ref="AB64:AB73" si="87">Z64-AA64</f>
        <v>0</v>
      </c>
      <c r="AC64" s="123">
        <v>1</v>
      </c>
      <c r="AD64" s="125" t="s">
        <v>54</v>
      </c>
      <c r="AE64" s="125">
        <v>4</v>
      </c>
      <c r="AF64" s="114">
        <v>1</v>
      </c>
      <c r="AG64" s="348">
        <f>Y64*$E$3</f>
        <v>644.80000000000007</v>
      </c>
      <c r="AH64" s="85">
        <f>AC64*AG64*AE64*AF64</f>
        <v>2579.2000000000003</v>
      </c>
      <c r="AI64" s="85">
        <f>AH64</f>
        <v>2579.2000000000003</v>
      </c>
      <c r="AJ64" s="86">
        <f>AH64-AI64</f>
        <v>0</v>
      </c>
      <c r="AK64" s="87">
        <f t="shared" ref="AK64:AK73" si="88">K64+S64+AA64+AI64</f>
        <v>18587.2</v>
      </c>
      <c r="AL64" s="85">
        <f t="shared" ref="AL64:AL73" si="89">L64+T64+AB64+AJ64</f>
        <v>0</v>
      </c>
      <c r="AM64" s="86">
        <f>+AK64+AL64</f>
        <v>18587.2</v>
      </c>
    </row>
    <row r="65" spans="1:40" s="552" customFormat="1" ht="15.4">
      <c r="A65" s="483" t="s">
        <v>150</v>
      </c>
      <c r="B65" s="483">
        <v>90900</v>
      </c>
      <c r="C65" s="483" t="s">
        <v>52</v>
      </c>
      <c r="D65" s="486" t="s">
        <v>151</v>
      </c>
      <c r="E65" s="246">
        <v>1</v>
      </c>
      <c r="F65" s="247" t="s">
        <v>54</v>
      </c>
      <c r="G65" s="287">
        <v>12</v>
      </c>
      <c r="H65" s="249">
        <v>1</v>
      </c>
      <c r="I65" s="250">
        <v>35</v>
      </c>
      <c r="J65" s="250">
        <f t="shared" si="81"/>
        <v>420</v>
      </c>
      <c r="K65" s="250">
        <f t="shared" si="82"/>
        <v>420</v>
      </c>
      <c r="L65" s="254">
        <f t="shared" si="83"/>
        <v>0</v>
      </c>
      <c r="M65" s="303">
        <v>1</v>
      </c>
      <c r="N65" s="304" t="s">
        <v>54</v>
      </c>
      <c r="O65" s="304">
        <v>12</v>
      </c>
      <c r="P65" s="305">
        <v>1</v>
      </c>
      <c r="Q65" s="306">
        <f t="shared" si="84"/>
        <v>36.4</v>
      </c>
      <c r="R65" s="306">
        <f t="shared" si="85"/>
        <v>436.79999999999995</v>
      </c>
      <c r="S65" s="306">
        <f t="shared" ref="S65:S72" si="90">R65</f>
        <v>436.79999999999995</v>
      </c>
      <c r="T65" s="307">
        <f t="shared" ref="T65:T72" si="91">R65-S65</f>
        <v>0</v>
      </c>
      <c r="U65" s="123">
        <v>1</v>
      </c>
      <c r="V65" s="125" t="s">
        <v>54</v>
      </c>
      <c r="W65" s="125">
        <v>12</v>
      </c>
      <c r="X65" s="114">
        <v>1</v>
      </c>
      <c r="Y65" s="348">
        <v>21.84</v>
      </c>
      <c r="Z65" s="85">
        <f>U65*W65*Y65*X65</f>
        <v>262.08</v>
      </c>
      <c r="AA65" s="85">
        <f t="shared" si="86"/>
        <v>262.08</v>
      </c>
      <c r="AB65" s="86">
        <f t="shared" si="87"/>
        <v>0</v>
      </c>
      <c r="AC65" s="123">
        <v>1</v>
      </c>
      <c r="AD65" s="125" t="s">
        <v>54</v>
      </c>
      <c r="AE65" s="125">
        <v>7</v>
      </c>
      <c r="AF65" s="114">
        <v>1</v>
      </c>
      <c r="AG65" s="348">
        <f t="shared" ref="AG65:AG72" si="92">Y65*$E$3</f>
        <v>22.7136</v>
      </c>
      <c r="AH65" s="85">
        <f>AC65*AG65*AE65*AF65</f>
        <v>158.99520000000001</v>
      </c>
      <c r="AI65" s="85">
        <f t="shared" ref="AI65:AI73" si="93">AH65</f>
        <v>158.99520000000001</v>
      </c>
      <c r="AJ65" s="86">
        <f t="shared" ref="AJ65:AJ73" si="94">AH65-AI65</f>
        <v>0</v>
      </c>
      <c r="AK65" s="87">
        <f t="shared" si="88"/>
        <v>1277.8751999999999</v>
      </c>
      <c r="AL65" s="85">
        <f t="shared" si="89"/>
        <v>0</v>
      </c>
      <c r="AM65" s="86">
        <f t="shared" ref="AM65:AM73" si="95">+AK65+AL65</f>
        <v>1277.8751999999999</v>
      </c>
    </row>
    <row r="66" spans="1:40" s="552" customFormat="1" ht="15.4">
      <c r="A66" s="484" t="s">
        <v>152</v>
      </c>
      <c r="B66" s="483">
        <v>81030</v>
      </c>
      <c r="C66" s="484" t="s">
        <v>52</v>
      </c>
      <c r="D66" s="486" t="s">
        <v>153</v>
      </c>
      <c r="E66" s="246">
        <v>1</v>
      </c>
      <c r="F66" s="247" t="s">
        <v>54</v>
      </c>
      <c r="G66" s="287">
        <v>12</v>
      </c>
      <c r="H66" s="249">
        <v>1</v>
      </c>
      <c r="I66" s="250">
        <v>50</v>
      </c>
      <c r="J66" s="250">
        <f t="shared" si="81"/>
        <v>600</v>
      </c>
      <c r="K66" s="250">
        <f t="shared" si="82"/>
        <v>600</v>
      </c>
      <c r="L66" s="254">
        <f t="shared" si="83"/>
        <v>0</v>
      </c>
      <c r="M66" s="303">
        <v>1</v>
      </c>
      <c r="N66" s="304" t="s">
        <v>54</v>
      </c>
      <c r="O66" s="304">
        <v>12</v>
      </c>
      <c r="P66" s="305">
        <v>1</v>
      </c>
      <c r="Q66" s="306">
        <f t="shared" si="84"/>
        <v>52</v>
      </c>
      <c r="R66" s="306">
        <f t="shared" si="85"/>
        <v>624</v>
      </c>
      <c r="S66" s="306">
        <f t="shared" si="90"/>
        <v>624</v>
      </c>
      <c r="T66" s="307">
        <f t="shared" si="91"/>
        <v>0</v>
      </c>
      <c r="U66" s="123">
        <v>1</v>
      </c>
      <c r="V66" s="125" t="s">
        <v>54</v>
      </c>
      <c r="W66" s="125">
        <v>12</v>
      </c>
      <c r="X66" s="114">
        <v>1</v>
      </c>
      <c r="Y66" s="348">
        <v>41.6</v>
      </c>
      <c r="Z66" s="85">
        <f t="shared" ref="Z66:Z73" si="96">U66*W66*Y66*X66</f>
        <v>499.20000000000005</v>
      </c>
      <c r="AA66" s="85">
        <f t="shared" si="86"/>
        <v>499.20000000000005</v>
      </c>
      <c r="AB66" s="86">
        <f t="shared" si="87"/>
        <v>0</v>
      </c>
      <c r="AC66" s="123">
        <v>1</v>
      </c>
      <c r="AD66" s="125" t="s">
        <v>54</v>
      </c>
      <c r="AE66" s="125">
        <v>7</v>
      </c>
      <c r="AF66" s="114">
        <v>1</v>
      </c>
      <c r="AG66" s="348">
        <f t="shared" si="92"/>
        <v>43.264000000000003</v>
      </c>
      <c r="AH66" s="85">
        <f t="shared" ref="AH66:AH71" si="97">AC66*AG66*AE66*AF66</f>
        <v>302.84800000000001</v>
      </c>
      <c r="AI66" s="85">
        <f t="shared" si="93"/>
        <v>302.84800000000001</v>
      </c>
      <c r="AJ66" s="86">
        <f t="shared" si="94"/>
        <v>0</v>
      </c>
      <c r="AK66" s="87">
        <f t="shared" si="88"/>
        <v>2026.048</v>
      </c>
      <c r="AL66" s="85">
        <f t="shared" si="89"/>
        <v>0</v>
      </c>
      <c r="AM66" s="86">
        <f t="shared" si="95"/>
        <v>2026.048</v>
      </c>
    </row>
    <row r="67" spans="1:40" s="552" customFormat="1" ht="15.4">
      <c r="A67" s="484" t="s">
        <v>154</v>
      </c>
      <c r="B67" s="483">
        <v>82030</v>
      </c>
      <c r="C67" s="484" t="s">
        <v>52</v>
      </c>
      <c r="D67" s="496" t="s">
        <v>155</v>
      </c>
      <c r="E67" s="246">
        <v>1</v>
      </c>
      <c r="F67" s="247" t="s">
        <v>54</v>
      </c>
      <c r="G67" s="287">
        <v>12</v>
      </c>
      <c r="H67" s="249">
        <v>1</v>
      </c>
      <c r="I67" s="250">
        <v>150</v>
      </c>
      <c r="J67" s="250">
        <f t="shared" si="81"/>
        <v>1800</v>
      </c>
      <c r="K67" s="250">
        <f t="shared" si="82"/>
        <v>1800</v>
      </c>
      <c r="L67" s="254">
        <f t="shared" si="83"/>
        <v>0</v>
      </c>
      <c r="M67" s="303">
        <v>1</v>
      </c>
      <c r="N67" s="304" t="s">
        <v>54</v>
      </c>
      <c r="O67" s="304">
        <v>12</v>
      </c>
      <c r="P67" s="305">
        <v>1</v>
      </c>
      <c r="Q67" s="306">
        <f t="shared" si="84"/>
        <v>156</v>
      </c>
      <c r="R67" s="306">
        <f t="shared" si="85"/>
        <v>1872</v>
      </c>
      <c r="S67" s="306">
        <f t="shared" si="90"/>
        <v>1872</v>
      </c>
      <c r="T67" s="307">
        <f t="shared" si="91"/>
        <v>0</v>
      </c>
      <c r="U67" s="123">
        <v>1</v>
      </c>
      <c r="V67" s="125" t="s">
        <v>54</v>
      </c>
      <c r="W67" s="125">
        <v>12</v>
      </c>
      <c r="X67" s="114">
        <v>1</v>
      </c>
      <c r="Y67" s="348">
        <v>124.80000000000001</v>
      </c>
      <c r="Z67" s="85">
        <f t="shared" si="96"/>
        <v>1497.6000000000001</v>
      </c>
      <c r="AA67" s="85">
        <f t="shared" si="86"/>
        <v>1497.6000000000001</v>
      </c>
      <c r="AB67" s="86">
        <f t="shared" si="87"/>
        <v>0</v>
      </c>
      <c r="AC67" s="123">
        <v>1</v>
      </c>
      <c r="AD67" s="125" t="s">
        <v>54</v>
      </c>
      <c r="AE67" s="125">
        <v>7</v>
      </c>
      <c r="AF67" s="114">
        <v>0.8</v>
      </c>
      <c r="AG67" s="348">
        <f t="shared" si="92"/>
        <v>129.79200000000003</v>
      </c>
      <c r="AH67" s="85">
        <f t="shared" si="97"/>
        <v>726.83520000000021</v>
      </c>
      <c r="AI67" s="85">
        <f t="shared" si="93"/>
        <v>726.83520000000021</v>
      </c>
      <c r="AJ67" s="86">
        <f t="shared" si="94"/>
        <v>0</v>
      </c>
      <c r="AK67" s="87">
        <f t="shared" si="88"/>
        <v>5896.4352000000008</v>
      </c>
      <c r="AL67" s="85">
        <f t="shared" si="89"/>
        <v>0</v>
      </c>
      <c r="AM67" s="86">
        <f t="shared" si="95"/>
        <v>5896.4352000000008</v>
      </c>
    </row>
    <row r="68" spans="1:40" s="552" customFormat="1" ht="15.4">
      <c r="A68" s="484" t="s">
        <v>156</v>
      </c>
      <c r="B68" s="483">
        <v>89400</v>
      </c>
      <c r="C68" s="484" t="s">
        <v>52</v>
      </c>
      <c r="D68" s="496" t="s">
        <v>157</v>
      </c>
      <c r="E68" s="246">
        <v>1</v>
      </c>
      <c r="F68" s="247" t="s">
        <v>54</v>
      </c>
      <c r="G68" s="287">
        <v>12</v>
      </c>
      <c r="H68" s="249">
        <v>1</v>
      </c>
      <c r="I68" s="250">
        <v>120</v>
      </c>
      <c r="J68" s="250">
        <f t="shared" ref="J68:J71" si="98">E68*I68*G68*H68</f>
        <v>1440</v>
      </c>
      <c r="K68" s="250">
        <f t="shared" ref="K68:K71" si="99">J68</f>
        <v>1440</v>
      </c>
      <c r="L68" s="254">
        <f t="shared" ref="L68:L71" si="100">J68-K68</f>
        <v>0</v>
      </c>
      <c r="M68" s="303">
        <v>1</v>
      </c>
      <c r="N68" s="304" t="s">
        <v>54</v>
      </c>
      <c r="O68" s="304">
        <v>12</v>
      </c>
      <c r="P68" s="305">
        <v>1</v>
      </c>
      <c r="Q68" s="306">
        <f t="shared" si="84"/>
        <v>124.80000000000001</v>
      </c>
      <c r="R68" s="306">
        <f t="shared" si="85"/>
        <v>1497.6000000000001</v>
      </c>
      <c r="S68" s="306">
        <f t="shared" si="90"/>
        <v>1497.6000000000001</v>
      </c>
      <c r="T68" s="307">
        <f t="shared" si="91"/>
        <v>0</v>
      </c>
      <c r="U68" s="123">
        <v>1</v>
      </c>
      <c r="V68" s="125" t="s">
        <v>54</v>
      </c>
      <c r="W68" s="125">
        <v>12</v>
      </c>
      <c r="X68" s="114">
        <v>1</v>
      </c>
      <c r="Y68" s="348">
        <v>93.6</v>
      </c>
      <c r="Z68" s="85">
        <f t="shared" si="96"/>
        <v>1123.1999999999998</v>
      </c>
      <c r="AA68" s="85">
        <f t="shared" si="86"/>
        <v>1123.1999999999998</v>
      </c>
      <c r="AB68" s="86">
        <f t="shared" si="87"/>
        <v>0</v>
      </c>
      <c r="AC68" s="123">
        <v>1</v>
      </c>
      <c r="AD68" s="125" t="s">
        <v>54</v>
      </c>
      <c r="AE68" s="125">
        <v>7</v>
      </c>
      <c r="AF68" s="114">
        <v>1</v>
      </c>
      <c r="AG68" s="348">
        <f t="shared" si="92"/>
        <v>97.343999999999994</v>
      </c>
      <c r="AH68" s="85">
        <f t="shared" si="97"/>
        <v>681.4079999999999</v>
      </c>
      <c r="AI68" s="85">
        <f t="shared" si="93"/>
        <v>681.4079999999999</v>
      </c>
      <c r="AJ68" s="86">
        <f t="shared" si="94"/>
        <v>0</v>
      </c>
      <c r="AK68" s="87">
        <f t="shared" si="88"/>
        <v>4742.2080000000005</v>
      </c>
      <c r="AL68" s="85">
        <f t="shared" si="89"/>
        <v>0</v>
      </c>
      <c r="AM68" s="86">
        <f t="shared" si="95"/>
        <v>4742.2080000000005</v>
      </c>
    </row>
    <row r="69" spans="1:40" s="552" customFormat="1" ht="15.4">
      <c r="A69" s="484" t="s">
        <v>158</v>
      </c>
      <c r="B69" s="483">
        <v>87010</v>
      </c>
      <c r="C69" s="484" t="s">
        <v>52</v>
      </c>
      <c r="D69" s="486" t="s">
        <v>159</v>
      </c>
      <c r="E69" s="246">
        <v>1</v>
      </c>
      <c r="F69" s="247" t="s">
        <v>54</v>
      </c>
      <c r="G69" s="287">
        <v>12</v>
      </c>
      <c r="H69" s="249">
        <v>1</v>
      </c>
      <c r="I69" s="250">
        <v>50</v>
      </c>
      <c r="J69" s="250">
        <f t="shared" si="98"/>
        <v>600</v>
      </c>
      <c r="K69" s="250">
        <f t="shared" si="99"/>
        <v>600</v>
      </c>
      <c r="L69" s="254">
        <f t="shared" si="100"/>
        <v>0</v>
      </c>
      <c r="M69" s="303">
        <v>1</v>
      </c>
      <c r="N69" s="304" t="s">
        <v>54</v>
      </c>
      <c r="O69" s="304">
        <v>12</v>
      </c>
      <c r="P69" s="305">
        <v>1</v>
      </c>
      <c r="Q69" s="306">
        <f t="shared" si="84"/>
        <v>52</v>
      </c>
      <c r="R69" s="306">
        <f t="shared" si="85"/>
        <v>624</v>
      </c>
      <c r="S69" s="306">
        <f t="shared" ref="S69:S70" si="101">R69</f>
        <v>624</v>
      </c>
      <c r="T69" s="307">
        <f t="shared" ref="T69:T70" si="102">R69-S69</f>
        <v>0</v>
      </c>
      <c r="U69" s="325"/>
      <c r="V69" s="327"/>
      <c r="W69" s="327"/>
      <c r="X69" s="328"/>
      <c r="Y69" s="329"/>
      <c r="Z69" s="85"/>
      <c r="AA69" s="85"/>
      <c r="AB69" s="86"/>
      <c r="AC69" s="325"/>
      <c r="AD69" s="327"/>
      <c r="AE69" s="327"/>
      <c r="AF69" s="328"/>
      <c r="AG69" s="329"/>
      <c r="AH69" s="85"/>
      <c r="AI69" s="85"/>
      <c r="AJ69" s="86"/>
      <c r="AK69" s="87">
        <f t="shared" si="88"/>
        <v>1224</v>
      </c>
      <c r="AL69" s="85">
        <f t="shared" si="89"/>
        <v>0</v>
      </c>
      <c r="AM69" s="86">
        <f t="shared" si="95"/>
        <v>1224</v>
      </c>
    </row>
    <row r="70" spans="1:40" s="552" customFormat="1" ht="15.4">
      <c r="A70" s="484" t="s">
        <v>160</v>
      </c>
      <c r="B70" s="483">
        <v>90450</v>
      </c>
      <c r="C70" s="484" t="s">
        <v>52</v>
      </c>
      <c r="D70" s="486" t="s">
        <v>161</v>
      </c>
      <c r="E70" s="246">
        <v>1</v>
      </c>
      <c r="F70" s="247" t="s">
        <v>134</v>
      </c>
      <c r="G70" s="287">
        <v>1</v>
      </c>
      <c r="H70" s="249">
        <v>1</v>
      </c>
      <c r="I70" s="250">
        <v>400</v>
      </c>
      <c r="J70" s="250">
        <f t="shared" si="98"/>
        <v>400</v>
      </c>
      <c r="K70" s="250">
        <f t="shared" si="99"/>
        <v>400</v>
      </c>
      <c r="L70" s="254">
        <f t="shared" si="100"/>
        <v>0</v>
      </c>
      <c r="M70" s="303">
        <v>1</v>
      </c>
      <c r="N70" s="304" t="s">
        <v>134</v>
      </c>
      <c r="O70" s="304">
        <v>1</v>
      </c>
      <c r="P70" s="305">
        <v>1</v>
      </c>
      <c r="Q70" s="306">
        <f t="shared" si="84"/>
        <v>416</v>
      </c>
      <c r="R70" s="306">
        <f t="shared" si="85"/>
        <v>416</v>
      </c>
      <c r="S70" s="306">
        <f t="shared" si="101"/>
        <v>416</v>
      </c>
      <c r="T70" s="307">
        <f t="shared" si="102"/>
        <v>0</v>
      </c>
      <c r="U70" s="123"/>
      <c r="V70" s="125"/>
      <c r="W70" s="125"/>
      <c r="X70" s="114"/>
      <c r="Y70" s="329"/>
      <c r="Z70" s="85"/>
      <c r="AA70" s="85"/>
      <c r="AB70" s="86"/>
      <c r="AC70" s="123"/>
      <c r="AD70" s="125"/>
      <c r="AE70" s="125"/>
      <c r="AF70" s="114"/>
      <c r="AG70" s="329"/>
      <c r="AH70" s="85"/>
      <c r="AI70" s="85"/>
      <c r="AJ70" s="86"/>
      <c r="AK70" s="87">
        <f t="shared" si="88"/>
        <v>816</v>
      </c>
      <c r="AL70" s="85">
        <f t="shared" si="89"/>
        <v>0</v>
      </c>
      <c r="AM70" s="86">
        <f t="shared" si="95"/>
        <v>816</v>
      </c>
    </row>
    <row r="71" spans="1:40" s="552" customFormat="1" ht="15.4">
      <c r="A71" s="484" t="s">
        <v>162</v>
      </c>
      <c r="B71" s="483">
        <v>90100</v>
      </c>
      <c r="C71" s="484" t="s">
        <v>52</v>
      </c>
      <c r="D71" s="486" t="s">
        <v>163</v>
      </c>
      <c r="E71" s="246">
        <v>1</v>
      </c>
      <c r="F71" s="247" t="s">
        <v>134</v>
      </c>
      <c r="G71" s="287">
        <v>1</v>
      </c>
      <c r="H71" s="249">
        <v>1</v>
      </c>
      <c r="I71" s="250">
        <v>250</v>
      </c>
      <c r="J71" s="250">
        <f t="shared" si="98"/>
        <v>250</v>
      </c>
      <c r="K71" s="250">
        <f t="shared" si="99"/>
        <v>250</v>
      </c>
      <c r="L71" s="254">
        <f t="shared" si="100"/>
        <v>0</v>
      </c>
      <c r="M71" s="303">
        <v>1</v>
      </c>
      <c r="N71" s="304" t="s">
        <v>134</v>
      </c>
      <c r="O71" s="304">
        <v>1</v>
      </c>
      <c r="P71" s="305">
        <v>1</v>
      </c>
      <c r="Q71" s="306">
        <f t="shared" si="84"/>
        <v>260</v>
      </c>
      <c r="R71" s="306">
        <f t="shared" si="85"/>
        <v>260</v>
      </c>
      <c r="S71" s="306">
        <f t="shared" si="90"/>
        <v>260</v>
      </c>
      <c r="T71" s="307">
        <f>R71-S71</f>
        <v>0</v>
      </c>
      <c r="U71" s="123">
        <v>1</v>
      </c>
      <c r="V71" s="125" t="s">
        <v>134</v>
      </c>
      <c r="W71" s="125">
        <v>1</v>
      </c>
      <c r="X71" s="114">
        <v>1</v>
      </c>
      <c r="Y71" s="85">
        <f>Q71*$E$3</f>
        <v>270.40000000000003</v>
      </c>
      <c r="Z71" s="85">
        <f t="shared" si="96"/>
        <v>270.40000000000003</v>
      </c>
      <c r="AA71" s="85">
        <f t="shared" si="86"/>
        <v>270.40000000000003</v>
      </c>
      <c r="AB71" s="86">
        <f t="shared" si="87"/>
        <v>0</v>
      </c>
      <c r="AC71" s="123">
        <v>1</v>
      </c>
      <c r="AD71" s="125" t="s">
        <v>134</v>
      </c>
      <c r="AE71" s="125">
        <v>1</v>
      </c>
      <c r="AF71" s="114">
        <v>1</v>
      </c>
      <c r="AG71" s="85">
        <f t="shared" si="92"/>
        <v>281.21600000000007</v>
      </c>
      <c r="AH71" s="85">
        <f t="shared" si="97"/>
        <v>281.21600000000007</v>
      </c>
      <c r="AI71" s="85">
        <f t="shared" si="93"/>
        <v>281.21600000000007</v>
      </c>
      <c r="AJ71" s="86">
        <f t="shared" si="94"/>
        <v>0</v>
      </c>
      <c r="AK71" s="87">
        <f t="shared" si="88"/>
        <v>1061.6160000000002</v>
      </c>
      <c r="AL71" s="85">
        <f t="shared" si="89"/>
        <v>0</v>
      </c>
      <c r="AM71" s="86">
        <f t="shared" si="95"/>
        <v>1061.6160000000002</v>
      </c>
    </row>
    <row r="72" spans="1:40" s="552" customFormat="1" ht="15.4">
      <c r="A72" s="484" t="s">
        <v>164</v>
      </c>
      <c r="B72" s="483">
        <v>82100</v>
      </c>
      <c r="C72" s="484" t="s">
        <v>52</v>
      </c>
      <c r="D72" s="486" t="s">
        <v>165</v>
      </c>
      <c r="E72" s="246">
        <v>1</v>
      </c>
      <c r="F72" s="247" t="s">
        <v>134</v>
      </c>
      <c r="G72" s="287">
        <v>1</v>
      </c>
      <c r="H72" s="249">
        <v>1</v>
      </c>
      <c r="I72" s="250">
        <v>100</v>
      </c>
      <c r="J72" s="250">
        <f t="shared" si="81"/>
        <v>100</v>
      </c>
      <c r="K72" s="250">
        <f t="shared" si="82"/>
        <v>100</v>
      </c>
      <c r="L72" s="254">
        <f t="shared" si="83"/>
        <v>0</v>
      </c>
      <c r="M72" s="303">
        <v>1</v>
      </c>
      <c r="N72" s="304" t="s">
        <v>134</v>
      </c>
      <c r="O72" s="304">
        <v>1</v>
      </c>
      <c r="P72" s="305">
        <v>1</v>
      </c>
      <c r="Q72" s="306">
        <f t="shared" si="84"/>
        <v>104</v>
      </c>
      <c r="R72" s="306">
        <f t="shared" si="85"/>
        <v>104</v>
      </c>
      <c r="S72" s="306">
        <f t="shared" si="90"/>
        <v>104</v>
      </c>
      <c r="T72" s="307">
        <f t="shared" si="91"/>
        <v>0</v>
      </c>
      <c r="U72" s="123">
        <v>1</v>
      </c>
      <c r="V72" s="125" t="s">
        <v>134</v>
      </c>
      <c r="W72" s="125">
        <v>1</v>
      </c>
      <c r="X72" s="114">
        <v>1</v>
      </c>
      <c r="Y72" s="85">
        <f>Q72*$E$3</f>
        <v>108.16</v>
      </c>
      <c r="Z72" s="85">
        <f t="shared" si="96"/>
        <v>108.16</v>
      </c>
      <c r="AA72" s="85">
        <f t="shared" si="86"/>
        <v>108.16</v>
      </c>
      <c r="AB72" s="86">
        <f t="shared" si="87"/>
        <v>0</v>
      </c>
      <c r="AC72" s="123">
        <v>1</v>
      </c>
      <c r="AD72" s="125" t="s">
        <v>134</v>
      </c>
      <c r="AE72" s="125">
        <v>1</v>
      </c>
      <c r="AF72" s="114">
        <v>1</v>
      </c>
      <c r="AG72" s="85">
        <f t="shared" si="92"/>
        <v>112.4864</v>
      </c>
      <c r="AH72" s="85">
        <f>AC72*AG72*AE72*AF72</f>
        <v>112.4864</v>
      </c>
      <c r="AI72" s="85">
        <f t="shared" si="93"/>
        <v>112.4864</v>
      </c>
      <c r="AJ72" s="86">
        <f t="shared" si="94"/>
        <v>0</v>
      </c>
      <c r="AK72" s="87">
        <f t="shared" si="88"/>
        <v>424.64639999999997</v>
      </c>
      <c r="AL72" s="85">
        <f t="shared" si="89"/>
        <v>0</v>
      </c>
      <c r="AM72" s="86">
        <f t="shared" si="95"/>
        <v>424.64639999999997</v>
      </c>
      <c r="AN72" s="606"/>
    </row>
    <row r="73" spans="1:40" s="552" customFormat="1" ht="15.4">
      <c r="A73" s="555" t="s">
        <v>166</v>
      </c>
      <c r="B73" s="629">
        <v>82350</v>
      </c>
      <c r="C73" s="484" t="s">
        <v>52</v>
      </c>
      <c r="D73" s="486" t="s">
        <v>167</v>
      </c>
      <c r="E73" s="68">
        <v>0</v>
      </c>
      <c r="F73" s="69" t="s">
        <v>54</v>
      </c>
      <c r="G73" s="308">
        <v>0</v>
      </c>
      <c r="H73" s="70">
        <v>1</v>
      </c>
      <c r="I73" s="71">
        <v>30</v>
      </c>
      <c r="J73" s="71">
        <f>E73*I73*G73*H73</f>
        <v>0</v>
      </c>
      <c r="K73" s="71">
        <f t="shared" si="82"/>
        <v>0</v>
      </c>
      <c r="L73" s="298">
        <f t="shared" si="83"/>
        <v>0</v>
      </c>
      <c r="M73" s="123">
        <v>1</v>
      </c>
      <c r="N73" s="125" t="s">
        <v>54</v>
      </c>
      <c r="O73" s="125">
        <v>12</v>
      </c>
      <c r="P73" s="114">
        <v>1</v>
      </c>
      <c r="Q73" s="85">
        <v>30</v>
      </c>
      <c r="R73" s="85">
        <f t="shared" si="85"/>
        <v>360</v>
      </c>
      <c r="S73" s="85">
        <f>R73</f>
        <v>360</v>
      </c>
      <c r="T73" s="86">
        <f>R73-S73</f>
        <v>0</v>
      </c>
      <c r="U73" s="123">
        <v>1</v>
      </c>
      <c r="V73" s="125" t="s">
        <v>54</v>
      </c>
      <c r="W73" s="125">
        <v>12</v>
      </c>
      <c r="X73" s="114">
        <v>1</v>
      </c>
      <c r="Y73" s="85">
        <f>Q73*$E$3</f>
        <v>31.200000000000003</v>
      </c>
      <c r="Z73" s="85">
        <f t="shared" si="96"/>
        <v>374.40000000000003</v>
      </c>
      <c r="AA73" s="85">
        <f t="shared" si="86"/>
        <v>374.40000000000003</v>
      </c>
      <c r="AB73" s="86">
        <f t="shared" si="87"/>
        <v>0</v>
      </c>
      <c r="AC73" s="123">
        <v>1</v>
      </c>
      <c r="AD73" s="125" t="s">
        <v>54</v>
      </c>
      <c r="AE73" s="125">
        <v>7</v>
      </c>
      <c r="AF73" s="114">
        <v>1</v>
      </c>
      <c r="AG73" s="85">
        <v>32.5</v>
      </c>
      <c r="AH73" s="85">
        <f>AC73*AG73*AE73*AF73</f>
        <v>227.5</v>
      </c>
      <c r="AI73" s="85">
        <f t="shared" si="93"/>
        <v>227.5</v>
      </c>
      <c r="AJ73" s="86">
        <f t="shared" si="94"/>
        <v>0</v>
      </c>
      <c r="AK73" s="87">
        <f t="shared" si="88"/>
        <v>961.90000000000009</v>
      </c>
      <c r="AL73" s="85">
        <f t="shared" si="89"/>
        <v>0</v>
      </c>
      <c r="AM73" s="86">
        <f t="shared" si="95"/>
        <v>961.90000000000009</v>
      </c>
      <c r="AN73" s="606"/>
    </row>
    <row r="74" spans="1:40" s="601" customFormat="1" ht="15.4">
      <c r="A74" s="608"/>
      <c r="B74" s="608"/>
      <c r="C74" s="608"/>
      <c r="D74" s="609" t="s">
        <v>168</v>
      </c>
      <c r="E74" s="610"/>
      <c r="F74" s="611"/>
      <c r="G74" s="611"/>
      <c r="H74" s="612"/>
      <c r="I74" s="613"/>
      <c r="J74" s="613"/>
      <c r="K74" s="614"/>
      <c r="L74" s="615"/>
      <c r="M74" s="616"/>
      <c r="N74" s="617"/>
      <c r="O74" s="618"/>
      <c r="P74" s="619"/>
      <c r="Q74" s="620"/>
      <c r="R74" s="620"/>
      <c r="S74" s="621"/>
      <c r="T74" s="622"/>
      <c r="U74" s="616"/>
      <c r="V74" s="617"/>
      <c r="W74" s="618"/>
      <c r="X74" s="619"/>
      <c r="Y74" s="620"/>
      <c r="Z74" s="620"/>
      <c r="AA74" s="620"/>
      <c r="AB74" s="620"/>
      <c r="AC74" s="620"/>
      <c r="AD74" s="620"/>
      <c r="AE74" s="620"/>
      <c r="AF74" s="620"/>
      <c r="AG74" s="620"/>
      <c r="AH74" s="620"/>
      <c r="AI74" s="621"/>
      <c r="AJ74" s="622"/>
      <c r="AK74" s="623"/>
      <c r="AL74" s="620"/>
      <c r="AM74" s="622"/>
      <c r="AN74" s="624"/>
    </row>
    <row r="75" spans="1:40" s="552" customFormat="1" ht="15.4">
      <c r="A75" s="487" t="s">
        <v>169</v>
      </c>
      <c r="B75" s="625">
        <v>81021</v>
      </c>
      <c r="C75" s="487" t="s">
        <v>52</v>
      </c>
      <c r="D75" s="59" t="s">
        <v>170</v>
      </c>
      <c r="E75" s="246">
        <v>1</v>
      </c>
      <c r="F75" s="247" t="s">
        <v>134</v>
      </c>
      <c r="G75" s="247">
        <v>1</v>
      </c>
      <c r="H75" s="249">
        <v>1</v>
      </c>
      <c r="I75" s="250">
        <v>15000</v>
      </c>
      <c r="J75" s="250">
        <f t="shared" ref="J75:J78" si="103">E75*I75*G75*H75</f>
        <v>15000</v>
      </c>
      <c r="K75" s="255">
        <f t="shared" ref="K75:K78" si="104">J75</f>
        <v>15000</v>
      </c>
      <c r="L75" s="296">
        <f t="shared" ref="L75:L78" si="105">J75-K75</f>
        <v>0</v>
      </c>
      <c r="M75" s="303">
        <v>1</v>
      </c>
      <c r="N75" s="304" t="s">
        <v>134</v>
      </c>
      <c r="O75" s="304">
        <v>1</v>
      </c>
      <c r="P75" s="305">
        <v>1</v>
      </c>
      <c r="Q75" s="306">
        <f>I75*$E$3</f>
        <v>15600</v>
      </c>
      <c r="R75" s="306">
        <f t="shared" ref="R75:R80" si="106">M75*Q75*O75*P75</f>
        <v>15600</v>
      </c>
      <c r="S75" s="311">
        <f t="shared" ref="S75" si="107">R75</f>
        <v>15600</v>
      </c>
      <c r="T75" s="312">
        <f t="shared" ref="T75" si="108">R75-S75</f>
        <v>0</v>
      </c>
      <c r="U75" s="123"/>
      <c r="V75" s="125"/>
      <c r="W75" s="125"/>
      <c r="X75" s="114"/>
      <c r="Y75" s="329"/>
      <c r="Z75" s="85"/>
      <c r="AA75" s="337"/>
      <c r="AB75" s="338"/>
      <c r="AC75" s="123"/>
      <c r="AD75" s="125"/>
      <c r="AE75" s="125"/>
      <c r="AF75" s="114"/>
      <c r="AG75" s="329"/>
      <c r="AH75" s="85"/>
      <c r="AI75" s="337"/>
      <c r="AJ75" s="338"/>
      <c r="AK75" s="87">
        <f t="shared" ref="AK75:AL81" si="109">K75+S75+AA75+AI75</f>
        <v>30600</v>
      </c>
      <c r="AL75" s="85">
        <f t="shared" si="109"/>
        <v>0</v>
      </c>
      <c r="AM75" s="86">
        <f t="shared" ref="AM75:AM81" si="110">+AK75+AL75</f>
        <v>30600</v>
      </c>
    </row>
    <row r="76" spans="1:40" s="554" customFormat="1" ht="15.4">
      <c r="A76" s="487" t="s">
        <v>171</v>
      </c>
      <c r="B76" s="625">
        <v>90450</v>
      </c>
      <c r="C76" s="487" t="s">
        <v>52</v>
      </c>
      <c r="D76" s="386" t="s">
        <v>172</v>
      </c>
      <c r="E76" s="246">
        <v>1</v>
      </c>
      <c r="F76" s="247" t="s">
        <v>173</v>
      </c>
      <c r="G76" s="247">
        <v>24</v>
      </c>
      <c r="H76" s="249">
        <v>1</v>
      </c>
      <c r="I76" s="250">
        <v>250</v>
      </c>
      <c r="J76" s="250">
        <f t="shared" si="103"/>
        <v>6000</v>
      </c>
      <c r="K76" s="255">
        <f t="shared" si="104"/>
        <v>6000</v>
      </c>
      <c r="L76" s="296">
        <f t="shared" si="105"/>
        <v>0</v>
      </c>
      <c r="M76" s="469">
        <v>1</v>
      </c>
      <c r="N76" s="470" t="s">
        <v>173</v>
      </c>
      <c r="O76" s="470">
        <v>42</v>
      </c>
      <c r="P76" s="471">
        <v>1</v>
      </c>
      <c r="Q76" s="472">
        <v>255.7</v>
      </c>
      <c r="R76" s="472">
        <f t="shared" si="106"/>
        <v>10739.4</v>
      </c>
      <c r="S76" s="473">
        <f t="shared" ref="S76:S78" si="111">R76</f>
        <v>10739.4</v>
      </c>
      <c r="T76" s="474">
        <f t="shared" ref="T76:T81" si="112">R76-S76</f>
        <v>0</v>
      </c>
      <c r="U76" s="123">
        <v>1</v>
      </c>
      <c r="V76" s="125" t="s">
        <v>173</v>
      </c>
      <c r="W76" s="125">
        <v>35</v>
      </c>
      <c r="X76" s="114">
        <v>1</v>
      </c>
      <c r="Y76" s="348">
        <v>260</v>
      </c>
      <c r="Z76" s="85">
        <f>U76*Y76*W76*X76</f>
        <v>9100</v>
      </c>
      <c r="AA76" s="337">
        <f t="shared" ref="AA76:AA80" si="113">Z76</f>
        <v>9100</v>
      </c>
      <c r="AB76" s="338">
        <f t="shared" ref="AB76:AB80" si="114">Z76-AA76</f>
        <v>0</v>
      </c>
      <c r="AC76" s="123">
        <v>1</v>
      </c>
      <c r="AD76" s="125" t="s">
        <v>173</v>
      </c>
      <c r="AE76" s="125">
        <v>25</v>
      </c>
      <c r="AF76" s="114">
        <v>1</v>
      </c>
      <c r="AG76" s="85">
        <f>Y76*$E$3</f>
        <v>270.40000000000003</v>
      </c>
      <c r="AH76" s="85">
        <f>AC76*AG76*AE76*$H76*AF76</f>
        <v>6760.0000000000009</v>
      </c>
      <c r="AI76" s="337">
        <f t="shared" ref="AI76:AI80" si="115">AH76</f>
        <v>6760.0000000000009</v>
      </c>
      <c r="AJ76" s="338">
        <f t="shared" ref="AJ76:AJ80" si="116">AH76-AI76</f>
        <v>0</v>
      </c>
      <c r="AK76" s="87">
        <f t="shared" si="109"/>
        <v>32599.4</v>
      </c>
      <c r="AL76" s="85">
        <f t="shared" si="109"/>
        <v>0</v>
      </c>
      <c r="AM76" s="86">
        <f t="shared" si="110"/>
        <v>32599.4</v>
      </c>
    </row>
    <row r="77" spans="1:40" s="552" customFormat="1" ht="15.4">
      <c r="A77" s="484" t="s">
        <v>174</v>
      </c>
      <c r="B77" s="483">
        <v>81035</v>
      </c>
      <c r="C77" s="484" t="s">
        <v>52</v>
      </c>
      <c r="D77" s="167" t="s">
        <v>175</v>
      </c>
      <c r="E77" s="246">
        <v>1</v>
      </c>
      <c r="F77" s="247" t="s">
        <v>112</v>
      </c>
      <c r="G77" s="247">
        <v>1</v>
      </c>
      <c r="H77" s="249">
        <v>1</v>
      </c>
      <c r="I77" s="250">
        <v>7000</v>
      </c>
      <c r="J77" s="250">
        <f t="shared" si="103"/>
        <v>7000</v>
      </c>
      <c r="K77" s="255">
        <f t="shared" si="104"/>
        <v>7000</v>
      </c>
      <c r="L77" s="296">
        <f t="shared" si="105"/>
        <v>0</v>
      </c>
      <c r="M77" s="303">
        <v>1</v>
      </c>
      <c r="N77" s="304" t="s">
        <v>112</v>
      </c>
      <c r="O77" s="304">
        <v>0</v>
      </c>
      <c r="P77" s="305">
        <v>0</v>
      </c>
      <c r="Q77" s="306">
        <v>7000</v>
      </c>
      <c r="R77" s="306">
        <f t="shared" si="106"/>
        <v>0</v>
      </c>
      <c r="S77" s="311">
        <f t="shared" si="111"/>
        <v>0</v>
      </c>
      <c r="T77" s="312">
        <f t="shared" si="112"/>
        <v>0</v>
      </c>
      <c r="U77" s="123">
        <v>1</v>
      </c>
      <c r="V77" s="125" t="s">
        <v>112</v>
      </c>
      <c r="W77" s="125">
        <v>1</v>
      </c>
      <c r="X77" s="114">
        <v>1</v>
      </c>
      <c r="Y77" s="85">
        <v>7000</v>
      </c>
      <c r="Z77" s="85">
        <f>U77*Y77*W77*X77</f>
        <v>7000</v>
      </c>
      <c r="AA77" s="337">
        <f t="shared" si="113"/>
        <v>7000</v>
      </c>
      <c r="AB77" s="338">
        <f t="shared" si="114"/>
        <v>0</v>
      </c>
      <c r="AC77" s="123">
        <v>0</v>
      </c>
      <c r="AD77" s="125" t="s">
        <v>112</v>
      </c>
      <c r="AE77" s="125">
        <v>0</v>
      </c>
      <c r="AF77" s="114">
        <v>0</v>
      </c>
      <c r="AG77" s="85">
        <v>7000</v>
      </c>
      <c r="AH77" s="85">
        <f t="shared" ref="AH77:AH80" si="117">AC77*AG77*AE77*$H77*AF77</f>
        <v>0</v>
      </c>
      <c r="AI77" s="337">
        <f t="shared" si="115"/>
        <v>0</v>
      </c>
      <c r="AJ77" s="338">
        <f t="shared" si="116"/>
        <v>0</v>
      </c>
      <c r="AK77" s="87">
        <f t="shared" si="109"/>
        <v>14000</v>
      </c>
      <c r="AL77" s="85">
        <f t="shared" si="109"/>
        <v>0</v>
      </c>
      <c r="AM77" s="86">
        <f t="shared" si="110"/>
        <v>14000</v>
      </c>
    </row>
    <row r="78" spans="1:40" s="552" customFormat="1" ht="15.4">
      <c r="A78" s="484" t="s">
        <v>176</v>
      </c>
      <c r="B78" s="483">
        <v>81035</v>
      </c>
      <c r="C78" s="484" t="s">
        <v>52</v>
      </c>
      <c r="D78" s="487" t="s">
        <v>177</v>
      </c>
      <c r="E78" s="246">
        <v>1</v>
      </c>
      <c r="F78" s="247" t="s">
        <v>134</v>
      </c>
      <c r="G78" s="247">
        <v>1</v>
      </c>
      <c r="H78" s="249">
        <v>1</v>
      </c>
      <c r="I78" s="250">
        <v>800</v>
      </c>
      <c r="J78" s="250">
        <f t="shared" si="103"/>
        <v>800</v>
      </c>
      <c r="K78" s="255">
        <f t="shared" si="104"/>
        <v>800</v>
      </c>
      <c r="L78" s="296">
        <f t="shared" si="105"/>
        <v>0</v>
      </c>
      <c r="M78" s="303">
        <v>1</v>
      </c>
      <c r="N78" s="304" t="s">
        <v>134</v>
      </c>
      <c r="O78" s="304">
        <v>1</v>
      </c>
      <c r="P78" s="305">
        <v>1</v>
      </c>
      <c r="Q78" s="306">
        <f>I78*$E$3</f>
        <v>832</v>
      </c>
      <c r="R78" s="306">
        <f t="shared" si="106"/>
        <v>832</v>
      </c>
      <c r="S78" s="311">
        <f t="shared" si="111"/>
        <v>832</v>
      </c>
      <c r="T78" s="312">
        <f t="shared" si="112"/>
        <v>0</v>
      </c>
      <c r="U78" s="123">
        <v>1</v>
      </c>
      <c r="V78" s="125" t="s">
        <v>134</v>
      </c>
      <c r="W78" s="125">
        <v>1</v>
      </c>
      <c r="X78" s="114">
        <v>1</v>
      </c>
      <c r="Y78" s="348">
        <v>1040</v>
      </c>
      <c r="Z78" s="85">
        <f t="shared" ref="Z78:Z80" si="118">U78*Y78*W78*X78</f>
        <v>1040</v>
      </c>
      <c r="AA78" s="337">
        <f t="shared" si="113"/>
        <v>1040</v>
      </c>
      <c r="AB78" s="338">
        <f t="shared" si="114"/>
        <v>0</v>
      </c>
      <c r="AC78" s="123">
        <v>1</v>
      </c>
      <c r="AD78" s="125" t="s">
        <v>134</v>
      </c>
      <c r="AE78" s="125">
        <v>1</v>
      </c>
      <c r="AF78" s="114">
        <v>1</v>
      </c>
      <c r="AG78" s="348">
        <f>Y78*$E$3</f>
        <v>1081.6000000000001</v>
      </c>
      <c r="AH78" s="85">
        <f t="shared" si="117"/>
        <v>1081.6000000000001</v>
      </c>
      <c r="AI78" s="337">
        <f t="shared" si="115"/>
        <v>1081.6000000000001</v>
      </c>
      <c r="AJ78" s="338">
        <f t="shared" si="116"/>
        <v>0</v>
      </c>
      <c r="AK78" s="87">
        <f t="shared" si="109"/>
        <v>3753.6000000000004</v>
      </c>
      <c r="AL78" s="85">
        <f t="shared" si="109"/>
        <v>0</v>
      </c>
      <c r="AM78" s="86">
        <f t="shared" si="110"/>
        <v>3753.6000000000004</v>
      </c>
    </row>
    <row r="79" spans="1:40" s="552" customFormat="1" ht="15.4">
      <c r="A79" s="629" t="s">
        <v>178</v>
      </c>
      <c r="B79" s="629">
        <v>87000</v>
      </c>
      <c r="C79" s="484" t="s">
        <v>52</v>
      </c>
      <c r="D79" s="486" t="s">
        <v>179</v>
      </c>
      <c r="E79" s="68">
        <v>0</v>
      </c>
      <c r="F79" s="69" t="s">
        <v>180</v>
      </c>
      <c r="G79" s="69">
        <v>0</v>
      </c>
      <c r="H79" s="70">
        <v>1</v>
      </c>
      <c r="I79" s="71">
        <v>2000</v>
      </c>
      <c r="J79" s="71">
        <f>E79*I79*G79*H79</f>
        <v>0</v>
      </c>
      <c r="K79" s="316">
        <f>J79</f>
        <v>0</v>
      </c>
      <c r="L79" s="317">
        <f>J79-K79</f>
        <v>0</v>
      </c>
      <c r="M79" s="123">
        <v>1</v>
      </c>
      <c r="N79" s="125" t="s">
        <v>180</v>
      </c>
      <c r="O79" s="125">
        <v>3</v>
      </c>
      <c r="P79" s="114">
        <v>1</v>
      </c>
      <c r="Q79" s="85">
        <v>2000</v>
      </c>
      <c r="R79" s="85">
        <f t="shared" si="106"/>
        <v>6000</v>
      </c>
      <c r="S79" s="337">
        <f>R79</f>
        <v>6000</v>
      </c>
      <c r="T79" s="338">
        <f t="shared" si="112"/>
        <v>0</v>
      </c>
      <c r="U79" s="123">
        <v>1</v>
      </c>
      <c r="V79" s="125" t="s">
        <v>180</v>
      </c>
      <c r="W79" s="125">
        <v>2</v>
      </c>
      <c r="X79" s="114">
        <v>1</v>
      </c>
      <c r="Y79" s="85">
        <v>2000</v>
      </c>
      <c r="Z79" s="85">
        <f t="shared" si="118"/>
        <v>4000</v>
      </c>
      <c r="AA79" s="337">
        <f t="shared" si="113"/>
        <v>4000</v>
      </c>
      <c r="AB79" s="338">
        <f t="shared" si="114"/>
        <v>0</v>
      </c>
      <c r="AC79" s="123">
        <v>0</v>
      </c>
      <c r="AD79" s="125" t="s">
        <v>180</v>
      </c>
      <c r="AE79" s="125">
        <v>0</v>
      </c>
      <c r="AF79" s="114">
        <v>1</v>
      </c>
      <c r="AG79" s="85">
        <v>2000</v>
      </c>
      <c r="AH79" s="85">
        <f t="shared" si="117"/>
        <v>0</v>
      </c>
      <c r="AI79" s="337">
        <f t="shared" si="115"/>
        <v>0</v>
      </c>
      <c r="AJ79" s="338">
        <f t="shared" si="116"/>
        <v>0</v>
      </c>
      <c r="AK79" s="87">
        <f t="shared" si="109"/>
        <v>10000</v>
      </c>
      <c r="AL79" s="85">
        <f t="shared" si="109"/>
        <v>0</v>
      </c>
      <c r="AM79" s="86">
        <f t="shared" si="110"/>
        <v>10000</v>
      </c>
    </row>
    <row r="80" spans="1:40" s="552" customFormat="1" ht="15.4">
      <c r="A80" s="629" t="s">
        <v>181</v>
      </c>
      <c r="B80" s="629">
        <v>87000</v>
      </c>
      <c r="C80" s="484" t="s">
        <v>52</v>
      </c>
      <c r="D80" s="486" t="s">
        <v>182</v>
      </c>
      <c r="E80" s="68">
        <v>0</v>
      </c>
      <c r="F80" s="69" t="s">
        <v>180</v>
      </c>
      <c r="G80" s="69">
        <v>0</v>
      </c>
      <c r="H80" s="70">
        <v>1</v>
      </c>
      <c r="I80" s="71">
        <v>5000</v>
      </c>
      <c r="J80" s="71">
        <f>E80*I80*G80*H80</f>
        <v>0</v>
      </c>
      <c r="K80" s="316">
        <f>J80</f>
        <v>0</v>
      </c>
      <c r="L80" s="317">
        <f>J80-K80</f>
        <v>0</v>
      </c>
      <c r="M80" s="123">
        <v>1</v>
      </c>
      <c r="N80" s="125" t="s">
        <v>180</v>
      </c>
      <c r="O80" s="125">
        <v>2</v>
      </c>
      <c r="P80" s="114">
        <v>1</v>
      </c>
      <c r="Q80" s="85">
        <v>5000</v>
      </c>
      <c r="R80" s="85">
        <f t="shared" si="106"/>
        <v>10000</v>
      </c>
      <c r="S80" s="337">
        <f t="shared" ref="S80:S81" si="119">R80</f>
        <v>10000</v>
      </c>
      <c r="T80" s="338">
        <f t="shared" si="112"/>
        <v>0</v>
      </c>
      <c r="U80" s="123">
        <v>1</v>
      </c>
      <c r="V80" s="125" t="s">
        <v>180</v>
      </c>
      <c r="W80" s="125">
        <v>3</v>
      </c>
      <c r="X80" s="114">
        <v>1</v>
      </c>
      <c r="Y80" s="85">
        <f>Q80*$E$3</f>
        <v>5200</v>
      </c>
      <c r="Z80" s="85">
        <f t="shared" si="118"/>
        <v>15600</v>
      </c>
      <c r="AA80" s="337">
        <f t="shared" si="113"/>
        <v>15600</v>
      </c>
      <c r="AB80" s="338">
        <f t="shared" si="114"/>
        <v>0</v>
      </c>
      <c r="AC80" s="123">
        <v>1</v>
      </c>
      <c r="AD80" s="125" t="s">
        <v>180</v>
      </c>
      <c r="AE80" s="125">
        <v>2</v>
      </c>
      <c r="AF80" s="114">
        <v>1</v>
      </c>
      <c r="AG80" s="85">
        <f>Y80*$E$3</f>
        <v>5408</v>
      </c>
      <c r="AH80" s="85">
        <f t="shared" si="117"/>
        <v>10816</v>
      </c>
      <c r="AI80" s="337">
        <f t="shared" si="115"/>
        <v>10816</v>
      </c>
      <c r="AJ80" s="338">
        <f t="shared" si="116"/>
        <v>0</v>
      </c>
      <c r="AK80" s="87">
        <f t="shared" si="109"/>
        <v>36416</v>
      </c>
      <c r="AL80" s="85">
        <f t="shared" si="109"/>
        <v>0</v>
      </c>
      <c r="AM80" s="86">
        <f t="shared" si="110"/>
        <v>36416</v>
      </c>
    </row>
    <row r="81" spans="1:53" s="552" customFormat="1" ht="15.4">
      <c r="A81" s="629" t="s">
        <v>183</v>
      </c>
      <c r="B81" s="629">
        <v>90450</v>
      </c>
      <c r="C81" s="484" t="s">
        <v>52</v>
      </c>
      <c r="D81" s="498" t="s">
        <v>184</v>
      </c>
      <c r="E81" s="68">
        <v>0</v>
      </c>
      <c r="F81" s="69" t="s">
        <v>173</v>
      </c>
      <c r="G81" s="69">
        <v>0</v>
      </c>
      <c r="H81" s="70">
        <v>1</v>
      </c>
      <c r="I81" s="71">
        <v>250</v>
      </c>
      <c r="J81" s="71">
        <f>E81*I81*G81*H81</f>
        <v>0</v>
      </c>
      <c r="K81" s="316">
        <f>J81</f>
        <v>0</v>
      </c>
      <c r="L81" s="317">
        <f>J81-K81</f>
        <v>0</v>
      </c>
      <c r="M81" s="123">
        <v>1</v>
      </c>
      <c r="N81" s="125" t="s">
        <v>173</v>
      </c>
      <c r="O81" s="125">
        <v>784</v>
      </c>
      <c r="P81" s="114">
        <v>1</v>
      </c>
      <c r="Q81" s="85">
        <v>250</v>
      </c>
      <c r="R81" s="85">
        <v>196000</v>
      </c>
      <c r="S81" s="337">
        <f t="shared" si="119"/>
        <v>196000</v>
      </c>
      <c r="T81" s="338">
        <f t="shared" si="112"/>
        <v>0</v>
      </c>
      <c r="U81" s="123">
        <v>0</v>
      </c>
      <c r="V81" s="125" t="s">
        <v>173</v>
      </c>
      <c r="W81" s="125">
        <v>0</v>
      </c>
      <c r="X81" s="114">
        <v>0</v>
      </c>
      <c r="Y81" s="85">
        <v>250</v>
      </c>
      <c r="Z81" s="85">
        <f t="shared" ref="Z81" si="120">U81*Y81*W81*X81</f>
        <v>0</v>
      </c>
      <c r="AA81" s="337">
        <f t="shared" ref="AA81" si="121">Z81</f>
        <v>0</v>
      </c>
      <c r="AB81" s="338">
        <f t="shared" ref="AB81" si="122">Z81-AA81</f>
        <v>0</v>
      </c>
      <c r="AC81" s="123">
        <v>1</v>
      </c>
      <c r="AD81" s="125" t="s">
        <v>173</v>
      </c>
      <c r="AE81" s="125">
        <v>0</v>
      </c>
      <c r="AF81" s="114">
        <v>1</v>
      </c>
      <c r="AG81" s="85">
        <f>Y81*$E$3</f>
        <v>260</v>
      </c>
      <c r="AH81" s="85">
        <f t="shared" ref="AH81" si="123">AC81*AG81*AE81*$H81*AF81</f>
        <v>0</v>
      </c>
      <c r="AI81" s="337">
        <f t="shared" ref="AI81" si="124">AH81</f>
        <v>0</v>
      </c>
      <c r="AJ81" s="338">
        <f t="shared" ref="AJ81" si="125">AH81-AI81</f>
        <v>0</v>
      </c>
      <c r="AK81" s="87">
        <f t="shared" si="109"/>
        <v>196000</v>
      </c>
      <c r="AL81" s="85">
        <f t="shared" si="109"/>
        <v>0</v>
      </c>
      <c r="AM81" s="86">
        <f t="shared" si="110"/>
        <v>196000</v>
      </c>
      <c r="AN81" s="602"/>
      <c r="AO81" s="602"/>
      <c r="AP81" s="602"/>
      <c r="AQ81" s="602"/>
      <c r="AR81" s="602"/>
      <c r="AS81" s="602"/>
      <c r="AT81" s="602"/>
      <c r="AU81" s="602"/>
      <c r="AV81" s="602"/>
      <c r="AW81" s="602"/>
      <c r="AX81" s="602"/>
      <c r="AY81" s="602"/>
      <c r="AZ81" s="602"/>
      <c r="BA81" s="602"/>
    </row>
    <row r="82" spans="1:53" s="578" customFormat="1" ht="15.4">
      <c r="A82" s="584"/>
      <c r="B82" s="584"/>
      <c r="C82" s="584"/>
      <c r="D82" s="497" t="s">
        <v>185</v>
      </c>
      <c r="E82" s="242"/>
      <c r="F82" s="243"/>
      <c r="G82" s="243"/>
      <c r="H82" s="244"/>
      <c r="I82" s="245"/>
      <c r="J82" s="245"/>
      <c r="K82" s="277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184"/>
      <c r="AL82" s="152"/>
      <c r="AM82" s="183"/>
    </row>
    <row r="83" spans="1:53" s="552" customFormat="1" ht="15.4">
      <c r="A83" s="484" t="s">
        <v>186</v>
      </c>
      <c r="B83" s="483">
        <v>82420</v>
      </c>
      <c r="C83" s="481" t="s">
        <v>52</v>
      </c>
      <c r="D83" s="59" t="s">
        <v>187</v>
      </c>
      <c r="E83" s="246">
        <v>1</v>
      </c>
      <c r="F83" s="247" t="s">
        <v>134</v>
      </c>
      <c r="G83" s="247">
        <v>1</v>
      </c>
      <c r="H83" s="249">
        <v>1</v>
      </c>
      <c r="I83" s="250">
        <v>300</v>
      </c>
      <c r="J83" s="250">
        <f t="shared" ref="J83:J85" si="126">E83*I83*G83*H83</f>
        <v>300</v>
      </c>
      <c r="K83" s="255">
        <f t="shared" ref="K83:K85" si="127">J83</f>
        <v>300</v>
      </c>
      <c r="L83" s="296">
        <f t="shared" ref="L83:L85" si="128">J83-K83</f>
        <v>0</v>
      </c>
      <c r="M83" s="303">
        <v>1</v>
      </c>
      <c r="N83" s="304" t="s">
        <v>134</v>
      </c>
      <c r="O83" s="304">
        <v>1</v>
      </c>
      <c r="P83" s="305">
        <v>1</v>
      </c>
      <c r="Q83" s="306">
        <f>300*1.04</f>
        <v>312</v>
      </c>
      <c r="R83" s="306">
        <f>M83*Q83*O83*P83</f>
        <v>312</v>
      </c>
      <c r="S83" s="311">
        <f t="shared" ref="S83:S85" si="129">R83</f>
        <v>312</v>
      </c>
      <c r="T83" s="312">
        <f t="shared" ref="T83:T85" si="130">R83-S83</f>
        <v>0</v>
      </c>
      <c r="U83" s="123"/>
      <c r="V83" s="125"/>
      <c r="W83" s="125"/>
      <c r="X83" s="114"/>
      <c r="Y83" s="85"/>
      <c r="Z83" s="85"/>
      <c r="AA83" s="337"/>
      <c r="AB83" s="338"/>
      <c r="AC83" s="123"/>
      <c r="AD83" s="125"/>
      <c r="AE83" s="125"/>
      <c r="AF83" s="114"/>
      <c r="AG83" s="85"/>
      <c r="AH83" s="85"/>
      <c r="AI83" s="337"/>
      <c r="AJ83" s="338"/>
      <c r="AK83" s="87">
        <f t="shared" ref="AK83:AL85" si="131">K83+S83+AA83+AI83</f>
        <v>612</v>
      </c>
      <c r="AL83" s="85">
        <f t="shared" si="131"/>
        <v>0</v>
      </c>
      <c r="AM83" s="86">
        <f t="shared" ref="AM83:AM85" si="132">+AK83+AL83</f>
        <v>612</v>
      </c>
    </row>
    <row r="84" spans="1:53" s="552" customFormat="1" ht="15.4">
      <c r="A84" s="484" t="s">
        <v>188</v>
      </c>
      <c r="B84" s="483">
        <v>87010</v>
      </c>
      <c r="C84" s="481" t="s">
        <v>52</v>
      </c>
      <c r="D84" s="59" t="s">
        <v>189</v>
      </c>
      <c r="E84" s="246">
        <v>1</v>
      </c>
      <c r="F84" s="247" t="s">
        <v>190</v>
      </c>
      <c r="G84" s="247">
        <v>1</v>
      </c>
      <c r="H84" s="249">
        <v>1</v>
      </c>
      <c r="I84" s="250">
        <v>121</v>
      </c>
      <c r="J84" s="250">
        <f t="shared" si="126"/>
        <v>121</v>
      </c>
      <c r="K84" s="255">
        <f t="shared" si="127"/>
        <v>121</v>
      </c>
      <c r="L84" s="296">
        <f t="shared" si="128"/>
        <v>0</v>
      </c>
      <c r="M84" s="303">
        <v>1</v>
      </c>
      <c r="N84" s="304" t="s">
        <v>190</v>
      </c>
      <c r="O84" s="304">
        <v>1</v>
      </c>
      <c r="P84" s="305">
        <v>1</v>
      </c>
      <c r="Q84" s="306">
        <f>121*1.04</f>
        <v>125.84</v>
      </c>
      <c r="R84" s="306">
        <f>M84*Q84*O84*P84</f>
        <v>125.84</v>
      </c>
      <c r="S84" s="311">
        <f t="shared" si="129"/>
        <v>125.84</v>
      </c>
      <c r="T84" s="312">
        <f t="shared" si="130"/>
        <v>0</v>
      </c>
      <c r="U84" s="123"/>
      <c r="V84" s="125"/>
      <c r="W84" s="125"/>
      <c r="X84" s="114"/>
      <c r="Y84" s="85"/>
      <c r="Z84" s="85"/>
      <c r="AA84" s="337"/>
      <c r="AB84" s="338"/>
      <c r="AC84" s="123"/>
      <c r="AD84" s="125"/>
      <c r="AE84" s="125"/>
      <c r="AF84" s="114"/>
      <c r="AG84" s="85"/>
      <c r="AH84" s="85"/>
      <c r="AI84" s="337"/>
      <c r="AJ84" s="338"/>
      <c r="AK84" s="87">
        <f t="shared" si="131"/>
        <v>246.84</v>
      </c>
      <c r="AL84" s="85">
        <f t="shared" si="131"/>
        <v>0</v>
      </c>
      <c r="AM84" s="86">
        <f t="shared" si="132"/>
        <v>246.84</v>
      </c>
    </row>
    <row r="85" spans="1:53" s="552" customFormat="1" ht="15.4">
      <c r="A85" s="482" t="s">
        <v>191</v>
      </c>
      <c r="B85" s="481">
        <v>81010</v>
      </c>
      <c r="C85" s="481" t="s">
        <v>52</v>
      </c>
      <c r="D85" s="59" t="s">
        <v>192</v>
      </c>
      <c r="E85" s="246">
        <v>1</v>
      </c>
      <c r="F85" s="247" t="s">
        <v>112</v>
      </c>
      <c r="G85" s="247">
        <v>0</v>
      </c>
      <c r="H85" s="249">
        <v>1</v>
      </c>
      <c r="I85" s="250">
        <v>1000</v>
      </c>
      <c r="J85" s="250">
        <f t="shared" si="126"/>
        <v>0</v>
      </c>
      <c r="K85" s="255">
        <f t="shared" si="127"/>
        <v>0</v>
      </c>
      <c r="L85" s="296">
        <f t="shared" si="128"/>
        <v>0</v>
      </c>
      <c r="M85" s="303">
        <v>1</v>
      </c>
      <c r="N85" s="304" t="s">
        <v>112</v>
      </c>
      <c r="O85" s="304">
        <v>1</v>
      </c>
      <c r="P85" s="305">
        <v>1</v>
      </c>
      <c r="Q85" s="306">
        <f>1000*1.04</f>
        <v>1040</v>
      </c>
      <c r="R85" s="306">
        <f>M85*Q85*O85*P85</f>
        <v>1040</v>
      </c>
      <c r="S85" s="311">
        <f t="shared" si="129"/>
        <v>1040</v>
      </c>
      <c r="T85" s="312">
        <f t="shared" si="130"/>
        <v>0</v>
      </c>
      <c r="U85" s="123"/>
      <c r="V85" s="125"/>
      <c r="W85" s="125"/>
      <c r="X85" s="114"/>
      <c r="Y85" s="85"/>
      <c r="Z85" s="85"/>
      <c r="AA85" s="337"/>
      <c r="AB85" s="338"/>
      <c r="AC85" s="123"/>
      <c r="AD85" s="125"/>
      <c r="AE85" s="125"/>
      <c r="AF85" s="114"/>
      <c r="AG85" s="85"/>
      <c r="AH85" s="85"/>
      <c r="AI85" s="337"/>
      <c r="AJ85" s="338"/>
      <c r="AK85" s="87">
        <f t="shared" si="131"/>
        <v>1040</v>
      </c>
      <c r="AL85" s="85">
        <f t="shared" si="131"/>
        <v>0</v>
      </c>
      <c r="AM85" s="86">
        <f t="shared" si="132"/>
        <v>1040</v>
      </c>
    </row>
    <row r="86" spans="1:53" s="578" customFormat="1" ht="15.4">
      <c r="A86" s="584"/>
      <c r="B86" s="584"/>
      <c r="C86" s="584"/>
      <c r="D86" s="490" t="s">
        <v>193</v>
      </c>
      <c r="E86" s="289"/>
      <c r="F86" s="259"/>
      <c r="G86" s="290"/>
      <c r="H86" s="261"/>
      <c r="I86" s="262"/>
      <c r="J86" s="262">
        <f>SUM(J63:J85)</f>
        <v>39031</v>
      </c>
      <c r="K86" s="262">
        <f t="shared" ref="K86:L86" si="133">SUM(K63:K85)</f>
        <v>39031</v>
      </c>
      <c r="L86" s="262">
        <f t="shared" si="133"/>
        <v>0</v>
      </c>
      <c r="M86" s="135"/>
      <c r="N86" s="136"/>
      <c r="O86" s="137"/>
      <c r="P86" s="138"/>
      <c r="Q86" s="133"/>
      <c r="R86" s="133">
        <f t="shared" ref="R86:T86" si="134">SUM(R63:R85)</f>
        <v>251211.63999999998</v>
      </c>
      <c r="S86" s="133">
        <f t="shared" si="134"/>
        <v>251211.63999999998</v>
      </c>
      <c r="T86" s="133">
        <f t="shared" si="134"/>
        <v>0</v>
      </c>
      <c r="U86" s="135"/>
      <c r="V86" s="136"/>
      <c r="W86" s="137"/>
      <c r="X86" s="138"/>
      <c r="Y86" s="133"/>
      <c r="Z86" s="133">
        <f t="shared" ref="Z86:AB86" si="135">SUM(Z63:Z85)</f>
        <v>48315.040000000001</v>
      </c>
      <c r="AA86" s="133">
        <f t="shared" si="135"/>
        <v>48315.040000000001</v>
      </c>
      <c r="AB86" s="133">
        <f t="shared" si="135"/>
        <v>0</v>
      </c>
      <c r="AC86" s="135"/>
      <c r="AD86" s="136"/>
      <c r="AE86" s="137"/>
      <c r="AF86" s="138"/>
      <c r="AG86" s="133"/>
      <c r="AH86" s="133">
        <f>SUM(AH63:AH85)</f>
        <v>23728.088800000005</v>
      </c>
      <c r="AI86" s="133">
        <f t="shared" ref="AI86:AM86" si="136">SUM(AI63:AI85)</f>
        <v>23728.088800000005</v>
      </c>
      <c r="AJ86" s="133">
        <f t="shared" si="136"/>
        <v>0</v>
      </c>
      <c r="AK86" s="139">
        <f>SUM(AK63:AK85)</f>
        <v>362285.76880000002</v>
      </c>
      <c r="AL86" s="133">
        <f t="shared" si="136"/>
        <v>0</v>
      </c>
      <c r="AM86" s="134">
        <f t="shared" si="136"/>
        <v>362285.76880000002</v>
      </c>
    </row>
    <row r="87" spans="1:53" s="578" customFormat="1" ht="15">
      <c r="A87" s="489"/>
      <c r="B87" s="489"/>
      <c r="C87" s="489"/>
      <c r="D87" s="489" t="s">
        <v>194</v>
      </c>
      <c r="E87" s="44"/>
      <c r="F87" s="142"/>
      <c r="G87" s="142"/>
      <c r="H87" s="144"/>
      <c r="I87" s="145"/>
      <c r="J87" s="145">
        <f>J20+J26+J38+J44+J61+J86</f>
        <v>273864.69099999999</v>
      </c>
      <c r="K87" s="145">
        <f>K20+K26+K38+K44+K61+K86</f>
        <v>273864.69099999999</v>
      </c>
      <c r="L87" s="189">
        <f>L20+L26+L38+L44+L61+L86</f>
        <v>0</v>
      </c>
      <c r="M87" s="44"/>
      <c r="N87" s="190"/>
      <c r="O87" s="191"/>
      <c r="P87" s="192"/>
      <c r="Q87" s="145"/>
      <c r="R87" s="145">
        <f>R20+R26+R38+R44+R61+R86</f>
        <v>718909.09450666665</v>
      </c>
      <c r="S87" s="145">
        <f>S20+S26+S38+S44+S61+S86</f>
        <v>718909.09450666665</v>
      </c>
      <c r="T87" s="189">
        <f>T20+T26+T38+T44+T61+T86</f>
        <v>0</v>
      </c>
      <c r="U87" s="44"/>
      <c r="V87" s="190"/>
      <c r="W87" s="191"/>
      <c r="X87" s="192"/>
      <c r="Y87" s="145"/>
      <c r="Z87" s="145">
        <f>Z20+Z26+Z38+Z44+Z61+Z86</f>
        <v>755115.3413166668</v>
      </c>
      <c r="AA87" s="145">
        <f>AA20+AA26+AA38+AA44+AA61+AA86</f>
        <v>755115.3413166668</v>
      </c>
      <c r="AB87" s="189">
        <f>AB20+AB26+AB38+AB44+AB61+AB86</f>
        <v>0</v>
      </c>
      <c r="AC87" s="44"/>
      <c r="AD87" s="190"/>
      <c r="AE87" s="191"/>
      <c r="AF87" s="192"/>
      <c r="AG87" s="145"/>
      <c r="AH87" s="145">
        <f>AH20+AH26+AH38+AH44+AH61+AH86</f>
        <v>159284.57491856665</v>
      </c>
      <c r="AI87" s="145">
        <f>AI20+AI26+AI38+AI44+AI61+AI86</f>
        <v>159284.57491856665</v>
      </c>
      <c r="AJ87" s="189">
        <f>AJ20+AJ26+AJ38+AJ44+AJ61+AJ86</f>
        <v>0</v>
      </c>
      <c r="AK87" s="193">
        <f>K87+S87+AA87+AI87</f>
        <v>1907173.7017419003</v>
      </c>
      <c r="AL87" s="145">
        <f>L87+T87+AB87+AJ87</f>
        <v>0</v>
      </c>
      <c r="AM87" s="189">
        <f>+AK87+AL87</f>
        <v>1907173.7017419003</v>
      </c>
    </row>
    <row r="88" spans="1:53" s="578" customFormat="1" ht="15">
      <c r="A88" s="489"/>
      <c r="B88" s="489"/>
      <c r="C88" s="489"/>
      <c r="D88" s="489" t="s">
        <v>195</v>
      </c>
      <c r="E88" s="44"/>
      <c r="F88" s="142"/>
      <c r="G88" s="142"/>
      <c r="H88" s="144"/>
      <c r="I88" s="145"/>
      <c r="J88" s="145"/>
      <c r="K88" s="145"/>
      <c r="L88" s="189"/>
      <c r="M88" s="44"/>
      <c r="N88" s="190"/>
      <c r="O88" s="191"/>
      <c r="P88" s="192"/>
      <c r="Q88" s="145"/>
      <c r="R88" s="145"/>
      <c r="S88" s="145"/>
      <c r="T88" s="189"/>
      <c r="U88" s="44"/>
      <c r="V88" s="190"/>
      <c r="W88" s="191"/>
      <c r="X88" s="192"/>
      <c r="Y88" s="145"/>
      <c r="Z88" s="145"/>
      <c r="AA88" s="145"/>
      <c r="AB88" s="189"/>
      <c r="AC88" s="44"/>
      <c r="AD88" s="190"/>
      <c r="AE88" s="191"/>
      <c r="AF88" s="192"/>
      <c r="AG88" s="145"/>
      <c r="AH88" s="145"/>
      <c r="AI88" s="145"/>
      <c r="AJ88" s="189"/>
      <c r="AK88" s="193"/>
      <c r="AL88" s="145"/>
      <c r="AM88" s="189"/>
    </row>
    <row r="89" spans="1:53" s="578" customFormat="1" ht="15.4">
      <c r="A89" s="481" t="s">
        <v>196</v>
      </c>
      <c r="B89" s="481">
        <v>94050</v>
      </c>
      <c r="C89" s="481" t="s">
        <v>70</v>
      </c>
      <c r="D89" s="491" t="s">
        <v>197</v>
      </c>
      <c r="E89" s="195"/>
      <c r="F89" s="196">
        <v>0.2828</v>
      </c>
      <c r="G89" s="197"/>
      <c r="H89" s="198"/>
      <c r="I89" s="199"/>
      <c r="J89" s="199">
        <f>J87*F89</f>
        <v>77448.93461479999</v>
      </c>
      <c r="K89" s="199">
        <f>J89</f>
        <v>77448.93461479999</v>
      </c>
      <c r="L89" s="200">
        <f>J89-K89</f>
        <v>0</v>
      </c>
      <c r="M89" s="201"/>
      <c r="N89" s="202">
        <v>0.2828</v>
      </c>
      <c r="O89" s="203"/>
      <c r="P89" s="204"/>
      <c r="Q89" s="205"/>
      <c r="R89" s="205">
        <f>R87*$N$89</f>
        <v>203307.49192648532</v>
      </c>
      <c r="S89" s="205">
        <f>R89</f>
        <v>203307.49192648532</v>
      </c>
      <c r="T89" s="206">
        <f>R89-S89</f>
        <v>0</v>
      </c>
      <c r="U89" s="201"/>
      <c r="V89" s="202">
        <v>0.2828</v>
      </c>
      <c r="W89" s="203"/>
      <c r="X89" s="204"/>
      <c r="Y89" s="205"/>
      <c r="Z89" s="205">
        <f>Z87*$N$89</f>
        <v>213546.61852435337</v>
      </c>
      <c r="AA89" s="205">
        <f>Z89</f>
        <v>213546.61852435337</v>
      </c>
      <c r="AB89" s="207">
        <f>Z89-AA89</f>
        <v>0</v>
      </c>
      <c r="AC89" s="201"/>
      <c r="AD89" s="202">
        <v>0.2828</v>
      </c>
      <c r="AE89" s="203"/>
      <c r="AF89" s="204"/>
      <c r="AG89" s="208"/>
      <c r="AH89" s="205">
        <f>AH87*$N$89+2.45</f>
        <v>45048.127786970646</v>
      </c>
      <c r="AI89" s="208">
        <f>AH89</f>
        <v>45048.127786970646</v>
      </c>
      <c r="AJ89" s="207">
        <f>AH89-AI89</f>
        <v>0</v>
      </c>
      <c r="AK89" s="209">
        <f t="shared" ref="AK89:AL91" si="137">K89+S89+AA89+AI89</f>
        <v>539351.17285260931</v>
      </c>
      <c r="AL89" s="205">
        <f t="shared" si="137"/>
        <v>0</v>
      </c>
      <c r="AM89" s="206">
        <f>+AK89+AL89</f>
        <v>539351.17285260931</v>
      </c>
    </row>
    <row r="90" spans="1:53" s="578" customFormat="1" ht="15">
      <c r="A90" s="489"/>
      <c r="B90" s="489"/>
      <c r="C90" s="489"/>
      <c r="D90" s="489" t="s">
        <v>198</v>
      </c>
      <c r="E90" s="44"/>
      <c r="F90" s="626"/>
      <c r="G90" s="142"/>
      <c r="H90" s="144"/>
      <c r="I90" s="145"/>
      <c r="J90" s="145">
        <f>J89</f>
        <v>77448.93461479999</v>
      </c>
      <c r="K90" s="145">
        <f>K89</f>
        <v>77448.93461479999</v>
      </c>
      <c r="L90" s="189">
        <f>L89</f>
        <v>0</v>
      </c>
      <c r="M90" s="44"/>
      <c r="N90" s="190"/>
      <c r="O90" s="191"/>
      <c r="P90" s="192"/>
      <c r="Q90" s="145"/>
      <c r="R90" s="145">
        <f>R89</f>
        <v>203307.49192648532</v>
      </c>
      <c r="S90" s="145">
        <f>S89</f>
        <v>203307.49192648532</v>
      </c>
      <c r="T90" s="189">
        <f>T89</f>
        <v>0</v>
      </c>
      <c r="U90" s="44"/>
      <c r="V90" s="190"/>
      <c r="W90" s="191"/>
      <c r="X90" s="192"/>
      <c r="Y90" s="145"/>
      <c r="Z90" s="145">
        <f>Z89</f>
        <v>213546.61852435337</v>
      </c>
      <c r="AA90" s="145">
        <f>AA89</f>
        <v>213546.61852435337</v>
      </c>
      <c r="AB90" s="189">
        <f>AB89</f>
        <v>0</v>
      </c>
      <c r="AC90" s="44"/>
      <c r="AD90" s="190"/>
      <c r="AE90" s="191"/>
      <c r="AF90" s="192"/>
      <c r="AG90" s="145"/>
      <c r="AH90" s="145">
        <f>AH89</f>
        <v>45048.127786970646</v>
      </c>
      <c r="AI90" s="145">
        <f>AI89</f>
        <v>45048.127786970646</v>
      </c>
      <c r="AJ90" s="189">
        <f>AJ89</f>
        <v>0</v>
      </c>
      <c r="AK90" s="193">
        <f t="shared" si="137"/>
        <v>539351.17285260931</v>
      </c>
      <c r="AL90" s="145">
        <f t="shared" si="137"/>
        <v>0</v>
      </c>
      <c r="AM90" s="189">
        <f>+AK90+AL90</f>
        <v>539351.17285260931</v>
      </c>
    </row>
    <row r="91" spans="1:53" s="578" customFormat="1" ht="15">
      <c r="A91" s="489"/>
      <c r="B91" s="489"/>
      <c r="C91" s="489"/>
      <c r="D91" s="489" t="s">
        <v>199</v>
      </c>
      <c r="E91" s="44"/>
      <c r="F91" s="142"/>
      <c r="G91" s="142"/>
      <c r="H91" s="144"/>
      <c r="I91" s="145"/>
      <c r="J91" s="145">
        <f>J87+J90</f>
        <v>351313.62561479997</v>
      </c>
      <c r="K91" s="145">
        <f t="shared" ref="K91:T91" si="138">K87+K90</f>
        <v>351313.62561479997</v>
      </c>
      <c r="L91" s="189">
        <f t="shared" si="138"/>
        <v>0</v>
      </c>
      <c r="M91" s="193"/>
      <c r="N91" s="627"/>
      <c r="O91" s="145"/>
      <c r="P91" s="192"/>
      <c r="Q91" s="145"/>
      <c r="R91" s="145">
        <f>R87+R90</f>
        <v>922216.58643315197</v>
      </c>
      <c r="S91" s="145">
        <f>S87+S90</f>
        <v>922216.58643315197</v>
      </c>
      <c r="T91" s="189">
        <f t="shared" si="138"/>
        <v>0</v>
      </c>
      <c r="U91" s="193"/>
      <c r="V91" s="627"/>
      <c r="W91" s="145"/>
      <c r="X91" s="192"/>
      <c r="Y91" s="145"/>
      <c r="Z91" s="145">
        <f>Z87+Z90</f>
        <v>968661.95984102017</v>
      </c>
      <c r="AA91" s="145">
        <f>AA87+AA90</f>
        <v>968661.95984102017</v>
      </c>
      <c r="AB91" s="189">
        <f>AB87+AB90</f>
        <v>0</v>
      </c>
      <c r="AC91" s="193"/>
      <c r="AD91" s="627"/>
      <c r="AE91" s="145"/>
      <c r="AF91" s="192"/>
      <c r="AG91" s="145"/>
      <c r="AH91" s="145">
        <f>AH87+AH90</f>
        <v>204332.70270553729</v>
      </c>
      <c r="AI91" s="145">
        <f>AI87+AI90</f>
        <v>204332.70270553729</v>
      </c>
      <c r="AJ91" s="189">
        <f>AJ87+AJ90</f>
        <v>0</v>
      </c>
      <c r="AK91" s="193">
        <f t="shared" si="137"/>
        <v>2446524.8745945096</v>
      </c>
      <c r="AL91" s="145">
        <f t="shared" si="137"/>
        <v>0</v>
      </c>
      <c r="AM91" s="189">
        <f>+AK91+AL91</f>
        <v>2446524.8745945096</v>
      </c>
      <c r="AN91" s="628"/>
      <c r="AO91" s="607"/>
    </row>
    <row r="93" spans="1:53">
      <c r="R93" s="231"/>
    </row>
    <row r="94" spans="1:53" ht="15.4">
      <c r="AL94" t="s">
        <v>200</v>
      </c>
      <c r="AM94" s="76">
        <v>1805524.7280692772</v>
      </c>
    </row>
    <row r="95" spans="1:53" ht="15.4">
      <c r="AG95" s="232"/>
      <c r="AL95" t="s">
        <v>201</v>
      </c>
      <c r="AM95" s="76">
        <v>640999.72745419201</v>
      </c>
    </row>
    <row r="96" spans="1:53" ht="15.4">
      <c r="AG96" s="233"/>
      <c r="AL96" t="s">
        <v>6</v>
      </c>
      <c r="AM96" s="76">
        <f>SUM(AM94:AM95)</f>
        <v>2446524.4555234695</v>
      </c>
      <c r="AO96" s="231">
        <f>+AM96-AM91</f>
        <v>-0.41907104011625051</v>
      </c>
    </row>
    <row r="97" spans="33:35">
      <c r="AG97" s="233"/>
    </row>
    <row r="98" spans="33:35" ht="14.1">
      <c r="AG98" s="234"/>
      <c r="AI98" s="235"/>
    </row>
  </sheetData>
  <autoFilter ref="D6:AM91" xr:uid="{B7D936E8-B046-4AC8-ABE4-F177BC4EB305}"/>
  <mergeCells count="13">
    <mergeCell ref="A5:A6"/>
    <mergeCell ref="B5:B6"/>
    <mergeCell ref="C5:C6"/>
    <mergeCell ref="D1:AM1"/>
    <mergeCell ref="E5:L5"/>
    <mergeCell ref="M5:T5"/>
    <mergeCell ref="U5:AB5"/>
    <mergeCell ref="AC5:AJ5"/>
    <mergeCell ref="AK5:AM5"/>
    <mergeCell ref="O3:Q3"/>
    <mergeCell ref="R3:S3"/>
    <mergeCell ref="T3:U3"/>
    <mergeCell ref="V3:X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D2B7-4E06-4E96-9B52-BCB5968ED61E}">
  <dimension ref="A1:AX98"/>
  <sheetViews>
    <sheetView zoomScale="50" zoomScaleNormal="50" zoomScaleSheetLayoutView="50" workbookViewId="0">
      <pane xSplit="1" ySplit="1" topLeftCell="B2" activePane="bottomRight" state="frozen"/>
      <selection pane="bottomRight" activeCell="P70" sqref="P70"/>
      <selection pane="bottomLeft" activeCell="C20" sqref="C20"/>
      <selection pane="topRight" activeCell="C20" sqref="C20"/>
    </sheetView>
  </sheetViews>
  <sheetFormatPr defaultColWidth="9.140625" defaultRowHeight="13.9"/>
  <cols>
    <col min="1" max="1" width="49.28515625" customWidth="1"/>
    <col min="2" max="2" width="7.7109375" style="97" customWidth="1"/>
    <col min="3" max="3" width="15.85546875" style="97" customWidth="1"/>
    <col min="4" max="4" width="6.7109375" style="97" customWidth="1"/>
    <col min="5" max="5" width="11.85546875" style="97" customWidth="1"/>
    <col min="6" max="6" width="15.140625" style="97" customWidth="1"/>
    <col min="7" max="7" width="19" style="97" customWidth="1"/>
    <col min="8" max="8" width="15.140625" style="97" customWidth="1"/>
    <col min="9" max="9" width="11.42578125" style="97" customWidth="1"/>
    <col min="10" max="10" width="6.7109375" customWidth="1"/>
    <col min="11" max="11" width="16.42578125" customWidth="1"/>
    <col min="12" max="12" width="11.42578125" customWidth="1"/>
    <col min="13" max="13" width="11.42578125" style="230" customWidth="1"/>
    <col min="14" max="14" width="13.85546875" customWidth="1"/>
    <col min="15" max="15" width="21.28515625" customWidth="1"/>
    <col min="16" max="16" width="17.5703125" customWidth="1"/>
    <col min="17" max="17" width="11.42578125" customWidth="1"/>
    <col min="18" max="18" width="15.7109375" customWidth="1"/>
    <col min="19" max="19" width="17.28515625" customWidth="1"/>
    <col min="20" max="20" width="6.7109375" customWidth="1"/>
    <col min="21" max="21" width="11.5703125" style="230" customWidth="1"/>
    <col min="22" max="22" width="15.140625" customWidth="1"/>
    <col min="23" max="23" width="16.42578125" customWidth="1"/>
    <col min="24" max="24" width="15.42578125" customWidth="1"/>
    <col min="25" max="25" width="13.42578125" customWidth="1"/>
    <col min="26" max="26" width="6.85546875" customWidth="1"/>
    <col min="27" max="27" width="13.140625" customWidth="1"/>
    <col min="28" max="28" width="6.85546875" customWidth="1"/>
    <col min="29" max="29" width="12.85546875" style="230" customWidth="1"/>
    <col min="30" max="30" width="14.42578125" customWidth="1"/>
    <col min="31" max="31" width="15.140625" customWidth="1"/>
    <col min="32" max="32" width="14.85546875" customWidth="1"/>
    <col min="33" max="33" width="11.42578125" customWidth="1"/>
    <col min="34" max="34" width="19.5703125" customWidth="1"/>
    <col min="35" max="35" width="11.42578125" customWidth="1"/>
    <col min="36" max="36" width="17.28515625" customWidth="1"/>
    <col min="37" max="37" width="13.140625" customWidth="1"/>
    <col min="38" max="38" width="11.28515625" bestFit="1" customWidth="1"/>
  </cols>
  <sheetData>
    <row r="1" spans="1:39" ht="30.75" customHeight="1">
      <c r="A1" s="644" t="s">
        <v>21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</row>
    <row r="2" spans="1:39" ht="15.4">
      <c r="A2" s="22" t="s">
        <v>24</v>
      </c>
      <c r="B2" s="23">
        <v>1.05</v>
      </c>
      <c r="C2" s="24"/>
      <c r="D2" s="25"/>
      <c r="E2" s="26"/>
      <c r="F2" s="27"/>
      <c r="G2" s="27"/>
      <c r="H2" s="27"/>
      <c r="I2" s="27"/>
      <c r="J2" s="28"/>
      <c r="K2" s="28"/>
      <c r="L2" s="29"/>
      <c r="M2" s="30"/>
      <c r="N2" s="27"/>
      <c r="O2" s="27"/>
      <c r="P2" s="27"/>
      <c r="Q2" s="27"/>
      <c r="R2" s="28"/>
      <c r="S2" s="28"/>
      <c r="T2" s="28"/>
      <c r="U2" s="30"/>
      <c r="V2" s="27"/>
      <c r="W2" s="27"/>
      <c r="X2" s="27"/>
      <c r="Y2" s="27"/>
      <c r="Z2" s="28"/>
      <c r="AA2" s="28"/>
      <c r="AB2" s="28"/>
      <c r="AC2" s="30"/>
      <c r="AD2" s="31"/>
      <c r="AE2" s="31"/>
      <c r="AF2" s="31"/>
      <c r="AG2" s="31"/>
      <c r="AH2" s="27"/>
      <c r="AI2" s="27"/>
      <c r="AJ2" s="27"/>
    </row>
    <row r="3" spans="1:39" ht="110.45" customHeight="1">
      <c r="A3" s="22" t="s">
        <v>26</v>
      </c>
      <c r="B3" s="23">
        <v>1.04</v>
      </c>
      <c r="C3" s="24"/>
      <c r="D3" s="25"/>
      <c r="E3" s="26"/>
      <c r="F3" s="27"/>
      <c r="G3" s="27"/>
      <c r="H3" s="27"/>
      <c r="I3" s="27"/>
      <c r="J3" s="29"/>
      <c r="K3" s="28"/>
      <c r="L3" s="449" t="s">
        <v>202</v>
      </c>
      <c r="M3" s="450" t="s">
        <v>203</v>
      </c>
      <c r="N3" s="451" t="s">
        <v>204</v>
      </c>
      <c r="O3" s="27"/>
      <c r="P3" s="27"/>
      <c r="Q3" s="27"/>
      <c r="R3" s="29"/>
      <c r="S3" s="28"/>
      <c r="T3" s="28"/>
      <c r="U3" s="30"/>
      <c r="V3" s="27"/>
      <c r="W3" s="27"/>
      <c r="X3" s="27"/>
      <c r="Y3" s="27"/>
      <c r="Z3" s="28"/>
      <c r="AA3" s="28"/>
      <c r="AB3" s="28"/>
      <c r="AC3" s="30"/>
      <c r="AD3" s="31"/>
      <c r="AE3" s="31"/>
      <c r="AF3" s="31"/>
      <c r="AG3" s="31"/>
      <c r="AH3" s="27"/>
      <c r="AI3" s="27"/>
      <c r="AJ3" s="27"/>
    </row>
    <row r="4" spans="1:39" ht="15.6" thickBot="1">
      <c r="A4" s="28"/>
      <c r="B4" s="28"/>
      <c r="C4" s="24"/>
      <c r="D4" s="25"/>
      <c r="E4" s="26"/>
      <c r="F4" s="27"/>
      <c r="G4" s="27"/>
      <c r="H4" s="27"/>
      <c r="I4" s="27"/>
      <c r="J4" s="28"/>
      <c r="K4" s="28"/>
      <c r="L4" s="28"/>
      <c r="M4" s="30"/>
      <c r="N4" s="27"/>
      <c r="O4" s="27"/>
      <c r="P4" s="27"/>
      <c r="Q4" s="27"/>
      <c r="R4" s="28"/>
      <c r="S4" s="28"/>
      <c r="T4" s="28"/>
      <c r="U4" s="30"/>
      <c r="V4" s="27"/>
      <c r="W4" s="27"/>
      <c r="X4" s="27"/>
      <c r="Y4" s="27"/>
      <c r="Z4" s="28"/>
      <c r="AA4" s="28"/>
      <c r="AB4" s="28"/>
      <c r="AC4" s="30"/>
      <c r="AD4" s="31"/>
      <c r="AE4" s="31"/>
      <c r="AF4" s="31"/>
      <c r="AG4" s="31"/>
      <c r="AH4" s="27"/>
      <c r="AI4" s="27"/>
      <c r="AJ4" s="27"/>
    </row>
    <row r="5" spans="1:39" ht="18.75" customHeight="1">
      <c r="A5" s="32" t="s">
        <v>36</v>
      </c>
      <c r="B5" s="645" t="s">
        <v>37</v>
      </c>
      <c r="C5" s="645"/>
      <c r="D5" s="645"/>
      <c r="E5" s="645"/>
      <c r="F5" s="645"/>
      <c r="G5" s="645"/>
      <c r="H5" s="645"/>
      <c r="I5" s="645"/>
      <c r="J5" s="645" t="s">
        <v>38</v>
      </c>
      <c r="K5" s="645"/>
      <c r="L5" s="645"/>
      <c r="M5" s="645"/>
      <c r="N5" s="645"/>
      <c r="O5" s="645"/>
      <c r="P5" s="645"/>
      <c r="Q5" s="645"/>
      <c r="R5" s="645" t="s">
        <v>39</v>
      </c>
      <c r="S5" s="645"/>
      <c r="T5" s="645"/>
      <c r="U5" s="645"/>
      <c r="V5" s="645"/>
      <c r="W5" s="645"/>
      <c r="X5" s="645"/>
      <c r="Y5" s="645"/>
      <c r="Z5" s="645" t="s">
        <v>40</v>
      </c>
      <c r="AA5" s="645"/>
      <c r="AB5" s="645"/>
      <c r="AC5" s="645"/>
      <c r="AD5" s="645"/>
      <c r="AE5" s="645"/>
      <c r="AF5" s="645"/>
      <c r="AG5" s="645"/>
      <c r="AH5" s="645" t="s">
        <v>41</v>
      </c>
      <c r="AI5" s="645"/>
      <c r="AJ5" s="645"/>
    </row>
    <row r="6" spans="1:39" ht="15.4" thickBot="1">
      <c r="A6" s="33" t="s">
        <v>42</v>
      </c>
      <c r="B6" s="34" t="s">
        <v>43</v>
      </c>
      <c r="C6" s="35" t="s">
        <v>44</v>
      </c>
      <c r="D6" s="35" t="s">
        <v>45</v>
      </c>
      <c r="E6" s="36" t="s">
        <v>46</v>
      </c>
      <c r="F6" s="37" t="s">
        <v>47</v>
      </c>
      <c r="G6" s="37" t="s">
        <v>6</v>
      </c>
      <c r="H6" s="37" t="s">
        <v>48</v>
      </c>
      <c r="I6" s="38" t="s">
        <v>9</v>
      </c>
      <c r="J6" s="39" t="s">
        <v>43</v>
      </c>
      <c r="K6" s="34" t="s">
        <v>44</v>
      </c>
      <c r="L6" s="35" t="s">
        <v>45</v>
      </c>
      <c r="M6" s="40" t="s">
        <v>46</v>
      </c>
      <c r="N6" s="37" t="s">
        <v>47</v>
      </c>
      <c r="O6" s="37" t="s">
        <v>6</v>
      </c>
      <c r="P6" s="37" t="s">
        <v>48</v>
      </c>
      <c r="Q6" s="38" t="s">
        <v>9</v>
      </c>
      <c r="R6" s="39" t="s">
        <v>43</v>
      </c>
      <c r="S6" s="34" t="s">
        <v>44</v>
      </c>
      <c r="T6" s="35" t="s">
        <v>45</v>
      </c>
      <c r="U6" s="40" t="s">
        <v>46</v>
      </c>
      <c r="V6" s="37" t="s">
        <v>47</v>
      </c>
      <c r="W6" s="37" t="s">
        <v>6</v>
      </c>
      <c r="X6" s="37" t="s">
        <v>48</v>
      </c>
      <c r="Y6" s="41" t="s">
        <v>9</v>
      </c>
      <c r="Z6" s="39" t="s">
        <v>43</v>
      </c>
      <c r="AA6" s="34" t="s">
        <v>44</v>
      </c>
      <c r="AB6" s="35" t="s">
        <v>45</v>
      </c>
      <c r="AC6" s="40" t="s">
        <v>46</v>
      </c>
      <c r="AD6" s="37" t="s">
        <v>47</v>
      </c>
      <c r="AE6" s="37" t="s">
        <v>6</v>
      </c>
      <c r="AF6" s="37" t="s">
        <v>48</v>
      </c>
      <c r="AG6" s="41" t="s">
        <v>9</v>
      </c>
      <c r="AH6" s="42" t="s">
        <v>48</v>
      </c>
      <c r="AI6" s="37" t="s">
        <v>9</v>
      </c>
      <c r="AJ6" s="38" t="s">
        <v>49</v>
      </c>
    </row>
    <row r="7" spans="1:39" ht="15">
      <c r="A7" s="43" t="s">
        <v>10</v>
      </c>
      <c r="B7" s="44"/>
      <c r="C7" s="45"/>
      <c r="D7" s="399"/>
      <c r="E7" s="142"/>
      <c r="F7" s="145"/>
      <c r="G7" s="145"/>
      <c r="H7" s="400"/>
      <c r="I7" s="401"/>
      <c r="J7" s="51"/>
      <c r="K7" s="52"/>
      <c r="L7" s="53"/>
      <c r="M7" s="54"/>
      <c r="N7" s="48"/>
      <c r="O7" s="48"/>
      <c r="P7" s="48"/>
      <c r="Q7" s="50"/>
      <c r="R7" s="51"/>
      <c r="S7" s="52"/>
      <c r="T7" s="53"/>
      <c r="U7" s="54"/>
      <c r="V7" s="48"/>
      <c r="W7" s="48"/>
      <c r="X7" s="48"/>
      <c r="Y7" s="50"/>
      <c r="Z7" s="51"/>
      <c r="AA7" s="52"/>
      <c r="AB7" s="53"/>
      <c r="AC7" s="54"/>
      <c r="AD7" s="48"/>
      <c r="AE7" s="48"/>
      <c r="AF7" s="48"/>
      <c r="AG7" s="50"/>
      <c r="AH7" s="55"/>
      <c r="AI7" s="49"/>
      <c r="AJ7" s="56"/>
    </row>
    <row r="8" spans="1:39" ht="15.4">
      <c r="A8" s="57" t="s">
        <v>50</v>
      </c>
      <c r="B8" s="314"/>
      <c r="C8" s="327"/>
      <c r="D8" s="382"/>
      <c r="E8" s="383"/>
      <c r="F8" s="329"/>
      <c r="G8" s="329"/>
      <c r="H8" s="384"/>
      <c r="I8" s="385"/>
      <c r="J8" s="314"/>
      <c r="K8" s="386"/>
      <c r="L8" s="387"/>
      <c r="M8" s="388"/>
      <c r="N8" s="329"/>
      <c r="O8" s="329"/>
      <c r="P8" s="384"/>
      <c r="Q8" s="385"/>
      <c r="R8" s="314"/>
      <c r="S8" s="59"/>
      <c r="T8" s="60"/>
      <c r="U8" s="61"/>
      <c r="V8" s="62"/>
      <c r="W8" s="62"/>
      <c r="X8" s="63"/>
      <c r="Y8" s="38"/>
      <c r="Z8" s="58"/>
      <c r="AA8" s="59"/>
      <c r="AB8" s="60"/>
      <c r="AC8" s="61"/>
      <c r="AD8" s="64"/>
      <c r="AE8" s="64"/>
      <c r="AF8" s="37"/>
      <c r="AG8" s="38"/>
      <c r="AH8" s="65"/>
      <c r="AI8" s="63"/>
      <c r="AJ8" s="66"/>
    </row>
    <row r="9" spans="1:39" s="79" customFormat="1" ht="15.4">
      <c r="A9" s="67" t="s">
        <v>53</v>
      </c>
      <c r="B9" s="357">
        <v>1</v>
      </c>
      <c r="C9" s="351" t="s">
        <v>54</v>
      </c>
      <c r="D9" s="352">
        <v>12</v>
      </c>
      <c r="E9" s="353">
        <v>0.05</v>
      </c>
      <c r="F9" s="354">
        <v>13450</v>
      </c>
      <c r="G9" s="354">
        <f>B9*F9*D9*E9</f>
        <v>8070</v>
      </c>
      <c r="H9" s="361">
        <f>G9</f>
        <v>8070</v>
      </c>
      <c r="I9" s="374">
        <f>G9-H9</f>
        <v>0</v>
      </c>
      <c r="J9" s="357">
        <v>1</v>
      </c>
      <c r="K9" s="358" t="s">
        <v>54</v>
      </c>
      <c r="L9" s="351">
        <v>12</v>
      </c>
      <c r="M9" s="359">
        <v>0.05</v>
      </c>
      <c r="N9" s="354">
        <f>+F9*1.04</f>
        <v>13988</v>
      </c>
      <c r="O9" s="354">
        <f t="shared" ref="O9:O16" si="0">J9*N9*L9*M9</f>
        <v>8392.8000000000011</v>
      </c>
      <c r="P9" s="354">
        <f t="shared" ref="P9:P19" si="1">O9</f>
        <v>8392.8000000000011</v>
      </c>
      <c r="Q9" s="360">
        <f t="shared" ref="Q9:Q19" si="2">O9-P9</f>
        <v>0</v>
      </c>
      <c r="R9" s="123"/>
      <c r="S9" s="124"/>
      <c r="T9" s="125"/>
      <c r="U9" s="114"/>
      <c r="V9" s="85"/>
      <c r="W9" s="85"/>
      <c r="X9" s="85"/>
      <c r="Y9" s="319"/>
      <c r="Z9" s="123"/>
      <c r="AA9" s="124"/>
      <c r="AB9" s="125"/>
      <c r="AC9" s="114"/>
      <c r="AD9" s="85"/>
      <c r="AE9" s="85"/>
      <c r="AF9" s="85"/>
      <c r="AG9" s="319"/>
      <c r="AH9" s="452">
        <f t="shared" ref="AH9:AI16" si="3">H9+P9+X9+AF9</f>
        <v>16462.800000000003</v>
      </c>
      <c r="AI9" s="377">
        <f t="shared" si="3"/>
        <v>0</v>
      </c>
      <c r="AJ9" s="375">
        <f t="shared" ref="AJ9:AJ19" si="4">+AH9+AI9</f>
        <v>16462.800000000003</v>
      </c>
      <c r="AK9"/>
      <c r="AL9"/>
      <c r="AM9"/>
    </row>
    <row r="10" spans="1:39" s="79" customFormat="1" ht="15.4">
      <c r="A10" s="315" t="s">
        <v>56</v>
      </c>
      <c r="B10" s="357">
        <v>1</v>
      </c>
      <c r="C10" s="351" t="s">
        <v>54</v>
      </c>
      <c r="D10" s="352">
        <v>12</v>
      </c>
      <c r="E10" s="353">
        <v>0.1</v>
      </c>
      <c r="F10" s="354">
        <v>8650</v>
      </c>
      <c r="G10" s="354">
        <f>B10*F10*D10*E10</f>
        <v>10380</v>
      </c>
      <c r="H10" s="361">
        <f>G10</f>
        <v>10380</v>
      </c>
      <c r="I10" s="374">
        <f>G10-H10</f>
        <v>0</v>
      </c>
      <c r="J10" s="357">
        <v>1</v>
      </c>
      <c r="K10" s="358" t="s">
        <v>54</v>
      </c>
      <c r="L10" s="351">
        <v>12</v>
      </c>
      <c r="M10" s="359">
        <v>0.1</v>
      </c>
      <c r="N10" s="354">
        <f>F10*$B$3</f>
        <v>8996</v>
      </c>
      <c r="O10" s="354">
        <f t="shared" si="0"/>
        <v>10795.2</v>
      </c>
      <c r="P10" s="354">
        <f t="shared" si="1"/>
        <v>10795.2</v>
      </c>
      <c r="Q10" s="360">
        <f t="shared" si="2"/>
        <v>0</v>
      </c>
      <c r="R10" s="425">
        <v>1</v>
      </c>
      <c r="S10" s="426" t="s">
        <v>54</v>
      </c>
      <c r="T10" s="427">
        <v>12</v>
      </c>
      <c r="U10" s="428">
        <v>1</v>
      </c>
      <c r="V10" s="429">
        <v>4830</v>
      </c>
      <c r="W10" s="429">
        <f>R10*V10*T10*U10</f>
        <v>57960</v>
      </c>
      <c r="X10" s="429">
        <f t="shared" ref="X10:X19" si="5">W10</f>
        <v>57960</v>
      </c>
      <c r="Y10" s="432">
        <f t="shared" ref="Y10:Y18" si="6">W10-X10</f>
        <v>0</v>
      </c>
      <c r="Z10" s="425">
        <v>1</v>
      </c>
      <c r="AA10" s="426" t="s">
        <v>54</v>
      </c>
      <c r="AB10" s="427">
        <v>7</v>
      </c>
      <c r="AC10" s="428">
        <v>1</v>
      </c>
      <c r="AD10" s="429">
        <f>V10*$B$2</f>
        <v>5071.5</v>
      </c>
      <c r="AE10" s="429">
        <f t="shared" ref="AE10:AE19" si="7">Z10*AD10*AB10*AC10</f>
        <v>35500.5</v>
      </c>
      <c r="AF10" s="429">
        <f t="shared" ref="AF10:AF19" si="8">AE10</f>
        <v>35500.5</v>
      </c>
      <c r="AG10" s="432">
        <f t="shared" ref="AG10:AG18" si="9">AE10-AF10</f>
        <v>0</v>
      </c>
      <c r="AH10" s="453">
        <f t="shared" si="3"/>
        <v>114635.7</v>
      </c>
      <c r="AI10" s="236">
        <f t="shared" si="3"/>
        <v>0</v>
      </c>
      <c r="AJ10" s="237">
        <f t="shared" si="4"/>
        <v>114635.7</v>
      </c>
      <c r="AK10"/>
      <c r="AL10"/>
      <c r="AM10"/>
    </row>
    <row r="11" spans="1:39" s="313" customFormat="1" ht="15.4">
      <c r="A11" s="315" t="s">
        <v>58</v>
      </c>
      <c r="B11" s="357">
        <v>1</v>
      </c>
      <c r="C11" s="351" t="s">
        <v>54</v>
      </c>
      <c r="D11" s="352">
        <v>12</v>
      </c>
      <c r="E11" s="353">
        <v>0.3</v>
      </c>
      <c r="F11" s="354">
        <v>4100</v>
      </c>
      <c r="G11" s="354">
        <f t="shared" ref="G11:G15" si="10">B11*F11*D11*E11</f>
        <v>14760</v>
      </c>
      <c r="H11" s="361">
        <f t="shared" ref="H11:H15" si="11">G11</f>
        <v>14760</v>
      </c>
      <c r="I11" s="374">
        <f t="shared" ref="I11:I16" si="12">G11-H11</f>
        <v>0</v>
      </c>
      <c r="J11" s="357">
        <v>1</v>
      </c>
      <c r="K11" s="358" t="s">
        <v>54</v>
      </c>
      <c r="L11" s="351">
        <v>12</v>
      </c>
      <c r="M11" s="359">
        <v>0.3</v>
      </c>
      <c r="N11" s="354">
        <f>+F11*1.04</f>
        <v>4264</v>
      </c>
      <c r="O11" s="354">
        <f t="shared" si="0"/>
        <v>15350.4</v>
      </c>
      <c r="P11" s="354">
        <f t="shared" si="1"/>
        <v>15350.4</v>
      </c>
      <c r="Q11" s="360">
        <f t="shared" si="2"/>
        <v>0</v>
      </c>
      <c r="R11" s="123"/>
      <c r="S11" s="124"/>
      <c r="T11" s="125"/>
      <c r="U11" s="114"/>
      <c r="V11" s="85"/>
      <c r="W11" s="85"/>
      <c r="X11" s="85"/>
      <c r="Y11" s="319"/>
      <c r="Z11" s="123"/>
      <c r="AA11" s="124"/>
      <c r="AB11" s="125"/>
      <c r="AC11" s="114"/>
      <c r="AD11" s="85"/>
      <c r="AE11" s="85"/>
      <c r="AF11" s="85"/>
      <c r="AG11" s="319"/>
      <c r="AH11" s="454">
        <f t="shared" si="3"/>
        <v>30110.400000000001</v>
      </c>
      <c r="AI11" s="355">
        <f t="shared" si="3"/>
        <v>0</v>
      </c>
      <c r="AJ11" s="356">
        <f t="shared" si="4"/>
        <v>30110.400000000001</v>
      </c>
      <c r="AK11" s="320"/>
      <c r="AL11" s="320"/>
      <c r="AM11" s="320"/>
    </row>
    <row r="12" spans="1:39" s="79" customFormat="1" ht="15.4">
      <c r="A12" s="315" t="s">
        <v>60</v>
      </c>
      <c r="B12" s="357">
        <v>1</v>
      </c>
      <c r="C12" s="351" t="s">
        <v>54</v>
      </c>
      <c r="D12" s="352">
        <v>12</v>
      </c>
      <c r="E12" s="353">
        <v>0.3</v>
      </c>
      <c r="F12" s="354">
        <v>3000</v>
      </c>
      <c r="G12" s="354">
        <f t="shared" si="10"/>
        <v>10800</v>
      </c>
      <c r="H12" s="361">
        <f t="shared" si="11"/>
        <v>10800</v>
      </c>
      <c r="I12" s="374">
        <f t="shared" si="12"/>
        <v>0</v>
      </c>
      <c r="J12" s="357">
        <v>1</v>
      </c>
      <c r="K12" s="358" t="s">
        <v>54</v>
      </c>
      <c r="L12" s="351">
        <v>12</v>
      </c>
      <c r="M12" s="359">
        <v>0.3</v>
      </c>
      <c r="N12" s="354">
        <f>F12*B3</f>
        <v>3120</v>
      </c>
      <c r="O12" s="354">
        <f t="shared" si="0"/>
        <v>11232</v>
      </c>
      <c r="P12" s="354">
        <f t="shared" si="1"/>
        <v>11232</v>
      </c>
      <c r="Q12" s="360">
        <f t="shared" si="2"/>
        <v>0</v>
      </c>
      <c r="R12" s="425">
        <v>1</v>
      </c>
      <c r="S12" s="426" t="s">
        <v>54</v>
      </c>
      <c r="T12" s="427">
        <v>12</v>
      </c>
      <c r="U12" s="428">
        <v>0.75</v>
      </c>
      <c r="V12" s="429">
        <f>2300*$B$2</f>
        <v>2415</v>
      </c>
      <c r="W12" s="429">
        <f>R12*V12*T12*U12</f>
        <v>21735</v>
      </c>
      <c r="X12" s="429">
        <f t="shared" si="5"/>
        <v>21735</v>
      </c>
      <c r="Y12" s="432">
        <f t="shared" si="6"/>
        <v>0</v>
      </c>
      <c r="Z12" s="425">
        <v>1</v>
      </c>
      <c r="AA12" s="426" t="s">
        <v>54</v>
      </c>
      <c r="AB12" s="427">
        <v>3</v>
      </c>
      <c r="AC12" s="428">
        <v>0.75</v>
      </c>
      <c r="AD12" s="429">
        <f>V12*$B$2</f>
        <v>2535.75</v>
      </c>
      <c r="AE12" s="429">
        <f t="shared" si="7"/>
        <v>5705.4375</v>
      </c>
      <c r="AF12" s="429">
        <f t="shared" si="8"/>
        <v>5705.4375</v>
      </c>
      <c r="AG12" s="432">
        <f t="shared" si="9"/>
        <v>0</v>
      </c>
      <c r="AH12" s="453">
        <f t="shared" si="3"/>
        <v>49472.4375</v>
      </c>
      <c r="AI12" s="236">
        <f t="shared" si="3"/>
        <v>0</v>
      </c>
      <c r="AJ12" s="237">
        <f t="shared" si="4"/>
        <v>49472.4375</v>
      </c>
      <c r="AK12"/>
      <c r="AL12"/>
      <c r="AM12"/>
    </row>
    <row r="13" spans="1:39" s="79" customFormat="1" ht="15.4">
      <c r="A13" s="315" t="s">
        <v>62</v>
      </c>
      <c r="B13" s="357">
        <v>1</v>
      </c>
      <c r="C13" s="351" t="s">
        <v>54</v>
      </c>
      <c r="D13" s="352">
        <v>12</v>
      </c>
      <c r="E13" s="353">
        <v>0.3</v>
      </c>
      <c r="F13" s="354">
        <v>2100</v>
      </c>
      <c r="G13" s="354">
        <f t="shared" si="10"/>
        <v>7560</v>
      </c>
      <c r="H13" s="361">
        <f t="shared" si="11"/>
        <v>7560</v>
      </c>
      <c r="I13" s="374">
        <f t="shared" si="12"/>
        <v>0</v>
      </c>
      <c r="J13" s="357">
        <v>1</v>
      </c>
      <c r="K13" s="358" t="s">
        <v>54</v>
      </c>
      <c r="L13" s="351">
        <v>12</v>
      </c>
      <c r="M13" s="359">
        <v>0.3</v>
      </c>
      <c r="N13" s="354">
        <f>+F13*1.04</f>
        <v>2184</v>
      </c>
      <c r="O13" s="354">
        <f t="shared" si="0"/>
        <v>7862.4</v>
      </c>
      <c r="P13" s="354">
        <f t="shared" si="1"/>
        <v>7862.4</v>
      </c>
      <c r="Q13" s="360">
        <f t="shared" si="2"/>
        <v>0</v>
      </c>
      <c r="R13" s="123"/>
      <c r="S13" s="124"/>
      <c r="T13" s="124"/>
      <c r="U13" s="114"/>
      <c r="V13" s="85"/>
      <c r="W13" s="85"/>
      <c r="X13" s="85"/>
      <c r="Y13" s="319"/>
      <c r="Z13" s="123"/>
      <c r="AA13" s="124"/>
      <c r="AB13" s="124"/>
      <c r="AC13" s="114"/>
      <c r="AD13" s="85"/>
      <c r="AE13" s="85"/>
      <c r="AF13" s="85"/>
      <c r="AG13" s="319"/>
      <c r="AH13" s="454">
        <f t="shared" si="3"/>
        <v>15422.4</v>
      </c>
      <c r="AI13" s="355">
        <f t="shared" si="3"/>
        <v>0</v>
      </c>
      <c r="AJ13" s="356">
        <f t="shared" si="4"/>
        <v>15422.4</v>
      </c>
      <c r="AK13"/>
      <c r="AL13"/>
      <c r="AM13"/>
    </row>
    <row r="14" spans="1:39" s="79" customFormat="1" ht="15.4">
      <c r="A14" s="315" t="s">
        <v>64</v>
      </c>
      <c r="B14" s="357">
        <v>1</v>
      </c>
      <c r="C14" s="351" t="s">
        <v>54</v>
      </c>
      <c r="D14" s="352">
        <v>12</v>
      </c>
      <c r="E14" s="353">
        <v>0.25</v>
      </c>
      <c r="F14" s="354">
        <v>3100</v>
      </c>
      <c r="G14" s="354">
        <f t="shared" si="10"/>
        <v>9300</v>
      </c>
      <c r="H14" s="361">
        <f t="shared" si="11"/>
        <v>9300</v>
      </c>
      <c r="I14" s="374">
        <f t="shared" si="12"/>
        <v>0</v>
      </c>
      <c r="J14" s="357">
        <v>1</v>
      </c>
      <c r="K14" s="358" t="s">
        <v>54</v>
      </c>
      <c r="L14" s="351">
        <v>12</v>
      </c>
      <c r="M14" s="359">
        <v>0.25</v>
      </c>
      <c r="N14" s="354">
        <f>+F14*1.04</f>
        <v>3224</v>
      </c>
      <c r="O14" s="354">
        <f t="shared" si="0"/>
        <v>9672</v>
      </c>
      <c r="P14" s="354">
        <f t="shared" si="1"/>
        <v>9672</v>
      </c>
      <c r="Q14" s="360">
        <f t="shared" si="2"/>
        <v>0</v>
      </c>
      <c r="R14" s="123"/>
      <c r="S14" s="124"/>
      <c r="T14" s="124"/>
      <c r="U14" s="114"/>
      <c r="V14" s="85"/>
      <c r="W14" s="85"/>
      <c r="X14" s="85"/>
      <c r="Y14" s="319"/>
      <c r="Z14" s="123"/>
      <c r="AA14" s="124"/>
      <c r="AB14" s="124"/>
      <c r="AC14" s="114"/>
      <c r="AD14" s="85"/>
      <c r="AE14" s="85"/>
      <c r="AF14" s="85"/>
      <c r="AG14" s="319"/>
      <c r="AH14" s="454">
        <f t="shared" si="3"/>
        <v>18972</v>
      </c>
      <c r="AI14" s="355">
        <f t="shared" si="3"/>
        <v>0</v>
      </c>
      <c r="AJ14" s="356">
        <f t="shared" si="4"/>
        <v>18972</v>
      </c>
      <c r="AK14"/>
      <c r="AL14"/>
      <c r="AM14"/>
    </row>
    <row r="15" spans="1:39" s="79" customFormat="1" ht="15.4">
      <c r="A15" s="315" t="s">
        <v>66</v>
      </c>
      <c r="B15" s="357">
        <v>1</v>
      </c>
      <c r="C15" s="351" t="s">
        <v>54</v>
      </c>
      <c r="D15" s="352">
        <v>12</v>
      </c>
      <c r="E15" s="353">
        <v>0.05</v>
      </c>
      <c r="F15" s="354">
        <v>5500</v>
      </c>
      <c r="G15" s="354">
        <f t="shared" si="10"/>
        <v>3300</v>
      </c>
      <c r="H15" s="361">
        <f t="shared" si="11"/>
        <v>3300</v>
      </c>
      <c r="I15" s="374">
        <f t="shared" si="12"/>
        <v>0</v>
      </c>
      <c r="J15" s="357">
        <v>1</v>
      </c>
      <c r="K15" s="358" t="s">
        <v>54</v>
      </c>
      <c r="L15" s="351">
        <v>12</v>
      </c>
      <c r="M15" s="359">
        <v>0.05</v>
      </c>
      <c r="N15" s="354">
        <f>+F15*1.04</f>
        <v>5720</v>
      </c>
      <c r="O15" s="354">
        <f t="shared" si="0"/>
        <v>3432</v>
      </c>
      <c r="P15" s="354">
        <f t="shared" si="1"/>
        <v>3432</v>
      </c>
      <c r="Q15" s="360">
        <f t="shared" si="2"/>
        <v>0</v>
      </c>
      <c r="R15" s="123"/>
      <c r="S15" s="124"/>
      <c r="T15" s="124"/>
      <c r="U15" s="114"/>
      <c r="V15" s="85"/>
      <c r="W15" s="85"/>
      <c r="X15" s="85"/>
      <c r="Y15" s="319"/>
      <c r="Z15" s="123"/>
      <c r="AA15" s="124"/>
      <c r="AB15" s="124"/>
      <c r="AC15" s="114"/>
      <c r="AD15" s="85"/>
      <c r="AE15" s="85"/>
      <c r="AF15" s="85"/>
      <c r="AG15" s="319"/>
      <c r="AH15" s="454">
        <f t="shared" si="3"/>
        <v>6732</v>
      </c>
      <c r="AI15" s="355">
        <f t="shared" si="3"/>
        <v>0</v>
      </c>
      <c r="AJ15" s="356">
        <f t="shared" si="4"/>
        <v>6732</v>
      </c>
      <c r="AK15"/>
      <c r="AL15"/>
      <c r="AM15"/>
    </row>
    <row r="16" spans="1:39" s="79" customFormat="1" ht="15.4">
      <c r="A16" s="315" t="s">
        <v>67</v>
      </c>
      <c r="B16" s="357">
        <v>1</v>
      </c>
      <c r="C16" s="351" t="s">
        <v>54</v>
      </c>
      <c r="D16" s="352">
        <v>12</v>
      </c>
      <c r="E16" s="353">
        <v>0.2</v>
      </c>
      <c r="F16" s="354">
        <v>2100</v>
      </c>
      <c r="G16" s="354">
        <f>B16*F16*D16*E16</f>
        <v>5040</v>
      </c>
      <c r="H16" s="361">
        <f>G16</f>
        <v>5040</v>
      </c>
      <c r="I16" s="374">
        <f t="shared" si="12"/>
        <v>0</v>
      </c>
      <c r="J16" s="357">
        <v>1</v>
      </c>
      <c r="K16" s="358" t="s">
        <v>54</v>
      </c>
      <c r="L16" s="351">
        <v>12</v>
      </c>
      <c r="M16" s="359">
        <v>0.2</v>
      </c>
      <c r="N16" s="354">
        <f>F16*1.04</f>
        <v>2184</v>
      </c>
      <c r="O16" s="354">
        <f t="shared" si="0"/>
        <v>5241.6000000000004</v>
      </c>
      <c r="P16" s="354">
        <f t="shared" si="1"/>
        <v>5241.6000000000004</v>
      </c>
      <c r="Q16" s="360">
        <f t="shared" si="2"/>
        <v>0</v>
      </c>
      <c r="R16" s="425">
        <v>1</v>
      </c>
      <c r="S16" s="426" t="s">
        <v>54</v>
      </c>
      <c r="T16" s="426">
        <v>12</v>
      </c>
      <c r="U16" s="428">
        <v>0.5</v>
      </c>
      <c r="V16" s="429">
        <f>1833*$B$2</f>
        <v>1924.65</v>
      </c>
      <c r="W16" s="429">
        <f t="shared" ref="W16:W18" si="13">R16*V16*T16*U16</f>
        <v>11547.900000000001</v>
      </c>
      <c r="X16" s="429">
        <f t="shared" si="5"/>
        <v>11547.900000000001</v>
      </c>
      <c r="Y16" s="432">
        <f t="shared" si="6"/>
        <v>0</v>
      </c>
      <c r="Z16" s="425">
        <v>1</v>
      </c>
      <c r="AA16" s="426" t="s">
        <v>54</v>
      </c>
      <c r="AB16" s="427">
        <v>6</v>
      </c>
      <c r="AC16" s="428">
        <v>0.5</v>
      </c>
      <c r="AD16" s="429">
        <f>V16*$B$2</f>
        <v>2020.8825000000002</v>
      </c>
      <c r="AE16" s="429">
        <f t="shared" si="7"/>
        <v>6062.6475000000009</v>
      </c>
      <c r="AF16" s="429">
        <f t="shared" si="8"/>
        <v>6062.6475000000009</v>
      </c>
      <c r="AG16" s="432">
        <f t="shared" si="9"/>
        <v>0</v>
      </c>
      <c r="AH16" s="453">
        <f t="shared" si="3"/>
        <v>27892.147499999999</v>
      </c>
      <c r="AI16" s="236">
        <f t="shared" si="3"/>
        <v>0</v>
      </c>
      <c r="AJ16" s="237">
        <f t="shared" si="4"/>
        <v>27892.147499999999</v>
      </c>
      <c r="AK16"/>
      <c r="AL16"/>
      <c r="AM16"/>
    </row>
    <row r="17" spans="1:39" s="88" customFormat="1" ht="16.5" customHeight="1">
      <c r="A17" s="80" t="s">
        <v>68</v>
      </c>
      <c r="B17" s="314"/>
      <c r="C17" s="327"/>
      <c r="D17" s="382"/>
      <c r="E17" s="383"/>
      <c r="F17" s="329"/>
      <c r="G17" s="329"/>
      <c r="H17" s="384"/>
      <c r="I17" s="330"/>
      <c r="J17" s="314"/>
      <c r="K17" s="386"/>
      <c r="L17" s="387"/>
      <c r="M17" s="388"/>
      <c r="N17" s="329"/>
      <c r="O17" s="329"/>
      <c r="P17" s="329"/>
      <c r="Q17" s="330"/>
      <c r="R17" s="81"/>
      <c r="S17" s="82"/>
      <c r="T17" s="83"/>
      <c r="U17" s="84"/>
      <c r="V17" s="85"/>
      <c r="W17" s="85"/>
      <c r="X17" s="85"/>
      <c r="Y17" s="319"/>
      <c r="Z17" s="81"/>
      <c r="AA17" s="82"/>
      <c r="AB17" s="83"/>
      <c r="AC17" s="84"/>
      <c r="AD17" s="85"/>
      <c r="AE17" s="85"/>
      <c r="AF17" s="85"/>
      <c r="AG17" s="319"/>
      <c r="AH17" s="87"/>
      <c r="AI17" s="85"/>
      <c r="AJ17" s="86"/>
      <c r="AK17"/>
      <c r="AL17"/>
      <c r="AM17"/>
    </row>
    <row r="18" spans="1:39" s="79" customFormat="1" ht="15.4">
      <c r="A18" s="67" t="s">
        <v>71</v>
      </c>
      <c r="B18" s="357">
        <v>1</v>
      </c>
      <c r="C18" s="361" t="s">
        <v>54</v>
      </c>
      <c r="D18" s="351">
        <v>12</v>
      </c>
      <c r="E18" s="359">
        <v>0.2</v>
      </c>
      <c r="F18" s="354">
        <f>55000/12</f>
        <v>4583.333333333333</v>
      </c>
      <c r="G18" s="354">
        <f>B18*F18*D18*E18</f>
        <v>11000</v>
      </c>
      <c r="H18" s="354">
        <f>G18</f>
        <v>11000</v>
      </c>
      <c r="I18" s="362">
        <f>G18-H18</f>
        <v>0</v>
      </c>
      <c r="J18" s="357">
        <v>1</v>
      </c>
      <c r="K18" s="358" t="s">
        <v>54</v>
      </c>
      <c r="L18" s="351">
        <v>12</v>
      </c>
      <c r="M18" s="359">
        <v>0.2</v>
      </c>
      <c r="N18" s="354">
        <f>F18*1.04</f>
        <v>4766.6666666666661</v>
      </c>
      <c r="O18" s="354">
        <f>J18*N18*L18*M18</f>
        <v>11440</v>
      </c>
      <c r="P18" s="354">
        <f t="shared" si="1"/>
        <v>11440</v>
      </c>
      <c r="Q18" s="360">
        <f t="shared" si="2"/>
        <v>0</v>
      </c>
      <c r="R18" s="425">
        <v>1</v>
      </c>
      <c r="S18" s="426" t="s">
        <v>54</v>
      </c>
      <c r="T18" s="427">
        <v>12</v>
      </c>
      <c r="U18" s="428">
        <v>0.05</v>
      </c>
      <c r="V18" s="429">
        <f>10000*$B$2</f>
        <v>10500</v>
      </c>
      <c r="W18" s="429">
        <f t="shared" si="13"/>
        <v>6300</v>
      </c>
      <c r="X18" s="429">
        <f t="shared" si="5"/>
        <v>6300</v>
      </c>
      <c r="Y18" s="432">
        <f t="shared" si="6"/>
        <v>0</v>
      </c>
      <c r="Z18" s="425">
        <v>1</v>
      </c>
      <c r="AA18" s="426" t="s">
        <v>54</v>
      </c>
      <c r="AB18" s="427">
        <v>7</v>
      </c>
      <c r="AC18" s="428">
        <v>0.05</v>
      </c>
      <c r="AD18" s="429">
        <f>V18*$B$2</f>
        <v>11025</v>
      </c>
      <c r="AE18" s="429">
        <f t="shared" si="7"/>
        <v>3858.75</v>
      </c>
      <c r="AF18" s="429">
        <f t="shared" si="8"/>
        <v>3858.75</v>
      </c>
      <c r="AG18" s="432">
        <f t="shared" si="9"/>
        <v>0</v>
      </c>
      <c r="AH18" s="453">
        <f>H18+P18+X18+AF18</f>
        <v>32598.75</v>
      </c>
      <c r="AI18" s="236">
        <f>I18+Q18+Y18+AG18</f>
        <v>0</v>
      </c>
      <c r="AJ18" s="237">
        <f t="shared" si="4"/>
        <v>32598.75</v>
      </c>
      <c r="AK18"/>
      <c r="AL18"/>
      <c r="AM18"/>
    </row>
    <row r="19" spans="1:39" s="79" customFormat="1" ht="15.4">
      <c r="A19" s="67" t="s">
        <v>73</v>
      </c>
      <c r="B19" s="325">
        <v>0</v>
      </c>
      <c r="C19" s="336"/>
      <c r="D19" s="327"/>
      <c r="E19" s="328"/>
      <c r="F19" s="329"/>
      <c r="G19" s="329">
        <f>B19*F19*D19*E19</f>
        <v>0</v>
      </c>
      <c r="H19" s="329">
        <f>G19</f>
        <v>0</v>
      </c>
      <c r="I19" s="423">
        <f>G19-H19</f>
        <v>0</v>
      </c>
      <c r="J19" s="363">
        <v>1</v>
      </c>
      <c r="K19" s="364" t="s">
        <v>54</v>
      </c>
      <c r="L19" s="365">
        <v>12</v>
      </c>
      <c r="M19" s="366">
        <v>0.25</v>
      </c>
      <c r="N19" s="367">
        <v>5512</v>
      </c>
      <c r="O19" s="367">
        <f>J19*N19*L19*M19</f>
        <v>16536</v>
      </c>
      <c r="P19" s="367">
        <f t="shared" si="1"/>
        <v>16536</v>
      </c>
      <c r="Q19" s="368">
        <f t="shared" si="2"/>
        <v>0</v>
      </c>
      <c r="R19" s="425">
        <v>1</v>
      </c>
      <c r="S19" s="426" t="s">
        <v>54</v>
      </c>
      <c r="T19" s="427">
        <v>12</v>
      </c>
      <c r="U19" s="428">
        <v>0.25</v>
      </c>
      <c r="V19" s="429">
        <f>N19*$B$2</f>
        <v>5787.6</v>
      </c>
      <c r="W19" s="429">
        <f>R19*V19*T19*U19</f>
        <v>17362.800000000003</v>
      </c>
      <c r="X19" s="429">
        <f t="shared" si="5"/>
        <v>17362.800000000003</v>
      </c>
      <c r="Y19" s="432">
        <f>W19-X19</f>
        <v>0</v>
      </c>
      <c r="Z19" s="425">
        <v>1</v>
      </c>
      <c r="AA19" s="426" t="s">
        <v>54</v>
      </c>
      <c r="AB19" s="427">
        <v>7</v>
      </c>
      <c r="AC19" s="428">
        <v>0.2</v>
      </c>
      <c r="AD19" s="429">
        <f>V19*$B$2</f>
        <v>6076.9800000000005</v>
      </c>
      <c r="AE19" s="429">
        <f t="shared" si="7"/>
        <v>8507.7720000000008</v>
      </c>
      <c r="AF19" s="429">
        <f t="shared" si="8"/>
        <v>8507.7720000000008</v>
      </c>
      <c r="AG19" s="432">
        <f>AE19-AF19</f>
        <v>0</v>
      </c>
      <c r="AH19" s="455">
        <f>H19+P19+X19+AF19</f>
        <v>42406.572</v>
      </c>
      <c r="AI19" s="456">
        <f>I19+Q19+Y19+AG19</f>
        <v>0</v>
      </c>
      <c r="AJ19" s="457">
        <f t="shared" si="4"/>
        <v>42406.572</v>
      </c>
      <c r="AK19"/>
      <c r="AL19"/>
      <c r="AM19"/>
    </row>
    <row r="20" spans="1:39" s="97" customFormat="1" ht="15">
      <c r="A20" s="89" t="s">
        <v>74</v>
      </c>
      <c r="B20" s="402"/>
      <c r="C20" s="130"/>
      <c r="D20" s="403"/>
      <c r="E20" s="132"/>
      <c r="F20" s="133"/>
      <c r="G20" s="133">
        <f t="shared" ref="G20:I20" si="14">SUM(G9:G19)</f>
        <v>80210</v>
      </c>
      <c r="H20" s="133">
        <f t="shared" si="14"/>
        <v>80210</v>
      </c>
      <c r="I20" s="133">
        <f t="shared" si="14"/>
        <v>0</v>
      </c>
      <c r="J20" s="90"/>
      <c r="K20" s="92"/>
      <c r="L20" s="93"/>
      <c r="M20" s="94"/>
      <c r="N20" s="91"/>
      <c r="O20" s="91">
        <f t="shared" ref="O20:Q20" si="15">SUM(O9:O19)</f>
        <v>99954.400000000009</v>
      </c>
      <c r="P20" s="91">
        <f t="shared" si="15"/>
        <v>99954.400000000009</v>
      </c>
      <c r="Q20" s="91">
        <f t="shared" si="15"/>
        <v>0</v>
      </c>
      <c r="R20" s="90"/>
      <c r="S20" s="92"/>
      <c r="T20" s="93"/>
      <c r="U20" s="94"/>
      <c r="V20" s="91"/>
      <c r="W20" s="91">
        <f t="shared" ref="W20:Y20" si="16">SUM(W9:W19)</f>
        <v>114905.7</v>
      </c>
      <c r="X20" s="91">
        <f t="shared" si="16"/>
        <v>114905.7</v>
      </c>
      <c r="Y20" s="91">
        <f t="shared" si="16"/>
        <v>0</v>
      </c>
      <c r="Z20" s="90"/>
      <c r="AA20" s="92"/>
      <c r="AB20" s="93"/>
      <c r="AC20" s="94"/>
      <c r="AD20" s="91"/>
      <c r="AE20" s="91">
        <f t="shared" ref="AE20:AG20" si="17">SUM(AE9:AE19)</f>
        <v>59635.107000000004</v>
      </c>
      <c r="AF20" s="91">
        <f t="shared" si="17"/>
        <v>59635.107000000004</v>
      </c>
      <c r="AG20" s="91">
        <f t="shared" si="17"/>
        <v>0</v>
      </c>
      <c r="AH20" s="95">
        <f>SUM(AH9:AH19)</f>
        <v>354705.20699999999</v>
      </c>
      <c r="AI20" s="91">
        <f t="shared" ref="AI20:AJ20" si="18">SUM(AI9:AI19)</f>
        <v>0</v>
      </c>
      <c r="AJ20" s="96">
        <f t="shared" si="18"/>
        <v>354705.20699999999</v>
      </c>
      <c r="AK20"/>
      <c r="AL20"/>
      <c r="AM20"/>
    </row>
    <row r="21" spans="1:39" s="97" customFormat="1" ht="15.4">
      <c r="A21" s="98" t="s">
        <v>11</v>
      </c>
      <c r="B21" s="44"/>
      <c r="C21" s="142"/>
      <c r="D21" s="404"/>
      <c r="E21" s="144"/>
      <c r="F21" s="145"/>
      <c r="G21" s="145"/>
      <c r="H21" s="400"/>
      <c r="I21" s="401"/>
      <c r="J21" s="99"/>
      <c r="K21" s="104"/>
      <c r="L21" s="105"/>
      <c r="M21" s="106"/>
      <c r="N21" s="101"/>
      <c r="O21" s="101"/>
      <c r="P21" s="102"/>
      <c r="Q21" s="103"/>
      <c r="R21" s="99"/>
      <c r="S21" s="104"/>
      <c r="T21" s="105"/>
      <c r="U21" s="106"/>
      <c r="V21" s="101"/>
      <c r="W21" s="101"/>
      <c r="X21" s="102"/>
      <c r="Y21" s="103"/>
      <c r="Z21" s="99"/>
      <c r="AA21" s="104"/>
      <c r="AB21" s="105"/>
      <c r="AC21" s="106"/>
      <c r="AD21" s="101"/>
      <c r="AE21" s="101"/>
      <c r="AF21" s="102"/>
      <c r="AG21" s="103"/>
      <c r="AH21" s="107"/>
      <c r="AI21" s="102"/>
      <c r="AJ21" s="108"/>
      <c r="AK21"/>
      <c r="AL21"/>
      <c r="AM21"/>
    </row>
    <row r="22" spans="1:39" s="97" customFormat="1" ht="15.4">
      <c r="A22" s="109" t="s">
        <v>75</v>
      </c>
      <c r="B22" s="405"/>
      <c r="C22" s="406"/>
      <c r="D22" s="327"/>
      <c r="E22" s="383"/>
      <c r="F22" s="329"/>
      <c r="G22" s="329"/>
      <c r="H22" s="329"/>
      <c r="I22" s="330"/>
      <c r="J22" s="72"/>
      <c r="K22" s="73"/>
      <c r="L22" s="74"/>
      <c r="M22" s="110"/>
      <c r="N22" s="111"/>
      <c r="O22" s="111"/>
      <c r="P22" s="111"/>
      <c r="Q22" s="112"/>
      <c r="R22" s="72"/>
      <c r="S22" s="73"/>
      <c r="T22" s="74"/>
      <c r="U22" s="110"/>
      <c r="V22" s="111"/>
      <c r="W22" s="111"/>
      <c r="X22" s="111"/>
      <c r="Y22" s="112"/>
      <c r="Z22" s="72"/>
      <c r="AA22" s="73"/>
      <c r="AB22" s="74"/>
      <c r="AC22" s="110"/>
      <c r="AD22" s="111"/>
      <c r="AE22" s="111"/>
      <c r="AF22" s="111"/>
      <c r="AG22" s="112"/>
      <c r="AH22" s="87"/>
      <c r="AI22" s="85"/>
      <c r="AJ22" s="86"/>
      <c r="AK22"/>
      <c r="AL22"/>
      <c r="AM22"/>
    </row>
    <row r="23" spans="1:39" s="79" customFormat="1" ht="15.4">
      <c r="A23" s="67" t="s">
        <v>77</v>
      </c>
      <c r="B23" s="407"/>
      <c r="C23" s="340" t="s">
        <v>46</v>
      </c>
      <c r="D23" s="340"/>
      <c r="E23" s="408">
        <v>0.23469999999999999</v>
      </c>
      <c r="F23" s="342"/>
      <c r="G23" s="342">
        <f>$E23*SUM(G18:G19)</f>
        <v>2581.6999999999998</v>
      </c>
      <c r="H23" s="342">
        <f>G23</f>
        <v>2581.6999999999998</v>
      </c>
      <c r="I23" s="343">
        <v>0</v>
      </c>
      <c r="J23" s="448"/>
      <c r="K23" s="369" t="s">
        <v>46</v>
      </c>
      <c r="L23" s="370"/>
      <c r="M23" s="371">
        <v>0.23469999999999999</v>
      </c>
      <c r="N23" s="372"/>
      <c r="O23" s="372">
        <f>M23*SUM(O18:O19)</f>
        <v>6565.9672</v>
      </c>
      <c r="P23" s="372">
        <f t="shared" ref="P23" si="19">O23</f>
        <v>6565.9672</v>
      </c>
      <c r="Q23" s="373">
        <v>0</v>
      </c>
      <c r="R23" s="433"/>
      <c r="S23" s="434" t="s">
        <v>46</v>
      </c>
      <c r="T23" s="434"/>
      <c r="U23" s="435">
        <v>0.23469999999999999</v>
      </c>
      <c r="V23" s="436"/>
      <c r="W23" s="429">
        <f>U23*SUM(W18:W19)</f>
        <v>5553.6591600000002</v>
      </c>
      <c r="X23" s="429">
        <f>W23</f>
        <v>5553.6591600000002</v>
      </c>
      <c r="Y23" s="430">
        <v>0</v>
      </c>
      <c r="Z23" s="433"/>
      <c r="AA23" s="434" t="s">
        <v>46</v>
      </c>
      <c r="AB23" s="427"/>
      <c r="AC23" s="435">
        <v>0.23469999999999999</v>
      </c>
      <c r="AD23" s="436"/>
      <c r="AE23" s="429">
        <f>AC23*SUM(AE18:AE19)</f>
        <v>2902.4227134000002</v>
      </c>
      <c r="AF23" s="429">
        <f>AE23</f>
        <v>2902.4227134000002</v>
      </c>
      <c r="AG23" s="430">
        <v>0</v>
      </c>
      <c r="AH23" s="453">
        <f>H23+P23+X23+AF23</f>
        <v>17603.749073399998</v>
      </c>
      <c r="AI23" s="236">
        <f>I23+Q23+Y23+AG23</f>
        <v>0</v>
      </c>
      <c r="AJ23" s="237">
        <f>+AH23+AI23</f>
        <v>17603.749073399998</v>
      </c>
    </row>
    <row r="24" spans="1:39" s="97" customFormat="1" ht="15.4">
      <c r="A24" s="109" t="s">
        <v>78</v>
      </c>
      <c r="B24" s="409"/>
      <c r="C24" s="327"/>
      <c r="D24" s="327"/>
      <c r="E24" s="383"/>
      <c r="F24" s="329"/>
      <c r="G24" s="329"/>
      <c r="H24" s="329"/>
      <c r="I24" s="330"/>
      <c r="J24" s="123"/>
      <c r="K24" s="124"/>
      <c r="L24" s="125"/>
      <c r="M24" s="114"/>
      <c r="N24" s="85"/>
      <c r="O24" s="85"/>
      <c r="P24" s="85"/>
      <c r="Q24" s="86"/>
      <c r="R24" s="123"/>
      <c r="S24" s="124"/>
      <c r="T24" s="124"/>
      <c r="U24" s="74"/>
      <c r="V24" s="114"/>
      <c r="W24" s="76"/>
      <c r="X24" s="76"/>
      <c r="Y24" s="112"/>
      <c r="Z24" s="72"/>
      <c r="AA24" s="73"/>
      <c r="AB24" s="74"/>
      <c r="AC24" s="74"/>
      <c r="AD24" s="114"/>
      <c r="AE24" s="76"/>
      <c r="AF24" s="111"/>
      <c r="AG24" s="86"/>
      <c r="AH24" s="87"/>
      <c r="AI24" s="85"/>
      <c r="AJ24" s="86"/>
    </row>
    <row r="25" spans="1:39" s="79" customFormat="1" ht="15.4">
      <c r="A25" s="67" t="s">
        <v>80</v>
      </c>
      <c r="B25" s="407"/>
      <c r="C25" s="340" t="s">
        <v>46</v>
      </c>
      <c r="D25" s="340"/>
      <c r="E25" s="408">
        <v>0.36709999999999998</v>
      </c>
      <c r="F25" s="342"/>
      <c r="G25" s="342">
        <f>$E25*SUM(G9:G16)</f>
        <v>25406.990999999998</v>
      </c>
      <c r="H25" s="342">
        <f>G25</f>
        <v>25406.990999999998</v>
      </c>
      <c r="I25" s="343">
        <v>0</v>
      </c>
      <c r="J25" s="376"/>
      <c r="K25" s="424" t="s">
        <v>46</v>
      </c>
      <c r="L25" s="340"/>
      <c r="M25" s="408">
        <f>E25</f>
        <v>0.36709999999999998</v>
      </c>
      <c r="N25" s="342"/>
      <c r="O25" s="342">
        <f>M25*SUM(O9:O16)</f>
        <v>26423.270640000002</v>
      </c>
      <c r="P25" s="342">
        <f>O25</f>
        <v>26423.270640000002</v>
      </c>
      <c r="Q25" s="343">
        <v>0</v>
      </c>
      <c r="R25" s="433"/>
      <c r="S25" s="434" t="s">
        <v>46</v>
      </c>
      <c r="T25" s="434"/>
      <c r="U25" s="435">
        <v>0.52810000000000001</v>
      </c>
      <c r="V25" s="436"/>
      <c r="W25" s="429">
        <f>U25*SUM(W10:W16)</f>
        <v>48185.375489999999</v>
      </c>
      <c r="X25" s="429">
        <f>W25</f>
        <v>48185.375489999999</v>
      </c>
      <c r="Y25" s="430">
        <v>0</v>
      </c>
      <c r="Z25" s="433"/>
      <c r="AA25" s="434" t="s">
        <v>46</v>
      </c>
      <c r="AB25" s="427"/>
      <c r="AC25" s="435">
        <v>0.52810000000000001</v>
      </c>
      <c r="AD25" s="436"/>
      <c r="AE25" s="429">
        <f>AC25*SUM(AE10:AE16)</f>
        <v>24962.5397385</v>
      </c>
      <c r="AF25" s="429">
        <f>AE25</f>
        <v>24962.5397385</v>
      </c>
      <c r="AG25" s="430">
        <v>0</v>
      </c>
      <c r="AH25" s="453">
        <f>H25+P25+X25+AF25</f>
        <v>124978.17686849998</v>
      </c>
      <c r="AI25" s="236">
        <f>I25+Q25+Y25+AG25</f>
        <v>0</v>
      </c>
      <c r="AJ25" s="237">
        <f>+AH25+AI25</f>
        <v>124978.17686849998</v>
      </c>
    </row>
    <row r="26" spans="1:39" s="97" customFormat="1" ht="15.4">
      <c r="A26" s="89" t="s">
        <v>81</v>
      </c>
      <c r="B26" s="410"/>
      <c r="C26" s="411"/>
      <c r="D26" s="412"/>
      <c r="E26" s="241"/>
      <c r="F26" s="300"/>
      <c r="G26" s="133">
        <f>SUM(G23:G25)</f>
        <v>27988.690999999999</v>
      </c>
      <c r="H26" s="133">
        <f>SUM(H23:H25)</f>
        <v>27988.690999999999</v>
      </c>
      <c r="I26" s="134">
        <f>SUM(I23:I25)</f>
        <v>0</v>
      </c>
      <c r="J26" s="117"/>
      <c r="K26" s="118"/>
      <c r="L26" s="115"/>
      <c r="M26" s="119"/>
      <c r="N26" s="116"/>
      <c r="O26" s="91">
        <f>SUM(O23:O25)</f>
        <v>32989.237840000002</v>
      </c>
      <c r="P26" s="91">
        <f>SUM(P23:P25)</f>
        <v>32989.237840000002</v>
      </c>
      <c r="Q26" s="96">
        <f>SUM(Q23:Q25)</f>
        <v>0</v>
      </c>
      <c r="R26" s="117"/>
      <c r="S26" s="118"/>
      <c r="T26" s="115"/>
      <c r="U26" s="119"/>
      <c r="V26" s="116"/>
      <c r="W26" s="91">
        <f>SUM(W23:W25)</f>
        <v>53739.034650000001</v>
      </c>
      <c r="X26" s="91">
        <f>SUM(X23:X25)</f>
        <v>53739.034650000001</v>
      </c>
      <c r="Y26" s="96">
        <f>SUM(Y23:Y25)</f>
        <v>0</v>
      </c>
      <c r="Z26" s="117"/>
      <c r="AA26" s="118"/>
      <c r="AB26" s="115"/>
      <c r="AC26" s="119"/>
      <c r="AD26" s="116"/>
      <c r="AE26" s="91">
        <f t="shared" ref="AE26:AF26" si="20">SUM(AE23:AE25)</f>
        <v>27864.962451899999</v>
      </c>
      <c r="AF26" s="91">
        <f t="shared" si="20"/>
        <v>27864.962451899999</v>
      </c>
      <c r="AG26" s="96">
        <f>SUM(AG23:AG25)</f>
        <v>0</v>
      </c>
      <c r="AH26" s="95">
        <f>SUM(AH23:AH25)</f>
        <v>142581.92594189997</v>
      </c>
      <c r="AI26" s="91">
        <f>SUM(AI23:AI25)</f>
        <v>0</v>
      </c>
      <c r="AJ26" s="96">
        <f>SUM(AJ23:AJ25)</f>
        <v>142581.92594189997</v>
      </c>
    </row>
    <row r="27" spans="1:39" s="97" customFormat="1" ht="15.4">
      <c r="A27" s="98" t="s">
        <v>12</v>
      </c>
      <c r="B27" s="413"/>
      <c r="C27" s="142"/>
      <c r="D27" s="404"/>
      <c r="E27" s="144"/>
      <c r="F27" s="145"/>
      <c r="G27" s="145"/>
      <c r="H27" s="400"/>
      <c r="I27" s="401"/>
      <c r="J27" s="120"/>
      <c r="K27" s="121"/>
      <c r="L27" s="100"/>
      <c r="M27" s="122"/>
      <c r="N27" s="101"/>
      <c r="O27" s="101"/>
      <c r="P27" s="102"/>
      <c r="Q27" s="103"/>
      <c r="R27" s="120"/>
      <c r="S27" s="121"/>
      <c r="T27" s="100"/>
      <c r="U27" s="122"/>
      <c r="V27" s="101"/>
      <c r="W27" s="101"/>
      <c r="X27" s="102"/>
      <c r="Y27" s="103"/>
      <c r="Z27" s="120"/>
      <c r="AA27" s="121"/>
      <c r="AB27" s="100"/>
      <c r="AC27" s="122"/>
      <c r="AD27" s="101"/>
      <c r="AE27" s="101"/>
      <c r="AF27" s="102"/>
      <c r="AG27" s="103"/>
      <c r="AH27" s="107"/>
      <c r="AI27" s="102"/>
      <c r="AJ27" s="108"/>
    </row>
    <row r="28" spans="1:39" s="97" customFormat="1" ht="15.4">
      <c r="A28" s="109" t="s">
        <v>82</v>
      </c>
      <c r="B28" s="325"/>
      <c r="C28" s="327"/>
      <c r="D28" s="414"/>
      <c r="E28" s="383"/>
      <c r="F28" s="329"/>
      <c r="G28" s="329"/>
      <c r="H28" s="329"/>
      <c r="I28" s="330"/>
      <c r="J28" s="123"/>
      <c r="K28" s="124"/>
      <c r="L28" s="125"/>
      <c r="M28" s="126"/>
      <c r="N28" s="76"/>
      <c r="O28" s="76"/>
      <c r="P28" s="76"/>
      <c r="Q28" s="76"/>
      <c r="R28" s="72"/>
      <c r="S28" s="124"/>
      <c r="T28" s="74"/>
      <c r="U28" s="127"/>
      <c r="V28" s="76"/>
      <c r="W28" s="76"/>
      <c r="X28" s="76"/>
      <c r="Y28" s="77"/>
      <c r="Z28" s="72"/>
      <c r="AA28" s="124"/>
      <c r="AB28" s="74"/>
      <c r="AC28" s="127"/>
      <c r="AD28" s="76"/>
      <c r="AE28" s="76"/>
      <c r="AF28" s="76"/>
      <c r="AG28" s="77"/>
      <c r="AH28" s="113"/>
      <c r="AI28" s="111"/>
      <c r="AJ28" s="112"/>
    </row>
    <row r="29" spans="1:39" s="79" customFormat="1" ht="15.4">
      <c r="A29" s="67" t="s">
        <v>84</v>
      </c>
      <c r="B29" s="339">
        <v>1</v>
      </c>
      <c r="C29" s="340" t="s">
        <v>85</v>
      </c>
      <c r="D29" s="415">
        <v>1</v>
      </c>
      <c r="E29" s="341">
        <v>1</v>
      </c>
      <c r="F29" s="342">
        <v>700</v>
      </c>
      <c r="G29" s="342">
        <f t="shared" ref="G29:G32" si="21">B29*F29*D29</f>
        <v>700</v>
      </c>
      <c r="H29" s="342">
        <f t="shared" ref="H29:H32" si="22">G29</f>
        <v>700</v>
      </c>
      <c r="I29" s="343">
        <f t="shared" ref="I29:I32" si="23">G29-H29</f>
        <v>0</v>
      </c>
      <c r="J29" s="339">
        <v>1</v>
      </c>
      <c r="K29" s="379" t="s">
        <v>85</v>
      </c>
      <c r="L29" s="340">
        <v>1</v>
      </c>
      <c r="M29" s="341">
        <v>1</v>
      </c>
      <c r="N29" s="342">
        <f>+F29*1.04</f>
        <v>728</v>
      </c>
      <c r="O29" s="342">
        <f>J29*N29*L29*M29</f>
        <v>728</v>
      </c>
      <c r="P29" s="342">
        <f t="shared" ref="P29:P32" si="24">O29</f>
        <v>728</v>
      </c>
      <c r="Q29" s="343">
        <f t="shared" ref="Q29:Q32" si="25">O29-P29</f>
        <v>0</v>
      </c>
      <c r="R29" s="123"/>
      <c r="S29" s="124"/>
      <c r="T29" s="125"/>
      <c r="U29" s="126"/>
      <c r="V29" s="85"/>
      <c r="W29" s="85"/>
      <c r="X29" s="85"/>
      <c r="Y29" s="86"/>
      <c r="Z29" s="123"/>
      <c r="AA29" s="124"/>
      <c r="AB29" s="125"/>
      <c r="AC29" s="126"/>
      <c r="AD29" s="85"/>
      <c r="AE29" s="85"/>
      <c r="AF29" s="85"/>
      <c r="AG29" s="86"/>
      <c r="AH29" s="452">
        <f t="shared" ref="AH29:AI32" si="26">H29+P29+X29+AF29</f>
        <v>1428</v>
      </c>
      <c r="AI29" s="377">
        <f t="shared" si="26"/>
        <v>0</v>
      </c>
      <c r="AJ29" s="375">
        <f t="shared" ref="AJ29:AJ32" si="27">+AH29+AI29</f>
        <v>1428</v>
      </c>
    </row>
    <row r="30" spans="1:39" s="79" customFormat="1" ht="15.4">
      <c r="A30" s="315" t="s">
        <v>87</v>
      </c>
      <c r="B30" s="339">
        <v>1</v>
      </c>
      <c r="C30" s="340" t="s">
        <v>88</v>
      </c>
      <c r="D30" s="415">
        <v>1</v>
      </c>
      <c r="E30" s="341">
        <v>1</v>
      </c>
      <c r="F30" s="342">
        <v>100</v>
      </c>
      <c r="G30" s="342">
        <f t="shared" si="21"/>
        <v>100</v>
      </c>
      <c r="H30" s="342">
        <f t="shared" si="22"/>
        <v>100</v>
      </c>
      <c r="I30" s="343">
        <f t="shared" si="23"/>
        <v>0</v>
      </c>
      <c r="J30" s="339">
        <v>1</v>
      </c>
      <c r="K30" s="379" t="s">
        <v>88</v>
      </c>
      <c r="L30" s="340">
        <v>1</v>
      </c>
      <c r="M30" s="341">
        <v>1</v>
      </c>
      <c r="N30" s="342">
        <f>+F30*1.04</f>
        <v>104</v>
      </c>
      <c r="O30" s="342">
        <f>J30*N30*L30*M30</f>
        <v>104</v>
      </c>
      <c r="P30" s="342">
        <f t="shared" si="24"/>
        <v>104</v>
      </c>
      <c r="Q30" s="343">
        <f t="shared" si="25"/>
        <v>0</v>
      </c>
      <c r="R30" s="123"/>
      <c r="S30" s="124"/>
      <c r="T30" s="125"/>
      <c r="U30" s="126"/>
      <c r="V30" s="85"/>
      <c r="W30" s="85"/>
      <c r="X30" s="85"/>
      <c r="Y30" s="86"/>
      <c r="Z30" s="123"/>
      <c r="AA30" s="124"/>
      <c r="AB30" s="125"/>
      <c r="AC30" s="126"/>
      <c r="AD30" s="85"/>
      <c r="AE30" s="85"/>
      <c r="AF30" s="85"/>
      <c r="AG30" s="86"/>
      <c r="AH30" s="452">
        <f t="shared" si="26"/>
        <v>204</v>
      </c>
      <c r="AI30" s="377">
        <f t="shared" si="26"/>
        <v>0</v>
      </c>
      <c r="AJ30" s="375">
        <f t="shared" si="27"/>
        <v>204</v>
      </c>
    </row>
    <row r="31" spans="1:39" s="79" customFormat="1" ht="15.4">
      <c r="A31" s="67" t="s">
        <v>90</v>
      </c>
      <c r="B31" s="339">
        <v>1</v>
      </c>
      <c r="C31" s="340" t="s">
        <v>91</v>
      </c>
      <c r="D31" s="415">
        <v>4</v>
      </c>
      <c r="E31" s="341">
        <v>1</v>
      </c>
      <c r="F31" s="342">
        <v>120</v>
      </c>
      <c r="G31" s="342">
        <f t="shared" si="21"/>
        <v>480</v>
      </c>
      <c r="H31" s="342">
        <f t="shared" si="22"/>
        <v>480</v>
      </c>
      <c r="I31" s="343">
        <f t="shared" si="23"/>
        <v>0</v>
      </c>
      <c r="J31" s="339">
        <v>1</v>
      </c>
      <c r="K31" s="379" t="s">
        <v>91</v>
      </c>
      <c r="L31" s="340">
        <v>4</v>
      </c>
      <c r="M31" s="341">
        <v>1</v>
      </c>
      <c r="N31" s="342">
        <f>+F31*1.04</f>
        <v>124.80000000000001</v>
      </c>
      <c r="O31" s="342">
        <f>J31*N31*L31*M31</f>
        <v>499.20000000000005</v>
      </c>
      <c r="P31" s="342">
        <f t="shared" si="24"/>
        <v>499.20000000000005</v>
      </c>
      <c r="Q31" s="343">
        <f t="shared" si="25"/>
        <v>0</v>
      </c>
      <c r="R31" s="123"/>
      <c r="S31" s="124"/>
      <c r="T31" s="125"/>
      <c r="U31" s="126"/>
      <c r="V31" s="85"/>
      <c r="W31" s="85"/>
      <c r="X31" s="85"/>
      <c r="Y31" s="86"/>
      <c r="Z31" s="123"/>
      <c r="AA31" s="124"/>
      <c r="AB31" s="125"/>
      <c r="AC31" s="126"/>
      <c r="AD31" s="85"/>
      <c r="AE31" s="85"/>
      <c r="AF31" s="85"/>
      <c r="AG31" s="86"/>
      <c r="AH31" s="452">
        <f t="shared" si="26"/>
        <v>979.2</v>
      </c>
      <c r="AI31" s="377">
        <f t="shared" si="26"/>
        <v>0</v>
      </c>
      <c r="AJ31" s="375">
        <f t="shared" si="27"/>
        <v>979.2</v>
      </c>
    </row>
    <row r="32" spans="1:39" s="79" customFormat="1" ht="15.4">
      <c r="A32" s="67" t="s">
        <v>93</v>
      </c>
      <c r="B32" s="339">
        <v>1</v>
      </c>
      <c r="C32" s="340" t="s">
        <v>94</v>
      </c>
      <c r="D32" s="415">
        <v>5</v>
      </c>
      <c r="E32" s="341">
        <v>1</v>
      </c>
      <c r="F32" s="342">
        <v>95</v>
      </c>
      <c r="G32" s="342">
        <f t="shared" si="21"/>
        <v>475</v>
      </c>
      <c r="H32" s="342">
        <f t="shared" si="22"/>
        <v>475</v>
      </c>
      <c r="I32" s="343">
        <f t="shared" si="23"/>
        <v>0</v>
      </c>
      <c r="J32" s="339">
        <v>1</v>
      </c>
      <c r="K32" s="379" t="s">
        <v>94</v>
      </c>
      <c r="L32" s="340">
        <v>5</v>
      </c>
      <c r="M32" s="341">
        <v>1</v>
      </c>
      <c r="N32" s="342">
        <f>+F32*1.04</f>
        <v>98.8</v>
      </c>
      <c r="O32" s="342">
        <f>J32*N32*L32*M32</f>
        <v>494</v>
      </c>
      <c r="P32" s="342">
        <f t="shared" si="24"/>
        <v>494</v>
      </c>
      <c r="Q32" s="343">
        <f t="shared" si="25"/>
        <v>0</v>
      </c>
      <c r="R32" s="123"/>
      <c r="S32" s="124"/>
      <c r="T32" s="125"/>
      <c r="U32" s="126"/>
      <c r="V32" s="85"/>
      <c r="W32" s="85"/>
      <c r="X32" s="85"/>
      <c r="Y32" s="86"/>
      <c r="Z32" s="123"/>
      <c r="AA32" s="124"/>
      <c r="AB32" s="125"/>
      <c r="AC32" s="126"/>
      <c r="AD32" s="85"/>
      <c r="AE32" s="85"/>
      <c r="AF32" s="85"/>
      <c r="AG32" s="86"/>
      <c r="AH32" s="452">
        <f t="shared" si="26"/>
        <v>969</v>
      </c>
      <c r="AI32" s="377">
        <f t="shared" si="26"/>
        <v>0</v>
      </c>
      <c r="AJ32" s="375">
        <f t="shared" si="27"/>
        <v>969</v>
      </c>
    </row>
    <row r="33" spans="1:37" s="97" customFormat="1" ht="30">
      <c r="A33" s="109" t="s">
        <v>95</v>
      </c>
      <c r="B33" s="325"/>
      <c r="C33" s="327"/>
      <c r="D33" s="414"/>
      <c r="E33" s="383"/>
      <c r="F33" s="329"/>
      <c r="G33" s="329"/>
      <c r="H33" s="329"/>
      <c r="I33" s="330"/>
      <c r="J33" s="325"/>
      <c r="K33" s="326"/>
      <c r="L33" s="327"/>
      <c r="M33" s="383"/>
      <c r="N33" s="329"/>
      <c r="O33" s="329"/>
      <c r="P33" s="329"/>
      <c r="Q33" s="329"/>
      <c r="R33" s="72"/>
      <c r="S33" s="124"/>
      <c r="T33" s="74"/>
      <c r="U33" s="127"/>
      <c r="V33" s="76"/>
      <c r="W33" s="76"/>
      <c r="X33" s="76"/>
      <c r="Y33" s="77"/>
      <c r="Z33" s="72"/>
      <c r="AA33" s="124"/>
      <c r="AB33" s="74"/>
      <c r="AC33" s="127"/>
      <c r="AD33" s="76"/>
      <c r="AE33" s="76"/>
      <c r="AF33" s="76"/>
      <c r="AG33" s="77"/>
      <c r="AH33" s="87"/>
      <c r="AI33" s="85"/>
      <c r="AJ33" s="86"/>
    </row>
    <row r="34" spans="1:37" s="79" customFormat="1" ht="15.4">
      <c r="A34" s="67" t="s">
        <v>97</v>
      </c>
      <c r="B34" s="339">
        <v>2</v>
      </c>
      <c r="C34" s="340" t="s">
        <v>85</v>
      </c>
      <c r="D34" s="415">
        <v>1</v>
      </c>
      <c r="E34" s="341">
        <v>1</v>
      </c>
      <c r="F34" s="342">
        <v>200</v>
      </c>
      <c r="G34" s="342">
        <f>B34*F34*D34</f>
        <v>400</v>
      </c>
      <c r="H34" s="342">
        <f>G34</f>
        <v>400</v>
      </c>
      <c r="I34" s="343">
        <f>G34-H34</f>
        <v>0</v>
      </c>
      <c r="J34" s="339">
        <v>2</v>
      </c>
      <c r="K34" s="379" t="s">
        <v>85</v>
      </c>
      <c r="L34" s="340">
        <v>1</v>
      </c>
      <c r="M34" s="341">
        <v>1</v>
      </c>
      <c r="N34" s="342">
        <f>+F34*1.04</f>
        <v>208</v>
      </c>
      <c r="O34" s="342">
        <f>J34*N34*L34*M34</f>
        <v>416</v>
      </c>
      <c r="P34" s="342">
        <f t="shared" ref="P34:P37" si="28">O34</f>
        <v>416</v>
      </c>
      <c r="Q34" s="343">
        <f t="shared" ref="Q34:Q37" si="29">O34-P34</f>
        <v>0</v>
      </c>
      <c r="R34" s="425">
        <v>2</v>
      </c>
      <c r="S34" s="426" t="s">
        <v>85</v>
      </c>
      <c r="T34" s="427">
        <v>1</v>
      </c>
      <c r="U34" s="437">
        <v>1</v>
      </c>
      <c r="V34" s="429">
        <v>208</v>
      </c>
      <c r="W34" s="429">
        <f t="shared" ref="W34:W35" si="30">+V34*T34*R34*U34</f>
        <v>416</v>
      </c>
      <c r="X34" s="429">
        <f>W34</f>
        <v>416</v>
      </c>
      <c r="Y34" s="430">
        <f>W34-X34</f>
        <v>0</v>
      </c>
      <c r="Z34" s="425">
        <v>1</v>
      </c>
      <c r="AA34" s="426" t="s">
        <v>85</v>
      </c>
      <c r="AB34" s="427">
        <v>1</v>
      </c>
      <c r="AC34" s="437">
        <v>1</v>
      </c>
      <c r="AD34" s="429">
        <f>V34*$B$3</f>
        <v>216.32</v>
      </c>
      <c r="AE34" s="429">
        <f t="shared" ref="AE34:AE36" si="31">+AD34*AB34*Z34*$E34</f>
        <v>216.32</v>
      </c>
      <c r="AF34" s="429">
        <f>AE34</f>
        <v>216.32</v>
      </c>
      <c r="AG34" s="430">
        <f>AE34-AF34</f>
        <v>0</v>
      </c>
      <c r="AH34" s="453">
        <f t="shared" ref="AH34:AI37" si="32">H34+P34+X34+AF34</f>
        <v>1448.32</v>
      </c>
      <c r="AI34" s="236">
        <f t="shared" si="32"/>
        <v>0</v>
      </c>
      <c r="AJ34" s="237">
        <f t="shared" ref="AJ34:AJ37" si="33">+AH34+AI34</f>
        <v>1448.32</v>
      </c>
    </row>
    <row r="35" spans="1:37" s="79" customFormat="1" ht="15.4">
      <c r="A35" s="67" t="s">
        <v>99</v>
      </c>
      <c r="B35" s="339">
        <v>6</v>
      </c>
      <c r="C35" s="340" t="s">
        <v>91</v>
      </c>
      <c r="D35" s="415">
        <v>3</v>
      </c>
      <c r="E35" s="341">
        <v>1</v>
      </c>
      <c r="F35" s="342">
        <v>100</v>
      </c>
      <c r="G35" s="342">
        <f>B35*F35*D35</f>
        <v>1800</v>
      </c>
      <c r="H35" s="342">
        <f>G35</f>
        <v>1800</v>
      </c>
      <c r="I35" s="343">
        <f>G35-H35</f>
        <v>0</v>
      </c>
      <c r="J35" s="339">
        <v>6</v>
      </c>
      <c r="K35" s="379" t="s">
        <v>91</v>
      </c>
      <c r="L35" s="340">
        <v>3</v>
      </c>
      <c r="M35" s="341">
        <v>1</v>
      </c>
      <c r="N35" s="342">
        <f>+F35*1.04</f>
        <v>104</v>
      </c>
      <c r="O35" s="342">
        <f>J35*N35*L35*M35</f>
        <v>1872</v>
      </c>
      <c r="P35" s="342">
        <f t="shared" si="28"/>
        <v>1872</v>
      </c>
      <c r="Q35" s="343">
        <f t="shared" si="29"/>
        <v>0</v>
      </c>
      <c r="R35" s="425">
        <v>2</v>
      </c>
      <c r="S35" s="426" t="s">
        <v>91</v>
      </c>
      <c r="T35" s="427">
        <v>3</v>
      </c>
      <c r="U35" s="437">
        <v>1</v>
      </c>
      <c r="V35" s="429">
        <v>130</v>
      </c>
      <c r="W35" s="429">
        <f t="shared" si="30"/>
        <v>780</v>
      </c>
      <c r="X35" s="429">
        <f>W35</f>
        <v>780</v>
      </c>
      <c r="Y35" s="430">
        <f>W35-X35</f>
        <v>0</v>
      </c>
      <c r="Z35" s="425">
        <v>1</v>
      </c>
      <c r="AA35" s="426" t="s">
        <v>91</v>
      </c>
      <c r="AB35" s="427">
        <v>3</v>
      </c>
      <c r="AC35" s="437">
        <v>1</v>
      </c>
      <c r="AD35" s="429">
        <f>V35*$B$3</f>
        <v>135.20000000000002</v>
      </c>
      <c r="AE35" s="429">
        <f t="shared" si="31"/>
        <v>405.6</v>
      </c>
      <c r="AF35" s="429">
        <f t="shared" ref="AF35:AF37" si="34">AE35</f>
        <v>405.6</v>
      </c>
      <c r="AG35" s="430">
        <f>AE35-AF35</f>
        <v>0</v>
      </c>
      <c r="AH35" s="453">
        <f t="shared" si="32"/>
        <v>4857.6000000000004</v>
      </c>
      <c r="AI35" s="236">
        <f t="shared" si="32"/>
        <v>0</v>
      </c>
      <c r="AJ35" s="237">
        <f t="shared" si="33"/>
        <v>4857.6000000000004</v>
      </c>
    </row>
    <row r="36" spans="1:37" s="79" customFormat="1" ht="15.4">
      <c r="A36" s="67" t="s">
        <v>101</v>
      </c>
      <c r="B36" s="339">
        <v>6</v>
      </c>
      <c r="C36" s="340" t="s">
        <v>94</v>
      </c>
      <c r="D36" s="415">
        <v>4</v>
      </c>
      <c r="E36" s="341">
        <v>1</v>
      </c>
      <c r="F36" s="342">
        <v>70</v>
      </c>
      <c r="G36" s="342">
        <f>B36*F36*D36</f>
        <v>1680</v>
      </c>
      <c r="H36" s="342">
        <f>G36</f>
        <v>1680</v>
      </c>
      <c r="I36" s="343">
        <f>G36-H36</f>
        <v>0</v>
      </c>
      <c r="J36" s="339">
        <v>6</v>
      </c>
      <c r="K36" s="379" t="s">
        <v>94</v>
      </c>
      <c r="L36" s="340">
        <v>4</v>
      </c>
      <c r="M36" s="341">
        <v>1</v>
      </c>
      <c r="N36" s="342">
        <f>+F36*1.04</f>
        <v>72.8</v>
      </c>
      <c r="O36" s="342">
        <f>J36*N36*L36*M36</f>
        <v>1747.1999999999998</v>
      </c>
      <c r="P36" s="342">
        <f t="shared" si="28"/>
        <v>1747.1999999999998</v>
      </c>
      <c r="Q36" s="343">
        <f>O36-P36</f>
        <v>0</v>
      </c>
      <c r="R36" s="425">
        <v>2</v>
      </c>
      <c r="S36" s="426" t="s">
        <v>94</v>
      </c>
      <c r="T36" s="427">
        <v>4</v>
      </c>
      <c r="U36" s="437">
        <v>1</v>
      </c>
      <c r="V36" s="429">
        <v>55</v>
      </c>
      <c r="W36" s="429">
        <v>441</v>
      </c>
      <c r="X36" s="429">
        <f>W36</f>
        <v>441</v>
      </c>
      <c r="Y36" s="430">
        <f>W36-X36</f>
        <v>0</v>
      </c>
      <c r="Z36" s="425">
        <v>1</v>
      </c>
      <c r="AA36" s="426" t="s">
        <v>94</v>
      </c>
      <c r="AB36" s="427">
        <v>4</v>
      </c>
      <c r="AC36" s="437">
        <v>1</v>
      </c>
      <c r="AD36" s="429">
        <f>V36*$B$3</f>
        <v>57.2</v>
      </c>
      <c r="AE36" s="429">
        <f t="shared" si="31"/>
        <v>228.8</v>
      </c>
      <c r="AF36" s="429">
        <f t="shared" si="34"/>
        <v>228.8</v>
      </c>
      <c r="AG36" s="430">
        <f>AE36-AF36</f>
        <v>0</v>
      </c>
      <c r="AH36" s="453">
        <f t="shared" si="32"/>
        <v>4097</v>
      </c>
      <c r="AI36" s="236">
        <f t="shared" si="32"/>
        <v>0</v>
      </c>
      <c r="AJ36" s="237">
        <f t="shared" si="33"/>
        <v>4097</v>
      </c>
    </row>
    <row r="37" spans="1:37" s="79" customFormat="1" ht="15.4">
      <c r="A37" s="67" t="s">
        <v>103</v>
      </c>
      <c r="B37" s="339">
        <v>1</v>
      </c>
      <c r="C37" s="340" t="s">
        <v>54</v>
      </c>
      <c r="D37" s="415">
        <v>10</v>
      </c>
      <c r="E37" s="341">
        <v>1</v>
      </c>
      <c r="F37" s="342">
        <v>150</v>
      </c>
      <c r="G37" s="342">
        <f>B37*F37*D37</f>
        <v>1500</v>
      </c>
      <c r="H37" s="342">
        <f>G37</f>
        <v>1500</v>
      </c>
      <c r="I37" s="343">
        <f>G37-H37</f>
        <v>0</v>
      </c>
      <c r="J37" s="339">
        <v>1</v>
      </c>
      <c r="K37" s="379" t="s">
        <v>54</v>
      </c>
      <c r="L37" s="340">
        <v>10</v>
      </c>
      <c r="M37" s="341">
        <v>1</v>
      </c>
      <c r="N37" s="342">
        <f>+F37*1.04</f>
        <v>156</v>
      </c>
      <c r="O37" s="342">
        <f>J37*N37*L37*M37</f>
        <v>1560</v>
      </c>
      <c r="P37" s="342">
        <f t="shared" si="28"/>
        <v>1560</v>
      </c>
      <c r="Q37" s="343">
        <f t="shared" si="29"/>
        <v>0</v>
      </c>
      <c r="R37" s="425">
        <v>1</v>
      </c>
      <c r="S37" s="426" t="s">
        <v>54</v>
      </c>
      <c r="T37" s="427">
        <v>12</v>
      </c>
      <c r="U37" s="437">
        <v>1</v>
      </c>
      <c r="V37" s="429">
        <v>78</v>
      </c>
      <c r="W37" s="429">
        <f>+V37*T37*R37*U37</f>
        <v>936</v>
      </c>
      <c r="X37" s="429">
        <f>W37</f>
        <v>936</v>
      </c>
      <c r="Y37" s="430">
        <f>W37-X37</f>
        <v>0</v>
      </c>
      <c r="Z37" s="425">
        <v>1</v>
      </c>
      <c r="AA37" s="426" t="s">
        <v>54</v>
      </c>
      <c r="AB37" s="427">
        <v>4</v>
      </c>
      <c r="AC37" s="437">
        <v>1</v>
      </c>
      <c r="AD37" s="429">
        <f>V37*$B$3</f>
        <v>81.12</v>
      </c>
      <c r="AE37" s="429">
        <f>+AD37*AB37*Z37*$E37</f>
        <v>324.48</v>
      </c>
      <c r="AF37" s="429">
        <f t="shared" si="34"/>
        <v>324.48</v>
      </c>
      <c r="AG37" s="430">
        <f>AE37-AF37</f>
        <v>0</v>
      </c>
      <c r="AH37" s="453">
        <f t="shared" si="32"/>
        <v>4320.4799999999996</v>
      </c>
      <c r="AI37" s="236">
        <f t="shared" si="32"/>
        <v>0</v>
      </c>
      <c r="AJ37" s="237">
        <f t="shared" si="33"/>
        <v>4320.4799999999996</v>
      </c>
    </row>
    <row r="38" spans="1:37" s="97" customFormat="1" ht="15">
      <c r="A38" s="128" t="s">
        <v>104</v>
      </c>
      <c r="B38" s="129"/>
      <c r="C38" s="130"/>
      <c r="D38" s="131"/>
      <c r="E38" s="132"/>
      <c r="F38" s="133"/>
      <c r="G38" s="133">
        <f>SUM(G29:G37)</f>
        <v>7135</v>
      </c>
      <c r="H38" s="133">
        <f t="shared" ref="H38:I38" si="35">SUM(H29:H37)</f>
        <v>7135</v>
      </c>
      <c r="I38" s="134">
        <f t="shared" si="35"/>
        <v>0</v>
      </c>
      <c r="J38" s="135"/>
      <c r="K38" s="136"/>
      <c r="L38" s="137"/>
      <c r="M38" s="138"/>
      <c r="N38" s="133"/>
      <c r="O38" s="133">
        <f t="shared" ref="O38:Q38" si="36">SUM(O29:O37)</f>
        <v>7420.4</v>
      </c>
      <c r="P38" s="133">
        <f t="shared" si="36"/>
        <v>7420.4</v>
      </c>
      <c r="Q38" s="134">
        <f t="shared" si="36"/>
        <v>0</v>
      </c>
      <c r="R38" s="135"/>
      <c r="S38" s="136"/>
      <c r="T38" s="137"/>
      <c r="U38" s="138"/>
      <c r="V38" s="133"/>
      <c r="W38" s="133">
        <f t="shared" ref="W38:Y38" si="37">SUM(W29:W37)</f>
        <v>2573</v>
      </c>
      <c r="X38" s="133">
        <f t="shared" si="37"/>
        <v>2573</v>
      </c>
      <c r="Y38" s="134">
        <f t="shared" si="37"/>
        <v>0</v>
      </c>
      <c r="Z38" s="135"/>
      <c r="AA38" s="136"/>
      <c r="AB38" s="137"/>
      <c r="AC38" s="138"/>
      <c r="AD38" s="133"/>
      <c r="AE38" s="133">
        <f>SUM(AE29:AE37)</f>
        <v>1175.2</v>
      </c>
      <c r="AF38" s="133">
        <f t="shared" ref="AF38:AJ38" si="38">SUM(AF29:AF37)</f>
        <v>1175.2</v>
      </c>
      <c r="AG38" s="134">
        <f t="shared" si="38"/>
        <v>0</v>
      </c>
      <c r="AH38" s="139">
        <f t="shared" si="38"/>
        <v>18303.599999999999</v>
      </c>
      <c r="AI38" s="133">
        <f t="shared" si="38"/>
        <v>0</v>
      </c>
      <c r="AJ38" s="134">
        <f t="shared" si="38"/>
        <v>18303.599999999999</v>
      </c>
    </row>
    <row r="39" spans="1:37" s="97" customFormat="1" ht="18" customHeight="1">
      <c r="A39" s="140" t="s">
        <v>13</v>
      </c>
      <c r="B39" s="141"/>
      <c r="C39" s="142"/>
      <c r="D39" s="143"/>
      <c r="E39" s="144"/>
      <c r="F39" s="145"/>
      <c r="G39" s="145"/>
      <c r="H39" s="146"/>
      <c r="I39" s="147"/>
      <c r="J39" s="141"/>
      <c r="K39" s="148"/>
      <c r="L39" s="142"/>
      <c r="M39" s="149"/>
      <c r="N39" s="145"/>
      <c r="O39" s="145"/>
      <c r="P39" s="146"/>
      <c r="Q39" s="147"/>
      <c r="R39" s="141"/>
      <c r="S39" s="148"/>
      <c r="T39" s="142"/>
      <c r="U39" s="149"/>
      <c r="V39" s="145"/>
      <c r="W39" s="145"/>
      <c r="X39" s="146"/>
      <c r="Y39" s="147"/>
      <c r="Z39" s="141"/>
      <c r="AA39" s="148"/>
      <c r="AB39" s="142"/>
      <c r="AC39" s="149"/>
      <c r="AD39" s="145"/>
      <c r="AE39" s="145"/>
      <c r="AF39" s="146"/>
      <c r="AG39" s="147"/>
      <c r="AH39" s="150"/>
      <c r="AI39" s="146"/>
      <c r="AJ39" s="151"/>
    </row>
    <row r="40" spans="1:37" s="97" customFormat="1" ht="15.4">
      <c r="A40" s="140" t="s">
        <v>14</v>
      </c>
      <c r="B40" s="141"/>
      <c r="C40" s="142"/>
      <c r="D40" s="143"/>
      <c r="E40" s="144"/>
      <c r="F40" s="145"/>
      <c r="G40" s="145"/>
      <c r="H40" s="146"/>
      <c r="I40" s="147"/>
      <c r="J40" s="141"/>
      <c r="K40" s="148"/>
      <c r="L40" s="142"/>
      <c r="M40" s="149"/>
      <c r="N40" s="145"/>
      <c r="O40" s="145"/>
      <c r="P40" s="146"/>
      <c r="Q40" s="147"/>
      <c r="R40" s="141"/>
      <c r="S40" s="148"/>
      <c r="T40" s="142"/>
      <c r="U40" s="149"/>
      <c r="V40" s="145"/>
      <c r="W40" s="145"/>
      <c r="X40" s="146"/>
      <c r="Y40" s="147"/>
      <c r="Z40" s="141"/>
      <c r="AA40" s="148"/>
      <c r="AB40" s="142"/>
      <c r="AC40" s="149"/>
      <c r="AD40" s="145"/>
      <c r="AE40" s="145"/>
      <c r="AF40" s="146"/>
      <c r="AG40" s="147"/>
      <c r="AH40" s="150"/>
      <c r="AI40" s="146"/>
      <c r="AJ40" s="151"/>
    </row>
    <row r="41" spans="1:37" s="79" customFormat="1" ht="15.4">
      <c r="A41" s="67" t="s">
        <v>106</v>
      </c>
      <c r="B41" s="339">
        <v>1</v>
      </c>
      <c r="C41" s="340" t="s">
        <v>54</v>
      </c>
      <c r="D41" s="380">
        <v>12</v>
      </c>
      <c r="E41" s="341">
        <v>1</v>
      </c>
      <c r="F41" s="342">
        <v>50</v>
      </c>
      <c r="G41" s="342">
        <f>B41*F41*D41*E41</f>
        <v>600</v>
      </c>
      <c r="H41" s="342">
        <f>G41</f>
        <v>600</v>
      </c>
      <c r="I41" s="343">
        <f>G41-H41</f>
        <v>0</v>
      </c>
      <c r="J41" s="339">
        <v>1</v>
      </c>
      <c r="K41" s="379" t="s">
        <v>54</v>
      </c>
      <c r="L41" s="340">
        <v>12</v>
      </c>
      <c r="M41" s="345">
        <v>1</v>
      </c>
      <c r="N41" s="342">
        <f>F41*$B$3</f>
        <v>52</v>
      </c>
      <c r="O41" s="342">
        <f>J41*N41*L41*M41</f>
        <v>624</v>
      </c>
      <c r="P41" s="342">
        <f>O41</f>
        <v>624</v>
      </c>
      <c r="Q41" s="343">
        <f>O41-P41</f>
        <v>0</v>
      </c>
      <c r="R41" s="425">
        <v>1</v>
      </c>
      <c r="S41" s="426" t="s">
        <v>54</v>
      </c>
      <c r="T41" s="427">
        <v>12</v>
      </c>
      <c r="U41" s="428">
        <v>1</v>
      </c>
      <c r="V41" s="429">
        <v>31.200000000000003</v>
      </c>
      <c r="W41" s="429">
        <f>R41*V41*T41*U41</f>
        <v>374.40000000000003</v>
      </c>
      <c r="X41" s="429">
        <f>W41</f>
        <v>374.40000000000003</v>
      </c>
      <c r="Y41" s="430">
        <f>W41-X41</f>
        <v>0</v>
      </c>
      <c r="Z41" s="425">
        <v>1</v>
      </c>
      <c r="AA41" s="426" t="s">
        <v>54</v>
      </c>
      <c r="AB41" s="427">
        <v>6</v>
      </c>
      <c r="AC41" s="428">
        <v>1</v>
      </c>
      <c r="AD41" s="429">
        <f>V41*$B$3</f>
        <v>32.448000000000008</v>
      </c>
      <c r="AE41" s="429">
        <f>Z41*AD41*AB41*AC41</f>
        <v>194.68800000000005</v>
      </c>
      <c r="AF41" s="429">
        <f>AE41</f>
        <v>194.68800000000005</v>
      </c>
      <c r="AG41" s="430">
        <f>AE41-AF41</f>
        <v>0</v>
      </c>
      <c r="AH41" s="453">
        <f t="shared" ref="AH41:AI43" si="39">H41+P41+X41+AF41</f>
        <v>1793.0880000000002</v>
      </c>
      <c r="AI41" s="236">
        <f t="shared" si="39"/>
        <v>0</v>
      </c>
      <c r="AJ41" s="237">
        <f>+AH41+AI41</f>
        <v>1793.0880000000002</v>
      </c>
    </row>
    <row r="42" spans="1:37" s="79" customFormat="1" ht="15.4">
      <c r="A42" s="67" t="s">
        <v>108</v>
      </c>
      <c r="B42" s="339">
        <v>1</v>
      </c>
      <c r="C42" s="340" t="s">
        <v>109</v>
      </c>
      <c r="D42" s="380">
        <v>3</v>
      </c>
      <c r="E42" s="341">
        <v>1</v>
      </c>
      <c r="F42" s="342">
        <v>1000</v>
      </c>
      <c r="G42" s="342">
        <f>B42*F42*D42*E42</f>
        <v>3000</v>
      </c>
      <c r="H42" s="342">
        <f>G42</f>
        <v>3000</v>
      </c>
      <c r="I42" s="343">
        <f>G42-H42</f>
        <v>0</v>
      </c>
      <c r="J42" s="425">
        <v>1</v>
      </c>
      <c r="K42" s="426" t="s">
        <v>109</v>
      </c>
      <c r="L42" s="427">
        <v>1</v>
      </c>
      <c r="M42" s="428">
        <v>1</v>
      </c>
      <c r="N42" s="429">
        <v>1200</v>
      </c>
      <c r="O42" s="429">
        <v>1222</v>
      </c>
      <c r="P42" s="429">
        <f>O42</f>
        <v>1222</v>
      </c>
      <c r="Q42" s="430">
        <f>O42-P42</f>
        <v>0</v>
      </c>
      <c r="R42" s="123">
        <v>0</v>
      </c>
      <c r="S42" s="124" t="s">
        <v>109</v>
      </c>
      <c r="T42" s="125">
        <v>0</v>
      </c>
      <c r="U42" s="114">
        <v>0</v>
      </c>
      <c r="V42" s="85"/>
      <c r="W42" s="85">
        <f>R42*V42*T42*U42</f>
        <v>0</v>
      </c>
      <c r="X42" s="85">
        <f>W42</f>
        <v>0</v>
      </c>
      <c r="Y42" s="86">
        <f>W42-X42</f>
        <v>0</v>
      </c>
      <c r="Z42" s="123">
        <v>0</v>
      </c>
      <c r="AA42" s="124" t="s">
        <v>109</v>
      </c>
      <c r="AB42" s="125">
        <v>0</v>
      </c>
      <c r="AC42" s="114">
        <v>0</v>
      </c>
      <c r="AD42" s="85"/>
      <c r="AE42" s="85">
        <f>Z42*AD42*AB42*$E42</f>
        <v>0</v>
      </c>
      <c r="AF42" s="85">
        <f>AE42</f>
        <v>0</v>
      </c>
      <c r="AG42" s="86">
        <f>AE42-AF42</f>
        <v>0</v>
      </c>
      <c r="AH42" s="453">
        <f t="shared" si="39"/>
        <v>4222</v>
      </c>
      <c r="AI42" s="236">
        <f t="shared" si="39"/>
        <v>0</v>
      </c>
      <c r="AJ42" s="237">
        <f>+AH42+AI42</f>
        <v>4222</v>
      </c>
    </row>
    <row r="43" spans="1:37" s="79" customFormat="1" ht="15.4">
      <c r="A43" s="67" t="s">
        <v>111</v>
      </c>
      <c r="B43" s="339">
        <v>0</v>
      </c>
      <c r="C43" s="340" t="s">
        <v>112</v>
      </c>
      <c r="D43" s="380">
        <v>0</v>
      </c>
      <c r="E43" s="341">
        <v>1</v>
      </c>
      <c r="F43" s="342"/>
      <c r="G43" s="342">
        <f>B43*F43*D43*E43</f>
        <v>0</v>
      </c>
      <c r="H43" s="342">
        <f>G43</f>
        <v>0</v>
      </c>
      <c r="I43" s="343">
        <f>G43-H43</f>
        <v>0</v>
      </c>
      <c r="J43" s="425">
        <v>1</v>
      </c>
      <c r="K43" s="426" t="s">
        <v>112</v>
      </c>
      <c r="L43" s="427">
        <v>1</v>
      </c>
      <c r="M43" s="428">
        <v>1</v>
      </c>
      <c r="N43" s="429">
        <v>1200</v>
      </c>
      <c r="O43" s="429">
        <f>J43*N43*L43*M43</f>
        <v>1200</v>
      </c>
      <c r="P43" s="429">
        <f>O43</f>
        <v>1200</v>
      </c>
      <c r="Q43" s="430">
        <f>O43-P43</f>
        <v>0</v>
      </c>
      <c r="R43" s="123">
        <v>0</v>
      </c>
      <c r="S43" s="124" t="s">
        <v>112</v>
      </c>
      <c r="T43" s="125">
        <v>0</v>
      </c>
      <c r="U43" s="114">
        <v>0</v>
      </c>
      <c r="V43" s="85"/>
      <c r="W43" s="85">
        <f>R43*V43*T43*U43</f>
        <v>0</v>
      </c>
      <c r="X43" s="85">
        <f>W43</f>
        <v>0</v>
      </c>
      <c r="Y43" s="86">
        <f>W43-X43</f>
        <v>0</v>
      </c>
      <c r="Z43" s="123">
        <v>0</v>
      </c>
      <c r="AA43" s="124" t="s">
        <v>112</v>
      </c>
      <c r="AB43" s="125">
        <v>0</v>
      </c>
      <c r="AC43" s="114">
        <v>0</v>
      </c>
      <c r="AD43" s="85">
        <f>V43</f>
        <v>0</v>
      </c>
      <c r="AE43" s="85">
        <f>Z43*AD43*AB43*AC43</f>
        <v>0</v>
      </c>
      <c r="AF43" s="85">
        <f>AE43</f>
        <v>0</v>
      </c>
      <c r="AG43" s="86">
        <f>AE43-AF43</f>
        <v>0</v>
      </c>
      <c r="AH43" s="458">
        <f t="shared" si="39"/>
        <v>1200</v>
      </c>
      <c r="AI43" s="429">
        <f t="shared" si="39"/>
        <v>0</v>
      </c>
      <c r="AJ43" s="430">
        <f>+AH43+AI43</f>
        <v>1200</v>
      </c>
    </row>
    <row r="44" spans="1:37" s="97" customFormat="1" ht="15.4">
      <c r="A44" s="89" t="s">
        <v>113</v>
      </c>
      <c r="B44" s="240"/>
      <c r="C44" s="241"/>
      <c r="D44" s="412"/>
      <c r="E44" s="416"/>
      <c r="F44" s="302"/>
      <c r="G44" s="133">
        <f>SUM(G41:G42)</f>
        <v>3600</v>
      </c>
      <c r="H44" s="133">
        <f>SUM(H41:H42)</f>
        <v>3600</v>
      </c>
      <c r="I44" s="134">
        <f>SUM(I41:I42)</f>
        <v>0</v>
      </c>
      <c r="J44" s="153"/>
      <c r="K44" s="154"/>
      <c r="L44" s="155"/>
      <c r="M44" s="94"/>
      <c r="N44" s="91"/>
      <c r="O44" s="91">
        <f>SUM(O41:O43)</f>
        <v>3046</v>
      </c>
      <c r="P44" s="91">
        <f>SUM(P41:P43)</f>
        <v>3046</v>
      </c>
      <c r="Q44" s="96">
        <f>SUM(Q41:Q42)</f>
        <v>0</v>
      </c>
      <c r="R44" s="153"/>
      <c r="S44" s="154"/>
      <c r="T44" s="155"/>
      <c r="U44" s="94"/>
      <c r="V44" s="91"/>
      <c r="W44" s="91">
        <f>SUM(W41:W43)</f>
        <v>374.40000000000003</v>
      </c>
      <c r="X44" s="91">
        <f>SUM(X41:X43)</f>
        <v>374.40000000000003</v>
      </c>
      <c r="Y44" s="96">
        <f>SUM(Y41:Y42)</f>
        <v>0</v>
      </c>
      <c r="Z44" s="350"/>
      <c r="AA44" s="154"/>
      <c r="AB44" s="155"/>
      <c r="AC44" s="94"/>
      <c r="AD44" s="91"/>
      <c r="AE44" s="91">
        <f>SUM(AE41:AE43)</f>
        <v>194.68800000000005</v>
      </c>
      <c r="AF44" s="91">
        <f>SUM(AF41:AF43)</f>
        <v>194.68800000000005</v>
      </c>
      <c r="AG44" s="96">
        <f t="shared" ref="AG44" si="40">SUM(AG41:AG42)</f>
        <v>0</v>
      </c>
      <c r="AH44" s="95">
        <f>SUM(AH41:AH43)</f>
        <v>7215.0879999999997</v>
      </c>
      <c r="AI44" s="91">
        <f>SUM(AI41:AI43)</f>
        <v>0</v>
      </c>
      <c r="AJ44" s="96">
        <f>SUM(AJ41:AJ43)</f>
        <v>7215.0879999999997</v>
      </c>
    </row>
    <row r="45" spans="1:37" s="97" customFormat="1" ht="15.4">
      <c r="A45" s="98" t="s">
        <v>114</v>
      </c>
      <c r="B45" s="141"/>
      <c r="C45" s="142"/>
      <c r="D45" s="142"/>
      <c r="E45" s="144"/>
      <c r="F45" s="145"/>
      <c r="G45" s="145"/>
      <c r="H45" s="145"/>
      <c r="I45" s="189"/>
      <c r="J45" s="156"/>
      <c r="K45" s="157"/>
      <c r="L45" s="158"/>
      <c r="M45" s="159"/>
      <c r="N45" s="160"/>
      <c r="O45" s="160"/>
      <c r="P45" s="161"/>
      <c r="Q45" s="162"/>
      <c r="R45" s="156"/>
      <c r="S45" s="157"/>
      <c r="T45" s="158"/>
      <c r="U45" s="159"/>
      <c r="V45" s="160"/>
      <c r="W45" s="160"/>
      <c r="X45" s="161"/>
      <c r="Y45" s="162"/>
      <c r="Z45" s="156"/>
      <c r="AA45" s="157"/>
      <c r="AB45" s="158"/>
      <c r="AC45" s="159"/>
      <c r="AD45" s="160"/>
      <c r="AE45" s="160"/>
      <c r="AF45" s="161"/>
      <c r="AG45" s="162"/>
      <c r="AH45" s="163"/>
      <c r="AI45" s="161"/>
      <c r="AJ45" s="164"/>
    </row>
    <row r="46" spans="1:37" s="97" customFormat="1" ht="15.4">
      <c r="A46" s="165" t="s">
        <v>115</v>
      </c>
      <c r="B46" s="314"/>
      <c r="C46" s="327"/>
      <c r="D46" s="382"/>
      <c r="E46" s="383"/>
      <c r="F46" s="329"/>
      <c r="G46" s="329"/>
      <c r="H46" s="384"/>
      <c r="I46" s="385"/>
      <c r="J46" s="81"/>
      <c r="K46" s="82"/>
      <c r="L46" s="82"/>
      <c r="M46" s="84"/>
      <c r="N46" s="85"/>
      <c r="O46" s="85"/>
      <c r="P46" s="389"/>
      <c r="Q46" s="390"/>
      <c r="R46" s="166"/>
      <c r="S46" s="167"/>
      <c r="T46" s="171"/>
      <c r="U46" s="168"/>
      <c r="V46" s="76"/>
      <c r="W46" s="76"/>
      <c r="X46" s="169"/>
      <c r="Y46" s="170"/>
      <c r="Z46" s="166"/>
      <c r="AA46" s="167"/>
      <c r="AB46" s="171"/>
      <c r="AC46" s="168"/>
      <c r="AD46" s="76"/>
      <c r="AE46" s="76"/>
      <c r="AF46" s="169"/>
      <c r="AG46" s="170"/>
      <c r="AH46" s="78"/>
      <c r="AI46" s="76"/>
      <c r="AJ46" s="77"/>
    </row>
    <row r="47" spans="1:37" s="79" customFormat="1" ht="15.4">
      <c r="A47" s="67" t="s">
        <v>117</v>
      </c>
      <c r="B47" s="339">
        <v>4</v>
      </c>
      <c r="C47" s="378" t="s">
        <v>54</v>
      </c>
      <c r="D47" s="340">
        <v>6</v>
      </c>
      <c r="E47" s="341">
        <v>1</v>
      </c>
      <c r="F47" s="342">
        <v>1825</v>
      </c>
      <c r="G47" s="342">
        <f>B47*F47*D47</f>
        <v>43800</v>
      </c>
      <c r="H47" s="342">
        <f>G47</f>
        <v>43800</v>
      </c>
      <c r="I47" s="343">
        <f>G47-H47</f>
        <v>0</v>
      </c>
      <c r="J47" s="339">
        <v>4</v>
      </c>
      <c r="K47" s="379" t="s">
        <v>54</v>
      </c>
      <c r="L47" s="340">
        <v>6</v>
      </c>
      <c r="M47" s="345">
        <v>1</v>
      </c>
      <c r="N47" s="342">
        <v>1825</v>
      </c>
      <c r="O47" s="342">
        <f>J47*N47*L47*M47</f>
        <v>43800</v>
      </c>
      <c r="P47" s="342">
        <f t="shared" ref="P47:P60" si="41">O47</f>
        <v>43800</v>
      </c>
      <c r="Q47" s="343">
        <f t="shared" ref="Q47:Q60" si="42">O47-P47</f>
        <v>0</v>
      </c>
      <c r="R47" s="425">
        <v>1</v>
      </c>
      <c r="S47" s="426" t="s">
        <v>54</v>
      </c>
      <c r="T47" s="427">
        <v>12</v>
      </c>
      <c r="U47" s="428">
        <v>1</v>
      </c>
      <c r="V47" s="429">
        <v>4000</v>
      </c>
      <c r="W47" s="429">
        <f>R47*V47*T47*U47</f>
        <v>48000</v>
      </c>
      <c r="X47" s="429">
        <f>W47</f>
        <v>48000</v>
      </c>
      <c r="Y47" s="430">
        <f>W47-X47</f>
        <v>0</v>
      </c>
      <c r="Z47" s="425">
        <v>1</v>
      </c>
      <c r="AA47" s="426" t="s">
        <v>54</v>
      </c>
      <c r="AB47" s="427">
        <v>5</v>
      </c>
      <c r="AC47" s="428">
        <v>1</v>
      </c>
      <c r="AD47" s="429">
        <v>4000</v>
      </c>
      <c r="AE47" s="429">
        <f>Z47*AD47*AB47*AC47</f>
        <v>20000</v>
      </c>
      <c r="AF47" s="429">
        <f>AE47</f>
        <v>20000</v>
      </c>
      <c r="AG47" s="430">
        <f>AE47-AF47</f>
        <v>0</v>
      </c>
      <c r="AH47" s="87">
        <f t="shared" ref="AH47:AI50" si="43">H47+P47+X47+AF47</f>
        <v>155600</v>
      </c>
      <c r="AI47" s="85">
        <f t="shared" si="43"/>
        <v>0</v>
      </c>
      <c r="AJ47" s="86">
        <f>+AH47+AI47</f>
        <v>155600</v>
      </c>
      <c r="AK47" s="172"/>
    </row>
    <row r="48" spans="1:37" s="79" customFormat="1" ht="15.4">
      <c r="A48" s="67" t="s">
        <v>119</v>
      </c>
      <c r="B48" s="339">
        <v>1</v>
      </c>
      <c r="C48" s="378" t="s">
        <v>54</v>
      </c>
      <c r="D48" s="340">
        <v>5</v>
      </c>
      <c r="E48" s="341">
        <v>1</v>
      </c>
      <c r="F48" s="342">
        <v>3500</v>
      </c>
      <c r="G48" s="342">
        <f t="shared" ref="G48:G50" si="44">B48*F48*D48</f>
        <v>17500</v>
      </c>
      <c r="H48" s="342">
        <f t="shared" ref="H48:H50" si="45">G48</f>
        <v>17500</v>
      </c>
      <c r="I48" s="343">
        <f t="shared" ref="I48:I50" si="46">G48-H48</f>
        <v>0</v>
      </c>
      <c r="J48" s="339">
        <v>1</v>
      </c>
      <c r="K48" s="379" t="s">
        <v>54</v>
      </c>
      <c r="L48" s="340">
        <v>5</v>
      </c>
      <c r="M48" s="345">
        <v>1</v>
      </c>
      <c r="N48" s="342">
        <v>3500</v>
      </c>
      <c r="O48" s="342">
        <f>J48*N48*L48*M48</f>
        <v>17500</v>
      </c>
      <c r="P48" s="342">
        <f t="shared" si="41"/>
        <v>17500</v>
      </c>
      <c r="Q48" s="343">
        <f t="shared" si="42"/>
        <v>0</v>
      </c>
      <c r="R48" s="123"/>
      <c r="S48" s="124"/>
      <c r="T48" s="125"/>
      <c r="U48" s="114"/>
      <c r="V48" s="85"/>
      <c r="W48" s="85"/>
      <c r="X48" s="85"/>
      <c r="Y48" s="86"/>
      <c r="Z48" s="123"/>
      <c r="AA48" s="124"/>
      <c r="AB48" s="125"/>
      <c r="AC48" s="114"/>
      <c r="AD48" s="85"/>
      <c r="AE48" s="85"/>
      <c r="AF48" s="85"/>
      <c r="AG48" s="86"/>
      <c r="AH48" s="87">
        <f t="shared" si="43"/>
        <v>35000</v>
      </c>
      <c r="AI48" s="85">
        <f t="shared" si="43"/>
        <v>0</v>
      </c>
      <c r="AJ48" s="86">
        <f t="shared" ref="AJ48:AJ60" si="47">+AH48+AI48</f>
        <v>35000</v>
      </c>
      <c r="AK48" s="172"/>
    </row>
    <row r="49" spans="1:40" s="79" customFormat="1" ht="15.4">
      <c r="A49" s="297" t="s">
        <v>121</v>
      </c>
      <c r="B49" s="339">
        <v>1</v>
      </c>
      <c r="C49" s="378" t="s">
        <v>54</v>
      </c>
      <c r="D49" s="340">
        <v>2</v>
      </c>
      <c r="E49" s="341">
        <v>1</v>
      </c>
      <c r="F49" s="342">
        <v>3000</v>
      </c>
      <c r="G49" s="342">
        <f t="shared" si="44"/>
        <v>6000</v>
      </c>
      <c r="H49" s="342">
        <f t="shared" si="45"/>
        <v>6000</v>
      </c>
      <c r="I49" s="343">
        <f t="shared" si="46"/>
        <v>0</v>
      </c>
      <c r="J49" s="339">
        <v>1</v>
      </c>
      <c r="K49" s="379" t="s">
        <v>54</v>
      </c>
      <c r="L49" s="340">
        <v>2</v>
      </c>
      <c r="M49" s="345">
        <v>1</v>
      </c>
      <c r="N49" s="342">
        <v>3000</v>
      </c>
      <c r="O49" s="342">
        <f>J49*N49*L49*M49</f>
        <v>6000</v>
      </c>
      <c r="P49" s="342">
        <f t="shared" si="41"/>
        <v>6000</v>
      </c>
      <c r="Q49" s="343">
        <f t="shared" si="42"/>
        <v>0</v>
      </c>
      <c r="R49" s="123"/>
      <c r="S49" s="124"/>
      <c r="T49" s="125"/>
      <c r="U49" s="114"/>
      <c r="V49" s="85"/>
      <c r="W49" s="85"/>
      <c r="X49" s="85"/>
      <c r="Y49" s="86"/>
      <c r="Z49" s="123"/>
      <c r="AA49" s="124"/>
      <c r="AB49" s="125"/>
      <c r="AC49" s="114"/>
      <c r="AD49" s="85"/>
      <c r="AE49" s="85"/>
      <c r="AF49" s="85"/>
      <c r="AG49" s="86"/>
      <c r="AH49" s="87">
        <f t="shared" si="43"/>
        <v>12000</v>
      </c>
      <c r="AI49" s="85">
        <f t="shared" si="43"/>
        <v>0</v>
      </c>
      <c r="AJ49" s="86">
        <f t="shared" si="47"/>
        <v>12000</v>
      </c>
      <c r="AK49" s="172"/>
    </row>
    <row r="50" spans="1:40" s="79" customFormat="1" ht="15.4">
      <c r="A50" s="67" t="s">
        <v>123</v>
      </c>
      <c r="B50" s="325">
        <v>0</v>
      </c>
      <c r="C50" s="422" t="s">
        <v>124</v>
      </c>
      <c r="D50" s="327">
        <v>0</v>
      </c>
      <c r="E50" s="383">
        <v>1</v>
      </c>
      <c r="F50" s="329">
        <v>12000</v>
      </c>
      <c r="G50" s="329">
        <f t="shared" si="44"/>
        <v>0</v>
      </c>
      <c r="H50" s="329">
        <f t="shared" si="45"/>
        <v>0</v>
      </c>
      <c r="I50" s="330">
        <f t="shared" si="46"/>
        <v>0</v>
      </c>
      <c r="J50" s="425">
        <v>1</v>
      </c>
      <c r="K50" s="426" t="s">
        <v>124</v>
      </c>
      <c r="L50" s="427">
        <v>1</v>
      </c>
      <c r="M50" s="428">
        <v>0.45</v>
      </c>
      <c r="N50" s="429">
        <v>12000</v>
      </c>
      <c r="O50" s="429">
        <f>J50*N50*L50*M50</f>
        <v>5400</v>
      </c>
      <c r="P50" s="429">
        <f t="shared" si="41"/>
        <v>5400</v>
      </c>
      <c r="Q50" s="430">
        <f t="shared" si="42"/>
        <v>0</v>
      </c>
      <c r="R50" s="425">
        <v>1</v>
      </c>
      <c r="S50" s="426" t="s">
        <v>124</v>
      </c>
      <c r="T50" s="427">
        <v>1</v>
      </c>
      <c r="U50" s="428">
        <v>0.45</v>
      </c>
      <c r="V50" s="429">
        <v>12000</v>
      </c>
      <c r="W50" s="429">
        <f t="shared" ref="W50:W60" si="48">R50*V50*T50*U50</f>
        <v>5400</v>
      </c>
      <c r="X50" s="429">
        <f t="shared" ref="X50:X60" si="49">W50</f>
        <v>5400</v>
      </c>
      <c r="Y50" s="430">
        <f t="shared" ref="Y50:Y60" si="50">W50-X50</f>
        <v>0</v>
      </c>
      <c r="Z50" s="425">
        <v>1</v>
      </c>
      <c r="AA50" s="426" t="s">
        <v>124</v>
      </c>
      <c r="AB50" s="427">
        <v>1</v>
      </c>
      <c r="AC50" s="428">
        <v>0.1</v>
      </c>
      <c r="AD50" s="429">
        <v>12000</v>
      </c>
      <c r="AE50" s="429">
        <f t="shared" ref="AE50:AE60" si="51">Z50*AD50*AB50*AC50</f>
        <v>1200</v>
      </c>
      <c r="AF50" s="429">
        <f t="shared" ref="AF50:AF60" si="52">AE50</f>
        <v>1200</v>
      </c>
      <c r="AG50" s="430">
        <f t="shared" ref="AG50:AG60" si="53">AE50-AF50</f>
        <v>0</v>
      </c>
      <c r="AH50" s="87">
        <f t="shared" si="43"/>
        <v>12000</v>
      </c>
      <c r="AI50" s="85">
        <f t="shared" si="43"/>
        <v>0</v>
      </c>
      <c r="AJ50" s="86">
        <f t="shared" si="47"/>
        <v>12000</v>
      </c>
    </row>
    <row r="51" spans="1:40" s="97" customFormat="1" ht="15.4">
      <c r="A51" s="165" t="s">
        <v>125</v>
      </c>
      <c r="B51" s="325"/>
      <c r="C51" s="422"/>
      <c r="D51" s="327"/>
      <c r="E51" s="383"/>
      <c r="F51" s="329"/>
      <c r="G51" s="329"/>
      <c r="H51" s="329"/>
      <c r="I51" s="330"/>
      <c r="J51" s="72"/>
      <c r="K51" s="73"/>
      <c r="L51" s="74"/>
      <c r="M51" s="75"/>
      <c r="N51" s="76"/>
      <c r="O51" s="76"/>
      <c r="P51" s="76"/>
      <c r="Q51" s="77"/>
      <c r="R51" s="72"/>
      <c r="S51" s="73"/>
      <c r="T51" s="74"/>
      <c r="U51" s="75"/>
      <c r="V51" s="76"/>
      <c r="W51" s="76"/>
      <c r="X51" s="76"/>
      <c r="Y51" s="77"/>
      <c r="Z51" s="72"/>
      <c r="AA51" s="73"/>
      <c r="AB51" s="74"/>
      <c r="AC51" s="75"/>
      <c r="AD51" s="76"/>
      <c r="AE51" s="76"/>
      <c r="AF51" s="76"/>
      <c r="AG51" s="77"/>
      <c r="AH51" s="87"/>
      <c r="AI51" s="85"/>
      <c r="AJ51" s="86"/>
    </row>
    <row r="52" spans="1:40" s="79" customFormat="1" ht="15.4">
      <c r="A52" s="297" t="s">
        <v>127</v>
      </c>
      <c r="B52" s="339">
        <v>1</v>
      </c>
      <c r="C52" s="378" t="s">
        <v>124</v>
      </c>
      <c r="D52" s="340">
        <v>1</v>
      </c>
      <c r="E52" s="341">
        <v>1</v>
      </c>
      <c r="F52" s="342">
        <v>25000</v>
      </c>
      <c r="G52" s="342">
        <f t="shared" ref="G52:G57" si="54">B52*F52*D52</f>
        <v>25000</v>
      </c>
      <c r="H52" s="342">
        <f t="shared" ref="H52:H57" si="55">G52</f>
        <v>25000</v>
      </c>
      <c r="I52" s="343">
        <f t="shared" ref="I52:I57" si="56">G52-H52</f>
        <v>0</v>
      </c>
      <c r="J52" s="425">
        <v>1</v>
      </c>
      <c r="K52" s="426" t="s">
        <v>124</v>
      </c>
      <c r="L52" s="427">
        <v>1</v>
      </c>
      <c r="M52" s="428">
        <v>0.25</v>
      </c>
      <c r="N52" s="429">
        <v>28000</v>
      </c>
      <c r="O52" s="429">
        <f t="shared" ref="O52:O60" si="57">J52*N52*L52*M52</f>
        <v>7000</v>
      </c>
      <c r="P52" s="429">
        <f t="shared" si="41"/>
        <v>7000</v>
      </c>
      <c r="Q52" s="430">
        <f t="shared" si="42"/>
        <v>0</v>
      </c>
      <c r="R52" s="425">
        <v>1</v>
      </c>
      <c r="S52" s="426" t="s">
        <v>124</v>
      </c>
      <c r="T52" s="427">
        <v>1</v>
      </c>
      <c r="U52" s="428">
        <v>0.5</v>
      </c>
      <c r="V52" s="429">
        <v>28000</v>
      </c>
      <c r="W52" s="429">
        <f t="shared" si="48"/>
        <v>14000</v>
      </c>
      <c r="X52" s="429">
        <f t="shared" si="49"/>
        <v>14000</v>
      </c>
      <c r="Y52" s="430">
        <f t="shared" si="50"/>
        <v>0</v>
      </c>
      <c r="Z52" s="425">
        <v>1</v>
      </c>
      <c r="AA52" s="426" t="s">
        <v>124</v>
      </c>
      <c r="AB52" s="427">
        <v>1</v>
      </c>
      <c r="AC52" s="428">
        <v>0.25</v>
      </c>
      <c r="AD52" s="429">
        <v>28000</v>
      </c>
      <c r="AE52" s="429">
        <f t="shared" si="51"/>
        <v>7000</v>
      </c>
      <c r="AF52" s="429">
        <f t="shared" si="52"/>
        <v>7000</v>
      </c>
      <c r="AG52" s="430">
        <f t="shared" si="53"/>
        <v>0</v>
      </c>
      <c r="AH52" s="87">
        <f t="shared" ref="AH52:AH60" si="58">H52+P52+X52+AF52</f>
        <v>53000</v>
      </c>
      <c r="AI52" s="85">
        <f t="shared" ref="AI52:AI60" si="59">I52+Q52+Y52+AG52</f>
        <v>0</v>
      </c>
      <c r="AJ52" s="86">
        <f t="shared" si="47"/>
        <v>53000</v>
      </c>
    </row>
    <row r="53" spans="1:40" s="79" customFormat="1" ht="15.4">
      <c r="A53" s="67" t="s">
        <v>129</v>
      </c>
      <c r="B53" s="339">
        <v>1</v>
      </c>
      <c r="C53" s="378" t="s">
        <v>124</v>
      </c>
      <c r="D53" s="340">
        <v>1</v>
      </c>
      <c r="E53" s="341">
        <v>1</v>
      </c>
      <c r="F53" s="342">
        <v>20000</v>
      </c>
      <c r="G53" s="342">
        <f t="shared" si="54"/>
        <v>20000</v>
      </c>
      <c r="H53" s="342">
        <f t="shared" si="55"/>
        <v>20000</v>
      </c>
      <c r="I53" s="343">
        <f t="shared" si="56"/>
        <v>0</v>
      </c>
      <c r="J53" s="339">
        <v>0</v>
      </c>
      <c r="K53" s="379" t="s">
        <v>124</v>
      </c>
      <c r="L53" s="340">
        <v>0</v>
      </c>
      <c r="M53" s="345">
        <v>0</v>
      </c>
      <c r="N53" s="342">
        <v>20000</v>
      </c>
      <c r="O53" s="342">
        <f t="shared" si="57"/>
        <v>0</v>
      </c>
      <c r="P53" s="342">
        <f t="shared" si="41"/>
        <v>0</v>
      </c>
      <c r="Q53" s="343">
        <f t="shared" si="42"/>
        <v>0</v>
      </c>
      <c r="R53" s="123"/>
      <c r="S53" s="124"/>
      <c r="T53" s="125"/>
      <c r="U53" s="114"/>
      <c r="V53" s="85"/>
      <c r="W53" s="85"/>
      <c r="X53" s="85"/>
      <c r="Y53" s="86"/>
      <c r="Z53" s="123"/>
      <c r="AA53" s="124"/>
      <c r="AB53" s="125"/>
      <c r="AC53" s="114"/>
      <c r="AD53" s="85"/>
      <c r="AE53" s="85"/>
      <c r="AF53" s="85"/>
      <c r="AG53" s="86"/>
      <c r="AH53" s="87">
        <f t="shared" si="58"/>
        <v>20000</v>
      </c>
      <c r="AI53" s="85">
        <f t="shared" si="59"/>
        <v>0</v>
      </c>
      <c r="AJ53" s="86">
        <f t="shared" si="47"/>
        <v>20000</v>
      </c>
    </row>
    <row r="54" spans="1:40" s="79" customFormat="1" ht="15.4">
      <c r="A54" s="67" t="s">
        <v>131</v>
      </c>
      <c r="B54" s="339">
        <v>1</v>
      </c>
      <c r="C54" s="378" t="s">
        <v>54</v>
      </c>
      <c r="D54" s="340">
        <v>12</v>
      </c>
      <c r="E54" s="341">
        <v>1</v>
      </c>
      <c r="F54" s="342">
        <v>300</v>
      </c>
      <c r="G54" s="342">
        <f t="shared" si="54"/>
        <v>3600</v>
      </c>
      <c r="H54" s="342">
        <f t="shared" si="55"/>
        <v>3600</v>
      </c>
      <c r="I54" s="343">
        <f t="shared" si="56"/>
        <v>0</v>
      </c>
      <c r="J54" s="339">
        <v>1</v>
      </c>
      <c r="K54" s="379" t="s">
        <v>54</v>
      </c>
      <c r="L54" s="340">
        <v>12</v>
      </c>
      <c r="M54" s="345">
        <v>1</v>
      </c>
      <c r="N54" s="342">
        <v>300</v>
      </c>
      <c r="O54" s="342">
        <f t="shared" si="57"/>
        <v>3600</v>
      </c>
      <c r="P54" s="342">
        <f t="shared" si="41"/>
        <v>3600</v>
      </c>
      <c r="Q54" s="343">
        <f t="shared" si="42"/>
        <v>0</v>
      </c>
      <c r="R54" s="123"/>
      <c r="S54" s="124"/>
      <c r="T54" s="125"/>
      <c r="U54" s="114"/>
      <c r="V54" s="85"/>
      <c r="W54" s="85"/>
      <c r="X54" s="85"/>
      <c r="Y54" s="86"/>
      <c r="Z54" s="123"/>
      <c r="AA54" s="124"/>
      <c r="AB54" s="125"/>
      <c r="AC54" s="114"/>
      <c r="AD54" s="85"/>
      <c r="AE54" s="85"/>
      <c r="AF54" s="85"/>
      <c r="AG54" s="86"/>
      <c r="AH54" s="87">
        <f t="shared" si="58"/>
        <v>7200</v>
      </c>
      <c r="AI54" s="85">
        <f t="shared" si="59"/>
        <v>0</v>
      </c>
      <c r="AJ54" s="86">
        <f t="shared" si="47"/>
        <v>7200</v>
      </c>
    </row>
    <row r="55" spans="1:40" ht="15.4">
      <c r="A55" s="166" t="s">
        <v>133</v>
      </c>
      <c r="B55" s="325">
        <v>0</v>
      </c>
      <c r="C55" s="327" t="s">
        <v>134</v>
      </c>
      <c r="D55" s="327">
        <v>0</v>
      </c>
      <c r="E55" s="383">
        <v>1</v>
      </c>
      <c r="F55" s="329">
        <v>20000</v>
      </c>
      <c r="G55" s="329">
        <f>B55*F55*D55</f>
        <v>0</v>
      </c>
      <c r="H55" s="329">
        <f t="shared" si="55"/>
        <v>0</v>
      </c>
      <c r="I55" s="330">
        <f t="shared" si="56"/>
        <v>0</v>
      </c>
      <c r="J55" s="363">
        <v>1</v>
      </c>
      <c r="K55" s="365" t="s">
        <v>124</v>
      </c>
      <c r="L55" s="427">
        <v>1</v>
      </c>
      <c r="M55" s="428">
        <f>1/3</f>
        <v>0.33333333333333331</v>
      </c>
      <c r="N55" s="431">
        <v>20000</v>
      </c>
      <c r="O55" s="429">
        <f t="shared" si="57"/>
        <v>6666.6666666666661</v>
      </c>
      <c r="P55" s="429">
        <f t="shared" si="41"/>
        <v>6666.6666666666661</v>
      </c>
      <c r="Q55" s="430">
        <f t="shared" si="42"/>
        <v>0</v>
      </c>
      <c r="R55" s="425">
        <v>1</v>
      </c>
      <c r="S55" s="365" t="s">
        <v>124</v>
      </c>
      <c r="T55" s="427">
        <v>1</v>
      </c>
      <c r="U55" s="428">
        <f>1/3</f>
        <v>0.33333333333333331</v>
      </c>
      <c r="V55" s="431">
        <v>20000</v>
      </c>
      <c r="W55" s="429">
        <f t="shared" si="48"/>
        <v>6666.6666666666661</v>
      </c>
      <c r="X55" s="429">
        <f t="shared" si="49"/>
        <v>6666.6666666666661</v>
      </c>
      <c r="Y55" s="430">
        <f t="shared" si="50"/>
        <v>0</v>
      </c>
      <c r="Z55" s="425">
        <v>1</v>
      </c>
      <c r="AA55" s="365" t="s">
        <v>124</v>
      </c>
      <c r="AB55" s="427">
        <v>1</v>
      </c>
      <c r="AC55" s="428">
        <f>1/3</f>
        <v>0.33333333333333331</v>
      </c>
      <c r="AD55" s="431">
        <v>20000</v>
      </c>
      <c r="AE55" s="429">
        <f t="shared" si="51"/>
        <v>6666.6666666666661</v>
      </c>
      <c r="AF55" s="429">
        <f t="shared" si="52"/>
        <v>6666.6666666666661</v>
      </c>
      <c r="AG55" s="430">
        <f t="shared" si="53"/>
        <v>0</v>
      </c>
      <c r="AH55" s="87">
        <f t="shared" si="58"/>
        <v>20000</v>
      </c>
      <c r="AI55" s="85">
        <f t="shared" si="59"/>
        <v>0</v>
      </c>
      <c r="AJ55" s="86">
        <f t="shared" si="47"/>
        <v>20000</v>
      </c>
    </row>
    <row r="56" spans="1:40" s="79" customFormat="1" ht="15.4">
      <c r="A56" s="67" t="s">
        <v>136</v>
      </c>
      <c r="B56" s="325">
        <v>0</v>
      </c>
      <c r="C56" s="422" t="s">
        <v>124</v>
      </c>
      <c r="D56" s="327">
        <v>0</v>
      </c>
      <c r="E56" s="383">
        <v>1</v>
      </c>
      <c r="F56" s="329">
        <v>40000</v>
      </c>
      <c r="G56" s="329">
        <f t="shared" si="54"/>
        <v>0</v>
      </c>
      <c r="H56" s="329">
        <f t="shared" si="55"/>
        <v>0</v>
      </c>
      <c r="I56" s="330">
        <f t="shared" si="56"/>
        <v>0</v>
      </c>
      <c r="J56" s="425">
        <v>0</v>
      </c>
      <c r="K56" s="426" t="s">
        <v>124</v>
      </c>
      <c r="L56" s="427">
        <v>0</v>
      </c>
      <c r="M56" s="428">
        <v>0</v>
      </c>
      <c r="N56" s="429">
        <v>40000</v>
      </c>
      <c r="O56" s="429">
        <f t="shared" si="57"/>
        <v>0</v>
      </c>
      <c r="P56" s="429">
        <f t="shared" si="41"/>
        <v>0</v>
      </c>
      <c r="Q56" s="430">
        <f t="shared" si="42"/>
        <v>0</v>
      </c>
      <c r="R56" s="425">
        <v>1</v>
      </c>
      <c r="S56" s="426" t="s">
        <v>124</v>
      </c>
      <c r="T56" s="427">
        <v>1</v>
      </c>
      <c r="U56" s="428">
        <v>1</v>
      </c>
      <c r="V56" s="429">
        <f>N56</f>
        <v>40000</v>
      </c>
      <c r="W56" s="429">
        <f t="shared" si="48"/>
        <v>40000</v>
      </c>
      <c r="X56" s="429">
        <f t="shared" si="49"/>
        <v>40000</v>
      </c>
      <c r="Y56" s="430">
        <f t="shared" si="50"/>
        <v>0</v>
      </c>
      <c r="Z56" s="425">
        <v>0</v>
      </c>
      <c r="AA56" s="426" t="s">
        <v>124</v>
      </c>
      <c r="AB56" s="427">
        <v>0</v>
      </c>
      <c r="AC56" s="428">
        <v>0</v>
      </c>
      <c r="AD56" s="429">
        <v>40000</v>
      </c>
      <c r="AE56" s="429">
        <f>Z56*AD56*AB56*AC56</f>
        <v>0</v>
      </c>
      <c r="AF56" s="429">
        <f t="shared" si="52"/>
        <v>0</v>
      </c>
      <c r="AG56" s="430">
        <f t="shared" si="53"/>
        <v>0</v>
      </c>
      <c r="AH56" s="87">
        <f t="shared" si="58"/>
        <v>40000</v>
      </c>
      <c r="AI56" s="85">
        <f t="shared" si="59"/>
        <v>0</v>
      </c>
      <c r="AJ56" s="86">
        <f t="shared" si="47"/>
        <v>40000</v>
      </c>
    </row>
    <row r="57" spans="1:40" s="79" customFormat="1" ht="15.4">
      <c r="A57" s="67" t="s">
        <v>138</v>
      </c>
      <c r="B57" s="325">
        <v>0</v>
      </c>
      <c r="C57" s="422" t="s">
        <v>124</v>
      </c>
      <c r="D57" s="327">
        <v>0</v>
      </c>
      <c r="E57" s="383">
        <v>1</v>
      </c>
      <c r="F57" s="329">
        <v>400000</v>
      </c>
      <c r="G57" s="329">
        <f t="shared" si="54"/>
        <v>0</v>
      </c>
      <c r="H57" s="329">
        <f t="shared" si="55"/>
        <v>0</v>
      </c>
      <c r="I57" s="330">
        <f t="shared" si="56"/>
        <v>0</v>
      </c>
      <c r="J57" s="425">
        <v>0</v>
      </c>
      <c r="K57" s="426" t="s">
        <v>124</v>
      </c>
      <c r="L57" s="427">
        <v>0</v>
      </c>
      <c r="M57" s="428">
        <v>0</v>
      </c>
      <c r="N57" s="429">
        <v>400000</v>
      </c>
      <c r="O57" s="429">
        <f t="shared" si="57"/>
        <v>0</v>
      </c>
      <c r="P57" s="429">
        <f t="shared" si="41"/>
        <v>0</v>
      </c>
      <c r="Q57" s="430">
        <f t="shared" si="42"/>
        <v>0</v>
      </c>
      <c r="R57" s="425">
        <v>1</v>
      </c>
      <c r="S57" s="426" t="s">
        <v>124</v>
      </c>
      <c r="T57" s="427">
        <v>1</v>
      </c>
      <c r="U57" s="428">
        <v>1</v>
      </c>
      <c r="V57" s="429">
        <v>400000</v>
      </c>
      <c r="W57" s="429">
        <f t="shared" si="48"/>
        <v>400000</v>
      </c>
      <c r="X57" s="429">
        <f t="shared" si="49"/>
        <v>400000</v>
      </c>
      <c r="Y57" s="430">
        <f t="shared" si="50"/>
        <v>0</v>
      </c>
      <c r="Z57" s="425">
        <v>0</v>
      </c>
      <c r="AA57" s="426" t="s">
        <v>124</v>
      </c>
      <c r="AB57" s="427">
        <v>0</v>
      </c>
      <c r="AC57" s="428">
        <v>0</v>
      </c>
      <c r="AD57" s="429">
        <v>400000</v>
      </c>
      <c r="AE57" s="429">
        <f t="shared" si="51"/>
        <v>0</v>
      </c>
      <c r="AF57" s="429">
        <f t="shared" si="52"/>
        <v>0</v>
      </c>
      <c r="AG57" s="430">
        <f t="shared" si="53"/>
        <v>0</v>
      </c>
      <c r="AH57" s="87">
        <f t="shared" si="58"/>
        <v>400000</v>
      </c>
      <c r="AI57" s="85">
        <f t="shared" si="59"/>
        <v>0</v>
      </c>
      <c r="AJ57" s="86">
        <f t="shared" si="47"/>
        <v>400000</v>
      </c>
    </row>
    <row r="58" spans="1:40" s="79" customFormat="1" ht="15.4">
      <c r="A58" s="67" t="s">
        <v>140</v>
      </c>
      <c r="B58" s="325">
        <v>0</v>
      </c>
      <c r="C58" s="422" t="s">
        <v>124</v>
      </c>
      <c r="D58" s="327">
        <v>0</v>
      </c>
      <c r="E58" s="383">
        <v>1</v>
      </c>
      <c r="F58" s="329">
        <v>37283</v>
      </c>
      <c r="G58" s="329">
        <f>B58*F58*D58</f>
        <v>0</v>
      </c>
      <c r="H58" s="329">
        <f>G58</f>
        <v>0</v>
      </c>
      <c r="I58" s="330">
        <f>G58-H58</f>
        <v>0</v>
      </c>
      <c r="J58" s="425">
        <v>1</v>
      </c>
      <c r="K58" s="426" t="s">
        <v>124</v>
      </c>
      <c r="L58" s="427">
        <v>1</v>
      </c>
      <c r="M58" s="428">
        <v>0.25</v>
      </c>
      <c r="N58" s="429">
        <v>37283</v>
      </c>
      <c r="O58" s="429">
        <f t="shared" si="57"/>
        <v>9320.75</v>
      </c>
      <c r="P58" s="429">
        <f t="shared" si="41"/>
        <v>9320.75</v>
      </c>
      <c r="Q58" s="430">
        <f t="shared" si="42"/>
        <v>0</v>
      </c>
      <c r="R58" s="425">
        <v>1</v>
      </c>
      <c r="S58" s="426" t="s">
        <v>124</v>
      </c>
      <c r="T58" s="427">
        <v>1</v>
      </c>
      <c r="U58" s="428">
        <v>0.5</v>
      </c>
      <c r="V58" s="429">
        <f>N58</f>
        <v>37283</v>
      </c>
      <c r="W58" s="429">
        <f t="shared" si="48"/>
        <v>18641.5</v>
      </c>
      <c r="X58" s="429">
        <f t="shared" si="49"/>
        <v>18641.5</v>
      </c>
      <c r="Y58" s="430">
        <f t="shared" si="50"/>
        <v>0</v>
      </c>
      <c r="Z58" s="425">
        <v>1</v>
      </c>
      <c r="AA58" s="426" t="s">
        <v>124</v>
      </c>
      <c r="AB58" s="427">
        <v>1</v>
      </c>
      <c r="AC58" s="428">
        <v>0.25</v>
      </c>
      <c r="AD58" s="429">
        <f>V58</f>
        <v>37283</v>
      </c>
      <c r="AE58" s="429">
        <f t="shared" si="51"/>
        <v>9320.75</v>
      </c>
      <c r="AF58" s="429">
        <f t="shared" si="52"/>
        <v>9320.75</v>
      </c>
      <c r="AG58" s="430">
        <f t="shared" si="53"/>
        <v>0</v>
      </c>
      <c r="AH58" s="87">
        <f t="shared" si="58"/>
        <v>37283</v>
      </c>
      <c r="AI58" s="85">
        <f t="shared" si="59"/>
        <v>0</v>
      </c>
      <c r="AJ58" s="86">
        <f t="shared" si="47"/>
        <v>37283</v>
      </c>
    </row>
    <row r="59" spans="1:40" s="79" customFormat="1" ht="15.4">
      <c r="A59" s="297" t="s">
        <v>142</v>
      </c>
      <c r="B59" s="325">
        <v>0</v>
      </c>
      <c r="C59" s="422" t="s">
        <v>124</v>
      </c>
      <c r="D59" s="327">
        <v>0</v>
      </c>
      <c r="E59" s="383">
        <v>1</v>
      </c>
      <c r="F59" s="329">
        <v>5000</v>
      </c>
      <c r="G59" s="329">
        <f>B59*F59*D59</f>
        <v>0</v>
      </c>
      <c r="H59" s="329">
        <f>G59</f>
        <v>0</v>
      </c>
      <c r="I59" s="330">
        <f>G59-H59</f>
        <v>0</v>
      </c>
      <c r="J59" s="425">
        <v>0</v>
      </c>
      <c r="K59" s="426" t="s">
        <v>124</v>
      </c>
      <c r="L59" s="427">
        <v>0</v>
      </c>
      <c r="M59" s="428">
        <v>0</v>
      </c>
      <c r="N59" s="429">
        <v>5000</v>
      </c>
      <c r="O59" s="429">
        <f t="shared" si="57"/>
        <v>0</v>
      </c>
      <c r="P59" s="429">
        <f t="shared" si="41"/>
        <v>0</v>
      </c>
      <c r="Q59" s="430">
        <f t="shared" si="42"/>
        <v>0</v>
      </c>
      <c r="R59" s="425">
        <v>1</v>
      </c>
      <c r="S59" s="426" t="s">
        <v>124</v>
      </c>
      <c r="T59" s="427">
        <v>1</v>
      </c>
      <c r="U59" s="428">
        <v>0.5</v>
      </c>
      <c r="V59" s="429">
        <v>5000</v>
      </c>
      <c r="W59" s="429">
        <f t="shared" si="48"/>
        <v>2500</v>
      </c>
      <c r="X59" s="429">
        <f t="shared" si="49"/>
        <v>2500</v>
      </c>
      <c r="Y59" s="430">
        <f t="shared" si="50"/>
        <v>0</v>
      </c>
      <c r="Z59" s="425">
        <v>1</v>
      </c>
      <c r="AA59" s="426" t="s">
        <v>124</v>
      </c>
      <c r="AB59" s="427">
        <v>1</v>
      </c>
      <c r="AC59" s="428">
        <v>0.5</v>
      </c>
      <c r="AD59" s="429">
        <v>5000</v>
      </c>
      <c r="AE59" s="429">
        <f t="shared" si="51"/>
        <v>2500</v>
      </c>
      <c r="AF59" s="429">
        <f t="shared" si="52"/>
        <v>2500</v>
      </c>
      <c r="AG59" s="430">
        <f t="shared" si="53"/>
        <v>0</v>
      </c>
      <c r="AH59" s="87">
        <f t="shared" si="58"/>
        <v>5000</v>
      </c>
      <c r="AI59" s="85">
        <f t="shared" si="59"/>
        <v>0</v>
      </c>
      <c r="AJ59" s="86">
        <f t="shared" si="47"/>
        <v>5000</v>
      </c>
    </row>
    <row r="60" spans="1:40" s="79" customFormat="1" ht="19.5" customHeight="1">
      <c r="A60" s="297" t="s">
        <v>144</v>
      </c>
      <c r="B60" s="325">
        <v>0</v>
      </c>
      <c r="C60" s="422" t="s">
        <v>124</v>
      </c>
      <c r="D60" s="327">
        <v>0</v>
      </c>
      <c r="E60" s="383">
        <v>1</v>
      </c>
      <c r="F60" s="329">
        <v>225000</v>
      </c>
      <c r="G60" s="329">
        <f t="shared" ref="G60" si="60">B60*F60*D60</f>
        <v>0</v>
      </c>
      <c r="H60" s="329">
        <f t="shared" ref="H60" si="61">G60</f>
        <v>0</v>
      </c>
      <c r="I60" s="330">
        <f t="shared" ref="I60" si="62">G60-H60</f>
        <v>0</v>
      </c>
      <c r="J60" s="425">
        <v>1</v>
      </c>
      <c r="K60" s="426" t="s">
        <v>124</v>
      </c>
      <c r="L60" s="427">
        <v>1</v>
      </c>
      <c r="M60" s="428">
        <v>1</v>
      </c>
      <c r="N60" s="429">
        <v>225000</v>
      </c>
      <c r="O60" s="429">
        <f t="shared" si="57"/>
        <v>225000</v>
      </c>
      <c r="P60" s="429">
        <f t="shared" si="41"/>
        <v>225000</v>
      </c>
      <c r="Q60" s="430">
        <f t="shared" si="42"/>
        <v>0</v>
      </c>
      <c r="R60" s="425">
        <v>0</v>
      </c>
      <c r="S60" s="426" t="s">
        <v>124</v>
      </c>
      <c r="T60" s="427">
        <v>0</v>
      </c>
      <c r="U60" s="428">
        <v>1</v>
      </c>
      <c r="V60" s="429">
        <f>N60*$B$3</f>
        <v>234000</v>
      </c>
      <c r="W60" s="429">
        <f t="shared" si="48"/>
        <v>0</v>
      </c>
      <c r="X60" s="429">
        <f t="shared" si="49"/>
        <v>0</v>
      </c>
      <c r="Y60" s="430">
        <f t="shared" si="50"/>
        <v>0</v>
      </c>
      <c r="Z60" s="425">
        <v>0</v>
      </c>
      <c r="AA60" s="426" t="s">
        <v>124</v>
      </c>
      <c r="AB60" s="427">
        <v>0</v>
      </c>
      <c r="AC60" s="428">
        <v>1</v>
      </c>
      <c r="AD60" s="429">
        <f>V60*$B$3</f>
        <v>243360</v>
      </c>
      <c r="AE60" s="429">
        <f t="shared" si="51"/>
        <v>0</v>
      </c>
      <c r="AF60" s="429">
        <f t="shared" si="52"/>
        <v>0</v>
      </c>
      <c r="AG60" s="430">
        <f t="shared" si="53"/>
        <v>0</v>
      </c>
      <c r="AH60" s="87">
        <f t="shared" si="58"/>
        <v>225000</v>
      </c>
      <c r="AI60" s="85">
        <f t="shared" si="59"/>
        <v>0</v>
      </c>
      <c r="AJ60" s="86">
        <f t="shared" si="47"/>
        <v>225000</v>
      </c>
      <c r="AL60" s="173"/>
    </row>
    <row r="61" spans="1:40" s="97" customFormat="1" ht="15">
      <c r="A61" s="89" t="s">
        <v>145</v>
      </c>
      <c r="B61" s="187"/>
      <c r="C61" s="130"/>
      <c r="D61" s="188"/>
      <c r="E61" s="132"/>
      <c r="F61" s="133"/>
      <c r="G61" s="133">
        <f>SUM(G47:G60)</f>
        <v>115900</v>
      </c>
      <c r="H61" s="133">
        <f>SUM(H47:H60)</f>
        <v>115900</v>
      </c>
      <c r="I61" s="133">
        <f>SUM(I47:I60)</f>
        <v>0</v>
      </c>
      <c r="J61" s="153"/>
      <c r="K61" s="154"/>
      <c r="L61" s="155"/>
      <c r="M61" s="94"/>
      <c r="N61" s="91"/>
      <c r="O61" s="91">
        <f>SUM(O47:O60)</f>
        <v>324287.41666666669</v>
      </c>
      <c r="P61" s="91">
        <f>SUM(P47:P60)</f>
        <v>324287.41666666669</v>
      </c>
      <c r="Q61" s="96">
        <f>SUM(Q47:Q57)</f>
        <v>0</v>
      </c>
      <c r="R61" s="153"/>
      <c r="S61" s="154"/>
      <c r="T61" s="155"/>
      <c r="U61" s="94"/>
      <c r="V61" s="91"/>
      <c r="W61" s="91">
        <f>SUM(W47:W60)</f>
        <v>535208.16666666674</v>
      </c>
      <c r="X61" s="91">
        <f>SUM(X47:X60)</f>
        <v>535208.16666666674</v>
      </c>
      <c r="Y61" s="96">
        <f>SUM(Y47:Y57)</f>
        <v>0</v>
      </c>
      <c r="Z61" s="153"/>
      <c r="AA61" s="154"/>
      <c r="AB61" s="155"/>
      <c r="AC61" s="94"/>
      <c r="AD61" s="91"/>
      <c r="AE61" s="91">
        <f>SUM(AE47:AE60)</f>
        <v>46687.416666666664</v>
      </c>
      <c r="AF61" s="91">
        <f>SUM(AF47:AF60)</f>
        <v>46687.416666666664</v>
      </c>
      <c r="AG61" s="96">
        <f>SUM(AG47:AG57)</f>
        <v>0</v>
      </c>
      <c r="AH61" s="95">
        <f>SUM(AH47:AH60)</f>
        <v>1022083</v>
      </c>
      <c r="AI61" s="95">
        <f>SUM(AI47:AI59)</f>
        <v>0</v>
      </c>
      <c r="AJ61" s="95">
        <f>SUM(AJ47:AJ60)</f>
        <v>1022083</v>
      </c>
      <c r="AK61" s="79"/>
      <c r="AL61" s="79"/>
      <c r="AM61" s="79"/>
      <c r="AN61" s="79"/>
    </row>
    <row r="62" spans="1:40" s="97" customFormat="1" ht="15.4">
      <c r="A62" s="98" t="s">
        <v>146</v>
      </c>
      <c r="B62" s="417"/>
      <c r="C62" s="418"/>
      <c r="D62" s="418"/>
      <c r="E62" s="419"/>
      <c r="F62" s="420"/>
      <c r="G62" s="420"/>
      <c r="H62" s="146"/>
      <c r="I62" s="147"/>
      <c r="J62" s="174"/>
      <c r="K62" s="179"/>
      <c r="L62" s="175"/>
      <c r="M62" s="180"/>
      <c r="N62" s="176"/>
      <c r="O62" s="176"/>
      <c r="P62" s="177"/>
      <c r="Q62" s="178"/>
      <c r="R62" s="174"/>
      <c r="S62" s="179"/>
      <c r="T62" s="175"/>
      <c r="U62" s="180"/>
      <c r="V62" s="176"/>
      <c r="W62" s="176"/>
      <c r="X62" s="177"/>
      <c r="Y62" s="178"/>
      <c r="Z62" s="174"/>
      <c r="AA62" s="179"/>
      <c r="AB62" s="175"/>
      <c r="AC62" s="180"/>
      <c r="AD62" s="176"/>
      <c r="AE62" s="176"/>
      <c r="AF62" s="177"/>
      <c r="AG62" s="178"/>
      <c r="AH62" s="181"/>
      <c r="AI62" s="177"/>
      <c r="AJ62" s="108"/>
    </row>
    <row r="63" spans="1:40" s="97" customFormat="1" ht="15.4">
      <c r="A63" s="182" t="s">
        <v>147</v>
      </c>
      <c r="B63" s="240"/>
      <c r="C63" s="241"/>
      <c r="D63" s="241"/>
      <c r="E63" s="416"/>
      <c r="F63" s="302"/>
      <c r="G63" s="302"/>
      <c r="H63" s="300"/>
      <c r="I63" s="421"/>
      <c r="J63" s="117"/>
      <c r="K63" s="118"/>
      <c r="L63" s="115"/>
      <c r="M63" s="119"/>
      <c r="N63" s="152"/>
      <c r="O63" s="152"/>
      <c r="P63" s="116"/>
      <c r="Q63" s="183"/>
      <c r="R63" s="117"/>
      <c r="S63" s="118"/>
      <c r="T63" s="115"/>
      <c r="U63" s="119"/>
      <c r="V63" s="152"/>
      <c r="W63" s="152"/>
      <c r="X63" s="116"/>
      <c r="Y63" s="183"/>
      <c r="Z63" s="117"/>
      <c r="AA63" s="118"/>
      <c r="AB63" s="115"/>
      <c r="AC63" s="119"/>
      <c r="AD63" s="152"/>
      <c r="AE63" s="152"/>
      <c r="AF63" s="116"/>
      <c r="AG63" s="183"/>
      <c r="AH63" s="184"/>
      <c r="AI63" s="152"/>
      <c r="AJ63" s="183"/>
    </row>
    <row r="64" spans="1:40" s="79" customFormat="1" ht="15.4">
      <c r="A64" s="67" t="s">
        <v>149</v>
      </c>
      <c r="B64" s="339">
        <v>1</v>
      </c>
      <c r="C64" s="340" t="s">
        <v>54</v>
      </c>
      <c r="D64" s="380">
        <v>12</v>
      </c>
      <c r="E64" s="341">
        <v>1</v>
      </c>
      <c r="F64" s="342">
        <v>350</v>
      </c>
      <c r="G64" s="342">
        <f t="shared" ref="G64:G72" si="63">B64*F64*D64*E64</f>
        <v>4200</v>
      </c>
      <c r="H64" s="342">
        <f t="shared" ref="H64:H73" si="64">G64</f>
        <v>4200</v>
      </c>
      <c r="I64" s="343">
        <f t="shared" ref="I64:I73" si="65">G64-H64</f>
        <v>0</v>
      </c>
      <c r="J64" s="339">
        <v>1</v>
      </c>
      <c r="K64" s="340" t="s">
        <v>54</v>
      </c>
      <c r="L64" s="340">
        <v>12</v>
      </c>
      <c r="M64" s="345">
        <v>1</v>
      </c>
      <c r="N64" s="342">
        <f t="shared" ref="N64:N72" si="66">F64*$B$3</f>
        <v>364</v>
      </c>
      <c r="O64" s="342">
        <f t="shared" ref="O64:O73" si="67">J64*N64*L64*M64</f>
        <v>4368</v>
      </c>
      <c r="P64" s="342">
        <f>O64</f>
        <v>4368</v>
      </c>
      <c r="Q64" s="343">
        <f>O64-P64</f>
        <v>0</v>
      </c>
      <c r="R64" s="425">
        <v>1</v>
      </c>
      <c r="S64" s="427" t="s">
        <v>54</v>
      </c>
      <c r="T64" s="427">
        <v>12</v>
      </c>
      <c r="U64" s="428">
        <v>1</v>
      </c>
      <c r="V64" s="429">
        <v>620</v>
      </c>
      <c r="W64" s="429">
        <f>R64*T64*V64*U64</f>
        <v>7440</v>
      </c>
      <c r="X64" s="429">
        <f t="shared" ref="X64:X73" si="68">W64</f>
        <v>7440</v>
      </c>
      <c r="Y64" s="430">
        <f t="shared" ref="Y64:Y73" si="69">W64-X64</f>
        <v>0</v>
      </c>
      <c r="Z64" s="425">
        <v>1</v>
      </c>
      <c r="AA64" s="427" t="s">
        <v>54</v>
      </c>
      <c r="AB64" s="427">
        <v>4</v>
      </c>
      <c r="AC64" s="428">
        <v>1</v>
      </c>
      <c r="AD64" s="429">
        <f>V64*$B$3</f>
        <v>644.80000000000007</v>
      </c>
      <c r="AE64" s="429">
        <f>Z64*AD64*AB64*AC64</f>
        <v>2579.2000000000003</v>
      </c>
      <c r="AF64" s="429">
        <f>AE64</f>
        <v>2579.2000000000003</v>
      </c>
      <c r="AG64" s="430">
        <f>AE64-AF64</f>
        <v>0</v>
      </c>
      <c r="AH64" s="453">
        <f t="shared" ref="AH64:AH73" si="70">H64+P64+X64+AF64</f>
        <v>18587.2</v>
      </c>
      <c r="AI64" s="236">
        <f t="shared" ref="AI64:AI73" si="71">I64+Q64+Y64+AG64</f>
        <v>0</v>
      </c>
      <c r="AJ64" s="237">
        <f>+AH64+AI64</f>
        <v>18587.2</v>
      </c>
    </row>
    <row r="65" spans="1:37" s="79" customFormat="1" ht="15.4">
      <c r="A65" s="67" t="s">
        <v>151</v>
      </c>
      <c r="B65" s="339">
        <v>1</v>
      </c>
      <c r="C65" s="340" t="s">
        <v>54</v>
      </c>
      <c r="D65" s="380">
        <v>12</v>
      </c>
      <c r="E65" s="341">
        <v>1</v>
      </c>
      <c r="F65" s="342">
        <v>35</v>
      </c>
      <c r="G65" s="342">
        <f t="shared" si="63"/>
        <v>420</v>
      </c>
      <c r="H65" s="342">
        <f t="shared" si="64"/>
        <v>420</v>
      </c>
      <c r="I65" s="343">
        <f t="shared" si="65"/>
        <v>0</v>
      </c>
      <c r="J65" s="339">
        <v>1</v>
      </c>
      <c r="K65" s="340" t="s">
        <v>54</v>
      </c>
      <c r="L65" s="340">
        <v>12</v>
      </c>
      <c r="M65" s="345">
        <v>1</v>
      </c>
      <c r="N65" s="342">
        <f t="shared" si="66"/>
        <v>36.4</v>
      </c>
      <c r="O65" s="342">
        <f t="shared" si="67"/>
        <v>436.79999999999995</v>
      </c>
      <c r="P65" s="342">
        <f t="shared" ref="P65:P72" si="72">O65</f>
        <v>436.79999999999995</v>
      </c>
      <c r="Q65" s="343">
        <f t="shared" ref="Q65:Q72" si="73">O65-P65</f>
        <v>0</v>
      </c>
      <c r="R65" s="425">
        <v>1</v>
      </c>
      <c r="S65" s="427" t="s">
        <v>54</v>
      </c>
      <c r="T65" s="427">
        <v>12</v>
      </c>
      <c r="U65" s="428">
        <v>1</v>
      </c>
      <c r="V65" s="429">
        <v>21.84</v>
      </c>
      <c r="W65" s="429">
        <f>R65*T65*V65*U65</f>
        <v>262.08</v>
      </c>
      <c r="X65" s="429">
        <f t="shared" si="68"/>
        <v>262.08</v>
      </c>
      <c r="Y65" s="430">
        <f t="shared" si="69"/>
        <v>0</v>
      </c>
      <c r="Z65" s="425">
        <v>1</v>
      </c>
      <c r="AA65" s="427" t="s">
        <v>54</v>
      </c>
      <c r="AB65" s="427">
        <v>7</v>
      </c>
      <c r="AC65" s="428">
        <v>1</v>
      </c>
      <c r="AD65" s="429">
        <f t="shared" ref="AD65:AD73" si="74">V65*$B$3</f>
        <v>22.7136</v>
      </c>
      <c r="AE65" s="429">
        <f>Z65*AD65*AB65*AC65</f>
        <v>158.99520000000001</v>
      </c>
      <c r="AF65" s="429">
        <f t="shared" ref="AF65:AF73" si="75">AE65</f>
        <v>158.99520000000001</v>
      </c>
      <c r="AG65" s="430">
        <f t="shared" ref="AG65:AG73" si="76">AE65-AF65</f>
        <v>0</v>
      </c>
      <c r="AH65" s="453">
        <f t="shared" si="70"/>
        <v>1277.8751999999999</v>
      </c>
      <c r="AI65" s="236">
        <f t="shared" si="71"/>
        <v>0</v>
      </c>
      <c r="AJ65" s="237">
        <f t="shared" ref="AJ65:AJ73" si="77">+AH65+AI65</f>
        <v>1277.8751999999999</v>
      </c>
    </row>
    <row r="66" spans="1:37" s="79" customFormat="1" ht="15.4">
      <c r="A66" s="67" t="s">
        <v>153</v>
      </c>
      <c r="B66" s="339">
        <v>1</v>
      </c>
      <c r="C66" s="340" t="s">
        <v>54</v>
      </c>
      <c r="D66" s="380">
        <v>12</v>
      </c>
      <c r="E66" s="341">
        <v>1</v>
      </c>
      <c r="F66" s="342">
        <v>50</v>
      </c>
      <c r="G66" s="342">
        <f t="shared" si="63"/>
        <v>600</v>
      </c>
      <c r="H66" s="342">
        <f t="shared" si="64"/>
        <v>600</v>
      </c>
      <c r="I66" s="343">
        <f t="shared" si="65"/>
        <v>0</v>
      </c>
      <c r="J66" s="339">
        <v>1</v>
      </c>
      <c r="K66" s="340" t="s">
        <v>54</v>
      </c>
      <c r="L66" s="340">
        <v>12</v>
      </c>
      <c r="M66" s="345">
        <v>1</v>
      </c>
      <c r="N66" s="342">
        <f t="shared" si="66"/>
        <v>52</v>
      </c>
      <c r="O66" s="342">
        <f t="shared" si="67"/>
        <v>624</v>
      </c>
      <c r="P66" s="342">
        <f t="shared" si="72"/>
        <v>624</v>
      </c>
      <c r="Q66" s="343">
        <f t="shared" si="73"/>
        <v>0</v>
      </c>
      <c r="R66" s="425">
        <v>1</v>
      </c>
      <c r="S66" s="427" t="s">
        <v>54</v>
      </c>
      <c r="T66" s="427">
        <v>12</v>
      </c>
      <c r="U66" s="428">
        <v>1</v>
      </c>
      <c r="V66" s="429">
        <v>41.6</v>
      </c>
      <c r="W66" s="429">
        <f t="shared" ref="W66:W73" si="78">R66*T66*V66*U66</f>
        <v>499.20000000000005</v>
      </c>
      <c r="X66" s="429">
        <f t="shared" si="68"/>
        <v>499.20000000000005</v>
      </c>
      <c r="Y66" s="430">
        <f t="shared" si="69"/>
        <v>0</v>
      </c>
      <c r="Z66" s="425">
        <v>1</v>
      </c>
      <c r="AA66" s="427" t="s">
        <v>54</v>
      </c>
      <c r="AB66" s="427">
        <v>7</v>
      </c>
      <c r="AC66" s="428">
        <v>1</v>
      </c>
      <c r="AD66" s="429">
        <f t="shared" si="74"/>
        <v>43.264000000000003</v>
      </c>
      <c r="AE66" s="429">
        <f t="shared" ref="AE66:AE71" si="79">Z66*AD66*AB66*AC66</f>
        <v>302.84800000000001</v>
      </c>
      <c r="AF66" s="429">
        <f t="shared" si="75"/>
        <v>302.84800000000001</v>
      </c>
      <c r="AG66" s="430">
        <f t="shared" si="76"/>
        <v>0</v>
      </c>
      <c r="AH66" s="453">
        <f t="shared" si="70"/>
        <v>2026.048</v>
      </c>
      <c r="AI66" s="236">
        <f t="shared" si="71"/>
        <v>0</v>
      </c>
      <c r="AJ66" s="237">
        <f t="shared" si="77"/>
        <v>2026.048</v>
      </c>
    </row>
    <row r="67" spans="1:37" s="79" customFormat="1" ht="15.4">
      <c r="A67" s="297" t="s">
        <v>155</v>
      </c>
      <c r="B67" s="339">
        <v>1</v>
      </c>
      <c r="C67" s="340" t="s">
        <v>54</v>
      </c>
      <c r="D67" s="380">
        <v>12</v>
      </c>
      <c r="E67" s="341">
        <v>1</v>
      </c>
      <c r="F67" s="342">
        <v>150</v>
      </c>
      <c r="G67" s="342">
        <f t="shared" si="63"/>
        <v>1800</v>
      </c>
      <c r="H67" s="342">
        <f t="shared" si="64"/>
        <v>1800</v>
      </c>
      <c r="I67" s="343">
        <f t="shared" si="65"/>
        <v>0</v>
      </c>
      <c r="J67" s="339">
        <v>1</v>
      </c>
      <c r="K67" s="340" t="s">
        <v>54</v>
      </c>
      <c r="L67" s="340">
        <v>12</v>
      </c>
      <c r="M67" s="345">
        <v>1</v>
      </c>
      <c r="N67" s="342">
        <f t="shared" si="66"/>
        <v>156</v>
      </c>
      <c r="O67" s="342">
        <f t="shared" si="67"/>
        <v>1872</v>
      </c>
      <c r="P67" s="342">
        <f t="shared" si="72"/>
        <v>1872</v>
      </c>
      <c r="Q67" s="343">
        <f t="shared" si="73"/>
        <v>0</v>
      </c>
      <c r="R67" s="425">
        <v>1</v>
      </c>
      <c r="S67" s="427" t="s">
        <v>54</v>
      </c>
      <c r="T67" s="427">
        <v>12</v>
      </c>
      <c r="U67" s="428">
        <v>1</v>
      </c>
      <c r="V67" s="429">
        <v>124.80000000000001</v>
      </c>
      <c r="W67" s="429">
        <f t="shared" si="78"/>
        <v>1497.6000000000001</v>
      </c>
      <c r="X67" s="429">
        <f t="shared" si="68"/>
        <v>1497.6000000000001</v>
      </c>
      <c r="Y67" s="430">
        <f t="shared" si="69"/>
        <v>0</v>
      </c>
      <c r="Z67" s="425">
        <v>1</v>
      </c>
      <c r="AA67" s="427" t="s">
        <v>54</v>
      </c>
      <c r="AB67" s="427">
        <v>7</v>
      </c>
      <c r="AC67" s="428">
        <v>0.8</v>
      </c>
      <c r="AD67" s="429">
        <f t="shared" si="74"/>
        <v>129.79200000000003</v>
      </c>
      <c r="AE67" s="429">
        <f t="shared" si="79"/>
        <v>726.83520000000021</v>
      </c>
      <c r="AF67" s="429">
        <f t="shared" si="75"/>
        <v>726.83520000000021</v>
      </c>
      <c r="AG67" s="430">
        <f t="shared" si="76"/>
        <v>0</v>
      </c>
      <c r="AH67" s="453">
        <f t="shared" si="70"/>
        <v>5896.4352000000008</v>
      </c>
      <c r="AI67" s="236">
        <f t="shared" si="71"/>
        <v>0</v>
      </c>
      <c r="AJ67" s="237">
        <f t="shared" si="77"/>
        <v>5896.4352000000008</v>
      </c>
    </row>
    <row r="68" spans="1:37" s="79" customFormat="1" ht="15.4">
      <c r="A68" s="297" t="s">
        <v>157</v>
      </c>
      <c r="B68" s="339">
        <v>1</v>
      </c>
      <c r="C68" s="340" t="s">
        <v>54</v>
      </c>
      <c r="D68" s="380">
        <v>12</v>
      </c>
      <c r="E68" s="341">
        <v>1</v>
      </c>
      <c r="F68" s="342">
        <v>120</v>
      </c>
      <c r="G68" s="342">
        <f t="shared" si="63"/>
        <v>1440</v>
      </c>
      <c r="H68" s="342">
        <f t="shared" si="64"/>
        <v>1440</v>
      </c>
      <c r="I68" s="343">
        <f t="shared" si="65"/>
        <v>0</v>
      </c>
      <c r="J68" s="339">
        <v>1</v>
      </c>
      <c r="K68" s="340" t="s">
        <v>54</v>
      </c>
      <c r="L68" s="340">
        <v>12</v>
      </c>
      <c r="M68" s="345">
        <v>1</v>
      </c>
      <c r="N68" s="342">
        <f t="shared" si="66"/>
        <v>124.80000000000001</v>
      </c>
      <c r="O68" s="342">
        <f t="shared" si="67"/>
        <v>1497.6000000000001</v>
      </c>
      <c r="P68" s="342">
        <f t="shared" si="72"/>
        <v>1497.6000000000001</v>
      </c>
      <c r="Q68" s="343">
        <f t="shared" si="73"/>
        <v>0</v>
      </c>
      <c r="R68" s="425">
        <v>1</v>
      </c>
      <c r="S68" s="427" t="s">
        <v>54</v>
      </c>
      <c r="T68" s="427">
        <v>12</v>
      </c>
      <c r="U68" s="428">
        <v>1</v>
      </c>
      <c r="V68" s="429">
        <v>93.6</v>
      </c>
      <c r="W68" s="429">
        <f t="shared" si="78"/>
        <v>1123.1999999999998</v>
      </c>
      <c r="X68" s="429">
        <f t="shared" si="68"/>
        <v>1123.1999999999998</v>
      </c>
      <c r="Y68" s="430">
        <f t="shared" si="69"/>
        <v>0</v>
      </c>
      <c r="Z68" s="425">
        <v>1</v>
      </c>
      <c r="AA68" s="427" t="s">
        <v>54</v>
      </c>
      <c r="AB68" s="427">
        <v>7</v>
      </c>
      <c r="AC68" s="428">
        <v>1</v>
      </c>
      <c r="AD68" s="429">
        <f t="shared" si="74"/>
        <v>97.343999999999994</v>
      </c>
      <c r="AE68" s="429">
        <f t="shared" si="79"/>
        <v>681.4079999999999</v>
      </c>
      <c r="AF68" s="429">
        <f t="shared" si="75"/>
        <v>681.4079999999999</v>
      </c>
      <c r="AG68" s="430">
        <f t="shared" si="76"/>
        <v>0</v>
      </c>
      <c r="AH68" s="453">
        <f t="shared" si="70"/>
        <v>4742.2080000000005</v>
      </c>
      <c r="AI68" s="236">
        <f t="shared" si="71"/>
        <v>0</v>
      </c>
      <c r="AJ68" s="237">
        <f t="shared" si="77"/>
        <v>4742.2080000000005</v>
      </c>
    </row>
    <row r="69" spans="1:37" s="79" customFormat="1" ht="15.4">
      <c r="A69" s="67" t="s">
        <v>159</v>
      </c>
      <c r="B69" s="339">
        <v>1</v>
      </c>
      <c r="C69" s="340" t="s">
        <v>54</v>
      </c>
      <c r="D69" s="380">
        <v>12</v>
      </c>
      <c r="E69" s="341">
        <v>1</v>
      </c>
      <c r="F69" s="342">
        <v>50</v>
      </c>
      <c r="G69" s="342">
        <f t="shared" si="63"/>
        <v>600</v>
      </c>
      <c r="H69" s="342">
        <f t="shared" si="64"/>
        <v>600</v>
      </c>
      <c r="I69" s="343">
        <f t="shared" si="65"/>
        <v>0</v>
      </c>
      <c r="J69" s="339">
        <v>1</v>
      </c>
      <c r="K69" s="340" t="s">
        <v>54</v>
      </c>
      <c r="L69" s="340">
        <v>12</v>
      </c>
      <c r="M69" s="345">
        <v>1</v>
      </c>
      <c r="N69" s="342">
        <f t="shared" si="66"/>
        <v>52</v>
      </c>
      <c r="O69" s="342">
        <f t="shared" si="67"/>
        <v>624</v>
      </c>
      <c r="P69" s="342">
        <f t="shared" si="72"/>
        <v>624</v>
      </c>
      <c r="Q69" s="343">
        <f t="shared" si="73"/>
        <v>0</v>
      </c>
      <c r="R69" s="325"/>
      <c r="S69" s="327"/>
      <c r="T69" s="327"/>
      <c r="U69" s="328"/>
      <c r="V69" s="329"/>
      <c r="W69" s="85"/>
      <c r="X69" s="85"/>
      <c r="Y69" s="86"/>
      <c r="Z69" s="325"/>
      <c r="AA69" s="327"/>
      <c r="AB69" s="327"/>
      <c r="AC69" s="328"/>
      <c r="AD69" s="329"/>
      <c r="AE69" s="85"/>
      <c r="AF69" s="85"/>
      <c r="AG69" s="86"/>
      <c r="AH69" s="454">
        <f t="shared" si="70"/>
        <v>1224</v>
      </c>
      <c r="AI69" s="355">
        <f t="shared" si="71"/>
        <v>0</v>
      </c>
      <c r="AJ69" s="356">
        <f t="shared" si="77"/>
        <v>1224</v>
      </c>
    </row>
    <row r="70" spans="1:37" s="79" customFormat="1" ht="15.4">
      <c r="A70" s="67" t="s">
        <v>161</v>
      </c>
      <c r="B70" s="339">
        <v>1</v>
      </c>
      <c r="C70" s="340" t="s">
        <v>134</v>
      </c>
      <c r="D70" s="380">
        <v>1</v>
      </c>
      <c r="E70" s="341">
        <v>1</v>
      </c>
      <c r="F70" s="342">
        <v>400</v>
      </c>
      <c r="G70" s="342">
        <f t="shared" si="63"/>
        <v>400</v>
      </c>
      <c r="H70" s="342">
        <f t="shared" si="64"/>
        <v>400</v>
      </c>
      <c r="I70" s="343">
        <f t="shared" si="65"/>
        <v>0</v>
      </c>
      <c r="J70" s="339">
        <v>1</v>
      </c>
      <c r="K70" s="340" t="s">
        <v>134</v>
      </c>
      <c r="L70" s="340">
        <v>1</v>
      </c>
      <c r="M70" s="345">
        <v>1</v>
      </c>
      <c r="N70" s="342">
        <f t="shared" si="66"/>
        <v>416</v>
      </c>
      <c r="O70" s="342">
        <f t="shared" si="67"/>
        <v>416</v>
      </c>
      <c r="P70" s="342">
        <f t="shared" si="72"/>
        <v>416</v>
      </c>
      <c r="Q70" s="343">
        <f t="shared" si="73"/>
        <v>0</v>
      </c>
      <c r="R70" s="123"/>
      <c r="S70" s="125"/>
      <c r="T70" s="125"/>
      <c r="U70" s="114"/>
      <c r="V70" s="329"/>
      <c r="W70" s="85"/>
      <c r="X70" s="85"/>
      <c r="Y70" s="86"/>
      <c r="Z70" s="123"/>
      <c r="AA70" s="125"/>
      <c r="AB70" s="125"/>
      <c r="AC70" s="114"/>
      <c r="AD70" s="329"/>
      <c r="AE70" s="85"/>
      <c r="AF70" s="85"/>
      <c r="AG70" s="86"/>
      <c r="AH70" s="454">
        <f t="shared" si="70"/>
        <v>816</v>
      </c>
      <c r="AI70" s="355">
        <f t="shared" si="71"/>
        <v>0</v>
      </c>
      <c r="AJ70" s="356">
        <f t="shared" si="77"/>
        <v>816</v>
      </c>
    </row>
    <row r="71" spans="1:37" s="79" customFormat="1" ht="15.4">
      <c r="A71" s="67" t="s">
        <v>163</v>
      </c>
      <c r="B71" s="339">
        <v>1</v>
      </c>
      <c r="C71" s="340" t="s">
        <v>134</v>
      </c>
      <c r="D71" s="380">
        <v>1</v>
      </c>
      <c r="E71" s="341">
        <v>1</v>
      </c>
      <c r="F71" s="342">
        <v>250</v>
      </c>
      <c r="G71" s="342">
        <f t="shared" si="63"/>
        <v>250</v>
      </c>
      <c r="H71" s="342">
        <f t="shared" si="64"/>
        <v>250</v>
      </c>
      <c r="I71" s="343">
        <f t="shared" si="65"/>
        <v>0</v>
      </c>
      <c r="J71" s="339">
        <v>1</v>
      </c>
      <c r="K71" s="340" t="s">
        <v>134</v>
      </c>
      <c r="L71" s="340">
        <v>1</v>
      </c>
      <c r="M71" s="345">
        <v>1</v>
      </c>
      <c r="N71" s="342">
        <f t="shared" si="66"/>
        <v>260</v>
      </c>
      <c r="O71" s="342">
        <f t="shared" si="67"/>
        <v>260</v>
      </c>
      <c r="P71" s="342">
        <f t="shared" si="72"/>
        <v>260</v>
      </c>
      <c r="Q71" s="343">
        <f>O71-P71</f>
        <v>0</v>
      </c>
      <c r="R71" s="425">
        <v>1</v>
      </c>
      <c r="S71" s="427" t="s">
        <v>134</v>
      </c>
      <c r="T71" s="427">
        <v>1</v>
      </c>
      <c r="U71" s="428">
        <v>1</v>
      </c>
      <c r="V71" s="429">
        <f>N71*$B$3</f>
        <v>270.40000000000003</v>
      </c>
      <c r="W71" s="429">
        <f t="shared" si="78"/>
        <v>270.40000000000003</v>
      </c>
      <c r="X71" s="429">
        <f t="shared" si="68"/>
        <v>270.40000000000003</v>
      </c>
      <c r="Y71" s="430">
        <f t="shared" si="69"/>
        <v>0</v>
      </c>
      <c r="Z71" s="425">
        <v>1</v>
      </c>
      <c r="AA71" s="427" t="s">
        <v>134</v>
      </c>
      <c r="AB71" s="427">
        <v>1</v>
      </c>
      <c r="AC71" s="428">
        <v>1</v>
      </c>
      <c r="AD71" s="429">
        <f t="shared" si="74"/>
        <v>281.21600000000007</v>
      </c>
      <c r="AE71" s="429">
        <f t="shared" si="79"/>
        <v>281.21600000000007</v>
      </c>
      <c r="AF71" s="429">
        <f t="shared" si="75"/>
        <v>281.21600000000007</v>
      </c>
      <c r="AG71" s="430">
        <f t="shared" si="76"/>
        <v>0</v>
      </c>
      <c r="AH71" s="453">
        <f t="shared" si="70"/>
        <v>1061.6160000000002</v>
      </c>
      <c r="AI71" s="236">
        <f t="shared" si="71"/>
        <v>0</v>
      </c>
      <c r="AJ71" s="237">
        <f t="shared" si="77"/>
        <v>1061.6160000000002</v>
      </c>
    </row>
    <row r="72" spans="1:37" s="79" customFormat="1" ht="15.4">
      <c r="A72" s="67" t="s">
        <v>165</v>
      </c>
      <c r="B72" s="339">
        <v>1</v>
      </c>
      <c r="C72" s="340" t="s">
        <v>134</v>
      </c>
      <c r="D72" s="380">
        <v>1</v>
      </c>
      <c r="E72" s="341">
        <v>1</v>
      </c>
      <c r="F72" s="342">
        <v>100</v>
      </c>
      <c r="G72" s="342">
        <f t="shared" si="63"/>
        <v>100</v>
      </c>
      <c r="H72" s="342">
        <f t="shared" si="64"/>
        <v>100</v>
      </c>
      <c r="I72" s="343">
        <f t="shared" si="65"/>
        <v>0</v>
      </c>
      <c r="J72" s="339">
        <v>1</v>
      </c>
      <c r="K72" s="340" t="s">
        <v>134</v>
      </c>
      <c r="L72" s="340">
        <v>1</v>
      </c>
      <c r="M72" s="345">
        <v>1</v>
      </c>
      <c r="N72" s="342">
        <f t="shared" si="66"/>
        <v>104</v>
      </c>
      <c r="O72" s="342">
        <f t="shared" si="67"/>
        <v>104</v>
      </c>
      <c r="P72" s="342">
        <f t="shared" si="72"/>
        <v>104</v>
      </c>
      <c r="Q72" s="343">
        <f t="shared" si="73"/>
        <v>0</v>
      </c>
      <c r="R72" s="425">
        <v>1</v>
      </c>
      <c r="S72" s="427" t="s">
        <v>134</v>
      </c>
      <c r="T72" s="427">
        <v>1</v>
      </c>
      <c r="U72" s="428">
        <v>1</v>
      </c>
      <c r="V72" s="429">
        <f>N72*$B$3</f>
        <v>108.16</v>
      </c>
      <c r="W72" s="429">
        <f t="shared" si="78"/>
        <v>108.16</v>
      </c>
      <c r="X72" s="429">
        <f t="shared" si="68"/>
        <v>108.16</v>
      </c>
      <c r="Y72" s="430">
        <f t="shared" si="69"/>
        <v>0</v>
      </c>
      <c r="Z72" s="425">
        <v>1</v>
      </c>
      <c r="AA72" s="427" t="s">
        <v>134</v>
      </c>
      <c r="AB72" s="427">
        <v>1</v>
      </c>
      <c r="AC72" s="428">
        <v>1</v>
      </c>
      <c r="AD72" s="429">
        <f t="shared" si="74"/>
        <v>112.4864</v>
      </c>
      <c r="AE72" s="429">
        <f>Z72*AD72*AB72*AC72</f>
        <v>112.4864</v>
      </c>
      <c r="AF72" s="429">
        <f t="shared" si="75"/>
        <v>112.4864</v>
      </c>
      <c r="AG72" s="430">
        <f t="shared" si="76"/>
        <v>0</v>
      </c>
      <c r="AH72" s="453">
        <f t="shared" si="70"/>
        <v>424.64639999999997</v>
      </c>
      <c r="AI72" s="236">
        <f t="shared" si="71"/>
        <v>0</v>
      </c>
      <c r="AJ72" s="237">
        <f t="shared" si="77"/>
        <v>424.64639999999997</v>
      </c>
      <c r="AK72" s="185"/>
    </row>
    <row r="73" spans="1:37" s="79" customFormat="1" ht="15.4">
      <c r="A73" s="67" t="s">
        <v>167</v>
      </c>
      <c r="B73" s="325">
        <v>0</v>
      </c>
      <c r="C73" s="327" t="s">
        <v>54</v>
      </c>
      <c r="D73" s="398">
        <v>0</v>
      </c>
      <c r="E73" s="383">
        <v>1</v>
      </c>
      <c r="F73" s="329">
        <v>30</v>
      </c>
      <c r="G73" s="329">
        <f>B73*F73*D73*E73</f>
        <v>0</v>
      </c>
      <c r="H73" s="329">
        <f t="shared" si="64"/>
        <v>0</v>
      </c>
      <c r="I73" s="330">
        <f t="shared" si="65"/>
        <v>0</v>
      </c>
      <c r="J73" s="425">
        <v>1</v>
      </c>
      <c r="K73" s="427" t="s">
        <v>54</v>
      </c>
      <c r="L73" s="427">
        <v>12</v>
      </c>
      <c r="M73" s="428">
        <v>1</v>
      </c>
      <c r="N73" s="429">
        <v>30</v>
      </c>
      <c r="O73" s="429">
        <f t="shared" si="67"/>
        <v>360</v>
      </c>
      <c r="P73" s="429">
        <f>O73</f>
        <v>360</v>
      </c>
      <c r="Q73" s="430">
        <f>O73-P73</f>
        <v>0</v>
      </c>
      <c r="R73" s="425">
        <v>1</v>
      </c>
      <c r="S73" s="427" t="s">
        <v>54</v>
      </c>
      <c r="T73" s="427">
        <v>12</v>
      </c>
      <c r="U73" s="428">
        <v>1</v>
      </c>
      <c r="V73" s="429">
        <f>N73*$B$3</f>
        <v>31.200000000000003</v>
      </c>
      <c r="W73" s="429">
        <f t="shared" si="78"/>
        <v>374.40000000000003</v>
      </c>
      <c r="X73" s="429">
        <f t="shared" si="68"/>
        <v>374.40000000000003</v>
      </c>
      <c r="Y73" s="430">
        <f t="shared" si="69"/>
        <v>0</v>
      </c>
      <c r="Z73" s="425">
        <v>1</v>
      </c>
      <c r="AA73" s="427" t="s">
        <v>54</v>
      </c>
      <c r="AB73" s="427">
        <v>7</v>
      </c>
      <c r="AC73" s="428">
        <v>1</v>
      </c>
      <c r="AD73" s="429">
        <f t="shared" si="74"/>
        <v>32.448000000000008</v>
      </c>
      <c r="AE73" s="429">
        <f>Z73*AD73*AB73*AC73</f>
        <v>227.13600000000005</v>
      </c>
      <c r="AF73" s="429">
        <f t="shared" si="75"/>
        <v>227.13600000000005</v>
      </c>
      <c r="AG73" s="430">
        <f t="shared" si="76"/>
        <v>0</v>
      </c>
      <c r="AH73" s="458">
        <f t="shared" si="70"/>
        <v>961.53600000000017</v>
      </c>
      <c r="AI73" s="429">
        <f t="shared" si="71"/>
        <v>0</v>
      </c>
      <c r="AJ73" s="430">
        <f t="shared" si="77"/>
        <v>961.53600000000017</v>
      </c>
      <c r="AK73" s="185"/>
    </row>
    <row r="74" spans="1:37" s="97" customFormat="1" ht="15.4">
      <c r="A74" s="182" t="s">
        <v>168</v>
      </c>
      <c r="B74" s="240"/>
      <c r="C74" s="241"/>
      <c r="D74" s="241"/>
      <c r="E74" s="416"/>
      <c r="F74" s="302"/>
      <c r="G74" s="302"/>
      <c r="H74" s="300"/>
      <c r="I74" s="421"/>
      <c r="J74" s="117"/>
      <c r="K74" s="118"/>
      <c r="L74" s="115"/>
      <c r="M74" s="119"/>
      <c r="N74" s="152"/>
      <c r="O74" s="152"/>
      <c r="P74" s="116"/>
      <c r="Q74" s="183"/>
      <c r="R74" s="117"/>
      <c r="S74" s="118"/>
      <c r="T74" s="115"/>
      <c r="U74" s="119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16"/>
      <c r="AG74" s="183"/>
      <c r="AH74" s="184"/>
      <c r="AI74" s="152"/>
      <c r="AJ74" s="183"/>
      <c r="AK74" s="186"/>
    </row>
    <row r="75" spans="1:37" s="79" customFormat="1" ht="15.4">
      <c r="A75" s="58" t="s">
        <v>170</v>
      </c>
      <c r="B75" s="339">
        <v>1</v>
      </c>
      <c r="C75" s="340" t="s">
        <v>134</v>
      </c>
      <c r="D75" s="340">
        <v>1</v>
      </c>
      <c r="E75" s="341">
        <v>1</v>
      </c>
      <c r="F75" s="342">
        <v>15000</v>
      </c>
      <c r="G75" s="342">
        <f t="shared" ref="G75:G78" si="80">B75*F75*D75*E75</f>
        <v>15000</v>
      </c>
      <c r="H75" s="344">
        <f t="shared" ref="H75:H78" si="81">G75</f>
        <v>15000</v>
      </c>
      <c r="I75" s="381">
        <f t="shared" ref="I75:I78" si="82">G75-H75</f>
        <v>0</v>
      </c>
      <c r="J75" s="339">
        <v>1</v>
      </c>
      <c r="K75" s="340" t="s">
        <v>134</v>
      </c>
      <c r="L75" s="340">
        <v>1</v>
      </c>
      <c r="M75" s="345">
        <v>1</v>
      </c>
      <c r="N75" s="342">
        <f>F75*$B$3</f>
        <v>15600</v>
      </c>
      <c r="O75" s="342">
        <f t="shared" ref="O75:O80" si="83">J75*N75*L75*M75</f>
        <v>15600</v>
      </c>
      <c r="P75" s="344">
        <f t="shared" ref="P75:P78" si="84">O75</f>
        <v>15600</v>
      </c>
      <c r="Q75" s="381">
        <f t="shared" ref="Q75:Q81" si="85">O75-P75</f>
        <v>0</v>
      </c>
      <c r="R75" s="123"/>
      <c r="S75" s="125"/>
      <c r="T75" s="125"/>
      <c r="U75" s="114"/>
      <c r="V75" s="329"/>
      <c r="W75" s="85"/>
      <c r="X75" s="337"/>
      <c r="Y75" s="338"/>
      <c r="Z75" s="123"/>
      <c r="AA75" s="125"/>
      <c r="AB75" s="125"/>
      <c r="AC75" s="114"/>
      <c r="AD75" s="329"/>
      <c r="AE75" s="85"/>
      <c r="AF75" s="337"/>
      <c r="AG75" s="338"/>
      <c r="AH75" s="452">
        <f t="shared" ref="AH75:AI81" si="86">H75+P75+X75+AF75</f>
        <v>30600</v>
      </c>
      <c r="AI75" s="377">
        <f t="shared" si="86"/>
        <v>0</v>
      </c>
      <c r="AJ75" s="375">
        <f t="shared" ref="AJ75:AJ81" si="87">+AH75+AI75</f>
        <v>30600</v>
      </c>
    </row>
    <row r="76" spans="1:37" s="313" customFormat="1" ht="15.4">
      <c r="A76" s="314" t="s">
        <v>172</v>
      </c>
      <c r="B76" s="339">
        <v>1</v>
      </c>
      <c r="C76" s="340" t="s">
        <v>173</v>
      </c>
      <c r="D76" s="340">
        <v>24</v>
      </c>
      <c r="E76" s="341">
        <v>1</v>
      </c>
      <c r="F76" s="342">
        <v>250</v>
      </c>
      <c r="G76" s="342">
        <f t="shared" si="80"/>
        <v>6000</v>
      </c>
      <c r="H76" s="344">
        <f t="shared" si="81"/>
        <v>6000</v>
      </c>
      <c r="I76" s="381">
        <f t="shared" si="82"/>
        <v>0</v>
      </c>
      <c r="J76" s="323">
        <v>1</v>
      </c>
      <c r="K76" s="301" t="s">
        <v>173</v>
      </c>
      <c r="L76" s="301">
        <v>42</v>
      </c>
      <c r="M76" s="238">
        <v>1</v>
      </c>
      <c r="N76" s="324">
        <v>255.7</v>
      </c>
      <c r="O76" s="324">
        <f t="shared" si="83"/>
        <v>10739.4</v>
      </c>
      <c r="P76" s="446">
        <f t="shared" si="84"/>
        <v>10739.4</v>
      </c>
      <c r="Q76" s="447">
        <f t="shared" si="85"/>
        <v>0</v>
      </c>
      <c r="R76" s="425">
        <v>1</v>
      </c>
      <c r="S76" s="427" t="s">
        <v>173</v>
      </c>
      <c r="T76" s="427">
        <v>35</v>
      </c>
      <c r="U76" s="428">
        <v>1</v>
      </c>
      <c r="V76" s="429">
        <v>260</v>
      </c>
      <c r="W76" s="429">
        <f>R76*V76*T76*U76</f>
        <v>9100</v>
      </c>
      <c r="X76" s="438">
        <f t="shared" ref="X76:X81" si="88">W76</f>
        <v>9100</v>
      </c>
      <c r="Y76" s="439">
        <f t="shared" ref="Y76:Y81" si="89">W76-X76</f>
        <v>0</v>
      </c>
      <c r="Z76" s="425">
        <v>1</v>
      </c>
      <c r="AA76" s="427" t="s">
        <v>173</v>
      </c>
      <c r="AB76" s="427">
        <v>25</v>
      </c>
      <c r="AC76" s="428">
        <v>1</v>
      </c>
      <c r="AD76" s="429">
        <f>V76*$B$3</f>
        <v>270.40000000000003</v>
      </c>
      <c r="AE76" s="429">
        <f>Z76*AD76*AB76*$E76*AC76</f>
        <v>6760.0000000000009</v>
      </c>
      <c r="AF76" s="438">
        <f t="shared" ref="AF76:AF81" si="90">AE76</f>
        <v>6760.0000000000009</v>
      </c>
      <c r="AG76" s="439">
        <f t="shared" ref="AG76:AG81" si="91">AE76-AF76</f>
        <v>0</v>
      </c>
      <c r="AH76" s="453">
        <f t="shared" si="86"/>
        <v>32599.4</v>
      </c>
      <c r="AI76" s="236">
        <f t="shared" si="86"/>
        <v>0</v>
      </c>
      <c r="AJ76" s="237">
        <f t="shared" si="87"/>
        <v>32599.4</v>
      </c>
    </row>
    <row r="77" spans="1:37" s="79" customFormat="1" ht="15.4">
      <c r="A77" s="166" t="s">
        <v>175</v>
      </c>
      <c r="B77" s="339">
        <v>1</v>
      </c>
      <c r="C77" s="340" t="s">
        <v>112</v>
      </c>
      <c r="D77" s="340">
        <v>1</v>
      </c>
      <c r="E77" s="341">
        <v>1</v>
      </c>
      <c r="F77" s="342">
        <v>7000</v>
      </c>
      <c r="G77" s="342">
        <f t="shared" si="80"/>
        <v>7000</v>
      </c>
      <c r="H77" s="344">
        <f t="shared" si="81"/>
        <v>7000</v>
      </c>
      <c r="I77" s="381">
        <f t="shared" si="82"/>
        <v>0</v>
      </c>
      <c r="J77" s="339">
        <v>1</v>
      </c>
      <c r="K77" s="340" t="s">
        <v>112</v>
      </c>
      <c r="L77" s="340">
        <v>0</v>
      </c>
      <c r="M77" s="345">
        <v>0</v>
      </c>
      <c r="N77" s="342">
        <v>7000</v>
      </c>
      <c r="O77" s="342">
        <f t="shared" si="83"/>
        <v>0</v>
      </c>
      <c r="P77" s="344">
        <f t="shared" si="84"/>
        <v>0</v>
      </c>
      <c r="Q77" s="381">
        <f t="shared" si="85"/>
        <v>0</v>
      </c>
      <c r="R77" s="425">
        <v>1</v>
      </c>
      <c r="S77" s="427" t="s">
        <v>112</v>
      </c>
      <c r="T77" s="427">
        <v>1</v>
      </c>
      <c r="U77" s="428">
        <v>1</v>
      </c>
      <c r="V77" s="429">
        <v>7000</v>
      </c>
      <c r="W77" s="429">
        <f>R77*V77*T77*U77</f>
        <v>7000</v>
      </c>
      <c r="X77" s="438">
        <f t="shared" si="88"/>
        <v>7000</v>
      </c>
      <c r="Y77" s="439">
        <f t="shared" si="89"/>
        <v>0</v>
      </c>
      <c r="Z77" s="425">
        <v>0</v>
      </c>
      <c r="AA77" s="427" t="s">
        <v>112</v>
      </c>
      <c r="AB77" s="427">
        <v>0</v>
      </c>
      <c r="AC77" s="428">
        <v>0</v>
      </c>
      <c r="AD77" s="429">
        <v>7000</v>
      </c>
      <c r="AE77" s="429">
        <f t="shared" ref="AE77:AE81" si="92">Z77*AD77*AB77*$E77*AC77</f>
        <v>0</v>
      </c>
      <c r="AF77" s="438">
        <f t="shared" si="90"/>
        <v>0</v>
      </c>
      <c r="AG77" s="439">
        <f t="shared" si="91"/>
        <v>0</v>
      </c>
      <c r="AH77" s="453">
        <f t="shared" si="86"/>
        <v>14000</v>
      </c>
      <c r="AI77" s="236">
        <f t="shared" si="86"/>
        <v>0</v>
      </c>
      <c r="AJ77" s="237">
        <f t="shared" si="87"/>
        <v>14000</v>
      </c>
    </row>
    <row r="78" spans="1:37" s="79" customFormat="1" ht="15.4">
      <c r="A78" s="315" t="s">
        <v>177</v>
      </c>
      <c r="B78" s="339">
        <v>1</v>
      </c>
      <c r="C78" s="340" t="s">
        <v>134</v>
      </c>
      <c r="D78" s="340">
        <v>1</v>
      </c>
      <c r="E78" s="341">
        <v>1</v>
      </c>
      <c r="F78" s="342">
        <v>800</v>
      </c>
      <c r="G78" s="342">
        <f t="shared" si="80"/>
        <v>800</v>
      </c>
      <c r="H78" s="344">
        <f t="shared" si="81"/>
        <v>800</v>
      </c>
      <c r="I78" s="381">
        <f t="shared" si="82"/>
        <v>0</v>
      </c>
      <c r="J78" s="339">
        <v>1</v>
      </c>
      <c r="K78" s="340" t="s">
        <v>134</v>
      </c>
      <c r="L78" s="340">
        <v>1</v>
      </c>
      <c r="M78" s="345">
        <v>1</v>
      </c>
      <c r="N78" s="342">
        <f>F78*$B$3</f>
        <v>832</v>
      </c>
      <c r="O78" s="342">
        <f t="shared" si="83"/>
        <v>832</v>
      </c>
      <c r="P78" s="344">
        <f t="shared" si="84"/>
        <v>832</v>
      </c>
      <c r="Q78" s="381">
        <f t="shared" si="85"/>
        <v>0</v>
      </c>
      <c r="R78" s="425">
        <v>1</v>
      </c>
      <c r="S78" s="427" t="s">
        <v>134</v>
      </c>
      <c r="T78" s="427">
        <v>1</v>
      </c>
      <c r="U78" s="428">
        <v>1</v>
      </c>
      <c r="V78" s="429">
        <v>1040</v>
      </c>
      <c r="W78" s="429">
        <f t="shared" ref="W78:W81" si="93">R78*V78*T78*U78</f>
        <v>1040</v>
      </c>
      <c r="X78" s="438">
        <f t="shared" si="88"/>
        <v>1040</v>
      </c>
      <c r="Y78" s="439">
        <f t="shared" si="89"/>
        <v>0</v>
      </c>
      <c r="Z78" s="425">
        <v>1</v>
      </c>
      <c r="AA78" s="427" t="s">
        <v>134</v>
      </c>
      <c r="AB78" s="427">
        <v>1</v>
      </c>
      <c r="AC78" s="428">
        <v>1</v>
      </c>
      <c r="AD78" s="429">
        <f>V78*$B$3</f>
        <v>1081.6000000000001</v>
      </c>
      <c r="AE78" s="429">
        <f t="shared" si="92"/>
        <v>1081.6000000000001</v>
      </c>
      <c r="AF78" s="438">
        <f t="shared" si="90"/>
        <v>1081.6000000000001</v>
      </c>
      <c r="AG78" s="439">
        <f t="shared" si="91"/>
        <v>0</v>
      </c>
      <c r="AH78" s="453">
        <f t="shared" si="86"/>
        <v>3753.6000000000004</v>
      </c>
      <c r="AI78" s="236">
        <f t="shared" si="86"/>
        <v>0</v>
      </c>
      <c r="AJ78" s="237">
        <f t="shared" si="87"/>
        <v>3753.6000000000004</v>
      </c>
    </row>
    <row r="79" spans="1:37" s="79" customFormat="1" ht="15.4">
      <c r="A79" s="67" t="s">
        <v>179</v>
      </c>
      <c r="B79" s="325">
        <v>0</v>
      </c>
      <c r="C79" s="327" t="s">
        <v>180</v>
      </c>
      <c r="D79" s="327">
        <v>0</v>
      </c>
      <c r="E79" s="383">
        <v>1</v>
      </c>
      <c r="F79" s="329">
        <v>2000</v>
      </c>
      <c r="G79" s="329">
        <f>B79*F79*D79*E79</f>
        <v>0</v>
      </c>
      <c r="H79" s="336">
        <f>G79</f>
        <v>0</v>
      </c>
      <c r="I79" s="397">
        <f>G79-H79</f>
        <v>0</v>
      </c>
      <c r="J79" s="425">
        <v>1</v>
      </c>
      <c r="K79" s="427" t="s">
        <v>180</v>
      </c>
      <c r="L79" s="427">
        <v>3</v>
      </c>
      <c r="M79" s="428">
        <v>1</v>
      </c>
      <c r="N79" s="429">
        <v>2000</v>
      </c>
      <c r="O79" s="429">
        <f t="shared" si="83"/>
        <v>6000</v>
      </c>
      <c r="P79" s="438">
        <f>O79</f>
        <v>6000</v>
      </c>
      <c r="Q79" s="439">
        <f t="shared" si="85"/>
        <v>0</v>
      </c>
      <c r="R79" s="425">
        <v>1</v>
      </c>
      <c r="S79" s="427" t="s">
        <v>180</v>
      </c>
      <c r="T79" s="427">
        <v>2</v>
      </c>
      <c r="U79" s="428">
        <v>1</v>
      </c>
      <c r="V79" s="429">
        <v>2000</v>
      </c>
      <c r="W79" s="429">
        <f t="shared" si="93"/>
        <v>4000</v>
      </c>
      <c r="X79" s="438">
        <f t="shared" si="88"/>
        <v>4000</v>
      </c>
      <c r="Y79" s="439">
        <f t="shared" si="89"/>
        <v>0</v>
      </c>
      <c r="Z79" s="425">
        <v>0</v>
      </c>
      <c r="AA79" s="427" t="s">
        <v>180</v>
      </c>
      <c r="AB79" s="427">
        <v>0</v>
      </c>
      <c r="AC79" s="428">
        <v>1</v>
      </c>
      <c r="AD79" s="429">
        <v>2000</v>
      </c>
      <c r="AE79" s="429">
        <f t="shared" si="92"/>
        <v>0</v>
      </c>
      <c r="AF79" s="438">
        <f t="shared" si="90"/>
        <v>0</v>
      </c>
      <c r="AG79" s="439">
        <f t="shared" si="91"/>
        <v>0</v>
      </c>
      <c r="AH79" s="453">
        <f t="shared" si="86"/>
        <v>10000</v>
      </c>
      <c r="AI79" s="236">
        <f t="shared" si="86"/>
        <v>0</v>
      </c>
      <c r="AJ79" s="237">
        <f t="shared" si="87"/>
        <v>10000</v>
      </c>
    </row>
    <row r="80" spans="1:37" s="79" customFormat="1" ht="15.4">
      <c r="A80" s="67" t="s">
        <v>182</v>
      </c>
      <c r="B80" s="325">
        <v>0</v>
      </c>
      <c r="C80" s="327" t="s">
        <v>180</v>
      </c>
      <c r="D80" s="327">
        <v>0</v>
      </c>
      <c r="E80" s="383">
        <v>1</v>
      </c>
      <c r="F80" s="329">
        <v>5000</v>
      </c>
      <c r="G80" s="329">
        <f>B80*F80*D80*E80</f>
        <v>0</v>
      </c>
      <c r="H80" s="336">
        <f>G80</f>
        <v>0</v>
      </c>
      <c r="I80" s="397">
        <f>G80-H80</f>
        <v>0</v>
      </c>
      <c r="J80" s="425">
        <v>1</v>
      </c>
      <c r="K80" s="427" t="s">
        <v>180</v>
      </c>
      <c r="L80" s="427">
        <v>2</v>
      </c>
      <c r="M80" s="428">
        <v>1</v>
      </c>
      <c r="N80" s="429">
        <v>5000</v>
      </c>
      <c r="O80" s="429">
        <f t="shared" si="83"/>
        <v>10000</v>
      </c>
      <c r="P80" s="438">
        <f t="shared" ref="P80:P81" si="94">O80</f>
        <v>10000</v>
      </c>
      <c r="Q80" s="439">
        <f t="shared" si="85"/>
        <v>0</v>
      </c>
      <c r="R80" s="425">
        <v>1</v>
      </c>
      <c r="S80" s="427" t="s">
        <v>180</v>
      </c>
      <c r="T80" s="427">
        <v>3</v>
      </c>
      <c r="U80" s="428">
        <v>1</v>
      </c>
      <c r="V80" s="429">
        <f>N80*$B$3</f>
        <v>5200</v>
      </c>
      <c r="W80" s="429">
        <f t="shared" si="93"/>
        <v>15600</v>
      </c>
      <c r="X80" s="438">
        <f t="shared" si="88"/>
        <v>15600</v>
      </c>
      <c r="Y80" s="439">
        <f t="shared" si="89"/>
        <v>0</v>
      </c>
      <c r="Z80" s="425">
        <v>1</v>
      </c>
      <c r="AA80" s="427" t="s">
        <v>180</v>
      </c>
      <c r="AB80" s="427">
        <v>2</v>
      </c>
      <c r="AC80" s="428">
        <v>1</v>
      </c>
      <c r="AD80" s="429">
        <f>V80*$B$3</f>
        <v>5408</v>
      </c>
      <c r="AE80" s="429">
        <f t="shared" si="92"/>
        <v>10816</v>
      </c>
      <c r="AF80" s="438">
        <f t="shared" si="90"/>
        <v>10816</v>
      </c>
      <c r="AG80" s="439">
        <f t="shared" si="91"/>
        <v>0</v>
      </c>
      <c r="AH80" s="458">
        <f t="shared" si="86"/>
        <v>36416</v>
      </c>
      <c r="AI80" s="429">
        <f t="shared" si="86"/>
        <v>0</v>
      </c>
      <c r="AJ80" s="430">
        <f t="shared" si="87"/>
        <v>36416</v>
      </c>
    </row>
    <row r="81" spans="1:50" s="79" customFormat="1" ht="15.4">
      <c r="A81" s="309" t="s">
        <v>184</v>
      </c>
      <c r="B81" s="325">
        <v>0</v>
      </c>
      <c r="C81" s="327" t="s">
        <v>173</v>
      </c>
      <c r="D81" s="327">
        <v>0</v>
      </c>
      <c r="E81" s="383">
        <v>1</v>
      </c>
      <c r="F81" s="329">
        <v>250</v>
      </c>
      <c r="G81" s="329">
        <f>B81*F81*D81*E81</f>
        <v>0</v>
      </c>
      <c r="H81" s="336">
        <f>G81</f>
        <v>0</v>
      </c>
      <c r="I81" s="397">
        <f>G81-H81</f>
        <v>0</v>
      </c>
      <c r="J81" s="425">
        <v>1</v>
      </c>
      <c r="K81" s="427" t="s">
        <v>173</v>
      </c>
      <c r="L81" s="427">
        <v>784</v>
      </c>
      <c r="M81" s="428">
        <v>1</v>
      </c>
      <c r="N81" s="429">
        <v>250</v>
      </c>
      <c r="O81" s="429">
        <v>196000</v>
      </c>
      <c r="P81" s="438">
        <f t="shared" si="94"/>
        <v>196000</v>
      </c>
      <c r="Q81" s="439">
        <f t="shared" si="85"/>
        <v>0</v>
      </c>
      <c r="R81" s="425">
        <v>0</v>
      </c>
      <c r="S81" s="427" t="s">
        <v>173</v>
      </c>
      <c r="T81" s="427">
        <v>0</v>
      </c>
      <c r="U81" s="428">
        <v>0</v>
      </c>
      <c r="V81" s="429">
        <v>250</v>
      </c>
      <c r="W81" s="429">
        <f t="shared" si="93"/>
        <v>0</v>
      </c>
      <c r="X81" s="438">
        <f t="shared" si="88"/>
        <v>0</v>
      </c>
      <c r="Y81" s="439">
        <f t="shared" si="89"/>
        <v>0</v>
      </c>
      <c r="Z81" s="425">
        <v>1</v>
      </c>
      <c r="AA81" s="427" t="s">
        <v>173</v>
      </c>
      <c r="AB81" s="427">
        <v>0</v>
      </c>
      <c r="AC81" s="428">
        <v>1</v>
      </c>
      <c r="AD81" s="429">
        <f>V81*$B$3</f>
        <v>260</v>
      </c>
      <c r="AE81" s="429">
        <f t="shared" si="92"/>
        <v>0</v>
      </c>
      <c r="AF81" s="438">
        <f t="shared" si="90"/>
        <v>0</v>
      </c>
      <c r="AG81" s="439">
        <f t="shared" si="91"/>
        <v>0</v>
      </c>
      <c r="AH81" s="458">
        <f t="shared" si="86"/>
        <v>196000</v>
      </c>
      <c r="AI81" s="429">
        <f t="shared" si="86"/>
        <v>0</v>
      </c>
      <c r="AJ81" s="430">
        <f t="shared" si="87"/>
        <v>196000</v>
      </c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</row>
    <row r="82" spans="1:50" s="97" customFormat="1" ht="15.4">
      <c r="A82" s="182" t="s">
        <v>185</v>
      </c>
      <c r="B82" s="240"/>
      <c r="C82" s="241"/>
      <c r="D82" s="241"/>
      <c r="E82" s="416"/>
      <c r="F82" s="302"/>
      <c r="G82" s="302"/>
      <c r="H82" s="300"/>
      <c r="I82" s="421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184"/>
      <c r="AI82" s="152"/>
      <c r="AJ82" s="183"/>
    </row>
    <row r="83" spans="1:50" s="79" customFormat="1" ht="15.4">
      <c r="A83" s="58" t="s">
        <v>187</v>
      </c>
      <c r="B83" s="339">
        <v>1</v>
      </c>
      <c r="C83" s="340" t="s">
        <v>134</v>
      </c>
      <c r="D83" s="340">
        <v>1</v>
      </c>
      <c r="E83" s="341">
        <v>1</v>
      </c>
      <c r="F83" s="342">
        <v>300</v>
      </c>
      <c r="G83" s="342">
        <f t="shared" ref="G83:G85" si="95">B83*F83*D83*E83</f>
        <v>300</v>
      </c>
      <c r="H83" s="344">
        <f t="shared" ref="H83:H85" si="96">G83</f>
        <v>300</v>
      </c>
      <c r="I83" s="381">
        <f t="shared" ref="I83:I85" si="97">G83-H83</f>
        <v>0</v>
      </c>
      <c r="J83" s="339">
        <v>1</v>
      </c>
      <c r="K83" s="340" t="s">
        <v>134</v>
      </c>
      <c r="L83" s="340">
        <v>1</v>
      </c>
      <c r="M83" s="345">
        <v>1</v>
      </c>
      <c r="N83" s="342">
        <f>300*1.04</f>
        <v>312</v>
      </c>
      <c r="O83" s="342">
        <f>J83*N83*L83*M83</f>
        <v>312</v>
      </c>
      <c r="P83" s="344">
        <f t="shared" ref="P83:P85" si="98">O83</f>
        <v>312</v>
      </c>
      <c r="Q83" s="381">
        <f t="shared" ref="Q83:Q85" si="99">O83-P83</f>
        <v>0</v>
      </c>
      <c r="R83" s="123"/>
      <c r="S83" s="125"/>
      <c r="T83" s="125"/>
      <c r="U83" s="114"/>
      <c r="V83" s="85"/>
      <c r="W83" s="85"/>
      <c r="X83" s="337"/>
      <c r="Y83" s="338"/>
      <c r="Z83" s="123"/>
      <c r="AA83" s="125"/>
      <c r="AB83" s="125"/>
      <c r="AC83" s="114"/>
      <c r="AD83" s="85"/>
      <c r="AE83" s="85"/>
      <c r="AF83" s="337"/>
      <c r="AG83" s="338"/>
      <c r="AH83" s="454">
        <f t="shared" ref="AH83:AI85" si="100">H83+P83+X83+AF83</f>
        <v>612</v>
      </c>
      <c r="AI83" s="355">
        <f t="shared" si="100"/>
        <v>0</v>
      </c>
      <c r="AJ83" s="356">
        <f t="shared" ref="AJ83:AJ85" si="101">+AH83+AI83</f>
        <v>612</v>
      </c>
    </row>
    <row r="84" spans="1:50" s="79" customFormat="1" ht="15.4">
      <c r="A84" s="58" t="s">
        <v>189</v>
      </c>
      <c r="B84" s="339">
        <v>1</v>
      </c>
      <c r="C84" s="340" t="s">
        <v>190</v>
      </c>
      <c r="D84" s="340">
        <v>1</v>
      </c>
      <c r="E84" s="341">
        <v>1</v>
      </c>
      <c r="F84" s="342">
        <v>121</v>
      </c>
      <c r="G84" s="342">
        <f t="shared" si="95"/>
        <v>121</v>
      </c>
      <c r="H84" s="344">
        <f t="shared" si="96"/>
        <v>121</v>
      </c>
      <c r="I84" s="381">
        <f t="shared" si="97"/>
        <v>0</v>
      </c>
      <c r="J84" s="339">
        <v>1</v>
      </c>
      <c r="K84" s="340" t="s">
        <v>190</v>
      </c>
      <c r="L84" s="340">
        <v>1</v>
      </c>
      <c r="M84" s="345">
        <v>1</v>
      </c>
      <c r="N84" s="342">
        <f>121*1.04</f>
        <v>125.84</v>
      </c>
      <c r="O84" s="342">
        <f>J84*N84*L84*M84</f>
        <v>125.84</v>
      </c>
      <c r="P84" s="344">
        <f t="shared" si="98"/>
        <v>125.84</v>
      </c>
      <c r="Q84" s="381">
        <f t="shared" si="99"/>
        <v>0</v>
      </c>
      <c r="R84" s="123"/>
      <c r="S84" s="125"/>
      <c r="T84" s="125"/>
      <c r="U84" s="114"/>
      <c r="V84" s="85"/>
      <c r="W84" s="85"/>
      <c r="X84" s="337"/>
      <c r="Y84" s="338"/>
      <c r="Z84" s="123"/>
      <c r="AA84" s="125"/>
      <c r="AB84" s="125"/>
      <c r="AC84" s="114"/>
      <c r="AD84" s="85"/>
      <c r="AE84" s="85"/>
      <c r="AF84" s="337"/>
      <c r="AG84" s="338"/>
      <c r="AH84" s="454">
        <f t="shared" si="100"/>
        <v>246.84</v>
      </c>
      <c r="AI84" s="355">
        <f t="shared" si="100"/>
        <v>0</v>
      </c>
      <c r="AJ84" s="356">
        <f t="shared" si="101"/>
        <v>246.84</v>
      </c>
    </row>
    <row r="85" spans="1:50" s="79" customFormat="1" ht="15.4">
      <c r="A85" s="58" t="s">
        <v>192</v>
      </c>
      <c r="B85" s="339">
        <v>1</v>
      </c>
      <c r="C85" s="340" t="s">
        <v>112</v>
      </c>
      <c r="D85" s="340">
        <v>0</v>
      </c>
      <c r="E85" s="341">
        <v>1</v>
      </c>
      <c r="F85" s="342">
        <v>1000</v>
      </c>
      <c r="G85" s="342">
        <f t="shared" si="95"/>
        <v>0</v>
      </c>
      <c r="H85" s="344">
        <f t="shared" si="96"/>
        <v>0</v>
      </c>
      <c r="I85" s="381">
        <f t="shared" si="97"/>
        <v>0</v>
      </c>
      <c r="J85" s="339">
        <v>1</v>
      </c>
      <c r="K85" s="340" t="s">
        <v>112</v>
      </c>
      <c r="L85" s="340">
        <v>1</v>
      </c>
      <c r="M85" s="345">
        <v>1</v>
      </c>
      <c r="N85" s="342">
        <f>1000*1.04</f>
        <v>1040</v>
      </c>
      <c r="O85" s="342">
        <f>J85*N85*L85*M85</f>
        <v>1040</v>
      </c>
      <c r="P85" s="344">
        <f t="shared" si="98"/>
        <v>1040</v>
      </c>
      <c r="Q85" s="381">
        <f t="shared" si="99"/>
        <v>0</v>
      </c>
      <c r="R85" s="123"/>
      <c r="S85" s="125"/>
      <c r="T85" s="125"/>
      <c r="U85" s="114"/>
      <c r="V85" s="85"/>
      <c r="W85" s="85"/>
      <c r="X85" s="337"/>
      <c r="Y85" s="338"/>
      <c r="Z85" s="123"/>
      <c r="AA85" s="125"/>
      <c r="AB85" s="125"/>
      <c r="AC85" s="114"/>
      <c r="AD85" s="85"/>
      <c r="AE85" s="85"/>
      <c r="AF85" s="337"/>
      <c r="AG85" s="338"/>
      <c r="AH85" s="454">
        <f t="shared" si="100"/>
        <v>1040</v>
      </c>
      <c r="AI85" s="355">
        <f t="shared" si="100"/>
        <v>0</v>
      </c>
      <c r="AJ85" s="356">
        <f t="shared" si="101"/>
        <v>1040</v>
      </c>
    </row>
    <row r="86" spans="1:50" s="97" customFormat="1" ht="15">
      <c r="A86" s="128" t="s">
        <v>193</v>
      </c>
      <c r="B86" s="187"/>
      <c r="C86" s="130"/>
      <c r="D86" s="188"/>
      <c r="E86" s="132"/>
      <c r="F86" s="133"/>
      <c r="G86" s="133">
        <f>SUM(G63:G85)</f>
        <v>39031</v>
      </c>
      <c r="H86" s="133">
        <f t="shared" ref="H86:I86" si="102">SUM(H63:H85)</f>
        <v>39031</v>
      </c>
      <c r="I86" s="133">
        <f t="shared" si="102"/>
        <v>0</v>
      </c>
      <c r="J86" s="135"/>
      <c r="K86" s="136"/>
      <c r="L86" s="137"/>
      <c r="M86" s="138"/>
      <c r="N86" s="133"/>
      <c r="O86" s="133">
        <f t="shared" ref="O86:Q86" si="103">SUM(O63:O85)</f>
        <v>251211.63999999998</v>
      </c>
      <c r="P86" s="133">
        <f t="shared" si="103"/>
        <v>251211.63999999998</v>
      </c>
      <c r="Q86" s="133">
        <f t="shared" si="103"/>
        <v>0</v>
      </c>
      <c r="R86" s="135"/>
      <c r="S86" s="136"/>
      <c r="T86" s="137"/>
      <c r="U86" s="138"/>
      <c r="V86" s="133"/>
      <c r="W86" s="133">
        <f t="shared" ref="W86:Y86" si="104">SUM(W63:W85)</f>
        <v>48315.040000000001</v>
      </c>
      <c r="X86" s="133">
        <f t="shared" si="104"/>
        <v>48315.040000000001</v>
      </c>
      <c r="Y86" s="133">
        <f t="shared" si="104"/>
        <v>0</v>
      </c>
      <c r="Z86" s="135"/>
      <c r="AA86" s="136"/>
      <c r="AB86" s="137"/>
      <c r="AC86" s="138"/>
      <c r="AD86" s="133"/>
      <c r="AE86" s="133">
        <f>SUM(AE63:AE85)</f>
        <v>23727.724800000004</v>
      </c>
      <c r="AF86" s="133">
        <f t="shared" ref="AF86:AJ86" si="105">SUM(AF63:AF85)</f>
        <v>23727.724800000004</v>
      </c>
      <c r="AG86" s="133">
        <f t="shared" si="105"/>
        <v>0</v>
      </c>
      <c r="AH86" s="139">
        <f>SUM(AH63:AH85)</f>
        <v>362285.40480000002</v>
      </c>
      <c r="AI86" s="133">
        <f t="shared" si="105"/>
        <v>0</v>
      </c>
      <c r="AJ86" s="134">
        <f t="shared" si="105"/>
        <v>362285.40480000002</v>
      </c>
    </row>
    <row r="87" spans="1:50" s="97" customFormat="1" ht="15">
      <c r="A87" s="140" t="s">
        <v>194</v>
      </c>
      <c r="B87" s="44"/>
      <c r="C87" s="142"/>
      <c r="D87" s="142"/>
      <c r="E87" s="144"/>
      <c r="F87" s="145"/>
      <c r="G87" s="145">
        <f>G20+G26+G38+G44+G61+G86</f>
        <v>273864.69099999999</v>
      </c>
      <c r="H87" s="145">
        <f>H20+H26+H38+H44+H61+H86</f>
        <v>273864.69099999999</v>
      </c>
      <c r="I87" s="189">
        <f>I20+I26+I38+I44+I61+I86</f>
        <v>0</v>
      </c>
      <c r="J87" s="44"/>
      <c r="K87" s="190"/>
      <c r="L87" s="191"/>
      <c r="M87" s="192"/>
      <c r="N87" s="145"/>
      <c r="O87" s="145">
        <f>O20+O26+O38+O44+O61+O86</f>
        <v>718909.09450666665</v>
      </c>
      <c r="P87" s="145">
        <f>P20+P26+P38+P44+P61+P86</f>
        <v>718909.09450666665</v>
      </c>
      <c r="Q87" s="189">
        <f>Q20+Q26+Q38+Q44+Q61+Q86</f>
        <v>0</v>
      </c>
      <c r="R87" s="44"/>
      <c r="S87" s="190"/>
      <c r="T87" s="191"/>
      <c r="U87" s="192"/>
      <c r="V87" s="145"/>
      <c r="W87" s="145">
        <f>W20+W26+W38+W44+W61+W86</f>
        <v>755115.3413166668</v>
      </c>
      <c r="X87" s="145">
        <f>X20+X26+X38+X44+X61+X86</f>
        <v>755115.3413166668</v>
      </c>
      <c r="Y87" s="189">
        <f>Y20+Y26+Y38+Y44+Y61+Y86</f>
        <v>0</v>
      </c>
      <c r="Z87" s="44"/>
      <c r="AA87" s="190"/>
      <c r="AB87" s="191"/>
      <c r="AC87" s="192"/>
      <c r="AD87" s="145"/>
      <c r="AE87" s="145">
        <f>AE20+AE26+AE38+AE44+AE61+AE86</f>
        <v>159285.09891856665</v>
      </c>
      <c r="AF87" s="145">
        <f>AF20+AF26+AF38+AF44+AF61+AF86</f>
        <v>159285.09891856665</v>
      </c>
      <c r="AG87" s="189">
        <f>AG20+AG26+AG38+AG44+AG61+AG86</f>
        <v>0</v>
      </c>
      <c r="AH87" s="193">
        <f>H87+P87+X87+AF87</f>
        <v>1907174.2257419003</v>
      </c>
      <c r="AI87" s="145">
        <f>I87+Q87+Y87+AG87</f>
        <v>0</v>
      </c>
      <c r="AJ87" s="189">
        <f>+AH87+AI87</f>
        <v>1907174.2257419003</v>
      </c>
    </row>
    <row r="88" spans="1:50" s="97" customFormat="1" ht="15">
      <c r="A88" s="140" t="s">
        <v>195</v>
      </c>
      <c r="B88" s="44"/>
      <c r="C88" s="142"/>
      <c r="D88" s="142"/>
      <c r="E88" s="144"/>
      <c r="F88" s="145"/>
      <c r="G88" s="145"/>
      <c r="H88" s="145"/>
      <c r="I88" s="189"/>
      <c r="J88" s="44"/>
      <c r="K88" s="190"/>
      <c r="L88" s="191"/>
      <c r="M88" s="192"/>
      <c r="N88" s="145"/>
      <c r="O88" s="145"/>
      <c r="P88" s="145"/>
      <c r="Q88" s="189"/>
      <c r="R88" s="44"/>
      <c r="S88" s="190"/>
      <c r="T88" s="191"/>
      <c r="U88" s="192"/>
      <c r="V88" s="145"/>
      <c r="W88" s="145"/>
      <c r="X88" s="145"/>
      <c r="Y88" s="189"/>
      <c r="Z88" s="44"/>
      <c r="AA88" s="190"/>
      <c r="AB88" s="191"/>
      <c r="AC88" s="192"/>
      <c r="AD88" s="145"/>
      <c r="AE88" s="145"/>
      <c r="AF88" s="145"/>
      <c r="AG88" s="189"/>
      <c r="AH88" s="193"/>
      <c r="AI88" s="145"/>
      <c r="AJ88" s="189"/>
    </row>
    <row r="89" spans="1:50" s="97" customFormat="1" ht="15">
      <c r="A89" s="194" t="s">
        <v>197</v>
      </c>
      <c r="B89" s="391"/>
      <c r="C89" s="392">
        <v>0.2828</v>
      </c>
      <c r="D89" s="393"/>
      <c r="E89" s="394"/>
      <c r="F89" s="395"/>
      <c r="G89" s="395">
        <f>G87*C89</f>
        <v>77448.93461479999</v>
      </c>
      <c r="H89" s="395">
        <f>G89</f>
        <v>77448.93461479999</v>
      </c>
      <c r="I89" s="396">
        <f>G89-H89</f>
        <v>0</v>
      </c>
      <c r="J89" s="440"/>
      <c r="K89" s="441">
        <v>0.2828</v>
      </c>
      <c r="L89" s="442"/>
      <c r="M89" s="443"/>
      <c r="N89" s="444"/>
      <c r="O89" s="444">
        <f>O87*$K$89</f>
        <v>203307.49192648532</v>
      </c>
      <c r="P89" s="444">
        <f>O89</f>
        <v>203307.49192648532</v>
      </c>
      <c r="Q89" s="445">
        <f>O89-P89</f>
        <v>0</v>
      </c>
      <c r="R89" s="201"/>
      <c r="S89" s="202">
        <v>0.2828</v>
      </c>
      <c r="T89" s="203"/>
      <c r="U89" s="204"/>
      <c r="V89" s="205"/>
      <c r="W89" s="205">
        <f>W87*$K$89</f>
        <v>213546.61852435337</v>
      </c>
      <c r="X89" s="205">
        <f>W89</f>
        <v>213546.61852435337</v>
      </c>
      <c r="Y89" s="207">
        <f>W89-X89</f>
        <v>0</v>
      </c>
      <c r="Z89" s="201"/>
      <c r="AA89" s="202">
        <v>0.2828</v>
      </c>
      <c r="AB89" s="203"/>
      <c r="AC89" s="204"/>
      <c r="AD89" s="208"/>
      <c r="AE89" s="205">
        <f>AE87*$K$89</f>
        <v>45045.82597417065</v>
      </c>
      <c r="AF89" s="208">
        <f>AE89</f>
        <v>45045.82597417065</v>
      </c>
      <c r="AG89" s="207">
        <f>AE89-AF89</f>
        <v>0</v>
      </c>
      <c r="AH89" s="209">
        <f t="shared" ref="AH89:AI91" si="106">H89+P89+X89+AF89</f>
        <v>539348.87103980931</v>
      </c>
      <c r="AI89" s="205">
        <f t="shared" si="106"/>
        <v>0</v>
      </c>
      <c r="AJ89" s="206">
        <f>+AH89+AI89</f>
        <v>539348.87103980931</v>
      </c>
    </row>
    <row r="90" spans="1:50" s="97" customFormat="1" ht="15">
      <c r="A90" s="210" t="s">
        <v>198</v>
      </c>
      <c r="B90" s="211"/>
      <c r="C90" s="212"/>
      <c r="D90" s="213"/>
      <c r="E90" s="214"/>
      <c r="F90" s="215"/>
      <c r="G90" s="215">
        <f>G89</f>
        <v>77448.93461479999</v>
      </c>
      <c r="H90" s="215">
        <f>H89</f>
        <v>77448.93461479999</v>
      </c>
      <c r="I90" s="216">
        <f>I89</f>
        <v>0</v>
      </c>
      <c r="J90" s="211"/>
      <c r="K90" s="217"/>
      <c r="L90" s="218"/>
      <c r="M90" s="219"/>
      <c r="N90" s="215"/>
      <c r="O90" s="215">
        <f>O89</f>
        <v>203307.49192648532</v>
      </c>
      <c r="P90" s="215">
        <f>P89</f>
        <v>203307.49192648532</v>
      </c>
      <c r="Q90" s="216">
        <f>Q89</f>
        <v>0</v>
      </c>
      <c r="R90" s="211"/>
      <c r="S90" s="217"/>
      <c r="T90" s="218"/>
      <c r="U90" s="219"/>
      <c r="V90" s="215"/>
      <c r="W90" s="215">
        <f>W89</f>
        <v>213546.61852435337</v>
      </c>
      <c r="X90" s="215">
        <f>X89</f>
        <v>213546.61852435337</v>
      </c>
      <c r="Y90" s="216">
        <f>Y89</f>
        <v>0</v>
      </c>
      <c r="Z90" s="211"/>
      <c r="AA90" s="217"/>
      <c r="AB90" s="218"/>
      <c r="AC90" s="219"/>
      <c r="AD90" s="215"/>
      <c r="AE90" s="215">
        <f>AE89</f>
        <v>45045.82597417065</v>
      </c>
      <c r="AF90" s="215">
        <f>AF89</f>
        <v>45045.82597417065</v>
      </c>
      <c r="AG90" s="216">
        <f>AG89</f>
        <v>0</v>
      </c>
      <c r="AH90" s="193">
        <f t="shared" si="106"/>
        <v>539348.87103980931</v>
      </c>
      <c r="AI90" s="145">
        <f t="shared" si="106"/>
        <v>0</v>
      </c>
      <c r="AJ90" s="189">
        <f>+AH90+AI90</f>
        <v>539348.87103980931</v>
      </c>
    </row>
    <row r="91" spans="1:50" s="97" customFormat="1" ht="15.4" thickBot="1">
      <c r="A91" s="220" t="s">
        <v>199</v>
      </c>
      <c r="B91" s="221"/>
      <c r="C91" s="222"/>
      <c r="D91" s="222"/>
      <c r="E91" s="223"/>
      <c r="F91" s="224"/>
      <c r="G91" s="224">
        <f>G87+G90</f>
        <v>351313.62561479997</v>
      </c>
      <c r="H91" s="224">
        <f t="shared" ref="H91:Q91" si="107">H87+H90</f>
        <v>351313.62561479997</v>
      </c>
      <c r="I91" s="225">
        <f t="shared" si="107"/>
        <v>0</v>
      </c>
      <c r="J91" s="226"/>
      <c r="K91" s="227"/>
      <c r="L91" s="224"/>
      <c r="M91" s="228"/>
      <c r="N91" s="224"/>
      <c r="O91" s="224">
        <f>O87+O90</f>
        <v>922216.58643315197</v>
      </c>
      <c r="P91" s="224">
        <f>P87+P90</f>
        <v>922216.58643315197</v>
      </c>
      <c r="Q91" s="225">
        <f t="shared" si="107"/>
        <v>0</v>
      </c>
      <c r="R91" s="226"/>
      <c r="S91" s="227"/>
      <c r="T91" s="224"/>
      <c r="U91" s="228"/>
      <c r="V91" s="224"/>
      <c r="W91" s="224">
        <f>W87+W90</f>
        <v>968661.95984102017</v>
      </c>
      <c r="X91" s="224">
        <f>X87+X90</f>
        <v>968661.95984102017</v>
      </c>
      <c r="Y91" s="225">
        <f>Y87+Y90</f>
        <v>0</v>
      </c>
      <c r="Z91" s="226"/>
      <c r="AA91" s="227"/>
      <c r="AB91" s="224"/>
      <c r="AC91" s="228"/>
      <c r="AD91" s="224"/>
      <c r="AE91" s="224">
        <f>AE87+AE90</f>
        <v>204330.9248927373</v>
      </c>
      <c r="AF91" s="224">
        <f>AF87+AF90</f>
        <v>204330.9248927373</v>
      </c>
      <c r="AG91" s="225">
        <f>AG87+AG90</f>
        <v>0</v>
      </c>
      <c r="AH91" s="226">
        <f t="shared" si="106"/>
        <v>2446523.0967817092</v>
      </c>
      <c r="AI91" s="224">
        <f t="shared" si="106"/>
        <v>0</v>
      </c>
      <c r="AJ91" s="225">
        <f>+AH91+AI91</f>
        <v>2446523.0967817092</v>
      </c>
      <c r="AK91" s="229"/>
      <c r="AL91" s="186"/>
    </row>
    <row r="93" spans="1:50">
      <c r="O93" s="231"/>
    </row>
    <row r="94" spans="1:50" ht="15.4">
      <c r="AI94" t="s">
        <v>200</v>
      </c>
      <c r="AJ94" s="76">
        <v>1805524.7280692772</v>
      </c>
    </row>
    <row r="95" spans="1:50" ht="15.4">
      <c r="AD95" s="232"/>
      <c r="AI95" t="s">
        <v>201</v>
      </c>
      <c r="AJ95" s="76">
        <v>640999.72745419201</v>
      </c>
    </row>
    <row r="96" spans="1:50" ht="15.4">
      <c r="AD96" s="233"/>
      <c r="AI96" t="s">
        <v>6</v>
      </c>
      <c r="AJ96" s="76">
        <f>SUM(AJ94:AJ95)</f>
        <v>2446524.4555234695</v>
      </c>
      <c r="AL96" s="231">
        <f>+AJ96-AJ91</f>
        <v>1.3587417602539063</v>
      </c>
    </row>
    <row r="97" spans="30:32">
      <c r="AD97" s="233"/>
    </row>
    <row r="98" spans="30:32" ht="14.1">
      <c r="AD98" s="234"/>
      <c r="AF98" s="235"/>
    </row>
  </sheetData>
  <autoFilter ref="A6:AJ91" xr:uid="{B7D936E8-B046-4AC8-ABE4-F177BC4EB305}"/>
  <mergeCells count="6">
    <mergeCell ref="A1:AJ1"/>
    <mergeCell ref="B5:I5"/>
    <mergeCell ref="J5:Q5"/>
    <mergeCell ref="R5:Y5"/>
    <mergeCell ref="Z5:AG5"/>
    <mergeCell ref="AH5:AJ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3B4B5A-FBF0-4EE0-8C32-4E5ECA960B6C}"/>
</file>

<file path=customXml/itemProps2.xml><?xml version="1.0" encoding="utf-8"?>
<ds:datastoreItem xmlns:ds="http://schemas.openxmlformats.org/officeDocument/2006/customXml" ds:itemID="{4D918702-65F5-439A-82B7-988D7E26C71E}"/>
</file>

<file path=customXml/itemProps3.xml><?xml version="1.0" encoding="utf-8"?>
<ds:datastoreItem xmlns:ds="http://schemas.openxmlformats.org/officeDocument/2006/customXml" ds:itemID="{C47219A6-B755-4B0F-895E-493DF348B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Alejandro Hernández</dc:creator>
  <cp:keywords/>
  <dc:description/>
  <cp:lastModifiedBy>Arlette G. Gutierrez</cp:lastModifiedBy>
  <cp:revision/>
  <dcterms:created xsi:type="dcterms:W3CDTF">2024-10-02T18:45:35Z</dcterms:created>
  <dcterms:modified xsi:type="dcterms:W3CDTF">2024-12-10T18:34:15Z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0x01010070DCFE42B6DA174395680DED1A1F5DC1</vt:lpwstr>
  </property>
  <property fmtid="{D5CDD505-2E9C-101B-9397-08002B2CF9AE}" pid="3" name="MediaServiceImageTags">
    <vt:lpwstr/>
  </property>
</Properties>
</file>