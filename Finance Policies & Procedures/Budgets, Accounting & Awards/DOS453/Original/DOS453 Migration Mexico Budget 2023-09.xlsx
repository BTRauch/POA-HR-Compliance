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Budgets, Accounting &amp; Awards/DOS453/"/>
    </mc:Choice>
  </mc:AlternateContent>
  <xr:revisionPtr revIDLastSave="488" documentId="13_ncr:1_{85D4B8D8-562D-4BA1-B2F5-6E0D449707F9}" xr6:coauthVersionLast="47" xr6:coauthVersionMax="47" xr10:uidLastSave="{631809D0-0A90-46F8-B8B4-374F056D809D}"/>
  <bookViews>
    <workbookView xWindow="-96" yWindow="-96" windowWidth="23232" windowHeight="12552" activeTab="2" xr2:uid="{00000000-000D-0000-FFFF-FFFF00000000}"/>
  </bookViews>
  <sheets>
    <sheet name="Budget Summary" sheetId="6" r:id="rId1"/>
    <sheet name="Line Item Budget" sheetId="5" r:id="rId2"/>
    <sheet name="Line Item Budget Monthly" sheetId="7" r:id="rId3"/>
  </sheets>
  <definedNames>
    <definedName name="_xlnm.Print_Area" localSheetId="0">'Budget Summary'!$A$2:$J$15</definedName>
    <definedName name="_xlnm.Print_Area" localSheetId="1">'Line Item Budget'!$D$5:$U$79</definedName>
    <definedName name="_xlnm.Print_Area" localSheetId="2">'Line Item Budget Monthly'!$D$5:$AV$79</definedName>
    <definedName name="_xlnm.Print_Titles" localSheetId="1">'Line Item Budget'!$6:$6</definedName>
    <definedName name="_xlnm.Print_Titles" localSheetId="2">'Line Item Budget Monthly'!$6:$6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40" i="7" l="1"/>
  <c r="AF40" i="7" s="1"/>
  <c r="AG40" i="7" s="1"/>
  <c r="AH40" i="7" s="1"/>
  <c r="AI40" i="7" s="1"/>
  <c r="AJ40" i="7" s="1"/>
  <c r="AK40" i="7" s="1"/>
  <c r="AL40" i="7" s="1"/>
  <c r="AM40" i="7" s="1"/>
  <c r="AN40" i="7" s="1"/>
  <c r="AD40" i="7"/>
  <c r="AC40" i="7"/>
  <c r="AN24" i="7"/>
  <c r="AS73" i="7"/>
  <c r="AS72" i="7"/>
  <c r="AS71" i="7"/>
  <c r="AS69" i="7"/>
  <c r="AS68" i="7"/>
  <c r="AS67" i="7"/>
  <c r="AS66" i="7"/>
  <c r="AS64" i="7"/>
  <c r="AS63" i="7"/>
  <c r="AS62" i="7"/>
  <c r="AS61" i="7"/>
  <c r="AS60" i="7"/>
  <c r="AS59" i="7"/>
  <c r="AS58" i="7"/>
  <c r="AS57" i="7"/>
  <c r="AS56" i="7"/>
  <c r="AS51" i="7"/>
  <c r="AS50" i="7"/>
  <c r="AS49" i="7"/>
  <c r="AS52" i="7" s="1"/>
  <c r="AS47" i="7"/>
  <c r="AS46" i="7"/>
  <c r="AS45" i="7"/>
  <c r="AS41" i="7"/>
  <c r="AS36" i="7"/>
  <c r="AS35" i="7"/>
  <c r="AS34" i="7"/>
  <c r="AS33" i="7"/>
  <c r="AS31" i="7"/>
  <c r="AS30" i="7"/>
  <c r="AS29" i="7"/>
  <c r="AS28" i="7"/>
  <c r="AS22" i="7"/>
  <c r="AS18" i="7"/>
  <c r="AS10" i="7"/>
  <c r="AS11" i="7"/>
  <c r="AS12" i="7"/>
  <c r="AS13" i="7"/>
  <c r="AS14" i="7"/>
  <c r="AS15" i="7"/>
  <c r="AS16" i="7"/>
  <c r="AS9" i="7"/>
  <c r="AR9" i="7"/>
  <c r="AR10" i="7"/>
  <c r="AR11" i="7"/>
  <c r="AR12" i="7"/>
  <c r="AR13" i="7"/>
  <c r="AR14" i="7"/>
  <c r="AR15" i="7"/>
  <c r="AR16" i="7"/>
  <c r="AR18" i="7"/>
  <c r="AS37" i="7"/>
  <c r="AS17" i="7"/>
  <c r="AO73" i="7"/>
  <c r="AO72" i="7"/>
  <c r="AO71" i="7"/>
  <c r="AO69" i="7"/>
  <c r="AO68" i="7"/>
  <c r="AO67" i="7"/>
  <c r="AO66" i="7"/>
  <c r="AO64" i="7"/>
  <c r="AO63" i="7"/>
  <c r="AO62" i="7"/>
  <c r="AO61" i="7"/>
  <c r="AO60" i="7"/>
  <c r="AO59" i="7"/>
  <c r="AO58" i="7"/>
  <c r="AO57" i="7"/>
  <c r="AO56" i="7"/>
  <c r="AO74" i="7" s="1"/>
  <c r="AO51" i="7"/>
  <c r="AO50" i="7"/>
  <c r="AO49" i="7"/>
  <c r="AO47" i="7"/>
  <c r="AO46" i="7"/>
  <c r="AO45" i="7"/>
  <c r="AO41" i="7"/>
  <c r="AO36" i="7"/>
  <c r="AO35" i="7"/>
  <c r="AO34" i="7"/>
  <c r="AO33" i="7"/>
  <c r="AO31" i="7"/>
  <c r="AO30" i="7"/>
  <c r="AO29" i="7"/>
  <c r="AO28" i="7"/>
  <c r="AO37" i="7" s="1"/>
  <c r="AO17" i="7"/>
  <c r="AO16" i="7"/>
  <c r="AO14" i="7"/>
  <c r="AO13" i="7"/>
  <c r="AO12" i="7"/>
  <c r="AO11" i="7"/>
  <c r="T15" i="7"/>
  <c r="AC15" i="7" s="1"/>
  <c r="K15" i="7"/>
  <c r="M9" i="7"/>
  <c r="V73" i="7"/>
  <c r="V72" i="7"/>
  <c r="V71" i="7"/>
  <c r="V69" i="7"/>
  <c r="V68" i="7"/>
  <c r="V67" i="7"/>
  <c r="V66" i="7"/>
  <c r="V64" i="7"/>
  <c r="V63" i="7"/>
  <c r="V62" i="7"/>
  <c r="V61" i="7"/>
  <c r="V60" i="7"/>
  <c r="V59" i="7"/>
  <c r="V58" i="7"/>
  <c r="V57" i="7"/>
  <c r="V56" i="7"/>
  <c r="V51" i="7"/>
  <c r="V50" i="7"/>
  <c r="V49" i="7"/>
  <c r="V47" i="7"/>
  <c r="V46" i="7"/>
  <c r="V45" i="7"/>
  <c r="V36" i="7"/>
  <c r="V35" i="7"/>
  <c r="V34" i="7"/>
  <c r="V33" i="7"/>
  <c r="V31" i="7"/>
  <c r="V30" i="7"/>
  <c r="V29" i="7"/>
  <c r="V28" i="7"/>
  <c r="U15" i="7"/>
  <c r="V11" i="7"/>
  <c r="V12" i="7"/>
  <c r="V13" i="7"/>
  <c r="V14" i="7"/>
  <c r="V16" i="7"/>
  <c r="V17" i="7"/>
  <c r="K9" i="7"/>
  <c r="L9" i="7"/>
  <c r="N9" i="7"/>
  <c r="O9" i="7"/>
  <c r="P9" i="7"/>
  <c r="Q9" i="7"/>
  <c r="R9" i="7"/>
  <c r="S9" i="7"/>
  <c r="T9" i="7"/>
  <c r="AC9" i="7" s="1"/>
  <c r="AD9" i="7" s="1"/>
  <c r="AE9" i="7" s="1"/>
  <c r="K10" i="7"/>
  <c r="L10" i="7"/>
  <c r="M10" i="7"/>
  <c r="N10" i="7"/>
  <c r="O10" i="7"/>
  <c r="P10" i="7"/>
  <c r="Q10" i="7"/>
  <c r="R10" i="7"/>
  <c r="S10" i="7"/>
  <c r="T10" i="7"/>
  <c r="AD10" i="7" s="1"/>
  <c r="AE10" i="7" s="1"/>
  <c r="AF10" i="7" s="1"/>
  <c r="AG10" i="7" s="1"/>
  <c r="AH10" i="7" s="1"/>
  <c r="AI10" i="7" s="1"/>
  <c r="AJ10" i="7" s="1"/>
  <c r="AK10" i="7" s="1"/>
  <c r="AL10" i="7" s="1"/>
  <c r="AM10" i="7" s="1"/>
  <c r="AN10" i="7" s="1"/>
  <c r="L15" i="7"/>
  <c r="M15" i="7"/>
  <c r="N15" i="7"/>
  <c r="O15" i="7"/>
  <c r="P15" i="7"/>
  <c r="Q15" i="7"/>
  <c r="R15" i="7"/>
  <c r="S15" i="7"/>
  <c r="J15" i="7"/>
  <c r="J9" i="7"/>
  <c r="J10" i="7"/>
  <c r="AO40" i="7" l="1"/>
  <c r="AO42" i="7" s="1"/>
  <c r="AS74" i="7"/>
  <c r="AS19" i="7"/>
  <c r="AO52" i="7"/>
  <c r="AC10" i="7"/>
  <c r="AO10" i="7" s="1"/>
  <c r="AG9" i="7"/>
  <c r="AF9" i="7"/>
  <c r="AO9" i="7" s="1"/>
  <c r="AE15" i="7"/>
  <c r="AD15" i="7"/>
  <c r="V74" i="7"/>
  <c r="U9" i="7"/>
  <c r="V9" i="7" s="1"/>
  <c r="U10" i="7"/>
  <c r="V10" i="7" s="1"/>
  <c r="AH9" i="7"/>
  <c r="AI9" i="7" s="1"/>
  <c r="AJ9" i="7" s="1"/>
  <c r="AK9" i="7" s="1"/>
  <c r="AL9" i="7" s="1"/>
  <c r="AM9" i="7" s="1"/>
  <c r="AN9" i="7" s="1"/>
  <c r="V15" i="7"/>
  <c r="V52" i="7"/>
  <c r="V37" i="7"/>
  <c r="AS40" i="7" l="1"/>
  <c r="AS42" i="7" s="1"/>
  <c r="AF15" i="7"/>
  <c r="AG15" i="7" s="1"/>
  <c r="AH15" i="7" s="1"/>
  <c r="AI15" i="7" s="1"/>
  <c r="AJ15" i="7" s="1"/>
  <c r="AK15" i="7" s="1"/>
  <c r="AL15" i="7" s="1"/>
  <c r="AM15" i="7" s="1"/>
  <c r="AN15" i="7" s="1"/>
  <c r="AO15" i="7" l="1"/>
  <c r="AN74" i="7" l="1"/>
  <c r="AM74" i="7"/>
  <c r="AL74" i="7"/>
  <c r="AK74" i="7"/>
  <c r="AJ74" i="7"/>
  <c r="AI74" i="7"/>
  <c r="AH74" i="7"/>
  <c r="AG74" i="7"/>
  <c r="AF74" i="7"/>
  <c r="AE74" i="7"/>
  <c r="AD74" i="7"/>
  <c r="AC74" i="7"/>
  <c r="AN52" i="7"/>
  <c r="AM52" i="7"/>
  <c r="AL52" i="7"/>
  <c r="AK52" i="7"/>
  <c r="AJ52" i="7"/>
  <c r="AI52" i="7"/>
  <c r="AH52" i="7"/>
  <c r="AG52" i="7"/>
  <c r="AF52" i="7"/>
  <c r="AE52" i="7"/>
  <c r="AD52" i="7"/>
  <c r="AC5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U74" i="7"/>
  <c r="T74" i="7"/>
  <c r="S74" i="7"/>
  <c r="R74" i="7"/>
  <c r="Q74" i="7"/>
  <c r="P74" i="7"/>
  <c r="O74" i="7"/>
  <c r="N74" i="7"/>
  <c r="M74" i="7"/>
  <c r="L74" i="7"/>
  <c r="K74" i="7"/>
  <c r="J74" i="7"/>
  <c r="U52" i="7"/>
  <c r="T52" i="7"/>
  <c r="S52" i="7"/>
  <c r="R52" i="7"/>
  <c r="Q52" i="7"/>
  <c r="P52" i="7"/>
  <c r="O52" i="7"/>
  <c r="N52" i="7"/>
  <c r="M52" i="7"/>
  <c r="L52" i="7"/>
  <c r="K52" i="7"/>
  <c r="J52" i="7"/>
  <c r="U37" i="7"/>
  <c r="T37" i="7"/>
  <c r="S37" i="7"/>
  <c r="R37" i="7"/>
  <c r="Q37" i="7"/>
  <c r="P37" i="7"/>
  <c r="O37" i="7"/>
  <c r="N37" i="7"/>
  <c r="M37" i="7"/>
  <c r="L37" i="7"/>
  <c r="K37" i="7"/>
  <c r="J37" i="7"/>
  <c r="AB73" i="7"/>
  <c r="AP73" i="7" s="1"/>
  <c r="W73" i="7"/>
  <c r="AB72" i="7"/>
  <c r="AP72" i="7" s="1"/>
  <c r="W72" i="7"/>
  <c r="X72" i="7" s="1"/>
  <c r="AB71" i="7"/>
  <c r="AP71" i="7" s="1"/>
  <c r="W71" i="7"/>
  <c r="AB69" i="7"/>
  <c r="AA69" i="7"/>
  <c r="Z69" i="7"/>
  <c r="W69" i="7"/>
  <c r="AB68" i="7"/>
  <c r="AP68" i="7" s="1"/>
  <c r="W68" i="7"/>
  <c r="X68" i="7" s="1"/>
  <c r="AB67" i="7"/>
  <c r="AA67" i="7"/>
  <c r="Z67" i="7"/>
  <c r="W67" i="7"/>
  <c r="AB66" i="7"/>
  <c r="AA66" i="7"/>
  <c r="Z66" i="7"/>
  <c r="W66" i="7"/>
  <c r="AB64" i="7"/>
  <c r="AP64" i="7" s="1"/>
  <c r="W64" i="7"/>
  <c r="AB63" i="7"/>
  <c r="AP63" i="7" s="1"/>
  <c r="W63" i="7"/>
  <c r="AB62" i="7"/>
  <c r="AP62" i="7" s="1"/>
  <c r="W62" i="7"/>
  <c r="AB61" i="7"/>
  <c r="AP61" i="7" s="1"/>
  <c r="W61" i="7"/>
  <c r="X61" i="7" s="1"/>
  <c r="I60" i="7"/>
  <c r="AB60" i="7" s="1"/>
  <c r="AP60" i="7" s="1"/>
  <c r="AB59" i="7"/>
  <c r="AP59" i="7" s="1"/>
  <c r="W59" i="7"/>
  <c r="X59" i="7" s="1"/>
  <c r="AB58" i="7"/>
  <c r="AP58" i="7" s="1"/>
  <c r="W58" i="7"/>
  <c r="AB57" i="7"/>
  <c r="AP57" i="7" s="1"/>
  <c r="W57" i="7"/>
  <c r="AB56" i="7"/>
  <c r="AP56" i="7" s="1"/>
  <c r="W56" i="7"/>
  <c r="AB51" i="7"/>
  <c r="AA51" i="7"/>
  <c r="Z51" i="7"/>
  <c r="AP51" i="7" s="1"/>
  <c r="W51" i="7"/>
  <c r="X51" i="7" s="1"/>
  <c r="AB50" i="7"/>
  <c r="AP50" i="7" s="1"/>
  <c r="W50" i="7"/>
  <c r="AB49" i="7"/>
  <c r="AP49" i="7" s="1"/>
  <c r="W49" i="7"/>
  <c r="AB47" i="7"/>
  <c r="AA47" i="7"/>
  <c r="Z47" i="7"/>
  <c r="AP47" i="7" s="1"/>
  <c r="W47" i="7"/>
  <c r="AB46" i="7"/>
  <c r="AA46" i="7"/>
  <c r="Z46" i="7"/>
  <c r="W46" i="7"/>
  <c r="X46" i="7" s="1"/>
  <c r="AB45" i="7"/>
  <c r="AA45" i="7"/>
  <c r="Z45" i="7"/>
  <c r="AP45" i="7" s="1"/>
  <c r="W45" i="7"/>
  <c r="AB41" i="7"/>
  <c r="AP41" i="7" s="1"/>
  <c r="W41" i="7"/>
  <c r="J41" i="7" s="1"/>
  <c r="AB40" i="7"/>
  <c r="AP40" i="7" s="1"/>
  <c r="W40" i="7"/>
  <c r="AB36" i="7"/>
  <c r="AP36" i="7" s="1"/>
  <c r="AQ36" i="7" s="1"/>
  <c r="AR36" i="7" s="1"/>
  <c r="W36" i="7"/>
  <c r="X36" i="7" s="1"/>
  <c r="AB35" i="7"/>
  <c r="AP35" i="7" s="1"/>
  <c r="W35" i="7"/>
  <c r="AB34" i="7"/>
  <c r="AP34" i="7" s="1"/>
  <c r="W34" i="7"/>
  <c r="X34" i="7" s="1"/>
  <c r="AB33" i="7"/>
  <c r="AP33" i="7" s="1"/>
  <c r="W33" i="7"/>
  <c r="X33" i="7" s="1"/>
  <c r="AB31" i="7"/>
  <c r="AP31" i="7" s="1"/>
  <c r="AQ31" i="7" s="1"/>
  <c r="AR31" i="7" s="1"/>
  <c r="W31" i="7"/>
  <c r="X31" i="7" s="1"/>
  <c r="AB30" i="7"/>
  <c r="AP30" i="7" s="1"/>
  <c r="W30" i="7"/>
  <c r="AB29" i="7"/>
  <c r="AP29" i="7" s="1"/>
  <c r="W29" i="7"/>
  <c r="X29" i="7" s="1"/>
  <c r="AB28" i="7"/>
  <c r="AP28" i="7" s="1"/>
  <c r="W28" i="7"/>
  <c r="Y25" i="7"/>
  <c r="AA18" i="7"/>
  <c r="I18" i="7"/>
  <c r="AB18" i="7" s="1"/>
  <c r="AB16" i="7"/>
  <c r="Z16" i="7"/>
  <c r="W16" i="7"/>
  <c r="X16" i="7" s="1"/>
  <c r="AB15" i="7"/>
  <c r="Z15" i="7"/>
  <c r="W15" i="7"/>
  <c r="X15" i="7" s="1"/>
  <c r="AB14" i="7"/>
  <c r="Z14" i="7"/>
  <c r="AP14" i="7" s="1"/>
  <c r="W14" i="7"/>
  <c r="AB13" i="7"/>
  <c r="Z13" i="7"/>
  <c r="W13" i="7"/>
  <c r="AB12" i="7"/>
  <c r="Z12" i="7"/>
  <c r="W12" i="7"/>
  <c r="AB11" i="7"/>
  <c r="Z11" i="7"/>
  <c r="W11" i="7"/>
  <c r="X11" i="7" s="1"/>
  <c r="AB10" i="7"/>
  <c r="AB24" i="7" s="1"/>
  <c r="Z10" i="7"/>
  <c r="W10" i="7"/>
  <c r="AB9" i="7"/>
  <c r="Z9" i="7"/>
  <c r="W9" i="7"/>
  <c r="I60" i="5"/>
  <c r="O60" i="5" s="1"/>
  <c r="I18" i="5"/>
  <c r="O50" i="5"/>
  <c r="P50" i="5" s="1"/>
  <c r="J50" i="5"/>
  <c r="K50" i="5" s="1"/>
  <c r="O49" i="5"/>
  <c r="P49" i="5" s="1"/>
  <c r="J49" i="5"/>
  <c r="J61" i="5"/>
  <c r="M67" i="5"/>
  <c r="N67" i="5"/>
  <c r="M69" i="5"/>
  <c r="N69" i="5"/>
  <c r="N66" i="5"/>
  <c r="M66" i="5"/>
  <c r="O67" i="5"/>
  <c r="O68" i="5"/>
  <c r="O69" i="5"/>
  <c r="O66" i="5"/>
  <c r="O73" i="5"/>
  <c r="O72" i="5"/>
  <c r="O71" i="5"/>
  <c r="O57" i="5"/>
  <c r="O58" i="5"/>
  <c r="O59" i="5"/>
  <c r="O62" i="5"/>
  <c r="P62" i="5" s="1"/>
  <c r="O63" i="5"/>
  <c r="O64" i="5"/>
  <c r="P64" i="5" s="1"/>
  <c r="O56" i="5"/>
  <c r="J64" i="5"/>
  <c r="K64" i="5" s="1"/>
  <c r="J62" i="5"/>
  <c r="K62" i="5" s="1"/>
  <c r="X40" i="7" l="1"/>
  <c r="J40" i="7"/>
  <c r="AP11" i="7"/>
  <c r="AQ11" i="7" s="1"/>
  <c r="AP16" i="7"/>
  <c r="AQ16" i="7" s="1"/>
  <c r="AT16" i="7" s="1"/>
  <c r="AP46" i="7"/>
  <c r="AP9" i="7"/>
  <c r="AQ9" i="7" s="1"/>
  <c r="AP10" i="7"/>
  <c r="AQ10" i="7" s="1"/>
  <c r="AP13" i="7"/>
  <c r="AQ13" i="7" s="1"/>
  <c r="AP67" i="7"/>
  <c r="AQ67" i="7" s="1"/>
  <c r="AR67" i="7" s="1"/>
  <c r="X10" i="7"/>
  <c r="Y10" i="7" s="1"/>
  <c r="AP15" i="7"/>
  <c r="AQ15" i="7" s="1"/>
  <c r="AT15" i="7" s="1"/>
  <c r="W52" i="7"/>
  <c r="AP66" i="7"/>
  <c r="AQ66" i="7" s="1"/>
  <c r="AR66" i="7" s="1"/>
  <c r="W42" i="7"/>
  <c r="W18" i="7"/>
  <c r="X18" i="7" s="1"/>
  <c r="Y18" i="7" s="1"/>
  <c r="AQ63" i="7"/>
  <c r="AR63" i="7" s="1"/>
  <c r="AQ49" i="7"/>
  <c r="AR49" i="7" s="1"/>
  <c r="X45" i="7"/>
  <c r="X49" i="7"/>
  <c r="AQ58" i="7"/>
  <c r="AR58" i="7" s="1"/>
  <c r="W24" i="7"/>
  <c r="X24" i="7" s="1"/>
  <c r="X47" i="7"/>
  <c r="X57" i="7"/>
  <c r="Y57" i="7" s="1"/>
  <c r="Y31" i="7"/>
  <c r="AU31" i="7" s="1"/>
  <c r="Y72" i="7"/>
  <c r="X67" i="7"/>
  <c r="Y67" i="7" s="1"/>
  <c r="Y51" i="7"/>
  <c r="Y36" i="7"/>
  <c r="AU36" i="7" s="1"/>
  <c r="X41" i="7"/>
  <c r="W60" i="7"/>
  <c r="W74" i="7" s="1"/>
  <c r="AP69" i="7"/>
  <c r="AQ69" i="7" s="1"/>
  <c r="AR69" i="7" s="1"/>
  <c r="X63" i="7"/>
  <c r="AT63" i="7" s="1"/>
  <c r="X66" i="7"/>
  <c r="Y66" i="7" s="1"/>
  <c r="Y11" i="7"/>
  <c r="AP12" i="7"/>
  <c r="X56" i="7"/>
  <c r="Y56" i="7" s="1"/>
  <c r="Y61" i="7"/>
  <c r="Y15" i="7"/>
  <c r="AQ46" i="7"/>
  <c r="AR46" i="7" s="1"/>
  <c r="AQ30" i="7"/>
  <c r="AR30" i="7" s="1"/>
  <c r="Y59" i="7"/>
  <c r="AQ61" i="7"/>
  <c r="AR61" i="7" s="1"/>
  <c r="AT31" i="7"/>
  <c r="AQ40" i="7"/>
  <c r="AT40" i="7" s="1"/>
  <c r="AP42" i="7"/>
  <c r="AQ59" i="7"/>
  <c r="AT59" i="7" s="1"/>
  <c r="AQ68" i="7"/>
  <c r="AR68" i="7" s="1"/>
  <c r="Y16" i="7"/>
  <c r="AQ35" i="7"/>
  <c r="AR35" i="7" s="1"/>
  <c r="AQ64" i="7"/>
  <c r="AR64" i="7" s="1"/>
  <c r="AQ72" i="7"/>
  <c r="AR72" i="7" s="1"/>
  <c r="AU72" i="7" s="1"/>
  <c r="Y34" i="7"/>
  <c r="AQ71" i="7"/>
  <c r="AR71" i="7" s="1"/>
  <c r="Y33" i="7"/>
  <c r="AT36" i="7"/>
  <c r="AQ60" i="7"/>
  <c r="AR60" i="7" s="1"/>
  <c r="AQ34" i="7"/>
  <c r="AT34" i="7" s="1"/>
  <c r="AQ57" i="7"/>
  <c r="Y29" i="7"/>
  <c r="Y46" i="7"/>
  <c r="AP18" i="7"/>
  <c r="AC18" i="7" s="1"/>
  <c r="AB22" i="7"/>
  <c r="AQ29" i="7"/>
  <c r="AT29" i="7" s="1"/>
  <c r="AQ50" i="7"/>
  <c r="AR50" i="7" s="1"/>
  <c r="X14" i="7"/>
  <c r="W37" i="7"/>
  <c r="AQ41" i="7"/>
  <c r="AR41" i="7" s="1"/>
  <c r="Y45" i="7"/>
  <c r="AQ56" i="7"/>
  <c r="AR56" i="7" s="1"/>
  <c r="X58" i="7"/>
  <c r="Y68" i="7"/>
  <c r="X9" i="7"/>
  <c r="X28" i="7"/>
  <c r="Y28" i="7" s="1"/>
  <c r="X62" i="7"/>
  <c r="X69" i="7"/>
  <c r="X73" i="7"/>
  <c r="Y73" i="7" s="1"/>
  <c r="X12" i="7"/>
  <c r="AP37" i="7"/>
  <c r="Y40" i="7"/>
  <c r="X13" i="7"/>
  <c r="Y13" i="7" s="1"/>
  <c r="AQ14" i="7"/>
  <c r="AQ28" i="7"/>
  <c r="X30" i="7"/>
  <c r="AQ33" i="7"/>
  <c r="AT33" i="7" s="1"/>
  <c r="X35" i="7"/>
  <c r="AQ45" i="7"/>
  <c r="AQ47" i="7"/>
  <c r="AR47" i="7" s="1"/>
  <c r="X50" i="7"/>
  <c r="AQ51" i="7"/>
  <c r="AT51" i="7" s="1"/>
  <c r="AP52" i="7"/>
  <c r="AQ62" i="7"/>
  <c r="AR62" i="7" s="1"/>
  <c r="X64" i="7"/>
  <c r="X71" i="7"/>
  <c r="AQ73" i="7"/>
  <c r="AR73" i="7" s="1"/>
  <c r="Q50" i="5"/>
  <c r="R50" i="5" s="1"/>
  <c r="L50" i="5"/>
  <c r="Q49" i="5"/>
  <c r="R49" i="5" s="1"/>
  <c r="K49" i="5"/>
  <c r="K61" i="5"/>
  <c r="L61" i="5" s="1"/>
  <c r="O61" i="5"/>
  <c r="P61" i="5" s="1"/>
  <c r="P60" i="5"/>
  <c r="Q60" i="5" s="1"/>
  <c r="R60" i="5" s="1"/>
  <c r="L64" i="5"/>
  <c r="Q64" i="5"/>
  <c r="S64" i="5" s="1"/>
  <c r="L62" i="5"/>
  <c r="Q62" i="5"/>
  <c r="S62" i="5" s="1"/>
  <c r="J60" i="5"/>
  <c r="K60" i="5" s="1"/>
  <c r="AR40" i="7" l="1"/>
  <c r="AT35" i="7"/>
  <c r="AT46" i="7"/>
  <c r="AV46" i="7" s="1"/>
  <c r="W19" i="7"/>
  <c r="AU61" i="7"/>
  <c r="AV61" i="7" s="1"/>
  <c r="AD18" i="7"/>
  <c r="AC19" i="7"/>
  <c r="X42" i="7"/>
  <c r="K41" i="7"/>
  <c r="AP24" i="7"/>
  <c r="K40" i="7"/>
  <c r="J42" i="7"/>
  <c r="W22" i="7"/>
  <c r="J18" i="7"/>
  <c r="AT61" i="7"/>
  <c r="AP74" i="7"/>
  <c r="AT71" i="7"/>
  <c r="AT58" i="7"/>
  <c r="AR34" i="7"/>
  <c r="AU34" i="7" s="1"/>
  <c r="AV34" i="7" s="1"/>
  <c r="AV31" i="7"/>
  <c r="AT56" i="7"/>
  <c r="AR29" i="7"/>
  <c r="AU29" i="7" s="1"/>
  <c r="AV29" i="7" s="1"/>
  <c r="AU10" i="7"/>
  <c r="AV10" i="7" s="1"/>
  <c r="AT68" i="7"/>
  <c r="AT50" i="7"/>
  <c r="Y63" i="7"/>
  <c r="AU63" i="7" s="1"/>
  <c r="AV63" i="7" s="1"/>
  <c r="AU11" i="7"/>
  <c r="AT45" i="7"/>
  <c r="W25" i="7"/>
  <c r="W75" i="7" s="1"/>
  <c r="X52" i="7"/>
  <c r="AT14" i="7"/>
  <c r="AT57" i="7"/>
  <c r="AU66" i="7"/>
  <c r="AT69" i="7"/>
  <c r="AR45" i="7"/>
  <c r="AU45" i="7" s="1"/>
  <c r="AT72" i="7"/>
  <c r="AV72" i="7" s="1"/>
  <c r="AQ12" i="7"/>
  <c r="AT12" i="7" s="1"/>
  <c r="Y58" i="7"/>
  <c r="AU58" i="7" s="1"/>
  <c r="Y41" i="7"/>
  <c r="AU41" i="7" s="1"/>
  <c r="AT49" i="7"/>
  <c r="Y49" i="7"/>
  <c r="AU49" i="7" s="1"/>
  <c r="AT10" i="7"/>
  <c r="AT64" i="7"/>
  <c r="Y50" i="7"/>
  <c r="AU16" i="7"/>
  <c r="AV16" i="7" s="1"/>
  <c r="Y64" i="7"/>
  <c r="AU64" i="7" s="1"/>
  <c r="Y47" i="7"/>
  <c r="AU47" i="7" s="1"/>
  <c r="X60" i="7"/>
  <c r="AT60" i="7" s="1"/>
  <c r="AT30" i="7"/>
  <c r="AR59" i="7"/>
  <c r="AU59" i="7" s="1"/>
  <c r="AV59" i="7" s="1"/>
  <c r="AU67" i="7"/>
  <c r="AU13" i="7"/>
  <c r="AU73" i="7"/>
  <c r="AU46" i="7"/>
  <c r="AR57" i="7"/>
  <c r="AU57" i="7" s="1"/>
  <c r="AV36" i="7"/>
  <c r="AU15" i="7"/>
  <c r="AV15" i="7" s="1"/>
  <c r="AR33" i="7"/>
  <c r="AU33" i="7" s="1"/>
  <c r="AV33" i="7" s="1"/>
  <c r="Y69" i="7"/>
  <c r="AU69" i="7" s="1"/>
  <c r="AQ37" i="7"/>
  <c r="AT28" i="7"/>
  <c r="X37" i="7"/>
  <c r="AR51" i="7"/>
  <c r="AU51" i="7" s="1"/>
  <c r="AV51" i="7" s="1"/>
  <c r="Y14" i="7"/>
  <c r="AU14" i="7" s="1"/>
  <c r="AV14" i="7" s="1"/>
  <c r="Y71" i="7"/>
  <c r="AU71" i="7" s="1"/>
  <c r="AT47" i="7"/>
  <c r="AT11" i="7"/>
  <c r="X19" i="7"/>
  <c r="AT9" i="7"/>
  <c r="Y12" i="7"/>
  <c r="AT66" i="7"/>
  <c r="Y30" i="7"/>
  <c r="AU30" i="7" s="1"/>
  <c r="AP22" i="7"/>
  <c r="AC22" i="7" s="1"/>
  <c r="AQ18" i="7"/>
  <c r="AT18" i="7" s="1"/>
  <c r="AU68" i="7"/>
  <c r="AT41" i="7"/>
  <c r="AR42" i="7"/>
  <c r="AT62" i="7"/>
  <c r="AT13" i="7"/>
  <c r="AU40" i="7"/>
  <c r="AV40" i="7" s="1"/>
  <c r="AU56" i="7"/>
  <c r="AR28" i="7"/>
  <c r="AP19" i="7"/>
  <c r="AQ42" i="7"/>
  <c r="Y62" i="7"/>
  <c r="AU62" i="7" s="1"/>
  <c r="AT67" i="7"/>
  <c r="Y9" i="7"/>
  <c r="AQ52" i="7"/>
  <c r="AT73" i="7"/>
  <c r="AQ74" i="7"/>
  <c r="AQ24" i="7"/>
  <c r="AT24" i="7" s="1"/>
  <c r="Y35" i="7"/>
  <c r="AU35" i="7" s="1"/>
  <c r="AV35" i="7" s="1"/>
  <c r="S50" i="5"/>
  <c r="T50" i="5"/>
  <c r="S49" i="5"/>
  <c r="L49" i="5"/>
  <c r="T49" i="5" s="1"/>
  <c r="Q61" i="5"/>
  <c r="S61" i="5" s="1"/>
  <c r="L60" i="5"/>
  <c r="T60" i="5" s="1"/>
  <c r="R64" i="5"/>
  <c r="T64" i="5" s="1"/>
  <c r="U64" i="5" s="1"/>
  <c r="R62" i="5"/>
  <c r="T62" i="5" s="1"/>
  <c r="U62" i="5" s="1"/>
  <c r="S60" i="5"/>
  <c r="AV11" i="7" l="1"/>
  <c r="K18" i="7"/>
  <c r="J19" i="7"/>
  <c r="AC24" i="7"/>
  <c r="J22" i="7"/>
  <c r="X22" i="7"/>
  <c r="X25" i="7" s="1"/>
  <c r="AE18" i="7"/>
  <c r="AD19" i="7"/>
  <c r="L41" i="7"/>
  <c r="M41" i="7" s="1"/>
  <c r="N41" i="7" s="1"/>
  <c r="O41" i="7" s="1"/>
  <c r="P41" i="7" s="1"/>
  <c r="Q41" i="7" s="1"/>
  <c r="R41" i="7" s="1"/>
  <c r="S41" i="7" s="1"/>
  <c r="T41" i="7" s="1"/>
  <c r="U41" i="7" s="1"/>
  <c r="AD22" i="7"/>
  <c r="AE22" i="7" s="1"/>
  <c r="AF22" i="7" s="1"/>
  <c r="AG22" i="7" s="1"/>
  <c r="AH22" i="7" s="1"/>
  <c r="AI22" i="7" s="1"/>
  <c r="AJ22" i="7" s="1"/>
  <c r="AK22" i="7" s="1"/>
  <c r="AL22" i="7" s="1"/>
  <c r="AM22" i="7" s="1"/>
  <c r="AN22" i="7" s="1"/>
  <c r="L40" i="7"/>
  <c r="K42" i="7"/>
  <c r="AV68" i="7"/>
  <c r="AR37" i="7"/>
  <c r="AV57" i="7"/>
  <c r="Y60" i="7"/>
  <c r="AU60" i="7" s="1"/>
  <c r="AV60" i="7" s="1"/>
  <c r="AU12" i="7"/>
  <c r="AV12" i="7" s="1"/>
  <c r="AV30" i="7"/>
  <c r="AV71" i="7"/>
  <c r="AV64" i="7"/>
  <c r="AV58" i="7"/>
  <c r="AV73" i="7"/>
  <c r="AV47" i="7"/>
  <c r="AQ19" i="7"/>
  <c r="AV49" i="7"/>
  <c r="Y42" i="7"/>
  <c r="Y52" i="7"/>
  <c r="X74" i="7"/>
  <c r="AV41" i="7"/>
  <c r="AV42" i="7" s="1"/>
  <c r="AV66" i="7"/>
  <c r="AV69" i="7"/>
  <c r="AU50" i="7"/>
  <c r="AV50" i="7" s="1"/>
  <c r="AR24" i="7"/>
  <c r="AU24" i="7" s="1"/>
  <c r="AV24" i="7" s="1"/>
  <c r="AV62" i="7"/>
  <c r="AV67" i="7"/>
  <c r="AU42" i="7"/>
  <c r="AV13" i="7"/>
  <c r="Y37" i="7"/>
  <c r="AU18" i="7"/>
  <c r="AV18" i="7" s="1"/>
  <c r="AU74" i="7"/>
  <c r="AR52" i="7"/>
  <c r="AT37" i="7"/>
  <c r="AT42" i="7"/>
  <c r="AT52" i="7"/>
  <c r="AT74" i="7"/>
  <c r="AV45" i="7"/>
  <c r="AP25" i="7"/>
  <c r="AP75" i="7" s="1"/>
  <c r="AQ22" i="7"/>
  <c r="AR22" i="7" s="1"/>
  <c r="AT19" i="7"/>
  <c r="AV56" i="7"/>
  <c r="Y19" i="7"/>
  <c r="AU9" i="7"/>
  <c r="AR74" i="7"/>
  <c r="W77" i="7"/>
  <c r="AU28" i="7"/>
  <c r="AU37" i="7" s="1"/>
  <c r="U50" i="5"/>
  <c r="U49" i="5"/>
  <c r="U60" i="5"/>
  <c r="R61" i="5"/>
  <c r="T61" i="5" s="1"/>
  <c r="U61" i="5" s="1"/>
  <c r="P59" i="5"/>
  <c r="J59" i="5"/>
  <c r="K59" i="5" s="1"/>
  <c r="P58" i="5"/>
  <c r="J58" i="5"/>
  <c r="K58" i="5" s="1"/>
  <c r="O47" i="5"/>
  <c r="N47" i="5"/>
  <c r="M47" i="5"/>
  <c r="J47" i="5"/>
  <c r="K47" i="5" s="1"/>
  <c r="O51" i="5"/>
  <c r="N51" i="5"/>
  <c r="M51" i="5"/>
  <c r="J51" i="5"/>
  <c r="O46" i="5"/>
  <c r="N46" i="5"/>
  <c r="M46" i="5"/>
  <c r="J46" i="5"/>
  <c r="O40" i="5"/>
  <c r="O41" i="5"/>
  <c r="P63" i="5"/>
  <c r="J63" i="5"/>
  <c r="K63" i="5" s="1"/>
  <c r="P57" i="5"/>
  <c r="Q57" i="5" s="1"/>
  <c r="R57" i="5" s="1"/>
  <c r="J57" i="5"/>
  <c r="K57" i="5" s="1"/>
  <c r="P56" i="5"/>
  <c r="J56" i="5"/>
  <c r="O29" i="5"/>
  <c r="O30" i="5"/>
  <c r="O31" i="5"/>
  <c r="O33" i="5"/>
  <c r="P33" i="5" s="1"/>
  <c r="O34" i="5"/>
  <c r="O35" i="5"/>
  <c r="O36" i="5"/>
  <c r="O28" i="5"/>
  <c r="J33" i="5"/>
  <c r="X75" i="7" l="1"/>
  <c r="AC25" i="7"/>
  <c r="AC75" i="7" s="1"/>
  <c r="AC77" i="7" s="1"/>
  <c r="AC78" i="7" s="1"/>
  <c r="AC79" i="7" s="1"/>
  <c r="AO22" i="7"/>
  <c r="M40" i="7"/>
  <c r="L42" i="7"/>
  <c r="K22" i="7"/>
  <c r="J25" i="7"/>
  <c r="J75" i="7" s="1"/>
  <c r="J77" i="7" s="1"/>
  <c r="J78" i="7" s="1"/>
  <c r="J79" i="7" s="1"/>
  <c r="V41" i="7"/>
  <c r="J24" i="7"/>
  <c r="AF18" i="7"/>
  <c r="AE19" i="7"/>
  <c r="AV52" i="7"/>
  <c r="Y74" i="7"/>
  <c r="Y75" i="7" s="1"/>
  <c r="AD24" i="7"/>
  <c r="AD25" i="7" s="1"/>
  <c r="AD75" i="7"/>
  <c r="AD77" i="7" s="1"/>
  <c r="AD78" i="7" s="1"/>
  <c r="AD79" i="7" s="1"/>
  <c r="L18" i="7"/>
  <c r="K19" i="7"/>
  <c r="AU19" i="7"/>
  <c r="AV9" i="7"/>
  <c r="AV19" i="7" s="1"/>
  <c r="AV28" i="7"/>
  <c r="AV37" i="7" s="1"/>
  <c r="AV74" i="7"/>
  <c r="AR19" i="7"/>
  <c r="AU52" i="7"/>
  <c r="AR25" i="7"/>
  <c r="AU22" i="7"/>
  <c r="AU25" i="7" s="1"/>
  <c r="AP77" i="7"/>
  <c r="W78" i="7"/>
  <c r="W79" i="7" s="1"/>
  <c r="X77" i="7"/>
  <c r="AQ25" i="7"/>
  <c r="AQ75" i="7" s="1"/>
  <c r="AT22" i="7"/>
  <c r="P47" i="5"/>
  <c r="Q47" i="5" s="1"/>
  <c r="R47" i="5" s="1"/>
  <c r="L59" i="5"/>
  <c r="Q59" i="5"/>
  <c r="R59" i="5" s="1"/>
  <c r="L58" i="5"/>
  <c r="Q58" i="5"/>
  <c r="S58" i="5" s="1"/>
  <c r="L47" i="5"/>
  <c r="P51" i="5"/>
  <c r="Q51" i="5" s="1"/>
  <c r="R51" i="5" s="1"/>
  <c r="K51" i="5"/>
  <c r="P46" i="5"/>
  <c r="Q46" i="5" s="1"/>
  <c r="R46" i="5" s="1"/>
  <c r="K46" i="5"/>
  <c r="S57" i="5"/>
  <c r="Q56" i="5"/>
  <c r="R56" i="5" s="1"/>
  <c r="Q63" i="5"/>
  <c r="S63" i="5" s="1"/>
  <c r="L63" i="5"/>
  <c r="K56" i="5"/>
  <c r="L57" i="5"/>
  <c r="T57" i="5" s="1"/>
  <c r="Q33" i="5"/>
  <c r="R33" i="5" s="1"/>
  <c r="K33" i="5"/>
  <c r="L22" i="7" l="1"/>
  <c r="AG18" i="7"/>
  <c r="AF19" i="7"/>
  <c r="AF24" i="7" s="1"/>
  <c r="AF25" i="7" s="1"/>
  <c r="AF75" i="7" s="1"/>
  <c r="AF77" i="7" s="1"/>
  <c r="AF78" i="7" s="1"/>
  <c r="AF79" i="7" s="1"/>
  <c r="AR75" i="7"/>
  <c r="K24" i="7"/>
  <c r="AE24" i="7"/>
  <c r="AE25" i="7" s="1"/>
  <c r="AE75" i="7" s="1"/>
  <c r="AE77" i="7" s="1"/>
  <c r="AE78" i="7" s="1"/>
  <c r="AE79" i="7" s="1"/>
  <c r="M18" i="7"/>
  <c r="L19" i="7"/>
  <c r="N40" i="7"/>
  <c r="M42" i="7"/>
  <c r="AU75" i="7"/>
  <c r="AT25" i="7"/>
  <c r="AT75" i="7" s="1"/>
  <c r="AV22" i="7"/>
  <c r="AV25" i="7" s="1"/>
  <c r="AV75" i="7" s="1"/>
  <c r="X78" i="7"/>
  <c r="X79" i="7" s="1"/>
  <c r="Y77" i="7"/>
  <c r="AP78" i="7"/>
  <c r="AP79" i="7" s="1"/>
  <c r="AQ77" i="7"/>
  <c r="AQ78" i="7" s="1"/>
  <c r="AQ79" i="7" s="1"/>
  <c r="R63" i="5"/>
  <c r="T63" i="5" s="1"/>
  <c r="U63" i="5" s="1"/>
  <c r="S59" i="5"/>
  <c r="T59" i="5"/>
  <c r="R58" i="5"/>
  <c r="T58" i="5" s="1"/>
  <c r="U58" i="5" s="1"/>
  <c r="S47" i="5"/>
  <c r="T47" i="5"/>
  <c r="U57" i="5"/>
  <c r="S51" i="5"/>
  <c r="L51" i="5"/>
  <c r="T51" i="5" s="1"/>
  <c r="S46" i="5"/>
  <c r="L46" i="5"/>
  <c r="T46" i="5" s="1"/>
  <c r="S56" i="5"/>
  <c r="L56" i="5"/>
  <c r="T56" i="5" s="1"/>
  <c r="S33" i="5"/>
  <c r="L33" i="5"/>
  <c r="T33" i="5" s="1"/>
  <c r="L24" i="7" l="1"/>
  <c r="AH18" i="7"/>
  <c r="AG19" i="7"/>
  <c r="AG24" i="7" s="1"/>
  <c r="AG25" i="7" s="1"/>
  <c r="AG75" i="7" s="1"/>
  <c r="AG77" i="7" s="1"/>
  <c r="AG78" i="7" s="1"/>
  <c r="AG79" i="7" s="1"/>
  <c r="O40" i="7"/>
  <c r="N42" i="7"/>
  <c r="K25" i="7"/>
  <c r="K75" i="7" s="1"/>
  <c r="K77" i="7" s="1"/>
  <c r="K78" i="7" s="1"/>
  <c r="K79" i="7" s="1"/>
  <c r="N18" i="7"/>
  <c r="M19" i="7"/>
  <c r="M24" i="7" s="1"/>
  <c r="M22" i="7"/>
  <c r="AT77" i="7"/>
  <c r="AT78" i="7"/>
  <c r="AT79" i="7" s="1"/>
  <c r="Y78" i="7"/>
  <c r="Y79" i="7" s="1"/>
  <c r="AR77" i="7"/>
  <c r="AR78" i="7" s="1"/>
  <c r="AR79" i="7" s="1"/>
  <c r="U59" i="5"/>
  <c r="U47" i="5"/>
  <c r="U56" i="5"/>
  <c r="U51" i="5"/>
  <c r="U46" i="5"/>
  <c r="U33" i="5"/>
  <c r="O9" i="5"/>
  <c r="O18" i="5"/>
  <c r="O22" i="5" s="1"/>
  <c r="O10" i="5"/>
  <c r="O11" i="5"/>
  <c r="O12" i="5"/>
  <c r="O13" i="5"/>
  <c r="O14" i="5"/>
  <c r="O15" i="5"/>
  <c r="O16" i="5"/>
  <c r="M9" i="5"/>
  <c r="M15" i="5"/>
  <c r="J15" i="5"/>
  <c r="M14" i="5"/>
  <c r="J14" i="5"/>
  <c r="M13" i="5"/>
  <c r="J13" i="5"/>
  <c r="P40" i="7" l="1"/>
  <c r="O42" i="7"/>
  <c r="L25" i="7"/>
  <c r="L75" i="7" s="1"/>
  <c r="L77" i="7" s="1"/>
  <c r="L78" i="7" s="1"/>
  <c r="L79" i="7" s="1"/>
  <c r="N22" i="7"/>
  <c r="M25" i="7"/>
  <c r="M75" i="7" s="1"/>
  <c r="M77" i="7" s="1"/>
  <c r="M78" i="7" s="1"/>
  <c r="M79" i="7" s="1"/>
  <c r="AI18" i="7"/>
  <c r="AH19" i="7"/>
  <c r="AH24" i="7" s="1"/>
  <c r="AH25" i="7" s="1"/>
  <c r="AH75" i="7" s="1"/>
  <c r="AH77" i="7" s="1"/>
  <c r="AH78" i="7" s="1"/>
  <c r="AH79" i="7" s="1"/>
  <c r="O18" i="7"/>
  <c r="N19" i="7"/>
  <c r="AU77" i="7"/>
  <c r="K15" i="5"/>
  <c r="L15" i="5" s="1"/>
  <c r="K13" i="5"/>
  <c r="L13" i="5" s="1"/>
  <c r="K14" i="5"/>
  <c r="L14" i="5" s="1"/>
  <c r="J9" i="5"/>
  <c r="P14" i="5"/>
  <c r="P9" i="5"/>
  <c r="P13" i="5"/>
  <c r="P15" i="5"/>
  <c r="AJ18" i="7" l="1"/>
  <c r="AI19" i="7"/>
  <c r="AI24" i="7" s="1"/>
  <c r="AI25" i="7" s="1"/>
  <c r="AI75" i="7" s="1"/>
  <c r="AI77" i="7" s="1"/>
  <c r="AI78" i="7" s="1"/>
  <c r="AI79" i="7" s="1"/>
  <c r="N24" i="7"/>
  <c r="N25" i="7" s="1"/>
  <c r="N75" i="7" s="1"/>
  <c r="N77" i="7" s="1"/>
  <c r="N78" i="7" s="1"/>
  <c r="N79" i="7" s="1"/>
  <c r="Q40" i="7"/>
  <c r="P42" i="7"/>
  <c r="O22" i="7"/>
  <c r="P18" i="7"/>
  <c r="O19" i="7"/>
  <c r="AU78" i="7"/>
  <c r="AU79" i="7" s="1"/>
  <c r="AV77" i="7"/>
  <c r="AV78" i="7" s="1"/>
  <c r="AV79" i="7" s="1"/>
  <c r="Q15" i="5"/>
  <c r="S15" i="5" s="1"/>
  <c r="Q14" i="5"/>
  <c r="S14" i="5" s="1"/>
  <c r="K9" i="5"/>
  <c r="L9" i="5" s="1"/>
  <c r="Q13" i="5"/>
  <c r="S13" i="5" s="1"/>
  <c r="Q9" i="5"/>
  <c r="R40" i="7" l="1"/>
  <c r="Q42" i="7"/>
  <c r="Q18" i="7"/>
  <c r="P19" i="7"/>
  <c r="O24" i="7"/>
  <c r="O25" i="7" s="1"/>
  <c r="O75" i="7" s="1"/>
  <c r="O77" i="7" s="1"/>
  <c r="O78" i="7" s="1"/>
  <c r="O79" i="7" s="1"/>
  <c r="AK18" i="7"/>
  <c r="AJ19" i="7"/>
  <c r="P22" i="7"/>
  <c r="S9" i="5"/>
  <c r="R13" i="5"/>
  <c r="T13" i="5" s="1"/>
  <c r="U13" i="5" s="1"/>
  <c r="R15" i="5"/>
  <c r="T15" i="5" s="1"/>
  <c r="U15" i="5" s="1"/>
  <c r="R9" i="5"/>
  <c r="T9" i="5" s="1"/>
  <c r="U9" i="5" s="1"/>
  <c r="R14" i="5"/>
  <c r="T14" i="5" s="1"/>
  <c r="U14" i="5" s="1"/>
  <c r="AJ24" i="7" l="1"/>
  <c r="AJ25" i="7" s="1"/>
  <c r="AJ75" i="7" s="1"/>
  <c r="AJ77" i="7" s="1"/>
  <c r="AJ78" i="7" s="1"/>
  <c r="AJ79" i="7" s="1"/>
  <c r="R18" i="7"/>
  <c r="Q19" i="7"/>
  <c r="AL18" i="7"/>
  <c r="AK19" i="7"/>
  <c r="P24" i="7"/>
  <c r="P25" i="7" s="1"/>
  <c r="P75" i="7" s="1"/>
  <c r="P77" i="7" s="1"/>
  <c r="P78" i="7" s="1"/>
  <c r="P79" i="7" s="1"/>
  <c r="Q22" i="7"/>
  <c r="S40" i="7"/>
  <c r="R42" i="7"/>
  <c r="O45" i="5"/>
  <c r="N45" i="5"/>
  <c r="M45" i="5"/>
  <c r="J45" i="5"/>
  <c r="J52" i="5" s="1"/>
  <c r="AM18" i="7" l="1"/>
  <c r="AL19" i="7"/>
  <c r="AK24" i="7"/>
  <c r="AK25" i="7" s="1"/>
  <c r="AK75" i="7" s="1"/>
  <c r="AK77" i="7" s="1"/>
  <c r="AK78" i="7" s="1"/>
  <c r="AK79" i="7" s="1"/>
  <c r="Q24" i="7"/>
  <c r="Q25" i="7" s="1"/>
  <c r="Q75" i="7" s="1"/>
  <c r="T40" i="7"/>
  <c r="S42" i="7"/>
  <c r="S18" i="7"/>
  <c r="R19" i="7"/>
  <c r="R22" i="7"/>
  <c r="P45" i="5"/>
  <c r="K45" i="5"/>
  <c r="Q77" i="7" l="1"/>
  <c r="Q78" i="7" s="1"/>
  <c r="Q79" i="7"/>
  <c r="S22" i="7"/>
  <c r="U40" i="7"/>
  <c r="T42" i="7"/>
  <c r="R24" i="7"/>
  <c r="R25" i="7" s="1"/>
  <c r="R75" i="7" s="1"/>
  <c r="R77" i="7" s="1"/>
  <c r="R78" i="7" s="1"/>
  <c r="R79" i="7" s="1"/>
  <c r="AL24" i="7"/>
  <c r="AL25" i="7" s="1"/>
  <c r="AL75" i="7" s="1"/>
  <c r="AL77" i="7" s="1"/>
  <c r="AL78" i="7" s="1"/>
  <c r="AL79" i="7" s="1"/>
  <c r="T18" i="7"/>
  <c r="S19" i="7"/>
  <c r="AN18" i="7"/>
  <c r="AM19" i="7"/>
  <c r="Q45" i="5"/>
  <c r="R45" i="5" s="1"/>
  <c r="P52" i="5"/>
  <c r="L45" i="5"/>
  <c r="J12" i="5"/>
  <c r="M12" i="5"/>
  <c r="AN19" i="7" l="1"/>
  <c r="AO18" i="7"/>
  <c r="AO19" i="7" s="1"/>
  <c r="AM24" i="7"/>
  <c r="AM25" i="7" s="1"/>
  <c r="AM75" i="7" s="1"/>
  <c r="AM77" i="7" s="1"/>
  <c r="AM78" i="7" s="1"/>
  <c r="AM79" i="7" s="1"/>
  <c r="U42" i="7"/>
  <c r="V40" i="7"/>
  <c r="V42" i="7" s="1"/>
  <c r="S24" i="7"/>
  <c r="S25" i="7" s="1"/>
  <c r="S75" i="7" s="1"/>
  <c r="S77" i="7" s="1"/>
  <c r="S78" i="7" s="1"/>
  <c r="S79" i="7" s="1"/>
  <c r="U18" i="7"/>
  <c r="T19" i="7"/>
  <c r="T22" i="7"/>
  <c r="T45" i="5"/>
  <c r="S45" i="5"/>
  <c r="P12" i="5"/>
  <c r="K12" i="5"/>
  <c r="L12" i="5" s="1"/>
  <c r="AN25" i="7" l="1"/>
  <c r="AN75" i="7" s="1"/>
  <c r="AN77" i="7" s="1"/>
  <c r="AO24" i="7"/>
  <c r="U19" i="7"/>
  <c r="V18" i="7"/>
  <c r="V19" i="7" s="1"/>
  <c r="T24" i="7"/>
  <c r="T25" i="7" s="1"/>
  <c r="T75" i="7" s="1"/>
  <c r="T77" i="7" s="1"/>
  <c r="T78" i="7" s="1"/>
  <c r="T79" i="7" s="1"/>
  <c r="U22" i="7"/>
  <c r="U45" i="5"/>
  <c r="Q12" i="5"/>
  <c r="S12" i="5" s="1"/>
  <c r="AO25" i="7" l="1"/>
  <c r="AO75" i="7" s="1"/>
  <c r="AS24" i="7"/>
  <c r="AS25" i="7" s="1"/>
  <c r="AS75" i="7" s="1"/>
  <c r="AS77" i="7" s="1"/>
  <c r="AS78" i="7" s="1"/>
  <c r="AS79" i="7" s="1"/>
  <c r="AN78" i="7"/>
  <c r="AN79" i="7" s="1"/>
  <c r="AO77" i="7"/>
  <c r="V22" i="7"/>
  <c r="U24" i="7"/>
  <c r="V24" i="7" s="1"/>
  <c r="V25" i="7" s="1"/>
  <c r="V75" i="7" s="1"/>
  <c r="V77" i="7" s="1"/>
  <c r="V78" i="7" s="1"/>
  <c r="V79" i="7" s="1"/>
  <c r="R12" i="5"/>
  <c r="T12" i="5" s="1"/>
  <c r="U12" i="5" s="1"/>
  <c r="J68" i="5"/>
  <c r="AO78" i="7" l="1"/>
  <c r="AO79" i="7" s="1"/>
  <c r="U25" i="7"/>
  <c r="U75" i="7" s="1"/>
  <c r="U77" i="7" s="1"/>
  <c r="U78" i="7" s="1"/>
  <c r="U79" i="7" s="1"/>
  <c r="J10" i="5"/>
  <c r="O24" i="5"/>
  <c r="P73" i="5" l="1"/>
  <c r="Q73" i="5" s="1"/>
  <c r="J73" i="5"/>
  <c r="K73" i="5" s="1"/>
  <c r="P72" i="5"/>
  <c r="J72" i="5"/>
  <c r="J71" i="5"/>
  <c r="P69" i="5"/>
  <c r="Q69" i="5" s="1"/>
  <c r="J69" i="5"/>
  <c r="P68" i="5"/>
  <c r="Q68" i="5" s="1"/>
  <c r="R68" i="5" s="1"/>
  <c r="K68" i="5"/>
  <c r="J67" i="5"/>
  <c r="K67" i="5" s="1"/>
  <c r="J66" i="5"/>
  <c r="J41" i="5"/>
  <c r="K41" i="5" s="1"/>
  <c r="J40" i="5"/>
  <c r="K40" i="5" s="1"/>
  <c r="J36" i="5"/>
  <c r="P35" i="5"/>
  <c r="Q35" i="5" s="1"/>
  <c r="J35" i="5"/>
  <c r="J34" i="5"/>
  <c r="K34" i="5" s="1"/>
  <c r="J31" i="5"/>
  <c r="K31" i="5" s="1"/>
  <c r="J30" i="5"/>
  <c r="K30" i="5" s="1"/>
  <c r="P29" i="5"/>
  <c r="J29" i="5"/>
  <c r="J28" i="5"/>
  <c r="L25" i="5"/>
  <c r="N18" i="5"/>
  <c r="P18" i="5" s="1"/>
  <c r="J18" i="5"/>
  <c r="M16" i="5"/>
  <c r="J16" i="5"/>
  <c r="M11" i="5"/>
  <c r="J11" i="5"/>
  <c r="M10" i="5"/>
  <c r="J19" i="5" l="1"/>
  <c r="J22" i="5"/>
  <c r="K22" i="5" s="1"/>
  <c r="P22" i="5"/>
  <c r="S73" i="5"/>
  <c r="S68" i="5"/>
  <c r="L67" i="5"/>
  <c r="K66" i="5"/>
  <c r="L66" i="5" s="1"/>
  <c r="J74" i="5"/>
  <c r="K35" i="5"/>
  <c r="S35" i="5" s="1"/>
  <c r="J37" i="5"/>
  <c r="J24" i="5"/>
  <c r="K24" i="5" s="1"/>
  <c r="L31" i="5"/>
  <c r="K28" i="5"/>
  <c r="Q29" i="5"/>
  <c r="R29" i="5" s="1"/>
  <c r="C6" i="6"/>
  <c r="P10" i="5"/>
  <c r="K71" i="5"/>
  <c r="P34" i="5"/>
  <c r="Q34" i="5" s="1"/>
  <c r="S34" i="5" s="1"/>
  <c r="P28" i="5"/>
  <c r="Q28" i="5" s="1"/>
  <c r="P16" i="5"/>
  <c r="K69" i="5"/>
  <c r="L69" i="5" s="1"/>
  <c r="K72" i="5"/>
  <c r="K10" i="5"/>
  <c r="L10" i="5" s="1"/>
  <c r="L40" i="5"/>
  <c r="L41" i="5"/>
  <c r="P41" i="5"/>
  <c r="Q41" i="5" s="1"/>
  <c r="R41" i="5" s="1"/>
  <c r="K29" i="5"/>
  <c r="L30" i="5"/>
  <c r="R73" i="5"/>
  <c r="K11" i="5"/>
  <c r="L11" i="5" s="1"/>
  <c r="K16" i="5"/>
  <c r="L16" i="5" s="1"/>
  <c r="P30" i="5"/>
  <c r="P31" i="5"/>
  <c r="R35" i="5"/>
  <c r="L68" i="5"/>
  <c r="T68" i="5" s="1"/>
  <c r="Q72" i="5"/>
  <c r="R72" i="5" s="1"/>
  <c r="P71" i="5"/>
  <c r="P11" i="5"/>
  <c r="R69" i="5"/>
  <c r="K18" i="5"/>
  <c r="L18" i="5" s="1"/>
  <c r="P67" i="5"/>
  <c r="J42" i="5"/>
  <c r="P40" i="5"/>
  <c r="K36" i="5"/>
  <c r="P66" i="5"/>
  <c r="L73" i="5"/>
  <c r="P36" i="5"/>
  <c r="L34" i="5"/>
  <c r="Q16" i="5" l="1"/>
  <c r="R16" i="5" s="1"/>
  <c r="T73" i="5"/>
  <c r="U73" i="5" s="1"/>
  <c r="T69" i="5"/>
  <c r="L72" i="5"/>
  <c r="T72" i="5" s="1"/>
  <c r="S72" i="5"/>
  <c r="S69" i="5"/>
  <c r="U68" i="5"/>
  <c r="P74" i="5"/>
  <c r="K74" i="5"/>
  <c r="L35" i="5"/>
  <c r="T35" i="5" s="1"/>
  <c r="U35" i="5" s="1"/>
  <c r="K19" i="5"/>
  <c r="P24" i="5"/>
  <c r="P19" i="5"/>
  <c r="T41" i="5"/>
  <c r="L29" i="5"/>
  <c r="T29" i="5" s="1"/>
  <c r="S29" i="5"/>
  <c r="L36" i="5"/>
  <c r="S41" i="5"/>
  <c r="L28" i="5"/>
  <c r="S28" i="5"/>
  <c r="K37" i="5"/>
  <c r="K42" i="5"/>
  <c r="P37" i="5"/>
  <c r="J25" i="5"/>
  <c r="J75" i="5" s="1"/>
  <c r="K25" i="5"/>
  <c r="L71" i="5"/>
  <c r="R34" i="5"/>
  <c r="T34" i="5" s="1"/>
  <c r="U34" i="5" s="1"/>
  <c r="Q22" i="5"/>
  <c r="R22" i="5" s="1"/>
  <c r="T22" i="5" s="1"/>
  <c r="Q18" i="5"/>
  <c r="R18" i="5" s="1"/>
  <c r="Q36" i="5"/>
  <c r="R36" i="5" s="1"/>
  <c r="Q66" i="5"/>
  <c r="Q11" i="5"/>
  <c r="S11" i="5" s="1"/>
  <c r="Q10" i="5"/>
  <c r="R10" i="5" s="1"/>
  <c r="Q40" i="5"/>
  <c r="Q67" i="5"/>
  <c r="S67" i="5" s="1"/>
  <c r="P42" i="5"/>
  <c r="Q30" i="5"/>
  <c r="S30" i="5" s="1"/>
  <c r="R28" i="5"/>
  <c r="Q71" i="5"/>
  <c r="S71" i="5" s="1"/>
  <c r="Q31" i="5"/>
  <c r="S31" i="5" s="1"/>
  <c r="S16" i="5" l="1"/>
  <c r="R11" i="5"/>
  <c r="T11" i="5" s="1"/>
  <c r="U11" i="5" s="1"/>
  <c r="J77" i="5"/>
  <c r="U72" i="5"/>
  <c r="U69" i="5"/>
  <c r="L74" i="5"/>
  <c r="Q74" i="5"/>
  <c r="S66" i="5"/>
  <c r="S74" i="5" s="1"/>
  <c r="S10" i="5"/>
  <c r="Q19" i="5"/>
  <c r="L19" i="5"/>
  <c r="C5" i="6" s="1"/>
  <c r="U41" i="5"/>
  <c r="L37" i="5"/>
  <c r="C7" i="6" s="1"/>
  <c r="T36" i="5"/>
  <c r="U29" i="5"/>
  <c r="S18" i="5"/>
  <c r="T28" i="5"/>
  <c r="U28" i="5" s="1"/>
  <c r="R40" i="5"/>
  <c r="T40" i="5" s="1"/>
  <c r="S40" i="5"/>
  <c r="S36" i="5"/>
  <c r="S22" i="5"/>
  <c r="T16" i="5"/>
  <c r="U16" i="5" s="1"/>
  <c r="T18" i="5"/>
  <c r="B9" i="6"/>
  <c r="Q37" i="5"/>
  <c r="B7" i="6"/>
  <c r="B6" i="6"/>
  <c r="D6" i="6" s="1"/>
  <c r="B12" i="6"/>
  <c r="B5" i="6"/>
  <c r="R71" i="5"/>
  <c r="T71" i="5" s="1"/>
  <c r="U71" i="5" s="1"/>
  <c r="R67" i="5"/>
  <c r="T67" i="5" s="1"/>
  <c r="U67" i="5" s="1"/>
  <c r="Q42" i="5"/>
  <c r="Q24" i="5"/>
  <c r="S24" i="5" s="1"/>
  <c r="R31" i="5"/>
  <c r="T31" i="5" s="1"/>
  <c r="U31" i="5" s="1"/>
  <c r="R66" i="5"/>
  <c r="L42" i="5"/>
  <c r="P25" i="5"/>
  <c r="R30" i="5"/>
  <c r="T30" i="5" s="1"/>
  <c r="U30" i="5" s="1"/>
  <c r="R74" i="5" l="1"/>
  <c r="T66" i="5"/>
  <c r="T74" i="5" s="1"/>
  <c r="T10" i="5"/>
  <c r="T19" i="5" s="1"/>
  <c r="R19" i="5"/>
  <c r="U22" i="5"/>
  <c r="S25" i="5"/>
  <c r="S19" i="5"/>
  <c r="U18" i="5"/>
  <c r="R42" i="5"/>
  <c r="F9" i="6" s="1"/>
  <c r="U40" i="5"/>
  <c r="U36" i="5"/>
  <c r="R37" i="5"/>
  <c r="S37" i="5"/>
  <c r="D7" i="6"/>
  <c r="D5" i="6"/>
  <c r="E12" i="6"/>
  <c r="H12" i="6" s="1"/>
  <c r="E9" i="6"/>
  <c r="H9" i="6" s="1"/>
  <c r="E5" i="6"/>
  <c r="H5" i="6" s="1"/>
  <c r="C12" i="6"/>
  <c r="D12" i="6" s="1"/>
  <c r="E7" i="6"/>
  <c r="H7" i="6" s="1"/>
  <c r="C9" i="6"/>
  <c r="D9" i="6" s="1"/>
  <c r="T37" i="5"/>
  <c r="Q25" i="5"/>
  <c r="R24" i="5"/>
  <c r="T24" i="5" s="1"/>
  <c r="U24" i="5" s="1"/>
  <c r="S42" i="5"/>
  <c r="U66" i="5" l="1"/>
  <c r="U74" i="5" s="1"/>
  <c r="T42" i="5"/>
  <c r="I9" i="6"/>
  <c r="J9" i="6" s="1"/>
  <c r="G9" i="6"/>
  <c r="F12" i="6"/>
  <c r="F7" i="6"/>
  <c r="E6" i="6"/>
  <c r="H6" i="6" s="1"/>
  <c r="F5" i="6"/>
  <c r="Q52" i="5"/>
  <c r="P75" i="5"/>
  <c r="P77" i="5" s="1"/>
  <c r="P78" i="5" s="1"/>
  <c r="P79" i="5" s="1"/>
  <c r="U42" i="5"/>
  <c r="U37" i="5"/>
  <c r="R25" i="5"/>
  <c r="U10" i="5"/>
  <c r="U19" i="5" s="1"/>
  <c r="R52" i="5"/>
  <c r="G7" i="6" l="1"/>
  <c r="I7" i="6"/>
  <c r="J7" i="6" s="1"/>
  <c r="G5" i="6"/>
  <c r="I5" i="6"/>
  <c r="J5" i="6" s="1"/>
  <c r="G12" i="6"/>
  <c r="I12" i="6"/>
  <c r="J12" i="6" s="1"/>
  <c r="U25" i="5"/>
  <c r="Q75" i="5"/>
  <c r="F6" i="6"/>
  <c r="Q77" i="5"/>
  <c r="E10" i="6"/>
  <c r="R75" i="5"/>
  <c r="F10" i="6"/>
  <c r="G6" i="6" l="1"/>
  <c r="I6" i="6"/>
  <c r="J6" i="6" s="1"/>
  <c r="T25" i="5"/>
  <c r="F13" i="6"/>
  <c r="R77" i="5"/>
  <c r="F14" i="6" s="1"/>
  <c r="E13" i="6"/>
  <c r="J78" i="5"/>
  <c r="J79" i="5" s="1"/>
  <c r="Q78" i="5"/>
  <c r="Q79" i="5" s="1"/>
  <c r="E14" i="6"/>
  <c r="G10" i="6"/>
  <c r="L52" i="5"/>
  <c r="T52" i="5"/>
  <c r="K52" i="5"/>
  <c r="E15" i="6" l="1"/>
  <c r="R78" i="5"/>
  <c r="R79" i="5" s="1"/>
  <c r="G13" i="6"/>
  <c r="K77" i="5"/>
  <c r="S77" i="5" s="1"/>
  <c r="G14" i="6"/>
  <c r="F15" i="6"/>
  <c r="B10" i="6"/>
  <c r="H10" i="6" s="1"/>
  <c r="K75" i="5"/>
  <c r="T75" i="5"/>
  <c r="U52" i="5"/>
  <c r="U75" i="5" s="1"/>
  <c r="S52" i="5"/>
  <c r="L75" i="5"/>
  <c r="C10" i="6"/>
  <c r="I10" i="6" s="1"/>
  <c r="J10" i="6" l="1"/>
  <c r="G15" i="6"/>
  <c r="B13" i="6"/>
  <c r="H13" i="6" s="1"/>
  <c r="L77" i="5"/>
  <c r="C13" i="6"/>
  <c r="I13" i="6" s="1"/>
  <c r="K78" i="5"/>
  <c r="K79" i="5" s="1"/>
  <c r="B14" i="6"/>
  <c r="H14" i="6" s="1"/>
  <c r="S78" i="5"/>
  <c r="S75" i="5"/>
  <c r="D10" i="6"/>
  <c r="C14" i="6" l="1"/>
  <c r="I14" i="6" s="1"/>
  <c r="J14" i="6" s="1"/>
  <c r="T77" i="5"/>
  <c r="U77" i="5" s="1"/>
  <c r="U78" i="5" s="1"/>
  <c r="U79" i="5" s="1"/>
  <c r="J13" i="6"/>
  <c r="B15" i="6"/>
  <c r="D13" i="6"/>
  <c r="L78" i="5"/>
  <c r="L79" i="5" s="1"/>
  <c r="S79" i="5"/>
  <c r="C15" i="6" l="1"/>
  <c r="D14" i="6"/>
  <c r="D15" i="6" s="1"/>
  <c r="H15" i="6"/>
  <c r="T78" i="5"/>
  <c r="T79" i="5" s="1"/>
  <c r="I15" i="6" l="1"/>
  <c r="J15" i="6" l="1"/>
</calcChain>
</file>

<file path=xl/sharedStrings.xml><?xml version="1.0" encoding="utf-8"?>
<sst xmlns="http://schemas.openxmlformats.org/spreadsheetml/2006/main" count="508" uniqueCount="167">
  <si>
    <t>Federal</t>
  </si>
  <si>
    <t>Total</t>
  </si>
  <si>
    <t>PARTNERS OF THE AMERICAS</t>
  </si>
  <si>
    <t>Year 1</t>
  </si>
  <si>
    <t>Year 2</t>
  </si>
  <si>
    <t>BUDGET SUMMARY CATEGORIES</t>
  </si>
  <si>
    <t>Grant</t>
  </si>
  <si>
    <t>Cost Share</t>
  </si>
  <si>
    <t>A. Personnel</t>
  </si>
  <si>
    <t>B. Fringe Benefits</t>
  </si>
  <si>
    <t xml:space="preserve">C. Travel </t>
  </si>
  <si>
    <t>D. Equipment</t>
  </si>
  <si>
    <t>E. Supplies</t>
  </si>
  <si>
    <t>F. Contractual and Subawards</t>
  </si>
  <si>
    <t>G. Construction</t>
  </si>
  <si>
    <t>H. Other Direct Costs</t>
  </si>
  <si>
    <t>I. Total Direct Costs</t>
  </si>
  <si>
    <t>J. Indirect Costs</t>
  </si>
  <si>
    <t>K. Total Costs</t>
  </si>
  <si>
    <t>All costs in US$</t>
  </si>
  <si>
    <t xml:space="preserve">Total </t>
  </si>
  <si>
    <t>Budget Line Items</t>
  </si>
  <si>
    <t>No.</t>
  </si>
  <si>
    <t>Unit Type</t>
  </si>
  <si>
    <t>Freq.</t>
  </si>
  <si>
    <t>%</t>
  </si>
  <si>
    <t>Rate</t>
  </si>
  <si>
    <t>Grand Total</t>
  </si>
  <si>
    <t>A.1 Field Staff Salaries</t>
  </si>
  <si>
    <t>Month</t>
  </si>
  <si>
    <t>A.2 HQ Staff Salaries</t>
  </si>
  <si>
    <t>A.2.1 Program Manager (HQ) (20%)</t>
  </si>
  <si>
    <t>Subtotal Personnel</t>
  </si>
  <si>
    <t xml:space="preserve">B.1 HQ Fringe Benefits </t>
  </si>
  <si>
    <t>B.1.1 U.S.-Based Personnel Fringe Benefits</t>
  </si>
  <si>
    <t xml:space="preserve">B.2 Field Fringe Benefits </t>
  </si>
  <si>
    <t>Subtotal Fringe Benefits</t>
  </si>
  <si>
    <t xml:space="preserve">C.1 HQ Staff International Travel </t>
  </si>
  <si>
    <t>C.1.1 International Airfare (DC-MX)</t>
  </si>
  <si>
    <t>Flight</t>
  </si>
  <si>
    <t>C.1.2 Ground Transportation</t>
  </si>
  <si>
    <t>Trip</t>
  </si>
  <si>
    <t>C.1.3 Lodging</t>
  </si>
  <si>
    <t>Night</t>
  </si>
  <si>
    <t>C.1.4 M&amp;IE</t>
  </si>
  <si>
    <t>Day</t>
  </si>
  <si>
    <t>Year</t>
  </si>
  <si>
    <t xml:space="preserve">Subtotal Travel </t>
  </si>
  <si>
    <t>Unit</t>
  </si>
  <si>
    <t>Subtotal Supplies</t>
  </si>
  <si>
    <t>F. Contractual</t>
  </si>
  <si>
    <t>Lumpsum</t>
  </si>
  <si>
    <t>Subtotal Contractual</t>
  </si>
  <si>
    <t>Meetings</t>
  </si>
  <si>
    <t>Subtotal Other Direct Costs</t>
  </si>
  <si>
    <t>J. Indirect Cost</t>
  </si>
  <si>
    <t>J.2 Total Indirect Cost</t>
  </si>
  <si>
    <t>K. GRAND TOTAL</t>
  </si>
  <si>
    <t>*Key Personnel</t>
  </si>
  <si>
    <t>F.1 Consultants</t>
  </si>
  <si>
    <t>PARTNERS OF THE AMERICAS - MEXICO MIGRATION MESSAGING BUDGET</t>
  </si>
  <si>
    <t>SUMMARY BUDGET FOR MEXICO MIGRATION MESSAGING</t>
  </si>
  <si>
    <t>A.1.1 Country Director Mexico (5%)</t>
  </si>
  <si>
    <t>A.1.2 Program Director (10%)*</t>
  </si>
  <si>
    <t>A.1.3 Senior Communications Specialist (30%)</t>
  </si>
  <si>
    <t>A.1.4 Communications Specialist (30%)</t>
  </si>
  <si>
    <t>A.1.5 Social Media Analyst (30%)*</t>
  </si>
  <si>
    <t>Merit and Cost of Living Increases - 4%</t>
  </si>
  <si>
    <t>Inflation - 4%</t>
  </si>
  <si>
    <t xml:space="preserve">B.2.1 Mexico Field Staff Fringe Benefits </t>
  </si>
  <si>
    <t>C.2 Local Staff In-Country Travel to Target Geographic Regions</t>
  </si>
  <si>
    <t>C.2.1 Domestic Airfare</t>
  </si>
  <si>
    <t>C.2.2 Lodging</t>
  </si>
  <si>
    <t>C.2.3 M&amp;IE</t>
  </si>
  <si>
    <t>C.2.4 Ground Transportation</t>
  </si>
  <si>
    <t>E.1 Office Supplies</t>
  </si>
  <si>
    <t xml:space="preserve">E.2 Laptop Computers &amp; Software </t>
  </si>
  <si>
    <t>H.1 Office Costs</t>
  </si>
  <si>
    <t>H.1.1 Office Space &amp; Utilities</t>
  </si>
  <si>
    <t>H.1.2 Banking and Cash Handling Fees</t>
  </si>
  <si>
    <t>H.1.3 Payroll Processing</t>
  </si>
  <si>
    <t>H.1.4 Communications Costs (Phone, Data, Internet, etc.)</t>
  </si>
  <si>
    <t>H.2 Activities Costs</t>
  </si>
  <si>
    <t>H.3 M&amp;E</t>
  </si>
  <si>
    <t>H.3.1 M&amp;E Materials</t>
  </si>
  <si>
    <t>H.3.2 M&amp;E Training and Coordination Meetings</t>
  </si>
  <si>
    <t>H.3.3 External Project Evaluation support costs</t>
  </si>
  <si>
    <t>J.1 Indirect Cost (28.28% NICRA rate)</t>
  </si>
  <si>
    <t>H.2.1 Translation Costs</t>
  </si>
  <si>
    <t>H.2.2 Social Media Ads/Boosts</t>
  </si>
  <si>
    <t>Ad</t>
  </si>
  <si>
    <t>H.2.3 Website Development Fees</t>
  </si>
  <si>
    <t>Contract</t>
  </si>
  <si>
    <t>H.2.4 Website Hosting and Maintenance Fees</t>
  </si>
  <si>
    <t>H.1.6 Meeting Expenses</t>
  </si>
  <si>
    <t>H.1.8 Legal Fees</t>
  </si>
  <si>
    <t>H.1.9 Audit Fees</t>
  </si>
  <si>
    <t>F.2 Contracts</t>
  </si>
  <si>
    <t>F.1.1 Social Media Influencer Consultants</t>
  </si>
  <si>
    <t>F.1.2 Technical Advisor on Public Policy</t>
  </si>
  <si>
    <t>F.1.3 Consultant for Participatory Research for Data Collection</t>
  </si>
  <si>
    <t>F.2.1 Contract for Live Portrait and Immersive Experience</t>
  </si>
  <si>
    <t>F.2.2 Contract to Film &amp; Produce Soap Opera</t>
  </si>
  <si>
    <t>A.1.6 Monitoring, Evaluation, and Learning Officer (25%)</t>
  </si>
  <si>
    <t>A.1.7 Finance &amp; Administration Director (5%)</t>
  </si>
  <si>
    <t>A.1.8 Finance &amp; Administration Officer (20%)</t>
  </si>
  <si>
    <t xml:space="preserve">F.2.3 Security Advisors </t>
  </si>
  <si>
    <t>H.1.5 HR, Platform Subscriptions (Timekeeping and Expense Reporting)</t>
  </si>
  <si>
    <t xml:space="preserve">H.1.7 Procurement Advertising </t>
  </si>
  <si>
    <t>Entity:</t>
  </si>
  <si>
    <t>P</t>
  </si>
  <si>
    <t>Program/Dept.:</t>
  </si>
  <si>
    <t>Funder-Grant:</t>
  </si>
  <si>
    <t>Budget Code</t>
  </si>
  <si>
    <t>Account Code</t>
  </si>
  <si>
    <t>Country Code</t>
  </si>
  <si>
    <t>DOS453</t>
  </si>
  <si>
    <t>IDC</t>
  </si>
  <si>
    <t>USA</t>
  </si>
  <si>
    <t>MEX</t>
  </si>
  <si>
    <t>PERSNL</t>
  </si>
  <si>
    <t>PERSNL-CDM</t>
  </si>
  <si>
    <t>PERSNL-SMA</t>
  </si>
  <si>
    <t>PERSNL-PD</t>
  </si>
  <si>
    <t>PERSNL-F&amp;A</t>
  </si>
  <si>
    <t>FRINGE-MX</t>
  </si>
  <si>
    <t>FRINGE</t>
  </si>
  <si>
    <t>STFTRAVEL</t>
  </si>
  <si>
    <t>GROUNDTRAN</t>
  </si>
  <si>
    <t>LODGING</t>
  </si>
  <si>
    <t>STFCN DIEM</t>
  </si>
  <si>
    <t>LSLODGING</t>
  </si>
  <si>
    <t>LSM&amp;IE</t>
  </si>
  <si>
    <t>LSTRANS</t>
  </si>
  <si>
    <t>LSDOMAIR</t>
  </si>
  <si>
    <t>SUPPLIES</t>
  </si>
  <si>
    <t>LAPTOP</t>
  </si>
  <si>
    <t>RENT &amp; UT</t>
  </si>
  <si>
    <t>BANK FEES</t>
  </si>
  <si>
    <t>PERSNL-M&amp;E</t>
  </si>
  <si>
    <t>PERSNL-COM</t>
  </si>
  <si>
    <t>LEGAL</t>
  </si>
  <si>
    <t>AUDIT</t>
  </si>
  <si>
    <t>RECRUIT</t>
  </si>
  <si>
    <t>SUBSCRIPT</t>
  </si>
  <si>
    <t>MEETING</t>
  </si>
  <si>
    <t>COMM</t>
  </si>
  <si>
    <t>PAYROLL</t>
  </si>
  <si>
    <t>TRANS</t>
  </si>
  <si>
    <t>PERSNL-SCS</t>
  </si>
  <si>
    <t>CONSULTSM</t>
  </si>
  <si>
    <t>TECHADPP</t>
  </si>
  <si>
    <t>CONSULTDC</t>
  </si>
  <si>
    <t>IMMERSIVE</t>
  </si>
  <si>
    <t>SECURITY</t>
  </si>
  <si>
    <t>FILMPROD</t>
  </si>
  <si>
    <t>M&amp;EMATL</t>
  </si>
  <si>
    <t>M&amp;ETRAIN</t>
  </si>
  <si>
    <t>EVAL</t>
  </si>
  <si>
    <t>HOSTMAINT</t>
  </si>
  <si>
    <t>WEBSITE</t>
  </si>
  <si>
    <t>SOCIALADS</t>
  </si>
  <si>
    <t>Jan 24</t>
  </si>
  <si>
    <t>Jan 25</t>
  </si>
  <si>
    <t>Total Original Budget</t>
  </si>
  <si>
    <t>Total Projected</t>
  </si>
  <si>
    <t>PERSNL-FO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</si>
</sst>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INR]\ #,##0.00"/>
    <numFmt numFmtId="165" formatCode="_(* #,##0_);_(* \(#,##0\);_(* &quot;-&quot;??_);_(@_)"/>
    <numFmt numFmtId="166" formatCode="_(&quot;$&quot;* #,##0_);_(&quot;$&quot;* \(#,##0\);_(&quot;$&quot;* &quot;-&quot;??_);_(@_)"/>
    <numFmt numFmtId="167" formatCode="#,##0.0"/>
    <numFmt numFmtId="168" formatCode="[$$-1009]#,##0.00"/>
    <numFmt numFmtId="169" formatCode="[$$-1009]#,##0;\-[$$-1009]#,##0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Times New Roman"/>
      <family val="1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34998626667073579"/>
      <name val="Times New Roman"/>
      <family val="1"/>
    </font>
    <font>
      <sz val="12"/>
      <color theme="1"/>
      <name val="Times New Roman"/>
      <family val="1"/>
    </font>
    <font>
      <b/>
      <sz val="12"/>
      <color theme="0" tint="-0.249977111117893"/>
      <name val="Times New Roman"/>
      <family val="1"/>
    </font>
    <font>
      <i/>
      <sz val="12"/>
      <name val="Times New Roman"/>
      <family val="1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/>
    <xf numFmtId="9" fontId="1" fillId="0" borderId="0" applyFont="0" applyFill="0" applyBorder="0" applyAlignment="0" applyProtection="0"/>
  </cellStyleXfs>
  <cellXfs count="211">
    <xf numFmtId="0" fontId="0" fillId="0" borderId="0" xfId="0"/>
    <xf numFmtId="0" fontId="3" fillId="0" borderId="1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166" fontId="6" fillId="0" borderId="5" xfId="3" applyNumberFormat="1" applyFont="1" applyFill="1" applyBorder="1" applyAlignment="1">
      <alignment vertical="center" wrapText="1"/>
    </xf>
    <xf numFmtId="166" fontId="6" fillId="3" borderId="5" xfId="3" applyNumberFormat="1" applyFont="1" applyFill="1" applyBorder="1" applyAlignment="1">
      <alignment vertical="center" wrapText="1"/>
    </xf>
    <xf numFmtId="3" fontId="6" fillId="0" borderId="0" xfId="0" applyNumberFormat="1" applyFont="1" applyAlignment="1">
      <alignment horizontal="center" vertical="center" wrapText="1"/>
    </xf>
    <xf numFmtId="166" fontId="6" fillId="0" borderId="0" xfId="3" applyNumberFormat="1" applyFont="1" applyBorder="1" applyAlignment="1">
      <alignment vertical="center" wrapText="1"/>
    </xf>
    <xf numFmtId="9" fontId="6" fillId="0" borderId="0" xfId="0" applyNumberFormat="1" applyFont="1" applyAlignment="1">
      <alignment horizontal="center" vertical="center" wrapText="1"/>
    </xf>
    <xf numFmtId="3" fontId="6" fillId="0" borderId="5" xfId="0" applyNumberFormat="1" applyFont="1" applyBorder="1" applyAlignment="1">
      <alignment horizontal="center" vertical="center" wrapText="1"/>
    </xf>
    <xf numFmtId="9" fontId="6" fillId="0" borderId="5" xfId="0" applyNumberFormat="1" applyFont="1" applyBorder="1" applyAlignment="1">
      <alignment horizontal="center" vertical="center" wrapText="1"/>
    </xf>
    <xf numFmtId="166" fontId="6" fillId="0" borderId="5" xfId="3" applyNumberFormat="1" applyFont="1" applyBorder="1" applyAlignment="1">
      <alignment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vertical="center" wrapText="1"/>
    </xf>
    <xf numFmtId="0" fontId="3" fillId="3" borderId="14" xfId="0" applyFont="1" applyFill="1" applyBorder="1" applyAlignment="1">
      <alignment horizontal="center" vertical="center" wrapText="1"/>
    </xf>
    <xf numFmtId="3" fontId="3" fillId="3" borderId="5" xfId="0" applyNumberFormat="1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3" fillId="5" borderId="24" xfId="0" applyFont="1" applyFill="1" applyBorder="1" applyAlignment="1">
      <alignment vertical="center" wrapText="1"/>
    </xf>
    <xf numFmtId="0" fontId="3" fillId="5" borderId="25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9" fontId="3" fillId="0" borderId="5" xfId="0" applyNumberFormat="1" applyFont="1" applyBorder="1" applyAlignment="1">
      <alignment horizontal="center" vertical="center" wrapText="1"/>
    </xf>
    <xf numFmtId="166" fontId="3" fillId="0" borderId="5" xfId="3" applyNumberFormat="1" applyFont="1" applyBorder="1" applyAlignment="1">
      <alignment horizontal="center" vertical="center" wrapText="1"/>
    </xf>
    <xf numFmtId="166" fontId="3" fillId="0" borderId="6" xfId="3" applyNumberFormat="1" applyFont="1" applyBorder="1" applyAlignment="1">
      <alignment horizontal="center" vertical="center" wrapText="1"/>
    </xf>
    <xf numFmtId="166" fontId="3" fillId="5" borderId="5" xfId="0" applyNumberFormat="1" applyFont="1" applyFill="1" applyBorder="1" applyAlignment="1">
      <alignment horizontal="center" vertical="center" wrapText="1"/>
    </xf>
    <xf numFmtId="164" fontId="10" fillId="5" borderId="5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166" fontId="10" fillId="5" borderId="5" xfId="3" applyNumberFormat="1" applyFont="1" applyFill="1" applyBorder="1" applyAlignment="1">
      <alignment vertical="center" wrapText="1"/>
    </xf>
    <xf numFmtId="166" fontId="10" fillId="5" borderId="5" xfId="3" applyNumberFormat="1" applyFont="1" applyFill="1" applyBorder="1" applyAlignment="1">
      <alignment horizontal="center" vertical="center" wrapText="1"/>
    </xf>
    <xf numFmtId="166" fontId="10" fillId="5" borderId="6" xfId="3" applyNumberFormat="1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166" fontId="10" fillId="5" borderId="14" xfId="3" applyNumberFormat="1" applyFont="1" applyFill="1" applyBorder="1" applyAlignment="1">
      <alignment horizontal="center" vertical="center" wrapText="1"/>
    </xf>
    <xf numFmtId="166" fontId="10" fillId="5" borderId="6" xfId="3" applyNumberFormat="1" applyFont="1" applyFill="1" applyBorder="1" applyAlignment="1">
      <alignment vertical="center" wrapText="1"/>
    </xf>
    <xf numFmtId="166" fontId="3" fillId="0" borderId="5" xfId="3" applyNumberFormat="1" applyFont="1" applyFill="1" applyBorder="1" applyAlignment="1">
      <alignment horizontal="center" vertical="center" wrapText="1"/>
    </xf>
    <xf numFmtId="166" fontId="3" fillId="0" borderId="6" xfId="3" applyNumberFormat="1" applyFont="1" applyFill="1" applyBorder="1" applyAlignment="1">
      <alignment horizontal="center" vertical="center" wrapText="1"/>
    </xf>
    <xf numFmtId="166" fontId="3" fillId="0" borderId="14" xfId="3" applyNumberFormat="1" applyFont="1" applyFill="1" applyBorder="1" applyAlignment="1">
      <alignment horizontal="center" vertical="center" wrapText="1"/>
    </xf>
    <xf numFmtId="166" fontId="6" fillId="0" borderId="6" xfId="3" applyNumberFormat="1" applyFont="1" applyFill="1" applyBorder="1" applyAlignment="1">
      <alignment vertical="center" wrapText="1"/>
    </xf>
    <xf numFmtId="166" fontId="6" fillId="0" borderId="5" xfId="3" applyNumberFormat="1" applyFont="1" applyFill="1" applyBorder="1" applyAlignment="1">
      <alignment horizontal="center" vertical="center" wrapText="1"/>
    </xf>
    <xf numFmtId="9" fontId="6" fillId="0" borderId="5" xfId="8" applyFont="1" applyFill="1" applyBorder="1" applyAlignment="1">
      <alignment horizontal="center" vertical="center" wrapText="1"/>
    </xf>
    <xf numFmtId="166" fontId="6" fillId="0" borderId="6" xfId="3" applyNumberFormat="1" applyFont="1" applyBorder="1" applyAlignment="1">
      <alignment vertical="center" wrapText="1"/>
    </xf>
    <xf numFmtId="166" fontId="6" fillId="0" borderId="14" xfId="3" applyNumberFormat="1" applyFont="1" applyBorder="1" applyAlignment="1">
      <alignment vertical="center" wrapText="1"/>
    </xf>
    <xf numFmtId="165" fontId="3" fillId="3" borderId="5" xfId="1" applyNumberFormat="1" applyFont="1" applyFill="1" applyBorder="1" applyAlignment="1">
      <alignment horizontal="center" vertical="center" wrapText="1"/>
    </xf>
    <xf numFmtId="9" fontId="3" fillId="3" borderId="5" xfId="0" applyNumberFormat="1" applyFont="1" applyFill="1" applyBorder="1" applyAlignment="1">
      <alignment horizontal="center" vertical="center" wrapText="1"/>
    </xf>
    <xf numFmtId="166" fontId="3" fillId="3" borderId="5" xfId="3" applyNumberFormat="1" applyFont="1" applyFill="1" applyBorder="1" applyAlignment="1">
      <alignment vertical="center" wrapText="1"/>
    </xf>
    <xf numFmtId="166" fontId="3" fillId="3" borderId="6" xfId="3" applyNumberFormat="1" applyFont="1" applyFill="1" applyBorder="1" applyAlignment="1">
      <alignment vertical="center" wrapText="1"/>
    </xf>
    <xf numFmtId="166" fontId="3" fillId="3" borderId="14" xfId="3" applyNumberFormat="1" applyFont="1" applyFill="1" applyBorder="1" applyAlignment="1">
      <alignment vertical="center" wrapText="1"/>
    </xf>
    <xf numFmtId="165" fontId="3" fillId="5" borderId="5" xfId="1" applyNumberFormat="1" applyFont="1" applyFill="1" applyBorder="1" applyAlignment="1">
      <alignment horizontal="center" vertical="center" wrapText="1"/>
    </xf>
    <xf numFmtId="9" fontId="3" fillId="5" borderId="5" xfId="0" applyNumberFormat="1" applyFont="1" applyFill="1" applyBorder="1" applyAlignment="1">
      <alignment horizontal="center" vertical="center" wrapText="1"/>
    </xf>
    <xf numFmtId="166" fontId="3" fillId="5" borderId="5" xfId="3" applyNumberFormat="1" applyFont="1" applyFill="1" applyBorder="1" applyAlignment="1">
      <alignment vertical="center" wrapText="1"/>
    </xf>
    <xf numFmtId="166" fontId="3" fillId="5" borderId="5" xfId="3" applyNumberFormat="1" applyFont="1" applyFill="1" applyBorder="1" applyAlignment="1">
      <alignment horizontal="center" vertical="center" wrapText="1"/>
    </xf>
    <xf numFmtId="166" fontId="3" fillId="5" borderId="6" xfId="3" applyNumberFormat="1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vertical="center" wrapText="1"/>
    </xf>
    <xf numFmtId="166" fontId="3" fillId="5" borderId="14" xfId="3" applyNumberFormat="1" applyFont="1" applyFill="1" applyBorder="1" applyAlignment="1">
      <alignment horizontal="center" vertical="center" wrapText="1"/>
    </xf>
    <xf numFmtId="166" fontId="6" fillId="5" borderId="6" xfId="3" applyNumberFormat="1" applyFont="1" applyFill="1" applyBorder="1" applyAlignment="1">
      <alignment vertical="center" wrapText="1"/>
    </xf>
    <xf numFmtId="167" fontId="6" fillId="0" borderId="14" xfId="0" applyNumberFormat="1" applyFont="1" applyBorder="1" applyAlignment="1">
      <alignment horizontal="center" vertical="center" wrapText="1"/>
    </xf>
    <xf numFmtId="168" fontId="6" fillId="0" borderId="5" xfId="0" applyNumberFormat="1" applyFont="1" applyBorder="1" applyAlignment="1">
      <alignment horizontal="center" vertical="center" wrapText="1"/>
    </xf>
    <xf numFmtId="166" fontId="6" fillId="0" borderId="14" xfId="3" applyNumberFormat="1" applyFont="1" applyFill="1" applyBorder="1" applyAlignment="1">
      <alignment vertical="center" wrapText="1"/>
    </xf>
    <xf numFmtId="168" fontId="6" fillId="3" borderId="14" xfId="0" applyNumberFormat="1" applyFont="1" applyFill="1" applyBorder="1" applyAlignment="1">
      <alignment horizontal="center" vertical="center" wrapText="1"/>
    </xf>
    <xf numFmtId="10" fontId="6" fillId="3" borderId="5" xfId="8" applyNumberFormat="1" applyFont="1" applyFill="1" applyBorder="1" applyAlignment="1">
      <alignment horizontal="center" vertical="center" wrapText="1"/>
    </xf>
    <xf numFmtId="165" fontId="6" fillId="3" borderId="5" xfId="1" applyNumberFormat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166" fontId="6" fillId="3" borderId="5" xfId="3" applyNumberFormat="1" applyFont="1" applyFill="1" applyBorder="1" applyAlignment="1">
      <alignment horizontal="center" vertical="center" wrapText="1"/>
    </xf>
    <xf numFmtId="168" fontId="3" fillId="5" borderId="14" xfId="0" applyNumberFormat="1" applyFont="1" applyFill="1" applyBorder="1" applyAlignment="1">
      <alignment horizontal="center" vertical="center" wrapText="1"/>
    </xf>
    <xf numFmtId="168" fontId="3" fillId="0" borderId="14" xfId="0" applyNumberFormat="1" applyFont="1" applyBorder="1" applyAlignment="1">
      <alignment horizontal="center" vertical="center" wrapText="1"/>
    </xf>
    <xf numFmtId="165" fontId="3" fillId="0" borderId="5" xfId="1" applyNumberFormat="1" applyFont="1" applyFill="1" applyBorder="1" applyAlignment="1">
      <alignment horizontal="center" vertical="center" wrapText="1"/>
    </xf>
    <xf numFmtId="166" fontId="3" fillId="0" borderId="5" xfId="3" applyNumberFormat="1" applyFont="1" applyFill="1" applyBorder="1" applyAlignment="1">
      <alignment vertical="center" wrapText="1"/>
    </xf>
    <xf numFmtId="166" fontId="6" fillId="0" borderId="5" xfId="3" applyNumberFormat="1" applyFont="1" applyFill="1" applyBorder="1" applyAlignment="1">
      <alignment horizontal="right" vertical="center" wrapText="1"/>
    </xf>
    <xf numFmtId="3" fontId="3" fillId="3" borderId="14" xfId="0" applyNumberFormat="1" applyFont="1" applyFill="1" applyBorder="1" applyAlignment="1">
      <alignment horizontal="center" vertical="center" wrapText="1"/>
    </xf>
    <xf numFmtId="169" fontId="3" fillId="3" borderId="14" xfId="3" applyNumberFormat="1" applyFont="1" applyFill="1" applyBorder="1" applyAlignment="1">
      <alignment vertical="center" wrapText="1"/>
    </xf>
    <xf numFmtId="169" fontId="3" fillId="3" borderId="5" xfId="3" applyNumberFormat="1" applyFont="1" applyFill="1" applyBorder="1" applyAlignment="1">
      <alignment vertical="center" wrapText="1"/>
    </xf>
    <xf numFmtId="166" fontId="6" fillId="5" borderId="5" xfId="3" applyNumberFormat="1" applyFont="1" applyFill="1" applyBorder="1" applyAlignment="1">
      <alignment horizontal="center" vertical="center" wrapText="1"/>
    </xf>
    <xf numFmtId="166" fontId="6" fillId="5" borderId="6" xfId="3" applyNumberFormat="1" applyFont="1" applyFill="1" applyBorder="1" applyAlignment="1">
      <alignment horizontal="center" vertical="center" wrapText="1"/>
    </xf>
    <xf numFmtId="166" fontId="6" fillId="5" borderId="14" xfId="3" applyNumberFormat="1" applyFont="1" applyFill="1" applyBorder="1" applyAlignment="1">
      <alignment horizontal="center" vertical="center" wrapText="1"/>
    </xf>
    <xf numFmtId="9" fontId="6" fillId="3" borderId="5" xfId="0" applyNumberFormat="1" applyFont="1" applyFill="1" applyBorder="1" applyAlignment="1">
      <alignment horizontal="center" vertical="center" wrapText="1"/>
    </xf>
    <xf numFmtId="166" fontId="8" fillId="5" borderId="6" xfId="3" applyNumberFormat="1" applyFont="1" applyFill="1" applyBorder="1" applyAlignment="1">
      <alignment vertical="center" wrapText="1"/>
    </xf>
    <xf numFmtId="0" fontId="3" fillId="5" borderId="11" xfId="0" applyFont="1" applyFill="1" applyBorder="1" applyAlignment="1">
      <alignment horizontal="center" vertical="center" wrapText="1"/>
    </xf>
    <xf numFmtId="166" fontId="3" fillId="5" borderId="11" xfId="3" applyNumberFormat="1" applyFont="1" applyFill="1" applyBorder="1" applyAlignment="1">
      <alignment vertical="center" wrapText="1"/>
    </xf>
    <xf numFmtId="166" fontId="6" fillId="5" borderId="11" xfId="3" applyNumberFormat="1" applyFont="1" applyFill="1" applyBorder="1" applyAlignment="1">
      <alignment horizontal="center" vertical="center" wrapText="1"/>
    </xf>
    <xf numFmtId="166" fontId="6" fillId="5" borderId="23" xfId="3" applyNumberFormat="1" applyFont="1" applyFill="1" applyBorder="1" applyAlignment="1">
      <alignment horizontal="center" vertical="center" wrapText="1"/>
    </xf>
    <xf numFmtId="166" fontId="6" fillId="5" borderId="22" xfId="3" applyNumberFormat="1" applyFont="1" applyFill="1" applyBorder="1" applyAlignment="1">
      <alignment horizontal="center" vertical="center" wrapText="1"/>
    </xf>
    <xf numFmtId="166" fontId="6" fillId="5" borderId="23" xfId="3" applyNumberFormat="1" applyFont="1" applyFill="1" applyBorder="1" applyAlignment="1">
      <alignment vertical="center" wrapText="1"/>
    </xf>
    <xf numFmtId="166" fontId="3" fillId="3" borderId="16" xfId="3" applyNumberFormat="1" applyFont="1" applyFill="1" applyBorder="1" applyAlignment="1">
      <alignment vertical="center" wrapText="1"/>
    </xf>
    <xf numFmtId="0" fontId="6" fillId="5" borderId="14" xfId="0" applyFont="1" applyFill="1" applyBorder="1" applyAlignment="1">
      <alignment horizontal="center" vertical="center" wrapText="1"/>
    </xf>
    <xf numFmtId="9" fontId="6" fillId="5" borderId="5" xfId="0" applyNumberFormat="1" applyFont="1" applyFill="1" applyBorder="1" applyAlignment="1">
      <alignment horizontal="center" vertical="center" wrapText="1"/>
    </xf>
    <xf numFmtId="166" fontId="6" fillId="5" borderId="5" xfId="3" applyNumberFormat="1" applyFont="1" applyFill="1" applyBorder="1" applyAlignment="1">
      <alignment vertical="center" wrapText="1"/>
    </xf>
    <xf numFmtId="166" fontId="6" fillId="3" borderId="6" xfId="3" applyNumberFormat="1" applyFont="1" applyFill="1" applyBorder="1" applyAlignment="1">
      <alignment horizontal="center" vertical="center" wrapText="1"/>
    </xf>
    <xf numFmtId="166" fontId="6" fillId="3" borderId="14" xfId="3" applyNumberFormat="1" applyFont="1" applyFill="1" applyBorder="1" applyAlignment="1">
      <alignment horizontal="center" vertical="center" wrapText="1"/>
    </xf>
    <xf numFmtId="166" fontId="6" fillId="0" borderId="6" xfId="3" applyNumberFormat="1" applyFont="1" applyFill="1" applyBorder="1" applyAlignment="1">
      <alignment horizontal="center" vertical="center" wrapText="1"/>
    </xf>
    <xf numFmtId="166" fontId="6" fillId="4" borderId="5" xfId="3" applyNumberFormat="1" applyFont="1" applyFill="1" applyBorder="1" applyAlignment="1">
      <alignment vertical="center" wrapText="1"/>
    </xf>
    <xf numFmtId="166" fontId="3" fillId="5" borderId="6" xfId="3" applyNumberFormat="1" applyFont="1" applyFill="1" applyBorder="1" applyAlignment="1">
      <alignment vertical="center" wrapText="1"/>
    </xf>
    <xf numFmtId="166" fontId="3" fillId="5" borderId="14" xfId="3" applyNumberFormat="1" applyFont="1" applyFill="1" applyBorder="1" applyAlignment="1">
      <alignment vertical="center" wrapText="1"/>
    </xf>
    <xf numFmtId="10" fontId="3" fillId="5" borderId="25" xfId="8" applyNumberFormat="1" applyFont="1" applyFill="1" applyBorder="1" applyAlignment="1">
      <alignment horizontal="center" vertical="center" wrapText="1"/>
    </xf>
    <xf numFmtId="9" fontId="3" fillId="5" borderId="25" xfId="0" applyNumberFormat="1" applyFont="1" applyFill="1" applyBorder="1" applyAlignment="1">
      <alignment horizontal="center" vertical="center" wrapText="1"/>
    </xf>
    <xf numFmtId="166" fontId="3" fillId="5" borderId="25" xfId="3" applyNumberFormat="1" applyFont="1" applyFill="1" applyBorder="1" applyAlignment="1">
      <alignment vertical="center" wrapText="1"/>
    </xf>
    <xf numFmtId="166" fontId="3" fillId="5" borderId="26" xfId="3" applyNumberFormat="1" applyFont="1" applyFill="1" applyBorder="1" applyAlignment="1">
      <alignment vertical="center" wrapText="1"/>
    </xf>
    <xf numFmtId="0" fontId="3" fillId="5" borderId="25" xfId="0" applyFont="1" applyFill="1" applyBorder="1" applyAlignment="1">
      <alignment vertical="center" wrapText="1"/>
    </xf>
    <xf numFmtId="166" fontId="3" fillId="5" borderId="24" xfId="3" applyNumberFormat="1" applyFont="1" applyFill="1" applyBorder="1" applyAlignment="1">
      <alignment vertical="center" wrapText="1"/>
    </xf>
    <xf numFmtId="166" fontId="3" fillId="5" borderId="27" xfId="3" applyNumberFormat="1" applyFont="1" applyFill="1" applyBorder="1" applyAlignment="1">
      <alignment vertical="center" wrapText="1"/>
    </xf>
    <xf numFmtId="9" fontId="3" fillId="5" borderId="7" xfId="0" applyNumberFormat="1" applyFont="1" applyFill="1" applyBorder="1" applyAlignment="1">
      <alignment horizontal="center" vertical="center" wrapText="1"/>
    </xf>
    <xf numFmtId="166" fontId="3" fillId="5" borderId="7" xfId="3" applyNumberFormat="1" applyFont="1" applyFill="1" applyBorder="1" applyAlignment="1">
      <alignment vertical="center" wrapText="1"/>
    </xf>
    <xf numFmtId="166" fontId="3" fillId="5" borderId="8" xfId="3" applyNumberFormat="1" applyFont="1" applyFill="1" applyBorder="1" applyAlignment="1">
      <alignment vertical="center" wrapText="1"/>
    </xf>
    <xf numFmtId="166" fontId="3" fillId="5" borderId="10" xfId="3" applyNumberFormat="1" applyFont="1" applyFill="1" applyBorder="1" applyAlignment="1">
      <alignment vertical="center" wrapText="1"/>
    </xf>
    <xf numFmtId="3" fontId="6" fillId="0" borderId="0" xfId="0" applyNumberFormat="1" applyFont="1"/>
    <xf numFmtId="3" fontId="6" fillId="2" borderId="15" xfId="0" applyNumberFormat="1" applyFont="1" applyFill="1" applyBorder="1"/>
    <xf numFmtId="3" fontId="3" fillId="0" borderId="0" xfId="0" applyNumberFormat="1" applyFont="1"/>
    <xf numFmtId="3" fontId="3" fillId="2" borderId="16" xfId="0" applyNumberFormat="1" applyFont="1" applyFill="1" applyBorder="1"/>
    <xf numFmtId="3" fontId="6" fillId="5" borderId="16" xfId="0" applyNumberFormat="1" applyFont="1" applyFill="1" applyBorder="1"/>
    <xf numFmtId="169" fontId="6" fillId="0" borderId="14" xfId="3" applyNumberFormat="1" applyFont="1" applyBorder="1" applyAlignment="1"/>
    <xf numFmtId="169" fontId="6" fillId="0" borderId="5" xfId="3" applyNumberFormat="1" applyFont="1" applyBorder="1" applyAlignment="1"/>
    <xf numFmtId="169" fontId="6" fillId="0" borderId="6" xfId="3" applyNumberFormat="1" applyFont="1" applyBorder="1" applyAlignment="1"/>
    <xf numFmtId="169" fontId="6" fillId="0" borderId="14" xfId="3" applyNumberFormat="1" applyFont="1" applyFill="1" applyBorder="1" applyAlignment="1"/>
    <xf numFmtId="169" fontId="6" fillId="7" borderId="14" xfId="3" applyNumberFormat="1" applyFont="1" applyFill="1" applyBorder="1" applyAlignment="1"/>
    <xf numFmtId="169" fontId="6" fillId="7" borderId="5" xfId="3" applyNumberFormat="1" applyFont="1" applyFill="1" applyBorder="1" applyAlignment="1"/>
    <xf numFmtId="169" fontId="6" fillId="7" borderId="6" xfId="3" applyNumberFormat="1" applyFont="1" applyFill="1" applyBorder="1" applyAlignment="1"/>
    <xf numFmtId="169" fontId="3" fillId="0" borderId="10" xfId="3" applyNumberFormat="1" applyFont="1" applyBorder="1" applyAlignment="1"/>
    <xf numFmtId="169" fontId="3" fillId="0" borderId="7" xfId="3" applyNumberFormat="1" applyFont="1" applyBorder="1" applyAlignment="1"/>
    <xf numFmtId="169" fontId="3" fillId="0" borderId="8" xfId="3" applyNumberFormat="1" applyFont="1" applyBorder="1" applyAlignment="1"/>
    <xf numFmtId="0" fontId="3" fillId="4" borderId="28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165" fontId="3" fillId="3" borderId="5" xfId="1" applyNumberFormat="1" applyFont="1" applyFill="1" applyBorder="1" applyAlignment="1">
      <alignment vertical="center" wrapText="1"/>
    </xf>
    <xf numFmtId="165" fontId="3" fillId="5" borderId="5" xfId="1" applyNumberFormat="1" applyFont="1" applyFill="1" applyBorder="1" applyAlignment="1">
      <alignment vertical="center" wrapText="1"/>
    </xf>
    <xf numFmtId="165" fontId="6" fillId="0" borderId="5" xfId="1" applyNumberFormat="1" applyFont="1" applyFill="1" applyBorder="1" applyAlignment="1">
      <alignment horizontal="center" vertical="center"/>
    </xf>
    <xf numFmtId="165" fontId="6" fillId="0" borderId="5" xfId="1" applyNumberFormat="1" applyFont="1" applyFill="1" applyBorder="1" applyAlignment="1">
      <alignment horizontal="center" vertical="center" wrapText="1"/>
    </xf>
    <xf numFmtId="2" fontId="6" fillId="0" borderId="14" xfId="0" applyNumberFormat="1" applyFont="1" applyBorder="1" applyAlignment="1">
      <alignment horizontal="center" vertical="center" wrapText="1"/>
    </xf>
    <xf numFmtId="10" fontId="6" fillId="0" borderId="5" xfId="0" applyNumberFormat="1" applyFont="1" applyBorder="1" applyAlignment="1">
      <alignment horizontal="center" vertical="center" wrapText="1"/>
    </xf>
    <xf numFmtId="0" fontId="6" fillId="0" borderId="5" xfId="7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10" fontId="3" fillId="0" borderId="5" xfId="8" applyNumberFormat="1" applyFont="1" applyFill="1" applyBorder="1" applyAlignment="1">
      <alignment horizontal="center" vertical="center" wrapText="1"/>
    </xf>
    <xf numFmtId="166" fontId="3" fillId="0" borderId="6" xfId="3" applyNumberFormat="1" applyFont="1" applyFill="1" applyBorder="1" applyAlignment="1">
      <alignment vertical="center" wrapText="1"/>
    </xf>
    <xf numFmtId="166" fontId="3" fillId="0" borderId="14" xfId="3" applyNumberFormat="1" applyFont="1" applyFill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5" borderId="31" xfId="0" applyFont="1" applyFill="1" applyBorder="1" applyAlignment="1">
      <alignment vertical="center" wrapText="1"/>
    </xf>
    <xf numFmtId="0" fontId="3" fillId="0" borderId="12" xfId="0" applyFont="1" applyBorder="1" applyAlignment="1">
      <alignment horizontal="left" vertical="center" wrapText="1"/>
    </xf>
    <xf numFmtId="0" fontId="3" fillId="3" borderId="12" xfId="0" applyFont="1" applyFill="1" applyBorder="1" applyAlignment="1">
      <alignment vertical="center" wrapText="1"/>
    </xf>
    <xf numFmtId="0" fontId="3" fillId="5" borderId="12" xfId="0" applyFont="1" applyFill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11" fillId="3" borderId="12" xfId="0" applyFont="1" applyFill="1" applyBorder="1" applyAlignment="1">
      <alignment vertical="center" wrapText="1"/>
    </xf>
    <xf numFmtId="0" fontId="6" fillId="4" borderId="12" xfId="0" applyFont="1" applyFill="1" applyBorder="1" applyAlignment="1">
      <alignment vertical="center" wrapText="1"/>
    </xf>
    <xf numFmtId="0" fontId="3" fillId="5" borderId="32" xfId="0" applyFont="1" applyFill="1" applyBorder="1" applyAlignment="1">
      <alignment vertical="center" wrapText="1"/>
    </xf>
    <xf numFmtId="0" fontId="3" fillId="5" borderId="30" xfId="0" applyFont="1" applyFill="1" applyBorder="1" applyAlignment="1">
      <alignment vertical="center" wrapText="1"/>
    </xf>
    <xf numFmtId="169" fontId="3" fillId="0" borderId="14" xfId="3" applyNumberFormat="1" applyFont="1" applyFill="1" applyBorder="1" applyAlignment="1"/>
    <xf numFmtId="169" fontId="3" fillId="0" borderId="5" xfId="3" applyNumberFormat="1" applyFont="1" applyBorder="1" applyAlignment="1"/>
    <xf numFmtId="169" fontId="3" fillId="0" borderId="6" xfId="3" applyNumberFormat="1" applyFont="1" applyBorder="1" applyAlignment="1"/>
    <xf numFmtId="169" fontId="3" fillId="0" borderId="10" xfId="3" applyNumberFormat="1" applyFont="1" applyFill="1" applyBorder="1" applyAlignment="1"/>
    <xf numFmtId="3" fontId="3" fillId="5" borderId="17" xfId="0" applyNumberFormat="1" applyFont="1" applyFill="1" applyBorder="1"/>
    <xf numFmtId="3" fontId="3" fillId="5" borderId="16" xfId="0" applyNumberFormat="1" applyFont="1" applyFill="1" applyBorder="1"/>
    <xf numFmtId="169" fontId="3" fillId="0" borderId="14" xfId="3" applyNumberFormat="1" applyFont="1" applyBorder="1" applyAlignment="1"/>
    <xf numFmtId="0" fontId="3" fillId="2" borderId="1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vertical="center" wrapText="1"/>
    </xf>
    <xf numFmtId="9" fontId="6" fillId="8" borderId="5" xfId="8" applyFont="1" applyFill="1" applyBorder="1" applyAlignment="1">
      <alignment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left"/>
    </xf>
    <xf numFmtId="0" fontId="12" fillId="0" borderId="34" xfId="0" applyFont="1" applyBorder="1" applyAlignment="1">
      <alignment horizontal="left"/>
    </xf>
    <xf numFmtId="0" fontId="12" fillId="0" borderId="35" xfId="0" applyFont="1" applyBorder="1" applyAlignment="1">
      <alignment horizontal="left"/>
    </xf>
    <xf numFmtId="0" fontId="12" fillId="0" borderId="36" xfId="0" applyFont="1" applyBorder="1" applyAlignment="1">
      <alignment horizontal="left"/>
    </xf>
    <xf numFmtId="0" fontId="12" fillId="0" borderId="37" xfId="0" applyFont="1" applyBorder="1" applyAlignment="1">
      <alignment horizontal="left"/>
    </xf>
    <xf numFmtId="0" fontId="12" fillId="0" borderId="38" xfId="0" applyFont="1" applyBorder="1" applyAlignment="1">
      <alignment horizontal="left"/>
    </xf>
    <xf numFmtId="0" fontId="6" fillId="0" borderId="5" xfId="0" applyFont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5" borderId="31" xfId="0" applyFont="1" applyFill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3" fillId="3" borderId="12" xfId="0" applyFont="1" applyFill="1" applyBorder="1" applyAlignment="1">
      <alignment horizontal="left" vertical="center" wrapText="1"/>
    </xf>
    <xf numFmtId="0" fontId="3" fillId="5" borderId="12" xfId="0" applyFont="1" applyFill="1" applyBorder="1" applyAlignment="1">
      <alignment horizontal="left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3" fillId="5" borderId="32" xfId="0" applyFont="1" applyFill="1" applyBorder="1" applyAlignment="1">
      <alignment horizontal="left" vertical="center" wrapText="1"/>
    </xf>
    <xf numFmtId="0" fontId="3" fillId="5" borderId="30" xfId="0" applyFont="1" applyFill="1" applyBorder="1" applyAlignment="1">
      <alignment horizontal="left" vertical="center" wrapText="1"/>
    </xf>
    <xf numFmtId="17" fontId="3" fillId="0" borderId="5" xfId="3" applyNumberFormat="1" applyFont="1" applyBorder="1" applyAlignment="1">
      <alignment horizontal="center" vertical="center" wrapText="1"/>
    </xf>
    <xf numFmtId="44" fontId="6" fillId="0" borderId="39" xfId="4" applyFont="1" applyFill="1" applyBorder="1" applyAlignment="1">
      <alignment vertical="center" wrapText="1"/>
    </xf>
    <xf numFmtId="166" fontId="3" fillId="0" borderId="39" xfId="3" applyNumberFormat="1" applyFont="1" applyBorder="1" applyAlignment="1">
      <alignment horizontal="center" vertical="center" wrapText="1"/>
    </xf>
    <xf numFmtId="166" fontId="10" fillId="5" borderId="12" xfId="3" applyNumberFormat="1" applyFont="1" applyFill="1" applyBorder="1" applyAlignment="1">
      <alignment horizontal="center" vertical="center" wrapText="1"/>
    </xf>
    <xf numFmtId="166" fontId="3" fillId="0" borderId="12" xfId="3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left" vertical="center" wrapText="1"/>
    </xf>
    <xf numFmtId="0" fontId="3" fillId="4" borderId="29" xfId="0" applyFont="1" applyFill="1" applyBorder="1" applyAlignment="1">
      <alignment horizontal="left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</cellXfs>
  <cellStyles count="9">
    <cellStyle name="Comma" xfId="1" builtinId="3"/>
    <cellStyle name="Comma 2" xfId="2" xr:uid="{00000000-0005-0000-0000-000001000000}"/>
    <cellStyle name="Currency" xfId="3" builtinId="4"/>
    <cellStyle name="Currency 2" xfId="4" xr:uid="{00000000-0005-0000-0000-000003000000}"/>
    <cellStyle name="Normal" xfId="0" builtinId="0"/>
    <cellStyle name="Normal 2" xfId="5" xr:uid="{00000000-0005-0000-0000-000006000000}"/>
    <cellStyle name="Normal 2 2" xfId="6" xr:uid="{00000000-0005-0000-0000-000007000000}"/>
    <cellStyle name="Normal_IOCC BPRM Budget - June 2008 draft 1 (051208)" xfId="7" xr:uid="{00000000-0005-0000-0000-000008000000}"/>
    <cellStyle name="Percent" xfId="8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5"/>
  <sheetViews>
    <sheetView zoomScaleNormal="100" zoomScaleSheetLayoutView="100" workbookViewId="0">
      <selection activeCell="J14" sqref="J14"/>
    </sheetView>
  </sheetViews>
  <sheetFormatPr defaultColWidth="9.109375" defaultRowHeight="15.3" x14ac:dyDescent="0.55000000000000004"/>
  <cols>
    <col min="1" max="1" width="38.5546875" style="118" bestFit="1" customWidth="1"/>
    <col min="2" max="2" width="12.77734375" style="118" customWidth="1"/>
    <col min="3" max="3" width="11.21875" style="118" bestFit="1" customWidth="1"/>
    <col min="4" max="4" width="11.44140625" style="118" customWidth="1"/>
    <col min="5" max="5" width="11.109375" style="118" customWidth="1"/>
    <col min="6" max="6" width="11.21875" style="118" bestFit="1" customWidth="1"/>
    <col min="7" max="7" width="10.6640625" style="118" customWidth="1"/>
    <col min="8" max="8" width="12" style="118" customWidth="1"/>
    <col min="9" max="9" width="11.21875" style="118" bestFit="1" customWidth="1"/>
    <col min="10" max="10" width="12.109375" style="118" customWidth="1"/>
    <col min="11" max="16384" width="9.109375" style="118"/>
  </cols>
  <sheetData>
    <row r="1" spans="1:10" ht="30.75" customHeight="1" thickBot="1" x14ac:dyDescent="0.6">
      <c r="A1" s="193" t="s">
        <v>2</v>
      </c>
      <c r="B1" s="194"/>
      <c r="C1" s="194"/>
      <c r="D1" s="194"/>
      <c r="E1" s="194"/>
      <c r="F1" s="194"/>
      <c r="G1" s="194"/>
      <c r="H1" s="194"/>
      <c r="I1" s="194"/>
      <c r="J1" s="195"/>
    </row>
    <row r="2" spans="1:10" ht="18.75" customHeight="1" thickBot="1" x14ac:dyDescent="0.6">
      <c r="A2" s="199" t="s">
        <v>61</v>
      </c>
      <c r="B2" s="200"/>
      <c r="C2" s="200"/>
      <c r="D2" s="200"/>
      <c r="E2" s="200"/>
      <c r="F2" s="200"/>
      <c r="G2" s="200"/>
      <c r="H2" s="200"/>
      <c r="I2" s="200"/>
      <c r="J2" s="201"/>
    </row>
    <row r="3" spans="1:10" s="120" customFormat="1" x14ac:dyDescent="0.55000000000000004">
      <c r="A3" s="119"/>
      <c r="B3" s="196" t="s">
        <v>3</v>
      </c>
      <c r="C3" s="197"/>
      <c r="D3" s="198"/>
      <c r="E3" s="196" t="s">
        <v>4</v>
      </c>
      <c r="F3" s="197"/>
      <c r="G3" s="198"/>
      <c r="H3" s="196" t="s">
        <v>1</v>
      </c>
      <c r="I3" s="197"/>
      <c r="J3" s="198"/>
    </row>
    <row r="4" spans="1:10" s="120" customFormat="1" ht="18" customHeight="1" x14ac:dyDescent="0.5">
      <c r="A4" s="121" t="s">
        <v>5</v>
      </c>
      <c r="B4" s="164" t="s">
        <v>6</v>
      </c>
      <c r="C4" s="165" t="s">
        <v>7</v>
      </c>
      <c r="D4" s="166" t="s">
        <v>1</v>
      </c>
      <c r="E4" s="164" t="s">
        <v>6</v>
      </c>
      <c r="F4" s="165" t="s">
        <v>7</v>
      </c>
      <c r="G4" s="166" t="s">
        <v>1</v>
      </c>
      <c r="H4" s="164" t="s">
        <v>6</v>
      </c>
      <c r="I4" s="165" t="s">
        <v>7</v>
      </c>
      <c r="J4" s="166" t="s">
        <v>1</v>
      </c>
    </row>
    <row r="5" spans="1:10" x14ac:dyDescent="0.55000000000000004">
      <c r="A5" s="122" t="s">
        <v>8</v>
      </c>
      <c r="B5" s="123">
        <f>'Line Item Budget'!K19</f>
        <v>80210</v>
      </c>
      <c r="C5" s="124">
        <f>'Line Item Budget'!L19</f>
        <v>0</v>
      </c>
      <c r="D5" s="125">
        <f t="shared" ref="D5:D10" si="0">B5+C5</f>
        <v>80210</v>
      </c>
      <c r="E5" s="123">
        <f>'Line Item Budget'!Q19</f>
        <v>83418.400000000009</v>
      </c>
      <c r="F5" s="124">
        <f>'Line Item Budget'!R19</f>
        <v>0</v>
      </c>
      <c r="G5" s="125">
        <f t="shared" ref="G5:G12" si="1">E5+F5</f>
        <v>83418.400000000009</v>
      </c>
      <c r="H5" s="126">
        <f t="shared" ref="H5:I7" si="2">E5+B5</f>
        <v>163628.40000000002</v>
      </c>
      <c r="I5" s="124">
        <f t="shared" si="2"/>
        <v>0</v>
      </c>
      <c r="J5" s="125">
        <f>I5+H5</f>
        <v>163628.40000000002</v>
      </c>
    </row>
    <row r="6" spans="1:10" x14ac:dyDescent="0.55000000000000004">
      <c r="A6" s="122" t="s">
        <v>9</v>
      </c>
      <c r="B6" s="123">
        <f>'Line Item Budget'!K25</f>
        <v>27988.690999999999</v>
      </c>
      <c r="C6" s="124">
        <f>'Line Item Budget'!L25</f>
        <v>0</v>
      </c>
      <c r="D6" s="125">
        <f t="shared" si="0"/>
        <v>27988.690999999999</v>
      </c>
      <c r="E6" s="123">
        <f>'Line Item Budget'!Q25</f>
        <v>29108.238640000003</v>
      </c>
      <c r="F6" s="124">
        <f>'Line Item Budget'!R25</f>
        <v>0</v>
      </c>
      <c r="G6" s="125">
        <f t="shared" si="1"/>
        <v>29108.238640000003</v>
      </c>
      <c r="H6" s="126">
        <f t="shared" si="2"/>
        <v>57096.929640000002</v>
      </c>
      <c r="I6" s="124">
        <f t="shared" si="2"/>
        <v>0</v>
      </c>
      <c r="J6" s="125">
        <f>I6+H6</f>
        <v>57096.929640000002</v>
      </c>
    </row>
    <row r="7" spans="1:10" x14ac:dyDescent="0.55000000000000004">
      <c r="A7" s="122" t="s">
        <v>10</v>
      </c>
      <c r="B7" s="123">
        <f>'Line Item Budget'!K37</f>
        <v>7135</v>
      </c>
      <c r="C7" s="124">
        <f>'Line Item Budget'!L37</f>
        <v>0</v>
      </c>
      <c r="D7" s="125">
        <f t="shared" si="0"/>
        <v>7135</v>
      </c>
      <c r="E7" s="123">
        <f>'Line Item Budget'!Q37</f>
        <v>7420.4</v>
      </c>
      <c r="F7" s="124">
        <f>'Line Item Budget'!R37</f>
        <v>0</v>
      </c>
      <c r="G7" s="125">
        <f t="shared" si="1"/>
        <v>7420.4</v>
      </c>
      <c r="H7" s="126">
        <f t="shared" si="2"/>
        <v>14555.4</v>
      </c>
      <c r="I7" s="124">
        <f t="shared" si="2"/>
        <v>0</v>
      </c>
      <c r="J7" s="125">
        <f>I7+H7</f>
        <v>14555.4</v>
      </c>
    </row>
    <row r="8" spans="1:10" x14ac:dyDescent="0.55000000000000004">
      <c r="A8" s="122" t="s">
        <v>11</v>
      </c>
      <c r="B8" s="127"/>
      <c r="C8" s="128"/>
      <c r="D8" s="129"/>
      <c r="E8" s="127"/>
      <c r="F8" s="128"/>
      <c r="G8" s="129"/>
      <c r="H8" s="127"/>
      <c r="I8" s="128"/>
      <c r="J8" s="129"/>
    </row>
    <row r="9" spans="1:10" x14ac:dyDescent="0.55000000000000004">
      <c r="A9" s="122" t="s">
        <v>12</v>
      </c>
      <c r="B9" s="123">
        <f>'Line Item Budget'!K42</f>
        <v>3600</v>
      </c>
      <c r="C9" s="124">
        <f>'Line Item Budget'!L42</f>
        <v>0</v>
      </c>
      <c r="D9" s="125">
        <f>B9+C9</f>
        <v>3600</v>
      </c>
      <c r="E9" s="123">
        <f>'Line Item Budget'!Q42</f>
        <v>624</v>
      </c>
      <c r="F9" s="124">
        <f>'Line Item Budget'!R42</f>
        <v>0</v>
      </c>
      <c r="G9" s="125">
        <f t="shared" si="1"/>
        <v>624</v>
      </c>
      <c r="H9" s="126">
        <f>E9+B9</f>
        <v>4224</v>
      </c>
      <c r="I9" s="124">
        <f>F9+C9</f>
        <v>0</v>
      </c>
      <c r="J9" s="125">
        <f>I9+H9</f>
        <v>4224</v>
      </c>
    </row>
    <row r="10" spans="1:10" x14ac:dyDescent="0.55000000000000004">
      <c r="A10" s="122" t="s">
        <v>13</v>
      </c>
      <c r="B10" s="123">
        <f>'Line Item Budget'!K52</f>
        <v>115900</v>
      </c>
      <c r="C10" s="124">
        <f>'Line Item Budget'!L52</f>
        <v>0</v>
      </c>
      <c r="D10" s="125">
        <f t="shared" si="0"/>
        <v>115900</v>
      </c>
      <c r="E10" s="123">
        <f>'Line Item Budget'!Q52</f>
        <v>70900</v>
      </c>
      <c r="F10" s="124">
        <f>'Line Item Budget'!R52</f>
        <v>0</v>
      </c>
      <c r="G10" s="125">
        <f t="shared" si="1"/>
        <v>70900</v>
      </c>
      <c r="H10" s="126">
        <f>E10+B10</f>
        <v>186800</v>
      </c>
      <c r="I10" s="124">
        <f>F10+C10</f>
        <v>0</v>
      </c>
      <c r="J10" s="125">
        <f>I10+H10</f>
        <v>186800</v>
      </c>
    </row>
    <row r="11" spans="1:10" x14ac:dyDescent="0.55000000000000004">
      <c r="A11" s="122" t="s">
        <v>14</v>
      </c>
      <c r="B11" s="127"/>
      <c r="C11" s="128"/>
      <c r="D11" s="129"/>
      <c r="E11" s="127"/>
      <c r="F11" s="128"/>
      <c r="G11" s="129"/>
      <c r="H11" s="127"/>
      <c r="I11" s="128"/>
      <c r="J11" s="129"/>
    </row>
    <row r="12" spans="1:10" x14ac:dyDescent="0.55000000000000004">
      <c r="A12" s="122" t="s">
        <v>15</v>
      </c>
      <c r="B12" s="123">
        <f>'Line Item Budget'!K74</f>
        <v>39031</v>
      </c>
      <c r="C12" s="124">
        <f>'Line Item Budget'!L74</f>
        <v>0</v>
      </c>
      <c r="D12" s="125">
        <f>B12+C12</f>
        <v>39031</v>
      </c>
      <c r="E12" s="123">
        <f>'Line Item Budget'!Q74</f>
        <v>34352.239999999998</v>
      </c>
      <c r="F12" s="124">
        <f>'Line Item Budget'!R74</f>
        <v>0</v>
      </c>
      <c r="G12" s="125">
        <f t="shared" si="1"/>
        <v>34352.239999999998</v>
      </c>
      <c r="H12" s="126">
        <f t="shared" ref="H12:I15" si="3">E12+B12</f>
        <v>73383.239999999991</v>
      </c>
      <c r="I12" s="124">
        <f t="shared" si="3"/>
        <v>0</v>
      </c>
      <c r="J12" s="125">
        <f>I12+H12</f>
        <v>73383.239999999991</v>
      </c>
    </row>
    <row r="13" spans="1:10" s="120" customFormat="1" ht="15" x14ac:dyDescent="0.5">
      <c r="A13" s="162" t="s">
        <v>16</v>
      </c>
      <c r="B13" s="163">
        <f>'Line Item Budget'!K75</f>
        <v>273864.69099999999</v>
      </c>
      <c r="C13" s="158">
        <f>'Line Item Budget'!L75</f>
        <v>0</v>
      </c>
      <c r="D13" s="159">
        <f>B13+C13</f>
        <v>273864.69099999999</v>
      </c>
      <c r="E13" s="163">
        <f>'Line Item Budget'!Q75</f>
        <v>225823.27864</v>
      </c>
      <c r="F13" s="158">
        <f>'Line Item Budget'!R75</f>
        <v>0</v>
      </c>
      <c r="G13" s="159">
        <f>E13+F13</f>
        <v>225823.27864</v>
      </c>
      <c r="H13" s="157">
        <f t="shared" si="3"/>
        <v>499687.96964000002</v>
      </c>
      <c r="I13" s="158">
        <f t="shared" si="3"/>
        <v>0</v>
      </c>
      <c r="J13" s="159">
        <f>I13+H13</f>
        <v>499687.96964000002</v>
      </c>
    </row>
    <row r="14" spans="1:10" x14ac:dyDescent="0.55000000000000004">
      <c r="A14" s="122" t="s">
        <v>17</v>
      </c>
      <c r="B14" s="123">
        <f>'Line Item Budget'!K77</f>
        <v>77448.93461479999</v>
      </c>
      <c r="C14" s="124">
        <f>'Line Item Budget'!L77</f>
        <v>0</v>
      </c>
      <c r="D14" s="125">
        <f>B14+C14</f>
        <v>77448.93461479999</v>
      </c>
      <c r="E14" s="123">
        <f>'Line Item Budget'!Q77</f>
        <v>63862.823199391998</v>
      </c>
      <c r="F14" s="124">
        <f>'Line Item Budget'!R77</f>
        <v>0</v>
      </c>
      <c r="G14" s="125">
        <f>E14+F14</f>
        <v>63862.823199391998</v>
      </c>
      <c r="H14" s="126">
        <f t="shared" si="3"/>
        <v>141311.75781419198</v>
      </c>
      <c r="I14" s="124">
        <f t="shared" si="3"/>
        <v>0</v>
      </c>
      <c r="J14" s="125">
        <f>I14+H14</f>
        <v>141311.75781419198</v>
      </c>
    </row>
    <row r="15" spans="1:10" s="120" customFormat="1" thickBot="1" x14ac:dyDescent="0.55000000000000004">
      <c r="A15" s="161" t="s">
        <v>18</v>
      </c>
      <c r="B15" s="130">
        <f t="shared" ref="B15:G15" si="4">B13+B14</f>
        <v>351313.62561479997</v>
      </c>
      <c r="C15" s="131">
        <f t="shared" si="4"/>
        <v>0</v>
      </c>
      <c r="D15" s="132">
        <f t="shared" si="4"/>
        <v>351313.62561479997</v>
      </c>
      <c r="E15" s="130">
        <f t="shared" si="4"/>
        <v>289686.10183939198</v>
      </c>
      <c r="F15" s="131">
        <f t="shared" si="4"/>
        <v>0</v>
      </c>
      <c r="G15" s="132">
        <f t="shared" si="4"/>
        <v>289686.10183939198</v>
      </c>
      <c r="H15" s="160">
        <f t="shared" si="3"/>
        <v>640999.72745419201</v>
      </c>
      <c r="I15" s="131">
        <f t="shared" si="3"/>
        <v>0</v>
      </c>
      <c r="J15" s="132">
        <f>I15+H15</f>
        <v>640999.72745419201</v>
      </c>
    </row>
  </sheetData>
  <mergeCells count="5">
    <mergeCell ref="A1:J1"/>
    <mergeCell ref="H3:J3"/>
    <mergeCell ref="A2:J2"/>
    <mergeCell ref="B3:D3"/>
    <mergeCell ref="E3:G3"/>
  </mergeCells>
  <phoneticPr fontId="2" type="noConversion"/>
  <printOptions horizontalCentered="1"/>
  <pageMargins left="1" right="1" top="1" bottom="1" header="0.5" footer="0.5"/>
  <pageSetup scale="49" fitToHeight="0" orientation="landscape" r:id="rId1"/>
  <headerFooter alignWithMargins="0">
    <oddHeader>&amp;CPartners of the Americas
Ñande Ko’ê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79"/>
  <sheetViews>
    <sheetView topLeftCell="A50" zoomScale="85" zoomScaleNormal="85" zoomScaleSheetLayoutView="50" workbookViewId="0">
      <selection activeCell="D73" sqref="D73"/>
    </sheetView>
  </sheetViews>
  <sheetFormatPr defaultColWidth="9.109375" defaultRowHeight="15.3" x14ac:dyDescent="0.4"/>
  <cols>
    <col min="1" max="1" width="20.33203125" style="6" bestFit="1" customWidth="1"/>
    <col min="2" max="2" width="10.6640625" style="176" bestFit="1" customWidth="1"/>
    <col min="3" max="3" width="8.77734375" style="6" customWidth="1"/>
    <col min="4" max="4" width="67.88671875" style="6" customWidth="1"/>
    <col min="5" max="5" width="6" style="6" bestFit="1" customWidth="1"/>
    <col min="6" max="6" width="10.44140625" style="7" bestFit="1" customWidth="1"/>
    <col min="7" max="7" width="5.88671875" style="16" bestFit="1" customWidth="1"/>
    <col min="8" max="8" width="7.6640625" style="17" bestFit="1" customWidth="1"/>
    <col min="9" max="9" width="10.33203125" style="18" bestFit="1" customWidth="1"/>
    <col min="10" max="11" width="10.44140625" style="18" bestFit="1" customWidth="1"/>
    <col min="12" max="12" width="11.5546875" style="18" bestFit="1" customWidth="1"/>
    <col min="13" max="13" width="5" style="6" customWidth="1"/>
    <col min="14" max="14" width="5.88671875" style="6" bestFit="1" customWidth="1"/>
    <col min="15" max="15" width="9.33203125" style="18" bestFit="1" customWidth="1"/>
    <col min="16" max="17" width="10.44140625" style="18" bestFit="1" customWidth="1"/>
    <col min="18" max="18" width="11.5546875" style="18" bestFit="1" customWidth="1"/>
    <col min="19" max="19" width="11.33203125" style="18" bestFit="1" customWidth="1"/>
    <col min="20" max="20" width="11.5546875" style="18" bestFit="1" customWidth="1"/>
    <col min="21" max="21" width="13.109375" style="18" bestFit="1" customWidth="1"/>
    <col min="22" max="16384" width="9.109375" style="6"/>
  </cols>
  <sheetData>
    <row r="1" spans="1:21" ht="30.75" customHeight="1" x14ac:dyDescent="0.4">
      <c r="A1" s="3"/>
      <c r="B1" s="178"/>
      <c r="C1" s="3"/>
      <c r="D1" s="203" t="s">
        <v>60</v>
      </c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</row>
    <row r="2" spans="1:21" ht="20.399999999999999" x14ac:dyDescent="0.75">
      <c r="A2" s="170" t="s">
        <v>109</v>
      </c>
      <c r="B2" s="171" t="s">
        <v>110</v>
      </c>
      <c r="C2" s="3"/>
      <c r="D2" s="167" t="s">
        <v>67</v>
      </c>
      <c r="E2" s="168">
        <v>1.04</v>
      </c>
      <c r="F2" s="4"/>
      <c r="G2" s="13"/>
      <c r="H2" s="15"/>
      <c r="I2" s="14"/>
      <c r="J2" s="14"/>
      <c r="K2" s="14"/>
      <c r="L2" s="14"/>
      <c r="M2" s="3"/>
      <c r="N2" s="3"/>
      <c r="O2" s="14"/>
      <c r="P2" s="14"/>
      <c r="Q2" s="14"/>
      <c r="R2" s="14"/>
      <c r="S2" s="14"/>
      <c r="T2" s="14"/>
      <c r="U2" s="14"/>
    </row>
    <row r="3" spans="1:21" ht="20.399999999999999" x14ac:dyDescent="0.75">
      <c r="A3" s="172" t="s">
        <v>111</v>
      </c>
      <c r="B3" s="173">
        <v>20200</v>
      </c>
      <c r="C3" s="3"/>
      <c r="D3" s="167" t="s">
        <v>68</v>
      </c>
      <c r="E3" s="168">
        <v>1.04</v>
      </c>
      <c r="F3" s="4"/>
      <c r="G3" s="13"/>
      <c r="H3" s="15"/>
      <c r="I3" s="14"/>
      <c r="J3" s="14"/>
      <c r="K3" s="14"/>
      <c r="L3" s="14"/>
      <c r="M3" s="3"/>
      <c r="N3" s="3"/>
      <c r="O3" s="14"/>
      <c r="P3" s="14"/>
      <c r="Q3" s="14"/>
      <c r="R3" s="14"/>
      <c r="S3" s="14"/>
      <c r="T3" s="14"/>
      <c r="U3" s="14"/>
    </row>
    <row r="4" spans="1:21" ht="20.7" thickBot="1" x14ac:dyDescent="0.8">
      <c r="A4" s="174" t="s">
        <v>112</v>
      </c>
      <c r="B4" s="175" t="s">
        <v>116</v>
      </c>
      <c r="C4" s="3"/>
      <c r="D4" s="3" t="s">
        <v>58</v>
      </c>
      <c r="E4" s="3"/>
      <c r="F4" s="4"/>
      <c r="G4" s="13"/>
      <c r="H4" s="15"/>
      <c r="I4" s="14"/>
      <c r="J4" s="14"/>
      <c r="K4" s="14"/>
      <c r="L4" s="14"/>
      <c r="M4" s="3"/>
      <c r="N4" s="3"/>
      <c r="O4" s="14"/>
      <c r="P4" s="14"/>
      <c r="Q4" s="14"/>
      <c r="R4" s="14"/>
      <c r="S4" s="14"/>
      <c r="T4" s="14"/>
      <c r="U4" s="14"/>
    </row>
    <row r="5" spans="1:21" ht="18.75" customHeight="1" x14ac:dyDescent="0.4">
      <c r="A5" s="205" t="s">
        <v>113</v>
      </c>
      <c r="B5" s="207" t="s">
        <v>114</v>
      </c>
      <c r="C5" s="209" t="s">
        <v>115</v>
      </c>
      <c r="D5" s="133" t="s">
        <v>19</v>
      </c>
      <c r="E5" s="204" t="s">
        <v>3</v>
      </c>
      <c r="F5" s="204"/>
      <c r="G5" s="204"/>
      <c r="H5" s="204"/>
      <c r="I5" s="204"/>
      <c r="J5" s="204"/>
      <c r="K5" s="204"/>
      <c r="L5" s="204"/>
      <c r="M5" s="202" t="s">
        <v>4</v>
      </c>
      <c r="N5" s="202"/>
      <c r="O5" s="202"/>
      <c r="P5" s="202"/>
      <c r="Q5" s="202"/>
      <c r="R5" s="202"/>
      <c r="S5" s="202" t="s">
        <v>20</v>
      </c>
      <c r="T5" s="202"/>
      <c r="U5" s="202"/>
    </row>
    <row r="6" spans="1:21" s="2" customFormat="1" ht="30.3" thickBot="1" x14ac:dyDescent="0.45">
      <c r="A6" s="206"/>
      <c r="B6" s="208"/>
      <c r="C6" s="210"/>
      <c r="D6" s="134" t="s">
        <v>21</v>
      </c>
      <c r="E6" s="1" t="s">
        <v>22</v>
      </c>
      <c r="F6" s="2" t="s">
        <v>23</v>
      </c>
      <c r="G6" s="2" t="s">
        <v>24</v>
      </c>
      <c r="H6" s="36" t="s">
        <v>25</v>
      </c>
      <c r="I6" s="37" t="s">
        <v>26</v>
      </c>
      <c r="J6" s="37" t="s">
        <v>1</v>
      </c>
      <c r="K6" s="37" t="s">
        <v>0</v>
      </c>
      <c r="L6" s="38" t="s">
        <v>7</v>
      </c>
      <c r="M6" s="35" t="s">
        <v>22</v>
      </c>
      <c r="N6" s="2" t="s">
        <v>24</v>
      </c>
      <c r="O6" s="37" t="s">
        <v>26</v>
      </c>
      <c r="P6" s="37" t="s">
        <v>1</v>
      </c>
      <c r="Q6" s="37" t="s">
        <v>0</v>
      </c>
      <c r="R6" s="38" t="s">
        <v>7</v>
      </c>
      <c r="S6" s="37" t="s">
        <v>0</v>
      </c>
      <c r="T6" s="37" t="s">
        <v>7</v>
      </c>
      <c r="U6" s="38" t="s">
        <v>27</v>
      </c>
    </row>
    <row r="7" spans="1:21" s="9" customFormat="1" ht="15" x14ac:dyDescent="0.4">
      <c r="A7" s="148"/>
      <c r="B7" s="179"/>
      <c r="C7" s="148"/>
      <c r="D7" s="148" t="s">
        <v>8</v>
      </c>
      <c r="E7" s="22"/>
      <c r="F7" s="39"/>
      <c r="G7" s="40"/>
      <c r="H7" s="41"/>
      <c r="I7" s="42"/>
      <c r="J7" s="42"/>
      <c r="K7" s="43"/>
      <c r="L7" s="44"/>
      <c r="M7" s="45"/>
      <c r="N7" s="46"/>
      <c r="O7" s="42"/>
      <c r="P7" s="42"/>
      <c r="Q7" s="42"/>
      <c r="R7" s="44"/>
      <c r="S7" s="47"/>
      <c r="T7" s="43"/>
      <c r="U7" s="48"/>
    </row>
    <row r="8" spans="1:21" x14ac:dyDescent="0.4">
      <c r="A8" s="149"/>
      <c r="B8" s="149"/>
      <c r="C8" s="149"/>
      <c r="D8" s="149" t="s">
        <v>28</v>
      </c>
      <c r="E8" s="30"/>
      <c r="I8" s="11"/>
      <c r="J8" s="11"/>
      <c r="K8" s="49"/>
      <c r="L8" s="50"/>
      <c r="M8" s="30"/>
      <c r="O8" s="11"/>
      <c r="P8" s="11"/>
      <c r="Q8" s="49"/>
      <c r="R8" s="50"/>
      <c r="S8" s="51"/>
      <c r="T8" s="49"/>
      <c r="U8" s="52"/>
    </row>
    <row r="9" spans="1:21" x14ac:dyDescent="0.4">
      <c r="A9" s="146" t="s">
        <v>121</v>
      </c>
      <c r="B9" s="180">
        <v>70000</v>
      </c>
      <c r="C9" s="146" t="s">
        <v>119</v>
      </c>
      <c r="D9" s="146" t="s">
        <v>62</v>
      </c>
      <c r="E9" s="20">
        <v>1</v>
      </c>
      <c r="F9" s="53" t="s">
        <v>29</v>
      </c>
      <c r="G9" s="7">
        <v>12</v>
      </c>
      <c r="H9" s="54">
        <v>0.05</v>
      </c>
      <c r="I9" s="11">
        <v>13450</v>
      </c>
      <c r="J9" s="11">
        <f t="shared" ref="J9:J16" si="0">E9*I9*G9*H9</f>
        <v>8070</v>
      </c>
      <c r="K9" s="11">
        <f t="shared" ref="K9:K16" si="1">J9</f>
        <v>8070</v>
      </c>
      <c r="L9" s="52">
        <f>J9-K9</f>
        <v>0</v>
      </c>
      <c r="M9" s="20">
        <f t="shared" ref="M9:M16" si="2">E9</f>
        <v>1</v>
      </c>
      <c r="N9" s="7">
        <v>12</v>
      </c>
      <c r="O9" s="11">
        <f>I9*$E$2</f>
        <v>13988</v>
      </c>
      <c r="P9" s="11">
        <f t="shared" ref="P9:P16" si="3">M9*O9*N9*H9</f>
        <v>8392.8000000000011</v>
      </c>
      <c r="Q9" s="11">
        <f t="shared" ref="Q9:Q16" si="4">P9</f>
        <v>8392.8000000000011</v>
      </c>
      <c r="R9" s="52">
        <f>P9-Q9</f>
        <v>0</v>
      </c>
      <c r="S9" s="72">
        <f t="shared" ref="S9" si="5">K9+Q9</f>
        <v>16462.800000000003</v>
      </c>
      <c r="T9" s="11">
        <f t="shared" ref="T9" si="6">L9+R9</f>
        <v>0</v>
      </c>
      <c r="U9" s="52">
        <f t="shared" ref="U9" si="7">S9+T9</f>
        <v>16462.800000000003</v>
      </c>
    </row>
    <row r="10" spans="1:21" x14ac:dyDescent="0.4">
      <c r="A10" s="146" t="s">
        <v>123</v>
      </c>
      <c r="B10" s="180">
        <v>70000</v>
      </c>
      <c r="C10" s="146" t="s">
        <v>119</v>
      </c>
      <c r="D10" s="146" t="s">
        <v>63</v>
      </c>
      <c r="E10" s="20">
        <v>1</v>
      </c>
      <c r="F10" s="53" t="s">
        <v>29</v>
      </c>
      <c r="G10" s="7">
        <v>12</v>
      </c>
      <c r="H10" s="54">
        <v>0.1</v>
      </c>
      <c r="I10" s="11">
        <v>8650</v>
      </c>
      <c r="J10" s="11">
        <f t="shared" si="0"/>
        <v>10380</v>
      </c>
      <c r="K10" s="11">
        <f t="shared" si="1"/>
        <v>10380</v>
      </c>
      <c r="L10" s="52">
        <f t="shared" ref="L10:L18" si="8">J10-K10</f>
        <v>0</v>
      </c>
      <c r="M10" s="20">
        <f t="shared" si="2"/>
        <v>1</v>
      </c>
      <c r="N10" s="7">
        <v>12</v>
      </c>
      <c r="O10" s="11">
        <f t="shared" ref="O10:O18" si="9">I10*$E$2</f>
        <v>8996</v>
      </c>
      <c r="P10" s="11">
        <f t="shared" si="3"/>
        <v>10795.2</v>
      </c>
      <c r="Q10" s="11">
        <f t="shared" si="4"/>
        <v>10795.2</v>
      </c>
      <c r="R10" s="52">
        <f t="shared" ref="R10:R18" si="10">P10-Q10</f>
        <v>0</v>
      </c>
      <c r="S10" s="72">
        <f>K10+Q10</f>
        <v>21175.200000000001</v>
      </c>
      <c r="T10" s="11">
        <f>L10+R10</f>
        <v>0</v>
      </c>
      <c r="U10" s="52">
        <f>S10+T10</f>
        <v>21175.200000000001</v>
      </c>
    </row>
    <row r="11" spans="1:21" x14ac:dyDescent="0.4">
      <c r="A11" s="146" t="s">
        <v>149</v>
      </c>
      <c r="B11" s="180">
        <v>70000</v>
      </c>
      <c r="C11" s="146" t="s">
        <v>119</v>
      </c>
      <c r="D11" s="146" t="s">
        <v>64</v>
      </c>
      <c r="E11" s="20">
        <v>1</v>
      </c>
      <c r="F11" s="53" t="s">
        <v>29</v>
      </c>
      <c r="G11" s="7">
        <v>12</v>
      </c>
      <c r="H11" s="54">
        <v>0.3</v>
      </c>
      <c r="I11" s="11">
        <v>4100</v>
      </c>
      <c r="J11" s="11">
        <f t="shared" si="0"/>
        <v>14760</v>
      </c>
      <c r="K11" s="11">
        <f t="shared" si="1"/>
        <v>14760</v>
      </c>
      <c r="L11" s="52">
        <f t="shared" si="8"/>
        <v>0</v>
      </c>
      <c r="M11" s="20">
        <f t="shared" si="2"/>
        <v>1</v>
      </c>
      <c r="N11" s="7">
        <v>12</v>
      </c>
      <c r="O11" s="11">
        <f t="shared" si="9"/>
        <v>4264</v>
      </c>
      <c r="P11" s="11">
        <f t="shared" si="3"/>
        <v>15350.4</v>
      </c>
      <c r="Q11" s="11">
        <f t="shared" si="4"/>
        <v>15350.4</v>
      </c>
      <c r="R11" s="52">
        <f t="shared" si="10"/>
        <v>0</v>
      </c>
      <c r="S11" s="72">
        <f t="shared" ref="S11:S18" si="11">K11+Q11</f>
        <v>30110.400000000001</v>
      </c>
      <c r="T11" s="11">
        <f t="shared" ref="T11:T18" si="12">L11+R11</f>
        <v>0</v>
      </c>
      <c r="U11" s="52">
        <f t="shared" ref="U11:U18" si="13">S11+T11</f>
        <v>30110.400000000001</v>
      </c>
    </row>
    <row r="12" spans="1:21" x14ac:dyDescent="0.4">
      <c r="A12" s="146" t="s">
        <v>140</v>
      </c>
      <c r="B12" s="180">
        <v>70000</v>
      </c>
      <c r="C12" s="146" t="s">
        <v>119</v>
      </c>
      <c r="D12" s="146" t="s">
        <v>65</v>
      </c>
      <c r="E12" s="20">
        <v>1</v>
      </c>
      <c r="F12" s="53" t="s">
        <v>29</v>
      </c>
      <c r="G12" s="7">
        <v>12</v>
      </c>
      <c r="H12" s="54">
        <v>0.3</v>
      </c>
      <c r="I12" s="11">
        <v>3000</v>
      </c>
      <c r="J12" s="11">
        <f t="shared" si="0"/>
        <v>10800</v>
      </c>
      <c r="K12" s="11">
        <f t="shared" si="1"/>
        <v>10800</v>
      </c>
      <c r="L12" s="52">
        <f t="shared" si="8"/>
        <v>0</v>
      </c>
      <c r="M12" s="20">
        <f t="shared" si="2"/>
        <v>1</v>
      </c>
      <c r="N12" s="7">
        <v>12</v>
      </c>
      <c r="O12" s="11">
        <f t="shared" si="9"/>
        <v>3120</v>
      </c>
      <c r="P12" s="11">
        <f t="shared" si="3"/>
        <v>11232</v>
      </c>
      <c r="Q12" s="11">
        <f t="shared" si="4"/>
        <v>11232</v>
      </c>
      <c r="R12" s="52">
        <f t="shared" si="10"/>
        <v>0</v>
      </c>
      <c r="S12" s="72">
        <f t="shared" si="11"/>
        <v>22032</v>
      </c>
      <c r="T12" s="11">
        <f t="shared" si="12"/>
        <v>0</v>
      </c>
      <c r="U12" s="52">
        <f t="shared" si="13"/>
        <v>22032</v>
      </c>
    </row>
    <row r="13" spans="1:21" x14ac:dyDescent="0.4">
      <c r="A13" s="146" t="s">
        <v>122</v>
      </c>
      <c r="B13" s="180">
        <v>70000</v>
      </c>
      <c r="C13" s="146" t="s">
        <v>119</v>
      </c>
      <c r="D13" s="146" t="s">
        <v>66</v>
      </c>
      <c r="E13" s="20">
        <v>1</v>
      </c>
      <c r="F13" s="53" t="s">
        <v>29</v>
      </c>
      <c r="G13" s="7">
        <v>12</v>
      </c>
      <c r="H13" s="54">
        <v>0.3</v>
      </c>
      <c r="I13" s="11">
        <v>2100</v>
      </c>
      <c r="J13" s="11">
        <f t="shared" si="0"/>
        <v>7560</v>
      </c>
      <c r="K13" s="11">
        <f t="shared" si="1"/>
        <v>7560</v>
      </c>
      <c r="L13" s="52">
        <f t="shared" si="8"/>
        <v>0</v>
      </c>
      <c r="M13" s="20">
        <f t="shared" si="2"/>
        <v>1</v>
      </c>
      <c r="N13" s="7">
        <v>12</v>
      </c>
      <c r="O13" s="11">
        <f t="shared" si="9"/>
        <v>2184</v>
      </c>
      <c r="P13" s="11">
        <f t="shared" si="3"/>
        <v>7862.4</v>
      </c>
      <c r="Q13" s="11">
        <f t="shared" si="4"/>
        <v>7862.4</v>
      </c>
      <c r="R13" s="52">
        <f t="shared" si="10"/>
        <v>0</v>
      </c>
      <c r="S13" s="72">
        <f>K13+Q13</f>
        <v>15422.4</v>
      </c>
      <c r="T13" s="11">
        <f>L13+R13</f>
        <v>0</v>
      </c>
      <c r="U13" s="52">
        <f>S13+T13</f>
        <v>15422.4</v>
      </c>
    </row>
    <row r="14" spans="1:21" x14ac:dyDescent="0.4">
      <c r="A14" s="146" t="s">
        <v>139</v>
      </c>
      <c r="B14" s="180">
        <v>70000</v>
      </c>
      <c r="C14" s="146" t="s">
        <v>119</v>
      </c>
      <c r="D14" s="146" t="s">
        <v>103</v>
      </c>
      <c r="E14" s="20">
        <v>1</v>
      </c>
      <c r="F14" s="53" t="s">
        <v>29</v>
      </c>
      <c r="G14" s="7">
        <v>12</v>
      </c>
      <c r="H14" s="54">
        <v>0.25</v>
      </c>
      <c r="I14" s="11">
        <v>3100</v>
      </c>
      <c r="J14" s="11">
        <f t="shared" si="0"/>
        <v>9300</v>
      </c>
      <c r="K14" s="11">
        <f t="shared" si="1"/>
        <v>9300</v>
      </c>
      <c r="L14" s="52">
        <f t="shared" si="8"/>
        <v>0</v>
      </c>
      <c r="M14" s="20">
        <f t="shared" si="2"/>
        <v>1</v>
      </c>
      <c r="N14" s="7">
        <v>12</v>
      </c>
      <c r="O14" s="11">
        <f t="shared" si="9"/>
        <v>3224</v>
      </c>
      <c r="P14" s="11">
        <f t="shared" si="3"/>
        <v>9672</v>
      </c>
      <c r="Q14" s="11">
        <f t="shared" si="4"/>
        <v>9672</v>
      </c>
      <c r="R14" s="52">
        <f t="shared" si="10"/>
        <v>0</v>
      </c>
      <c r="S14" s="72">
        <f t="shared" ref="S14" si="14">K14+Q14</f>
        <v>18972</v>
      </c>
      <c r="T14" s="11">
        <f t="shared" ref="T14" si="15">L14+R14</f>
        <v>0</v>
      </c>
      <c r="U14" s="52">
        <f t="shared" ref="U14" si="16">S14+T14</f>
        <v>18972</v>
      </c>
    </row>
    <row r="15" spans="1:21" x14ac:dyDescent="0.4">
      <c r="A15" s="176" t="s">
        <v>124</v>
      </c>
      <c r="B15" s="180">
        <v>70000</v>
      </c>
      <c r="C15" s="146" t="s">
        <v>119</v>
      </c>
      <c r="D15" s="146" t="s">
        <v>104</v>
      </c>
      <c r="E15" s="20">
        <v>1</v>
      </c>
      <c r="F15" s="53" t="s">
        <v>29</v>
      </c>
      <c r="G15" s="7">
        <v>12</v>
      </c>
      <c r="H15" s="54">
        <v>0.05</v>
      </c>
      <c r="I15" s="11">
        <v>5500</v>
      </c>
      <c r="J15" s="11">
        <f t="shared" si="0"/>
        <v>3300</v>
      </c>
      <c r="K15" s="11">
        <f t="shared" si="1"/>
        <v>3300</v>
      </c>
      <c r="L15" s="52">
        <f t="shared" si="8"/>
        <v>0</v>
      </c>
      <c r="M15" s="20">
        <f t="shared" si="2"/>
        <v>1</v>
      </c>
      <c r="N15" s="7">
        <v>12</v>
      </c>
      <c r="O15" s="11">
        <f t="shared" si="9"/>
        <v>5720</v>
      </c>
      <c r="P15" s="11">
        <f t="shared" si="3"/>
        <v>3432</v>
      </c>
      <c r="Q15" s="11">
        <f t="shared" si="4"/>
        <v>3432</v>
      </c>
      <c r="R15" s="52">
        <f t="shared" si="10"/>
        <v>0</v>
      </c>
      <c r="S15" s="72">
        <f t="shared" ref="S15" si="17">K15+Q15</f>
        <v>6732</v>
      </c>
      <c r="T15" s="11">
        <f t="shared" ref="T15" si="18">L15+R15</f>
        <v>0</v>
      </c>
      <c r="U15" s="52">
        <f t="shared" ref="U15" si="19">S15+T15</f>
        <v>6732</v>
      </c>
    </row>
    <row r="16" spans="1:21" x14ac:dyDescent="0.4">
      <c r="A16" s="176" t="s">
        <v>124</v>
      </c>
      <c r="B16" s="180">
        <v>70000</v>
      </c>
      <c r="C16" s="146" t="s">
        <v>119</v>
      </c>
      <c r="D16" s="146" t="s">
        <v>105</v>
      </c>
      <c r="E16" s="20">
        <v>1</v>
      </c>
      <c r="F16" s="53" t="s">
        <v>29</v>
      </c>
      <c r="G16" s="7">
        <v>12</v>
      </c>
      <c r="H16" s="54">
        <v>0.2</v>
      </c>
      <c r="I16" s="11">
        <v>2100</v>
      </c>
      <c r="J16" s="11">
        <f t="shared" si="0"/>
        <v>5040</v>
      </c>
      <c r="K16" s="11">
        <f t="shared" si="1"/>
        <v>5040</v>
      </c>
      <c r="L16" s="52">
        <f t="shared" si="8"/>
        <v>0</v>
      </c>
      <c r="M16" s="20">
        <f t="shared" si="2"/>
        <v>1</v>
      </c>
      <c r="N16" s="7">
        <v>12</v>
      </c>
      <c r="O16" s="11">
        <f t="shared" si="9"/>
        <v>2184</v>
      </c>
      <c r="P16" s="11">
        <f t="shared" si="3"/>
        <v>5241.6000000000004</v>
      </c>
      <c r="Q16" s="11">
        <f t="shared" si="4"/>
        <v>5241.6000000000004</v>
      </c>
      <c r="R16" s="52">
        <f t="shared" si="10"/>
        <v>0</v>
      </c>
      <c r="S16" s="72">
        <f t="shared" si="11"/>
        <v>10281.6</v>
      </c>
      <c r="T16" s="11">
        <f t="shared" si="12"/>
        <v>0</v>
      </c>
      <c r="U16" s="52">
        <f t="shared" si="13"/>
        <v>10281.6</v>
      </c>
    </row>
    <row r="17" spans="1:21" x14ac:dyDescent="0.4">
      <c r="A17" s="149"/>
      <c r="B17" s="180">
        <v>70000</v>
      </c>
      <c r="C17" s="146" t="s">
        <v>119</v>
      </c>
      <c r="D17" s="149" t="s">
        <v>30</v>
      </c>
      <c r="E17" s="30"/>
      <c r="I17" s="11"/>
      <c r="J17" s="11"/>
      <c r="K17" s="49"/>
      <c r="L17" s="52"/>
      <c r="M17" s="30"/>
      <c r="O17" s="11"/>
      <c r="P17" s="11"/>
      <c r="Q17" s="49"/>
      <c r="R17" s="52"/>
      <c r="S17" s="72"/>
      <c r="T17" s="11"/>
      <c r="U17" s="52"/>
    </row>
    <row r="18" spans="1:21" x14ac:dyDescent="0.4">
      <c r="A18" s="176" t="s">
        <v>120</v>
      </c>
      <c r="B18" s="180">
        <v>50000</v>
      </c>
      <c r="C18" s="146" t="s">
        <v>118</v>
      </c>
      <c r="D18" s="146" t="s">
        <v>31</v>
      </c>
      <c r="E18" s="20">
        <v>1</v>
      </c>
      <c r="F18" s="53" t="s">
        <v>29</v>
      </c>
      <c r="G18" s="7">
        <v>12</v>
      </c>
      <c r="H18" s="54">
        <v>0.2</v>
      </c>
      <c r="I18" s="11">
        <f>55000/12</f>
        <v>4583.333333333333</v>
      </c>
      <c r="J18" s="11">
        <f>E18*I18*G18*H18</f>
        <v>11000</v>
      </c>
      <c r="K18" s="11">
        <f>J18</f>
        <v>11000</v>
      </c>
      <c r="L18" s="52">
        <f t="shared" si="8"/>
        <v>0</v>
      </c>
      <c r="M18" s="20">
        <v>1</v>
      </c>
      <c r="N18" s="7">
        <f>G18</f>
        <v>12</v>
      </c>
      <c r="O18" s="11">
        <f t="shared" si="9"/>
        <v>4766.6666666666661</v>
      </c>
      <c r="P18" s="11">
        <f>M18*O18*N18*H18</f>
        <v>11440</v>
      </c>
      <c r="Q18" s="11">
        <f>P18</f>
        <v>11440</v>
      </c>
      <c r="R18" s="52">
        <f t="shared" si="10"/>
        <v>0</v>
      </c>
      <c r="S18" s="72">
        <f t="shared" si="11"/>
        <v>22440</v>
      </c>
      <c r="T18" s="11">
        <f t="shared" si="12"/>
        <v>0</v>
      </c>
      <c r="U18" s="52">
        <f t="shared" si="13"/>
        <v>22440</v>
      </c>
    </row>
    <row r="19" spans="1:21" s="10" customFormat="1" ht="15" x14ac:dyDescent="0.4">
      <c r="A19" s="150"/>
      <c r="B19" s="181"/>
      <c r="C19" s="150"/>
      <c r="D19" s="150" t="s">
        <v>32</v>
      </c>
      <c r="E19" s="24"/>
      <c r="F19" s="28"/>
      <c r="G19" s="57"/>
      <c r="H19" s="58"/>
      <c r="I19" s="59"/>
      <c r="J19" s="59">
        <f>SUM(J9:J18)</f>
        <v>80210</v>
      </c>
      <c r="K19" s="59">
        <f>SUM(K9:K18)</f>
        <v>80210</v>
      </c>
      <c r="L19" s="59">
        <f>SUM(L9:L18)</f>
        <v>0</v>
      </c>
      <c r="M19" s="24"/>
      <c r="N19" s="9"/>
      <c r="O19" s="59"/>
      <c r="P19" s="59">
        <f t="shared" ref="P19:U19" si="20">SUM(P9:P18)</f>
        <v>83418.400000000009</v>
      </c>
      <c r="Q19" s="59">
        <f t="shared" si="20"/>
        <v>83418.400000000009</v>
      </c>
      <c r="R19" s="59">
        <f t="shared" si="20"/>
        <v>0</v>
      </c>
      <c r="S19" s="59">
        <f t="shared" si="20"/>
        <v>163628.4</v>
      </c>
      <c r="T19" s="59">
        <f t="shared" si="20"/>
        <v>0</v>
      </c>
      <c r="U19" s="59">
        <f t="shared" si="20"/>
        <v>163628.4</v>
      </c>
    </row>
    <row r="20" spans="1:21" x14ac:dyDescent="0.4">
      <c r="A20" s="151"/>
      <c r="B20" s="182"/>
      <c r="C20" s="151"/>
      <c r="D20" s="151" t="s">
        <v>9</v>
      </c>
      <c r="E20" s="22"/>
      <c r="F20" s="27"/>
      <c r="G20" s="62"/>
      <c r="H20" s="63"/>
      <c r="I20" s="64"/>
      <c r="J20" s="64"/>
      <c r="K20" s="65"/>
      <c r="L20" s="66"/>
      <c r="M20" s="22"/>
      <c r="N20" s="67"/>
      <c r="O20" s="64"/>
      <c r="P20" s="64"/>
      <c r="Q20" s="65"/>
      <c r="R20" s="66"/>
      <c r="S20" s="68"/>
      <c r="T20" s="65"/>
      <c r="U20" s="69"/>
    </row>
    <row r="21" spans="1:21" x14ac:dyDescent="0.4">
      <c r="A21" s="147"/>
      <c r="B21" s="149"/>
      <c r="C21" s="147"/>
      <c r="D21" s="147" t="s">
        <v>33</v>
      </c>
      <c r="E21" s="70"/>
      <c r="F21" s="71"/>
      <c r="G21" s="7"/>
      <c r="L21" s="55"/>
      <c r="M21" s="20"/>
      <c r="N21" s="7"/>
      <c r="R21" s="55"/>
      <c r="S21" s="56"/>
      <c r="U21" s="55"/>
    </row>
    <row r="22" spans="1:21" x14ac:dyDescent="0.4">
      <c r="A22" s="146" t="s">
        <v>126</v>
      </c>
      <c r="B22" s="176">
        <v>50900</v>
      </c>
      <c r="C22" s="146" t="s">
        <v>118</v>
      </c>
      <c r="D22" s="146" t="s">
        <v>34</v>
      </c>
      <c r="E22" s="139"/>
      <c r="F22" s="7" t="s">
        <v>25</v>
      </c>
      <c r="G22" s="7"/>
      <c r="H22" s="140">
        <v>0.23469999999999999</v>
      </c>
      <c r="I22" s="11"/>
      <c r="J22" s="11">
        <f>J18*H22</f>
        <v>2581.6999999999998</v>
      </c>
      <c r="K22" s="11">
        <f>J22</f>
        <v>2581.6999999999998</v>
      </c>
      <c r="L22" s="52">
        <v>0</v>
      </c>
      <c r="M22" s="139"/>
      <c r="N22" s="7"/>
      <c r="O22" s="11">
        <f>O18</f>
        <v>4766.6666666666661</v>
      </c>
      <c r="P22" s="11">
        <f>P18*H22</f>
        <v>2684.9679999999998</v>
      </c>
      <c r="Q22" s="11">
        <f>P22</f>
        <v>2684.9679999999998</v>
      </c>
      <c r="R22" s="52">
        <f>P22-Q22</f>
        <v>0</v>
      </c>
      <c r="S22" s="72">
        <f>K22+Q22</f>
        <v>5266.6679999999997</v>
      </c>
      <c r="T22" s="11">
        <f>L22+R22</f>
        <v>0</v>
      </c>
      <c r="U22" s="52">
        <f>S22+T22</f>
        <v>5266.6679999999997</v>
      </c>
    </row>
    <row r="23" spans="1:21" x14ac:dyDescent="0.4">
      <c r="A23" s="147"/>
      <c r="B23" s="149"/>
      <c r="C23" s="147"/>
      <c r="D23" s="147" t="s">
        <v>35</v>
      </c>
      <c r="E23" s="70"/>
      <c r="G23" s="7"/>
      <c r="I23" s="11"/>
      <c r="J23" s="11"/>
      <c r="K23" s="11"/>
      <c r="L23" s="52"/>
      <c r="M23" s="20"/>
      <c r="N23" s="7"/>
      <c r="O23" s="11"/>
      <c r="P23" s="11"/>
      <c r="Q23" s="11"/>
      <c r="R23" s="52"/>
      <c r="S23" s="72"/>
      <c r="T23" s="11"/>
      <c r="U23" s="52"/>
    </row>
    <row r="24" spans="1:21" x14ac:dyDescent="0.4">
      <c r="A24" s="176" t="s">
        <v>125</v>
      </c>
      <c r="B24" s="176">
        <v>70015</v>
      </c>
      <c r="C24" s="146" t="s">
        <v>119</v>
      </c>
      <c r="D24" s="146" t="s">
        <v>69</v>
      </c>
      <c r="E24" s="139"/>
      <c r="F24" s="7" t="s">
        <v>25</v>
      </c>
      <c r="G24" s="7"/>
      <c r="H24" s="140">
        <v>0.36709999999999998</v>
      </c>
      <c r="I24" s="11"/>
      <c r="J24" s="11">
        <f>(SUM(J9:J16))*$H$24</f>
        <v>25406.990999999998</v>
      </c>
      <c r="K24" s="11">
        <f>J24</f>
        <v>25406.990999999998</v>
      </c>
      <c r="L24" s="52">
        <v>0</v>
      </c>
      <c r="M24" s="139"/>
      <c r="N24" s="7"/>
      <c r="O24" s="11">
        <f>O10</f>
        <v>8996</v>
      </c>
      <c r="P24" s="11">
        <f>(SUM(P9:P16))*$H$24</f>
        <v>26423.270640000002</v>
      </c>
      <c r="Q24" s="11">
        <f>P24</f>
        <v>26423.270640000002</v>
      </c>
      <c r="R24" s="52">
        <f>P24-Q24</f>
        <v>0</v>
      </c>
      <c r="S24" s="72">
        <f>K24+Q24</f>
        <v>51830.261639999997</v>
      </c>
      <c r="T24" s="11">
        <f>L24+R24</f>
        <v>0</v>
      </c>
      <c r="U24" s="52">
        <f>S24+T24</f>
        <v>51830.261639999997</v>
      </c>
    </row>
    <row r="25" spans="1:21" x14ac:dyDescent="0.4">
      <c r="A25" s="150"/>
      <c r="B25" s="181"/>
      <c r="C25" s="150"/>
      <c r="D25" s="150" t="s">
        <v>36</v>
      </c>
      <c r="E25" s="73"/>
      <c r="F25" s="74"/>
      <c r="G25" s="75"/>
      <c r="H25" s="76"/>
      <c r="I25" s="77"/>
      <c r="J25" s="59">
        <f>SUM(J22:J24)</f>
        <v>27988.690999999999</v>
      </c>
      <c r="K25" s="59">
        <f>SUM(K22:K24)</f>
        <v>27988.690999999999</v>
      </c>
      <c r="L25" s="60">
        <f>SUM(L22:L24)</f>
        <v>0</v>
      </c>
      <c r="M25" s="29"/>
      <c r="N25" s="76"/>
      <c r="O25" s="77"/>
      <c r="P25" s="59">
        <f t="shared" ref="P25:U25" si="21">SUM(P22:P24)</f>
        <v>29108.238640000003</v>
      </c>
      <c r="Q25" s="59">
        <f t="shared" si="21"/>
        <v>29108.238640000003</v>
      </c>
      <c r="R25" s="60">
        <f t="shared" si="21"/>
        <v>0</v>
      </c>
      <c r="S25" s="61">
        <f t="shared" si="21"/>
        <v>57096.929639999995</v>
      </c>
      <c r="T25" s="59">
        <f t="shared" si="21"/>
        <v>0</v>
      </c>
      <c r="U25" s="60">
        <f t="shared" si="21"/>
        <v>57096.929639999995</v>
      </c>
    </row>
    <row r="26" spans="1:21" x14ac:dyDescent="0.4">
      <c r="A26" s="151"/>
      <c r="B26" s="182"/>
      <c r="C26" s="151"/>
      <c r="D26" s="151" t="s">
        <v>10</v>
      </c>
      <c r="E26" s="78"/>
      <c r="F26" s="27"/>
      <c r="G26" s="62"/>
      <c r="H26" s="63"/>
      <c r="I26" s="64"/>
      <c r="J26" s="64"/>
      <c r="K26" s="65"/>
      <c r="L26" s="66"/>
      <c r="M26" s="23"/>
      <c r="N26" s="27"/>
      <c r="O26" s="64"/>
      <c r="P26" s="64"/>
      <c r="Q26" s="65"/>
      <c r="R26" s="66"/>
      <c r="S26" s="68"/>
      <c r="T26" s="65"/>
      <c r="U26" s="69"/>
    </row>
    <row r="27" spans="1:21" x14ac:dyDescent="0.4">
      <c r="A27" s="147"/>
      <c r="B27" s="149"/>
      <c r="C27" s="147"/>
      <c r="D27" s="147" t="s">
        <v>37</v>
      </c>
      <c r="E27" s="79"/>
      <c r="G27" s="80"/>
      <c r="I27" s="81"/>
      <c r="J27" s="81"/>
      <c r="K27" s="49"/>
      <c r="L27" s="50"/>
      <c r="M27" s="35"/>
      <c r="N27" s="2"/>
      <c r="O27" s="81"/>
      <c r="P27" s="81"/>
      <c r="Q27" s="49"/>
      <c r="R27" s="50"/>
      <c r="S27" s="51"/>
      <c r="T27" s="49"/>
      <c r="U27" s="52"/>
    </row>
    <row r="28" spans="1:21" x14ac:dyDescent="0.4">
      <c r="A28" s="176" t="s">
        <v>127</v>
      </c>
      <c r="B28" s="176">
        <v>86040</v>
      </c>
      <c r="C28" s="146" t="s">
        <v>118</v>
      </c>
      <c r="D28" s="146" t="s">
        <v>38</v>
      </c>
      <c r="E28" s="20">
        <v>1</v>
      </c>
      <c r="F28" s="7" t="s">
        <v>39</v>
      </c>
      <c r="G28" s="137">
        <v>1</v>
      </c>
      <c r="H28" s="17">
        <v>1</v>
      </c>
      <c r="I28" s="11">
        <v>700</v>
      </c>
      <c r="J28" s="11">
        <f>E28*I28*G28</f>
        <v>700</v>
      </c>
      <c r="K28" s="11">
        <f>J28</f>
        <v>700</v>
      </c>
      <c r="L28" s="52">
        <f>J28-K28</f>
        <v>0</v>
      </c>
      <c r="M28" s="20">
        <v>1</v>
      </c>
      <c r="N28" s="7">
        <v>1</v>
      </c>
      <c r="O28" s="11">
        <f>I28*$E$3</f>
        <v>728</v>
      </c>
      <c r="P28" s="11">
        <f>M28*O28*N28*H28</f>
        <v>728</v>
      </c>
      <c r="Q28" s="82">
        <f>P28</f>
        <v>728</v>
      </c>
      <c r="R28" s="52">
        <f>P28-Q28</f>
        <v>0</v>
      </c>
      <c r="S28" s="72">
        <f>K28+Q28</f>
        <v>1428</v>
      </c>
      <c r="T28" s="11">
        <f>L28+R28</f>
        <v>0</v>
      </c>
      <c r="U28" s="52">
        <f>S28+T28</f>
        <v>1428</v>
      </c>
    </row>
    <row r="29" spans="1:21" x14ac:dyDescent="0.4">
      <c r="A29" s="176" t="s">
        <v>128</v>
      </c>
      <c r="B29" s="176">
        <v>86000</v>
      </c>
      <c r="C29" s="146" t="s">
        <v>118</v>
      </c>
      <c r="D29" s="146" t="s">
        <v>40</v>
      </c>
      <c r="E29" s="20">
        <v>1</v>
      </c>
      <c r="F29" s="7" t="s">
        <v>41</v>
      </c>
      <c r="G29" s="137">
        <v>1</v>
      </c>
      <c r="H29" s="17">
        <v>1</v>
      </c>
      <c r="I29" s="11">
        <v>100</v>
      </c>
      <c r="J29" s="11">
        <f>E29*I29*G29</f>
        <v>100</v>
      </c>
      <c r="K29" s="11">
        <f>J29</f>
        <v>100</v>
      </c>
      <c r="L29" s="52">
        <f>J29-K29</f>
        <v>0</v>
      </c>
      <c r="M29" s="20">
        <v>1</v>
      </c>
      <c r="N29" s="7">
        <v>1</v>
      </c>
      <c r="O29" s="11">
        <f t="shared" ref="O29:O36" si="22">I29*$E$3</f>
        <v>104</v>
      </c>
      <c r="P29" s="11">
        <f t="shared" ref="P29:P36" si="23">M29*O29*N29*H29</f>
        <v>104</v>
      </c>
      <c r="Q29" s="82">
        <f>P29</f>
        <v>104</v>
      </c>
      <c r="R29" s="52">
        <f>P29-Q29</f>
        <v>0</v>
      </c>
      <c r="S29" s="72">
        <f t="shared" ref="S29:S31" si="24">K29+Q29</f>
        <v>204</v>
      </c>
      <c r="T29" s="11">
        <f t="shared" ref="T29:T31" si="25">L29+R29</f>
        <v>0</v>
      </c>
      <c r="U29" s="52">
        <f t="shared" ref="U29:U31" si="26">S29+T29</f>
        <v>204</v>
      </c>
    </row>
    <row r="30" spans="1:21" x14ac:dyDescent="0.4">
      <c r="A30" s="176" t="s">
        <v>129</v>
      </c>
      <c r="B30" s="176">
        <v>86030</v>
      </c>
      <c r="C30" s="146" t="s">
        <v>118</v>
      </c>
      <c r="D30" s="146" t="s">
        <v>42</v>
      </c>
      <c r="E30" s="20">
        <v>1</v>
      </c>
      <c r="F30" s="7" t="s">
        <v>43</v>
      </c>
      <c r="G30" s="137">
        <v>4</v>
      </c>
      <c r="H30" s="17">
        <v>1</v>
      </c>
      <c r="I30" s="11">
        <v>120</v>
      </c>
      <c r="J30" s="11">
        <f>E30*I30*G30</f>
        <v>480</v>
      </c>
      <c r="K30" s="11">
        <f>J30</f>
        <v>480</v>
      </c>
      <c r="L30" s="52">
        <f>J30-K30</f>
        <v>0</v>
      </c>
      <c r="M30" s="20">
        <v>1</v>
      </c>
      <c r="N30" s="7">
        <v>4</v>
      </c>
      <c r="O30" s="11">
        <f t="shared" si="22"/>
        <v>124.80000000000001</v>
      </c>
      <c r="P30" s="11">
        <f t="shared" si="23"/>
        <v>499.20000000000005</v>
      </c>
      <c r="Q30" s="82">
        <f>P30</f>
        <v>499.20000000000005</v>
      </c>
      <c r="R30" s="52">
        <f>P30-Q30</f>
        <v>0</v>
      </c>
      <c r="S30" s="72">
        <f t="shared" si="24"/>
        <v>979.2</v>
      </c>
      <c r="T30" s="11">
        <f t="shared" si="25"/>
        <v>0</v>
      </c>
      <c r="U30" s="52">
        <f t="shared" si="26"/>
        <v>979.2</v>
      </c>
    </row>
    <row r="31" spans="1:21" x14ac:dyDescent="0.4">
      <c r="A31" s="176" t="s">
        <v>130</v>
      </c>
      <c r="B31" s="176">
        <v>86050</v>
      </c>
      <c r="C31" s="146" t="s">
        <v>118</v>
      </c>
      <c r="D31" s="146" t="s">
        <v>44</v>
      </c>
      <c r="E31" s="20">
        <v>1</v>
      </c>
      <c r="F31" s="7" t="s">
        <v>45</v>
      </c>
      <c r="G31" s="137">
        <v>5</v>
      </c>
      <c r="H31" s="17">
        <v>1</v>
      </c>
      <c r="I31" s="11">
        <v>95</v>
      </c>
      <c r="J31" s="11">
        <f>E31*I31*G31</f>
        <v>475</v>
      </c>
      <c r="K31" s="11">
        <f>J31</f>
        <v>475</v>
      </c>
      <c r="L31" s="52">
        <f>J31-K31</f>
        <v>0</v>
      </c>
      <c r="M31" s="20">
        <v>1</v>
      </c>
      <c r="N31" s="7">
        <v>5</v>
      </c>
      <c r="O31" s="11">
        <f t="shared" si="22"/>
        <v>98.8</v>
      </c>
      <c r="P31" s="11">
        <f t="shared" si="23"/>
        <v>494</v>
      </c>
      <c r="Q31" s="82">
        <f>P31</f>
        <v>494</v>
      </c>
      <c r="R31" s="52">
        <f>P31-Q31</f>
        <v>0</v>
      </c>
      <c r="S31" s="72">
        <f t="shared" si="24"/>
        <v>969</v>
      </c>
      <c r="T31" s="11">
        <f t="shared" si="25"/>
        <v>0</v>
      </c>
      <c r="U31" s="52">
        <f t="shared" si="26"/>
        <v>969</v>
      </c>
    </row>
    <row r="32" spans="1:21" x14ac:dyDescent="0.4">
      <c r="A32" s="147"/>
      <c r="B32" s="149"/>
      <c r="C32" s="147"/>
      <c r="D32" s="147" t="s">
        <v>70</v>
      </c>
      <c r="E32" s="20"/>
      <c r="G32" s="137"/>
      <c r="I32" s="11"/>
      <c r="J32" s="11"/>
      <c r="K32" s="11"/>
      <c r="L32" s="52"/>
      <c r="M32" s="20"/>
      <c r="N32" s="7"/>
      <c r="O32" s="11"/>
      <c r="P32" s="11"/>
      <c r="Q32" s="82"/>
      <c r="R32" s="52"/>
      <c r="S32" s="56"/>
      <c r="U32" s="55"/>
    </row>
    <row r="33" spans="1:21" x14ac:dyDescent="0.4">
      <c r="A33" s="176" t="s">
        <v>131</v>
      </c>
      <c r="B33" s="176">
        <v>86030</v>
      </c>
      <c r="C33" s="146" t="s">
        <v>119</v>
      </c>
      <c r="D33" s="146" t="s">
        <v>71</v>
      </c>
      <c r="E33" s="20">
        <v>2</v>
      </c>
      <c r="F33" s="7" t="s">
        <v>39</v>
      </c>
      <c r="G33" s="137">
        <v>1</v>
      </c>
      <c r="H33" s="17">
        <v>1</v>
      </c>
      <c r="I33" s="11">
        <v>200</v>
      </c>
      <c r="J33" s="11">
        <f>E33*I33*G33</f>
        <v>400</v>
      </c>
      <c r="K33" s="11">
        <f>J33</f>
        <v>400</v>
      </c>
      <c r="L33" s="52">
        <f>J33-K33</f>
        <v>0</v>
      </c>
      <c r="M33" s="20">
        <v>2</v>
      </c>
      <c r="N33" s="7">
        <v>1</v>
      </c>
      <c r="O33" s="11">
        <f t="shared" si="22"/>
        <v>208</v>
      </c>
      <c r="P33" s="11">
        <f t="shared" ref="P33" si="27">M33*O33*N33*H33</f>
        <v>416</v>
      </c>
      <c r="Q33" s="82">
        <f>P33</f>
        <v>416</v>
      </c>
      <c r="R33" s="52">
        <f>P33-Q33</f>
        <v>0</v>
      </c>
      <c r="S33" s="72">
        <f t="shared" ref="S33" si="28">K33+Q33</f>
        <v>816</v>
      </c>
      <c r="T33" s="11">
        <f t="shared" ref="T33" si="29">L33+R33</f>
        <v>0</v>
      </c>
      <c r="U33" s="52">
        <f t="shared" ref="U33" si="30">S33+T33</f>
        <v>816</v>
      </c>
    </row>
    <row r="34" spans="1:21" x14ac:dyDescent="0.4">
      <c r="A34" s="176" t="s">
        <v>132</v>
      </c>
      <c r="B34" s="176">
        <v>86050</v>
      </c>
      <c r="C34" s="146" t="s">
        <v>119</v>
      </c>
      <c r="D34" s="146" t="s">
        <v>72</v>
      </c>
      <c r="E34" s="20">
        <v>6</v>
      </c>
      <c r="F34" s="7" t="s">
        <v>43</v>
      </c>
      <c r="G34" s="137">
        <v>3</v>
      </c>
      <c r="H34" s="17">
        <v>1</v>
      </c>
      <c r="I34" s="11">
        <v>100</v>
      </c>
      <c r="J34" s="11">
        <f>E34*I34*G34</f>
        <v>1800</v>
      </c>
      <c r="K34" s="11">
        <f>J34</f>
        <v>1800</v>
      </c>
      <c r="L34" s="52">
        <f>J34-K34</f>
        <v>0</v>
      </c>
      <c r="M34" s="20">
        <v>6</v>
      </c>
      <c r="N34" s="7">
        <v>3</v>
      </c>
      <c r="O34" s="11">
        <f t="shared" si="22"/>
        <v>104</v>
      </c>
      <c r="P34" s="11">
        <f t="shared" si="23"/>
        <v>1872</v>
      </c>
      <c r="Q34" s="82">
        <f>P34</f>
        <v>1872</v>
      </c>
      <c r="R34" s="52">
        <f>P34-Q34</f>
        <v>0</v>
      </c>
      <c r="S34" s="72">
        <f>K34+Q34</f>
        <v>3672</v>
      </c>
      <c r="T34" s="11">
        <f>L34+R34</f>
        <v>0</v>
      </c>
      <c r="U34" s="52">
        <f>S34+T34</f>
        <v>3672</v>
      </c>
    </row>
    <row r="35" spans="1:21" x14ac:dyDescent="0.4">
      <c r="A35" s="176" t="s">
        <v>133</v>
      </c>
      <c r="B35" s="176">
        <v>86000</v>
      </c>
      <c r="C35" s="146" t="s">
        <v>119</v>
      </c>
      <c r="D35" s="146" t="s">
        <v>73</v>
      </c>
      <c r="E35" s="20">
        <v>6</v>
      </c>
      <c r="F35" s="7" t="s">
        <v>45</v>
      </c>
      <c r="G35" s="137">
        <v>4</v>
      </c>
      <c r="H35" s="17">
        <v>1</v>
      </c>
      <c r="I35" s="11">
        <v>70</v>
      </c>
      <c r="J35" s="11">
        <f>E35*I35*G35</f>
        <v>1680</v>
      </c>
      <c r="K35" s="11">
        <f>J35</f>
        <v>1680</v>
      </c>
      <c r="L35" s="52">
        <f>J35-K35</f>
        <v>0</v>
      </c>
      <c r="M35" s="20">
        <v>6</v>
      </c>
      <c r="N35" s="7">
        <v>4</v>
      </c>
      <c r="O35" s="11">
        <f t="shared" si="22"/>
        <v>72.8</v>
      </c>
      <c r="P35" s="11">
        <f t="shared" si="23"/>
        <v>1747.1999999999998</v>
      </c>
      <c r="Q35" s="82">
        <f>P35</f>
        <v>1747.1999999999998</v>
      </c>
      <c r="R35" s="52">
        <f>P35-Q35</f>
        <v>0</v>
      </c>
      <c r="S35" s="72">
        <f t="shared" ref="S35:S36" si="31">K35+Q35</f>
        <v>3427.2</v>
      </c>
      <c r="T35" s="11">
        <f t="shared" ref="T35:T36" si="32">L35+R35</f>
        <v>0</v>
      </c>
      <c r="U35" s="52">
        <f t="shared" ref="U35:U36" si="33">S35+T35</f>
        <v>3427.2</v>
      </c>
    </row>
    <row r="36" spans="1:21" x14ac:dyDescent="0.4">
      <c r="A36" s="176" t="s">
        <v>134</v>
      </c>
      <c r="B36" s="176">
        <v>86040</v>
      </c>
      <c r="C36" s="146" t="s">
        <v>119</v>
      </c>
      <c r="D36" s="146" t="s">
        <v>74</v>
      </c>
      <c r="E36" s="20">
        <v>1</v>
      </c>
      <c r="F36" s="7" t="s">
        <v>29</v>
      </c>
      <c r="G36" s="137">
        <v>10</v>
      </c>
      <c r="H36" s="17">
        <v>1</v>
      </c>
      <c r="I36" s="11">
        <v>150</v>
      </c>
      <c r="J36" s="11">
        <f>E36*I36*G36</f>
        <v>1500</v>
      </c>
      <c r="K36" s="11">
        <f>J36</f>
        <v>1500</v>
      </c>
      <c r="L36" s="52">
        <f>J36-K36</f>
        <v>0</v>
      </c>
      <c r="M36" s="20">
        <v>1</v>
      </c>
      <c r="N36" s="7">
        <v>10</v>
      </c>
      <c r="O36" s="11">
        <f t="shared" si="22"/>
        <v>156</v>
      </c>
      <c r="P36" s="11">
        <f t="shared" si="23"/>
        <v>1560</v>
      </c>
      <c r="Q36" s="82">
        <f>P36</f>
        <v>1560</v>
      </c>
      <c r="R36" s="52">
        <f>P36-Q36</f>
        <v>0</v>
      </c>
      <c r="S36" s="72">
        <f t="shared" si="31"/>
        <v>3060</v>
      </c>
      <c r="T36" s="11">
        <f t="shared" si="32"/>
        <v>0</v>
      </c>
      <c r="U36" s="52">
        <f t="shared" si="33"/>
        <v>3060</v>
      </c>
    </row>
    <row r="37" spans="1:21" x14ac:dyDescent="0.4">
      <c r="A37" s="150"/>
      <c r="B37" s="181"/>
      <c r="C37" s="150"/>
      <c r="D37" s="150" t="s">
        <v>47</v>
      </c>
      <c r="E37" s="83"/>
      <c r="F37" s="28"/>
      <c r="G37" s="135"/>
      <c r="H37" s="58"/>
      <c r="I37" s="59"/>
      <c r="J37" s="59">
        <f>SUM(J28:J36)</f>
        <v>7135</v>
      </c>
      <c r="K37" s="59">
        <f>SUM(K28:K36)</f>
        <v>7135</v>
      </c>
      <c r="L37" s="60">
        <f>SUM(L28:L36)</f>
        <v>0</v>
      </c>
      <c r="M37" s="84"/>
      <c r="N37" s="85"/>
      <c r="O37" s="59"/>
      <c r="P37" s="59">
        <f t="shared" ref="P37:U37" si="34">SUM(P28:P36)</f>
        <v>7420.4</v>
      </c>
      <c r="Q37" s="59">
        <f t="shared" si="34"/>
        <v>7420.4</v>
      </c>
      <c r="R37" s="60">
        <f t="shared" si="34"/>
        <v>0</v>
      </c>
      <c r="S37" s="61">
        <f t="shared" si="34"/>
        <v>14555.4</v>
      </c>
      <c r="T37" s="59">
        <f t="shared" si="34"/>
        <v>0</v>
      </c>
      <c r="U37" s="60">
        <f t="shared" si="34"/>
        <v>14555.4</v>
      </c>
    </row>
    <row r="38" spans="1:21" x14ac:dyDescent="0.4">
      <c r="A38" s="151"/>
      <c r="B38" s="182"/>
      <c r="C38" s="151"/>
      <c r="D38" s="151" t="s">
        <v>11</v>
      </c>
      <c r="E38" s="23"/>
      <c r="F38" s="27"/>
      <c r="G38" s="136"/>
      <c r="H38" s="63"/>
      <c r="I38" s="64"/>
      <c r="J38" s="64"/>
      <c r="K38" s="86"/>
      <c r="L38" s="87"/>
      <c r="M38" s="23"/>
      <c r="N38" s="27"/>
      <c r="O38" s="64"/>
      <c r="P38" s="64"/>
      <c r="Q38" s="86"/>
      <c r="R38" s="87"/>
      <c r="S38" s="88"/>
      <c r="T38" s="86"/>
      <c r="U38" s="69"/>
    </row>
    <row r="39" spans="1:21" x14ac:dyDescent="0.4">
      <c r="A39" s="151"/>
      <c r="B39" s="182"/>
      <c r="C39" s="151"/>
      <c r="D39" s="151" t="s">
        <v>12</v>
      </c>
      <c r="E39" s="23"/>
      <c r="F39" s="27"/>
      <c r="G39" s="136"/>
      <c r="H39" s="63"/>
      <c r="I39" s="64"/>
      <c r="J39" s="64"/>
      <c r="K39" s="86"/>
      <c r="L39" s="87"/>
      <c r="M39" s="23"/>
      <c r="N39" s="27"/>
      <c r="O39" s="64"/>
      <c r="P39" s="64"/>
      <c r="Q39" s="86"/>
      <c r="R39" s="87"/>
      <c r="S39" s="88"/>
      <c r="T39" s="86"/>
      <c r="U39" s="69"/>
    </row>
    <row r="40" spans="1:21" x14ac:dyDescent="0.4">
      <c r="A40" s="176" t="s">
        <v>135</v>
      </c>
      <c r="B40" s="176">
        <v>82401</v>
      </c>
      <c r="C40" s="176" t="s">
        <v>119</v>
      </c>
      <c r="D40" s="146" t="s">
        <v>75</v>
      </c>
      <c r="E40" s="20">
        <v>1</v>
      </c>
      <c r="F40" s="7" t="s">
        <v>29</v>
      </c>
      <c r="G40" s="138">
        <v>12</v>
      </c>
      <c r="H40" s="17">
        <v>1</v>
      </c>
      <c r="I40" s="11">
        <v>50</v>
      </c>
      <c r="J40" s="11">
        <f t="shared" ref="J40:J41" si="35">E40*I40*G40*H40</f>
        <v>600</v>
      </c>
      <c r="K40" s="11">
        <f t="shared" ref="K40:K41" si="36">J40</f>
        <v>600</v>
      </c>
      <c r="L40" s="52">
        <f t="shared" ref="L40:L41" si="37">J40-K40</f>
        <v>0</v>
      </c>
      <c r="M40" s="20">
        <v>1</v>
      </c>
      <c r="N40" s="7">
        <v>12</v>
      </c>
      <c r="O40" s="11">
        <f>I40*$E$3</f>
        <v>52</v>
      </c>
      <c r="P40" s="11">
        <f t="shared" ref="P40:P41" si="38">M40*O40*N40*H40</f>
        <v>624</v>
      </c>
      <c r="Q40" s="11">
        <f t="shared" ref="Q40:Q41" si="39">P40</f>
        <v>624</v>
      </c>
      <c r="R40" s="52">
        <f t="shared" ref="R40:R41" si="40">P40-Q40</f>
        <v>0</v>
      </c>
      <c r="S40" s="72">
        <f t="shared" ref="S40:S41" si="41">K40+Q40</f>
        <v>1224</v>
      </c>
      <c r="T40" s="11">
        <f t="shared" ref="T40:T41" si="42">L40+R40</f>
        <v>0</v>
      </c>
      <c r="U40" s="52">
        <f t="shared" ref="U40:U41" si="43">S40+T40</f>
        <v>1224</v>
      </c>
    </row>
    <row r="41" spans="1:21" x14ac:dyDescent="0.4">
      <c r="A41" s="176" t="s">
        <v>136</v>
      </c>
      <c r="B41" s="176">
        <v>82401</v>
      </c>
      <c r="C41" s="176" t="s">
        <v>119</v>
      </c>
      <c r="D41" s="146" t="s">
        <v>76</v>
      </c>
      <c r="E41" s="20">
        <v>1</v>
      </c>
      <c r="F41" s="7" t="s">
        <v>48</v>
      </c>
      <c r="G41" s="138">
        <v>3</v>
      </c>
      <c r="H41" s="17">
        <v>1</v>
      </c>
      <c r="I41" s="11">
        <v>1000</v>
      </c>
      <c r="J41" s="11">
        <f t="shared" si="35"/>
        <v>3000</v>
      </c>
      <c r="K41" s="11">
        <f t="shared" si="36"/>
        <v>3000</v>
      </c>
      <c r="L41" s="52">
        <f t="shared" si="37"/>
        <v>0</v>
      </c>
      <c r="M41" s="20">
        <v>1</v>
      </c>
      <c r="N41" s="7">
        <v>0</v>
      </c>
      <c r="O41" s="11">
        <f t="shared" ref="O41" si="44">I41*$E$3</f>
        <v>1040</v>
      </c>
      <c r="P41" s="11">
        <f t="shared" si="38"/>
        <v>0</v>
      </c>
      <c r="Q41" s="11">
        <f t="shared" si="39"/>
        <v>0</v>
      </c>
      <c r="R41" s="52">
        <f t="shared" si="40"/>
        <v>0</v>
      </c>
      <c r="S41" s="72">
        <f t="shared" si="41"/>
        <v>3000</v>
      </c>
      <c r="T41" s="11">
        <f t="shared" si="42"/>
        <v>0</v>
      </c>
      <c r="U41" s="52">
        <f t="shared" si="43"/>
        <v>3000</v>
      </c>
    </row>
    <row r="42" spans="1:21" s="10" customFormat="1" x14ac:dyDescent="0.4">
      <c r="A42" s="150"/>
      <c r="B42" s="181"/>
      <c r="C42" s="150"/>
      <c r="D42" s="150" t="s">
        <v>49</v>
      </c>
      <c r="E42" s="29"/>
      <c r="F42" s="76"/>
      <c r="G42" s="75"/>
      <c r="H42" s="89"/>
      <c r="I42" s="12"/>
      <c r="J42" s="59">
        <f>SUM(J40:J41)</f>
        <v>3600</v>
      </c>
      <c r="K42" s="59">
        <f>SUM(K40:K41)</f>
        <v>3600</v>
      </c>
      <c r="L42" s="60">
        <f>SUM(L40:L41)</f>
        <v>0</v>
      </c>
      <c r="M42" s="84"/>
      <c r="N42" s="85"/>
      <c r="O42" s="59"/>
      <c r="P42" s="59">
        <f t="shared" ref="P42:U42" si="45">SUM(P40:P41)</f>
        <v>624</v>
      </c>
      <c r="Q42" s="59">
        <f t="shared" si="45"/>
        <v>624</v>
      </c>
      <c r="R42" s="60">
        <f t="shared" si="45"/>
        <v>0</v>
      </c>
      <c r="S42" s="61">
        <f t="shared" si="45"/>
        <v>4224</v>
      </c>
      <c r="T42" s="59">
        <f t="shared" si="45"/>
        <v>0</v>
      </c>
      <c r="U42" s="60">
        <f t="shared" si="45"/>
        <v>4224</v>
      </c>
    </row>
    <row r="43" spans="1:21" x14ac:dyDescent="0.4">
      <c r="A43" s="151"/>
      <c r="B43" s="182"/>
      <c r="C43" s="151"/>
      <c r="D43" s="151" t="s">
        <v>50</v>
      </c>
      <c r="E43" s="23"/>
      <c r="F43" s="27"/>
      <c r="G43" s="27"/>
      <c r="H43" s="63"/>
      <c r="I43" s="64"/>
      <c r="J43" s="64"/>
      <c r="K43" s="64"/>
      <c r="L43" s="90"/>
      <c r="M43" s="19"/>
      <c r="N43" s="91"/>
      <c r="O43" s="92"/>
      <c r="P43" s="92"/>
      <c r="Q43" s="93"/>
      <c r="R43" s="94"/>
      <c r="S43" s="95"/>
      <c r="T43" s="93"/>
      <c r="U43" s="96"/>
    </row>
    <row r="44" spans="1:21" x14ac:dyDescent="0.4">
      <c r="A44" s="149"/>
      <c r="B44" s="149"/>
      <c r="C44" s="149"/>
      <c r="D44" s="149" t="s">
        <v>59</v>
      </c>
      <c r="E44" s="30"/>
      <c r="I44" s="11"/>
      <c r="J44" s="11"/>
      <c r="K44" s="49"/>
      <c r="L44" s="50"/>
      <c r="M44" s="30"/>
      <c r="O44" s="11"/>
      <c r="P44" s="11"/>
      <c r="Q44" s="49"/>
      <c r="R44" s="50"/>
      <c r="S44" s="72"/>
      <c r="T44" s="11"/>
      <c r="U44" s="52"/>
    </row>
    <row r="45" spans="1:21" x14ac:dyDescent="0.4">
      <c r="A45" s="146" t="s">
        <v>150</v>
      </c>
      <c r="B45" s="176">
        <v>81000</v>
      </c>
      <c r="C45" s="146" t="s">
        <v>119</v>
      </c>
      <c r="D45" s="146" t="s">
        <v>98</v>
      </c>
      <c r="E45" s="20">
        <v>4</v>
      </c>
      <c r="F45" s="141" t="s">
        <v>29</v>
      </c>
      <c r="G45" s="7">
        <v>6</v>
      </c>
      <c r="H45" s="17">
        <v>1</v>
      </c>
      <c r="I45" s="11">
        <v>1825</v>
      </c>
      <c r="J45" s="11">
        <f>E45*G45*H45*I45</f>
        <v>43800</v>
      </c>
      <c r="K45" s="11">
        <f>J45</f>
        <v>43800</v>
      </c>
      <c r="L45" s="52">
        <f>J45-K45</f>
        <v>0</v>
      </c>
      <c r="M45" s="20">
        <f>E45</f>
        <v>4</v>
      </c>
      <c r="N45" s="7">
        <f>G45</f>
        <v>6</v>
      </c>
      <c r="O45" s="11">
        <f>I45</f>
        <v>1825</v>
      </c>
      <c r="P45" s="11">
        <f>M45*N45*O45*H45</f>
        <v>43800</v>
      </c>
      <c r="Q45" s="11">
        <f>P45</f>
        <v>43800</v>
      </c>
      <c r="R45" s="52">
        <f>P45-Q45</f>
        <v>0</v>
      </c>
      <c r="S45" s="72">
        <f t="shared" ref="S45" si="46">K45+Q45</f>
        <v>87600</v>
      </c>
      <c r="T45" s="11">
        <f t="shared" ref="T45" si="47">L45+R45</f>
        <v>0</v>
      </c>
      <c r="U45" s="52">
        <f t="shared" ref="U45" si="48">S45+T45</f>
        <v>87600</v>
      </c>
    </row>
    <row r="46" spans="1:21" x14ac:dyDescent="0.4">
      <c r="A46" s="146" t="s">
        <v>151</v>
      </c>
      <c r="B46" s="176">
        <v>81000</v>
      </c>
      <c r="C46" s="146" t="s">
        <v>119</v>
      </c>
      <c r="D46" s="146" t="s">
        <v>99</v>
      </c>
      <c r="E46" s="20">
        <v>1</v>
      </c>
      <c r="F46" s="141" t="s">
        <v>29</v>
      </c>
      <c r="G46" s="7">
        <v>5</v>
      </c>
      <c r="H46" s="17">
        <v>1</v>
      </c>
      <c r="I46" s="11">
        <v>3500</v>
      </c>
      <c r="J46" s="11">
        <f>E46*G46*H46*I46</f>
        <v>17500</v>
      </c>
      <c r="K46" s="11">
        <f>J46</f>
        <v>17500</v>
      </c>
      <c r="L46" s="52">
        <f>J46-K46</f>
        <v>0</v>
      </c>
      <c r="M46" s="20">
        <f>E46</f>
        <v>1</v>
      </c>
      <c r="N46" s="7">
        <f>G46</f>
        <v>5</v>
      </c>
      <c r="O46" s="11">
        <f>I46</f>
        <v>3500</v>
      </c>
      <c r="P46" s="11">
        <f>M46*N46*O46*H46</f>
        <v>17500</v>
      </c>
      <c r="Q46" s="11">
        <f>P46</f>
        <v>17500</v>
      </c>
      <c r="R46" s="52">
        <f>P46-Q46</f>
        <v>0</v>
      </c>
      <c r="S46" s="72">
        <f t="shared" ref="S46:S47" si="49">K46+Q46</f>
        <v>35000</v>
      </c>
      <c r="T46" s="11">
        <f t="shared" ref="T46:T47" si="50">L46+R46</f>
        <v>0</v>
      </c>
      <c r="U46" s="52">
        <f t="shared" ref="U46:U47" si="51">S46+T46</f>
        <v>35000</v>
      </c>
    </row>
    <row r="47" spans="1:21" x14ac:dyDescent="0.4">
      <c r="A47" s="146" t="s">
        <v>152</v>
      </c>
      <c r="B47" s="176">
        <v>81000</v>
      </c>
      <c r="C47" s="146" t="s">
        <v>119</v>
      </c>
      <c r="D47" s="146" t="s">
        <v>100</v>
      </c>
      <c r="E47" s="20">
        <v>1</v>
      </c>
      <c r="F47" s="141" t="s">
        <v>29</v>
      </c>
      <c r="G47" s="7">
        <v>2</v>
      </c>
      <c r="H47" s="17">
        <v>1</v>
      </c>
      <c r="I47" s="11">
        <v>3000</v>
      </c>
      <c r="J47" s="11">
        <f>E47*G47*H47*I47</f>
        <v>6000</v>
      </c>
      <c r="K47" s="11">
        <f>J47</f>
        <v>6000</v>
      </c>
      <c r="L47" s="52">
        <f>J47-K47</f>
        <v>0</v>
      </c>
      <c r="M47" s="20">
        <f>E47</f>
        <v>1</v>
      </c>
      <c r="N47" s="7">
        <f>G47</f>
        <v>2</v>
      </c>
      <c r="O47" s="11">
        <f>I47</f>
        <v>3000</v>
      </c>
      <c r="P47" s="11">
        <f>M47*N47*O47*H47</f>
        <v>6000</v>
      </c>
      <c r="Q47" s="11">
        <f>P47</f>
        <v>6000</v>
      </c>
      <c r="R47" s="52">
        <f>P47-Q47</f>
        <v>0</v>
      </c>
      <c r="S47" s="72">
        <f t="shared" si="49"/>
        <v>12000</v>
      </c>
      <c r="T47" s="11">
        <f t="shared" si="50"/>
        <v>0</v>
      </c>
      <c r="U47" s="52">
        <f t="shared" si="51"/>
        <v>12000</v>
      </c>
    </row>
    <row r="48" spans="1:21" x14ac:dyDescent="0.4">
      <c r="A48" s="149"/>
      <c r="C48" s="149"/>
      <c r="D48" s="149" t="s">
        <v>97</v>
      </c>
      <c r="E48" s="20"/>
      <c r="F48" s="141"/>
      <c r="G48" s="7"/>
      <c r="I48" s="11"/>
      <c r="J48" s="11"/>
      <c r="K48" s="11"/>
      <c r="L48" s="52"/>
      <c r="M48" s="20"/>
      <c r="N48" s="7"/>
      <c r="O48" s="11"/>
      <c r="P48" s="11"/>
      <c r="Q48" s="11"/>
      <c r="R48" s="52"/>
      <c r="S48" s="72"/>
      <c r="T48" s="11"/>
      <c r="U48" s="52"/>
    </row>
    <row r="49" spans="1:21" x14ac:dyDescent="0.4">
      <c r="A49" s="146" t="s">
        <v>153</v>
      </c>
      <c r="B49" s="176">
        <v>81010</v>
      </c>
      <c r="C49" s="146" t="s">
        <v>119</v>
      </c>
      <c r="D49" s="146" t="s">
        <v>101</v>
      </c>
      <c r="E49" s="20">
        <v>1</v>
      </c>
      <c r="F49" s="141" t="s">
        <v>92</v>
      </c>
      <c r="G49" s="7">
        <v>1</v>
      </c>
      <c r="H49" s="17">
        <v>1</v>
      </c>
      <c r="I49" s="11">
        <v>25000</v>
      </c>
      <c r="J49" s="11">
        <f>E49*G49*H49*I49</f>
        <v>25000</v>
      </c>
      <c r="K49" s="11">
        <f>J49</f>
        <v>25000</v>
      </c>
      <c r="L49" s="52">
        <f>J49-K49</f>
        <v>0</v>
      </c>
      <c r="M49" s="20">
        <v>0</v>
      </c>
      <c r="N49" s="7">
        <v>0</v>
      </c>
      <c r="O49" s="11">
        <f>I49</f>
        <v>25000</v>
      </c>
      <c r="P49" s="11">
        <f>M49*N49*O49*H49</f>
        <v>0</v>
      </c>
      <c r="Q49" s="11">
        <f>P49</f>
        <v>0</v>
      </c>
      <c r="R49" s="52">
        <f>P49-Q49</f>
        <v>0</v>
      </c>
      <c r="S49" s="72">
        <f t="shared" ref="S49" si="52">K49+Q49</f>
        <v>25000</v>
      </c>
      <c r="T49" s="11">
        <f t="shared" ref="T49" si="53">L49+R49</f>
        <v>0</v>
      </c>
      <c r="U49" s="52">
        <f t="shared" ref="U49" si="54">S49+T49</f>
        <v>25000</v>
      </c>
    </row>
    <row r="50" spans="1:21" x14ac:dyDescent="0.4">
      <c r="A50" s="146" t="s">
        <v>155</v>
      </c>
      <c r="B50" s="176">
        <v>81010</v>
      </c>
      <c r="C50" s="146" t="s">
        <v>119</v>
      </c>
      <c r="D50" s="146" t="s">
        <v>102</v>
      </c>
      <c r="E50" s="20">
        <v>1</v>
      </c>
      <c r="F50" s="141" t="s">
        <v>92</v>
      </c>
      <c r="G50" s="7">
        <v>1</v>
      </c>
      <c r="H50" s="17">
        <v>1</v>
      </c>
      <c r="I50" s="11">
        <v>20000</v>
      </c>
      <c r="J50" s="11">
        <f>E50*G50*H50*I50</f>
        <v>20000</v>
      </c>
      <c r="K50" s="11">
        <f>J50</f>
        <v>20000</v>
      </c>
      <c r="L50" s="52">
        <f>J50-K50</f>
        <v>0</v>
      </c>
      <c r="M50" s="20">
        <v>0</v>
      </c>
      <c r="N50" s="7">
        <v>0</v>
      </c>
      <c r="O50" s="11">
        <f>I50</f>
        <v>20000</v>
      </c>
      <c r="P50" s="11">
        <f>M50*N50*O50*H50</f>
        <v>0</v>
      </c>
      <c r="Q50" s="11">
        <f>P50</f>
        <v>0</v>
      </c>
      <c r="R50" s="52">
        <f>P50-Q50</f>
        <v>0</v>
      </c>
      <c r="S50" s="72">
        <f t="shared" ref="S50" si="55">K50+Q50</f>
        <v>20000</v>
      </c>
      <c r="T50" s="11">
        <f t="shared" ref="T50" si="56">L50+R50</f>
        <v>0</v>
      </c>
      <c r="U50" s="52">
        <f t="shared" ref="U50" si="57">S50+T50</f>
        <v>20000</v>
      </c>
    </row>
    <row r="51" spans="1:21" x14ac:dyDescent="0.4">
      <c r="A51" s="146" t="s">
        <v>154</v>
      </c>
      <c r="B51" s="176">
        <v>86110</v>
      </c>
      <c r="C51" s="146" t="s">
        <v>119</v>
      </c>
      <c r="D51" s="146" t="s">
        <v>106</v>
      </c>
      <c r="E51" s="20">
        <v>1</v>
      </c>
      <c r="F51" s="141" t="s">
        <v>29</v>
      </c>
      <c r="G51" s="7">
        <v>12</v>
      </c>
      <c r="H51" s="17">
        <v>1</v>
      </c>
      <c r="I51" s="11">
        <v>300</v>
      </c>
      <c r="J51" s="11">
        <f>E51*G51*H51*I51</f>
        <v>3600</v>
      </c>
      <c r="K51" s="11">
        <f>J51</f>
        <v>3600</v>
      </c>
      <c r="L51" s="52">
        <f>J51-K51</f>
        <v>0</v>
      </c>
      <c r="M51" s="20">
        <f>E51</f>
        <v>1</v>
      </c>
      <c r="N51" s="7">
        <f>G51</f>
        <v>12</v>
      </c>
      <c r="O51" s="11">
        <f>I51</f>
        <v>300</v>
      </c>
      <c r="P51" s="11">
        <f>M51*N51*O51*H51</f>
        <v>3600</v>
      </c>
      <c r="Q51" s="11">
        <f>P51</f>
        <v>3600</v>
      </c>
      <c r="R51" s="52">
        <f>P51-Q51</f>
        <v>0</v>
      </c>
      <c r="S51" s="72">
        <f t="shared" ref="S51" si="58">K51+Q51</f>
        <v>7200</v>
      </c>
      <c r="T51" s="11">
        <f t="shared" ref="T51" si="59">L51+R51</f>
        <v>0</v>
      </c>
      <c r="U51" s="52">
        <f t="shared" ref="U51" si="60">S51+T51</f>
        <v>7200</v>
      </c>
    </row>
    <row r="52" spans="1:21" x14ac:dyDescent="0.4">
      <c r="A52" s="150"/>
      <c r="B52" s="181"/>
      <c r="C52" s="150"/>
      <c r="D52" s="150" t="s">
        <v>52</v>
      </c>
      <c r="E52" s="25"/>
      <c r="F52" s="28"/>
      <c r="G52" s="26"/>
      <c r="H52" s="58"/>
      <c r="I52" s="59"/>
      <c r="J52" s="59">
        <f>SUM(J45:J51)</f>
        <v>115900</v>
      </c>
      <c r="K52" s="59">
        <f>SUM(K45:K51)</f>
        <v>115900</v>
      </c>
      <c r="L52" s="60">
        <f>SUM(L45:L51)</f>
        <v>0</v>
      </c>
      <c r="M52" s="84"/>
      <c r="N52" s="85"/>
      <c r="O52" s="59"/>
      <c r="P52" s="59">
        <f>SUM(P45:P51)</f>
        <v>70900</v>
      </c>
      <c r="Q52" s="59">
        <f t="shared" ref="Q52:U52" si="61">SUM(Q45:Q51)</f>
        <v>70900</v>
      </c>
      <c r="R52" s="60">
        <f t="shared" si="61"/>
        <v>0</v>
      </c>
      <c r="S52" s="61">
        <f t="shared" si="61"/>
        <v>186800</v>
      </c>
      <c r="T52" s="61">
        <f t="shared" si="61"/>
        <v>0</v>
      </c>
      <c r="U52" s="97">
        <f t="shared" si="61"/>
        <v>186800</v>
      </c>
    </row>
    <row r="53" spans="1:21" x14ac:dyDescent="0.4">
      <c r="A53" s="151"/>
      <c r="B53" s="182"/>
      <c r="C53" s="151"/>
      <c r="D53" s="151" t="s">
        <v>14</v>
      </c>
      <c r="E53" s="23"/>
      <c r="F53" s="27"/>
      <c r="G53" s="136"/>
      <c r="H53" s="63"/>
      <c r="I53" s="64"/>
      <c r="J53" s="64"/>
      <c r="K53" s="86"/>
      <c r="L53" s="87"/>
      <c r="M53" s="23"/>
      <c r="N53" s="27"/>
      <c r="O53" s="64"/>
      <c r="P53" s="64"/>
      <c r="Q53" s="86"/>
      <c r="R53" s="87"/>
      <c r="S53" s="88"/>
      <c r="T53" s="86"/>
      <c r="U53" s="69"/>
    </row>
    <row r="54" spans="1:21" x14ac:dyDescent="0.4">
      <c r="A54" s="151"/>
      <c r="B54" s="182"/>
      <c r="C54" s="151"/>
      <c r="D54" s="151" t="s">
        <v>15</v>
      </c>
      <c r="E54" s="98"/>
      <c r="F54" s="31"/>
      <c r="G54" s="31"/>
      <c r="H54" s="99"/>
      <c r="I54" s="100"/>
      <c r="J54" s="100"/>
      <c r="K54" s="86"/>
      <c r="L54" s="87"/>
      <c r="M54" s="98"/>
      <c r="N54" s="31"/>
      <c r="O54" s="100"/>
      <c r="P54" s="100"/>
      <c r="Q54" s="86"/>
      <c r="R54" s="87"/>
      <c r="S54" s="88"/>
      <c r="T54" s="86"/>
      <c r="U54" s="69"/>
    </row>
    <row r="55" spans="1:21" x14ac:dyDescent="0.4">
      <c r="A55" s="153"/>
      <c r="B55" s="183"/>
      <c r="C55" s="153"/>
      <c r="D55" s="153" t="s">
        <v>77</v>
      </c>
      <c r="E55" s="29"/>
      <c r="F55" s="76"/>
      <c r="G55" s="76"/>
      <c r="H55" s="89"/>
      <c r="I55" s="12"/>
      <c r="J55" s="12"/>
      <c r="K55" s="77"/>
      <c r="L55" s="101"/>
      <c r="M55" s="29"/>
      <c r="N55" s="76"/>
      <c r="O55" s="12"/>
      <c r="P55" s="12"/>
      <c r="Q55" s="77"/>
      <c r="R55" s="101"/>
      <c r="S55" s="102"/>
      <c r="T55" s="12"/>
      <c r="U55" s="101"/>
    </row>
    <row r="56" spans="1:21" x14ac:dyDescent="0.4">
      <c r="A56" s="176" t="s">
        <v>137</v>
      </c>
      <c r="B56" s="176">
        <v>85180</v>
      </c>
      <c r="C56" s="176" t="s">
        <v>119</v>
      </c>
      <c r="D56" s="146" t="s">
        <v>78</v>
      </c>
      <c r="E56" s="20">
        <v>1</v>
      </c>
      <c r="F56" s="7" t="s">
        <v>29</v>
      </c>
      <c r="G56" s="138">
        <v>12</v>
      </c>
      <c r="H56" s="17">
        <v>1</v>
      </c>
      <c r="I56" s="11">
        <v>350</v>
      </c>
      <c r="J56" s="11">
        <f t="shared" ref="J56:J63" si="62">E56*I56*G56*H56</f>
        <v>4200</v>
      </c>
      <c r="K56" s="11">
        <f t="shared" ref="K56:K63" si="63">J56</f>
        <v>4200</v>
      </c>
      <c r="L56" s="52">
        <f t="shared" ref="L56:L63" si="64">J56-K56</f>
        <v>0</v>
      </c>
      <c r="M56" s="20">
        <v>1</v>
      </c>
      <c r="N56" s="7">
        <v>12</v>
      </c>
      <c r="O56" s="11">
        <f>I56*$E$3</f>
        <v>364</v>
      </c>
      <c r="P56" s="11">
        <f>M56*O56*N56*H56</f>
        <v>4368</v>
      </c>
      <c r="Q56" s="11">
        <f t="shared" ref="Q56:Q63" si="65">P56</f>
        <v>4368</v>
      </c>
      <c r="R56" s="52">
        <f t="shared" ref="R56:R63" si="66">P56-Q56</f>
        <v>0</v>
      </c>
      <c r="S56" s="72">
        <f t="shared" ref="S56:S63" si="67">K56+Q56</f>
        <v>8568</v>
      </c>
      <c r="T56" s="11">
        <f t="shared" ref="T56:T63" si="68">L56+R56</f>
        <v>0</v>
      </c>
      <c r="U56" s="52">
        <f t="shared" ref="U56:U63" si="69">S56+T56</f>
        <v>8568</v>
      </c>
    </row>
    <row r="57" spans="1:21" x14ac:dyDescent="0.4">
      <c r="A57" s="176" t="s">
        <v>138</v>
      </c>
      <c r="B57" s="176">
        <v>90900</v>
      </c>
      <c r="C57" s="176" t="s">
        <v>119</v>
      </c>
      <c r="D57" s="146" t="s">
        <v>79</v>
      </c>
      <c r="E57" s="20">
        <v>1</v>
      </c>
      <c r="F57" s="7" t="s">
        <v>29</v>
      </c>
      <c r="G57" s="138">
        <v>12</v>
      </c>
      <c r="H57" s="17">
        <v>1</v>
      </c>
      <c r="I57" s="11">
        <v>35</v>
      </c>
      <c r="J57" s="11">
        <f t="shared" si="62"/>
        <v>420</v>
      </c>
      <c r="K57" s="11">
        <f t="shared" si="63"/>
        <v>420</v>
      </c>
      <c r="L57" s="52">
        <f t="shared" si="64"/>
        <v>0</v>
      </c>
      <c r="M57" s="20">
        <v>1</v>
      </c>
      <c r="N57" s="7">
        <v>12</v>
      </c>
      <c r="O57" s="11">
        <f t="shared" ref="O57:O73" si="70">I57*$E$3</f>
        <v>36.4</v>
      </c>
      <c r="P57" s="11">
        <f t="shared" ref="P57:P63" si="71">M57*O57*N57*H57</f>
        <v>436.79999999999995</v>
      </c>
      <c r="Q57" s="11">
        <f t="shared" si="65"/>
        <v>436.79999999999995</v>
      </c>
      <c r="R57" s="52">
        <f t="shared" si="66"/>
        <v>0</v>
      </c>
      <c r="S57" s="72">
        <f t="shared" si="67"/>
        <v>856.8</v>
      </c>
      <c r="T57" s="11">
        <f t="shared" si="68"/>
        <v>0</v>
      </c>
      <c r="U57" s="52">
        <f t="shared" si="69"/>
        <v>856.8</v>
      </c>
    </row>
    <row r="58" spans="1:21" x14ac:dyDescent="0.4">
      <c r="A58" s="146" t="s">
        <v>147</v>
      </c>
      <c r="B58" s="176">
        <v>81030</v>
      </c>
      <c r="C58" s="146" t="s">
        <v>119</v>
      </c>
      <c r="D58" s="146" t="s">
        <v>80</v>
      </c>
      <c r="E58" s="20">
        <v>1</v>
      </c>
      <c r="F58" s="7" t="s">
        <v>29</v>
      </c>
      <c r="G58" s="138">
        <v>12</v>
      </c>
      <c r="H58" s="17">
        <v>1</v>
      </c>
      <c r="I58" s="11">
        <v>50</v>
      </c>
      <c r="J58" s="11">
        <f t="shared" ref="J58" si="72">E58*I58*G58*H58</f>
        <v>600</v>
      </c>
      <c r="K58" s="11">
        <f t="shared" ref="K58" si="73">J58</f>
        <v>600</v>
      </c>
      <c r="L58" s="52">
        <f t="shared" ref="L58" si="74">J58-K58</f>
        <v>0</v>
      </c>
      <c r="M58" s="20">
        <v>1</v>
      </c>
      <c r="N58" s="7">
        <v>12</v>
      </c>
      <c r="O58" s="11">
        <f t="shared" si="70"/>
        <v>52</v>
      </c>
      <c r="P58" s="11">
        <f t="shared" ref="P58" si="75">M58*O58*N58*H58</f>
        <v>624</v>
      </c>
      <c r="Q58" s="11">
        <f t="shared" ref="Q58" si="76">P58</f>
        <v>624</v>
      </c>
      <c r="R58" s="52">
        <f t="shared" ref="R58" si="77">P58-Q58</f>
        <v>0</v>
      </c>
      <c r="S58" s="72">
        <f t="shared" ref="S58" si="78">K58+Q58</f>
        <v>1224</v>
      </c>
      <c r="T58" s="11">
        <f t="shared" ref="T58" si="79">L58+R58</f>
        <v>0</v>
      </c>
      <c r="U58" s="52">
        <f t="shared" ref="U58" si="80">S58+T58</f>
        <v>1224</v>
      </c>
    </row>
    <row r="59" spans="1:21" x14ac:dyDescent="0.4">
      <c r="A59" s="146" t="s">
        <v>146</v>
      </c>
      <c r="B59" s="176">
        <v>82030</v>
      </c>
      <c r="C59" s="146" t="s">
        <v>119</v>
      </c>
      <c r="D59" s="146" t="s">
        <v>81</v>
      </c>
      <c r="E59" s="20">
        <v>1</v>
      </c>
      <c r="F59" s="7" t="s">
        <v>29</v>
      </c>
      <c r="G59" s="138">
        <v>12</v>
      </c>
      <c r="H59" s="17">
        <v>1</v>
      </c>
      <c r="I59" s="11">
        <v>150</v>
      </c>
      <c r="J59" s="11">
        <f t="shared" ref="J59:J62" si="81">E59*I59*G59*H59</f>
        <v>1800</v>
      </c>
      <c r="K59" s="11">
        <f t="shared" ref="K59:K62" si="82">J59</f>
        <v>1800</v>
      </c>
      <c r="L59" s="52">
        <f t="shared" ref="L59:L62" si="83">J59-K59</f>
        <v>0</v>
      </c>
      <c r="M59" s="20">
        <v>1</v>
      </c>
      <c r="N59" s="7">
        <v>12</v>
      </c>
      <c r="O59" s="11">
        <f t="shared" si="70"/>
        <v>156</v>
      </c>
      <c r="P59" s="11">
        <f t="shared" ref="P59:P62" si="84">M59*O59*N59*H59</f>
        <v>1872</v>
      </c>
      <c r="Q59" s="11">
        <f t="shared" ref="Q59:Q62" si="85">P59</f>
        <v>1872</v>
      </c>
      <c r="R59" s="52">
        <f t="shared" ref="R59:R62" si="86">P59-Q59</f>
        <v>0</v>
      </c>
      <c r="S59" s="72">
        <f t="shared" ref="S59:S62" si="87">K59+Q59</f>
        <v>3672</v>
      </c>
      <c r="T59" s="11">
        <f t="shared" ref="T59:T62" si="88">L59+R59</f>
        <v>0</v>
      </c>
      <c r="U59" s="52">
        <f t="shared" ref="U59:U62" si="89">S59+T59</f>
        <v>3672</v>
      </c>
    </row>
    <row r="60" spans="1:21" x14ac:dyDescent="0.4">
      <c r="A60" s="146" t="s">
        <v>144</v>
      </c>
      <c r="B60" s="176">
        <v>89400</v>
      </c>
      <c r="C60" s="146" t="s">
        <v>119</v>
      </c>
      <c r="D60" s="146" t="s">
        <v>107</v>
      </c>
      <c r="E60" s="20">
        <v>1</v>
      </c>
      <c r="F60" s="7" t="s">
        <v>29</v>
      </c>
      <c r="G60" s="138">
        <v>12</v>
      </c>
      <c r="H60" s="17">
        <v>1</v>
      </c>
      <c r="I60" s="11">
        <f>10*12</f>
        <v>120</v>
      </c>
      <c r="J60" s="11">
        <f t="shared" si="81"/>
        <v>1440</v>
      </c>
      <c r="K60" s="11">
        <f t="shared" si="82"/>
        <v>1440</v>
      </c>
      <c r="L60" s="52">
        <f t="shared" si="83"/>
        <v>0</v>
      </c>
      <c r="M60" s="20">
        <v>1</v>
      </c>
      <c r="N60" s="7">
        <v>12</v>
      </c>
      <c r="O60" s="11">
        <f t="shared" si="70"/>
        <v>124.80000000000001</v>
      </c>
      <c r="P60" s="11">
        <f t="shared" si="84"/>
        <v>1497.6000000000001</v>
      </c>
      <c r="Q60" s="11">
        <f t="shared" si="85"/>
        <v>1497.6000000000001</v>
      </c>
      <c r="R60" s="52">
        <f t="shared" si="86"/>
        <v>0</v>
      </c>
      <c r="S60" s="72">
        <f t="shared" si="87"/>
        <v>2937.6000000000004</v>
      </c>
      <c r="T60" s="11">
        <f t="shared" si="88"/>
        <v>0</v>
      </c>
      <c r="U60" s="52">
        <f t="shared" si="89"/>
        <v>2937.6000000000004</v>
      </c>
    </row>
    <row r="61" spans="1:21" x14ac:dyDescent="0.4">
      <c r="A61" s="146" t="s">
        <v>145</v>
      </c>
      <c r="B61" s="176">
        <v>87010</v>
      </c>
      <c r="C61" s="146" t="s">
        <v>119</v>
      </c>
      <c r="D61" s="146" t="s">
        <v>94</v>
      </c>
      <c r="E61" s="20">
        <v>1</v>
      </c>
      <c r="F61" s="7" t="s">
        <v>29</v>
      </c>
      <c r="G61" s="138">
        <v>12</v>
      </c>
      <c r="H61" s="17">
        <v>1</v>
      </c>
      <c r="I61" s="11">
        <v>50</v>
      </c>
      <c r="J61" s="11">
        <f t="shared" ref="J61" si="90">E61*I61*G61*H61</f>
        <v>600</v>
      </c>
      <c r="K61" s="11">
        <f t="shared" ref="K61" si="91">J61</f>
        <v>600</v>
      </c>
      <c r="L61" s="52">
        <f t="shared" ref="L61" si="92">J61-K61</f>
        <v>0</v>
      </c>
      <c r="M61" s="20">
        <v>1</v>
      </c>
      <c r="N61" s="7">
        <v>12</v>
      </c>
      <c r="O61" s="11">
        <f t="shared" ref="O61" si="93">I61*$E$3</f>
        <v>52</v>
      </c>
      <c r="P61" s="11">
        <f t="shared" ref="P61" si="94">M61*O61*N61*H61</f>
        <v>624</v>
      </c>
      <c r="Q61" s="11">
        <f t="shared" ref="Q61" si="95">P61</f>
        <v>624</v>
      </c>
      <c r="R61" s="52">
        <f t="shared" ref="R61" si="96">P61-Q61</f>
        <v>0</v>
      </c>
      <c r="S61" s="72">
        <f t="shared" ref="S61" si="97">K61+Q61</f>
        <v>1224</v>
      </c>
      <c r="T61" s="11">
        <f t="shared" ref="T61" si="98">L61+R61</f>
        <v>0</v>
      </c>
      <c r="U61" s="52">
        <f t="shared" ref="U61" si="99">S61+T61</f>
        <v>1224</v>
      </c>
    </row>
    <row r="62" spans="1:21" x14ac:dyDescent="0.4">
      <c r="A62" s="146" t="s">
        <v>143</v>
      </c>
      <c r="B62" s="176">
        <v>90450</v>
      </c>
      <c r="C62" s="146" t="s">
        <v>119</v>
      </c>
      <c r="D62" s="146" t="s">
        <v>108</v>
      </c>
      <c r="E62" s="20">
        <v>1</v>
      </c>
      <c r="F62" s="7" t="s">
        <v>46</v>
      </c>
      <c r="G62" s="138">
        <v>1</v>
      </c>
      <c r="H62" s="17">
        <v>1</v>
      </c>
      <c r="I62" s="11">
        <v>400</v>
      </c>
      <c r="J62" s="11">
        <f t="shared" si="81"/>
        <v>400</v>
      </c>
      <c r="K62" s="11">
        <f t="shared" si="82"/>
        <v>400</v>
      </c>
      <c r="L62" s="52">
        <f t="shared" si="83"/>
        <v>0</v>
      </c>
      <c r="M62" s="20">
        <v>1</v>
      </c>
      <c r="N62" s="7">
        <v>1</v>
      </c>
      <c r="O62" s="11">
        <f t="shared" si="70"/>
        <v>416</v>
      </c>
      <c r="P62" s="11">
        <f t="shared" si="84"/>
        <v>416</v>
      </c>
      <c r="Q62" s="11">
        <f t="shared" si="85"/>
        <v>416</v>
      </c>
      <c r="R62" s="52">
        <f t="shared" si="86"/>
        <v>0</v>
      </c>
      <c r="S62" s="72">
        <f t="shared" si="87"/>
        <v>816</v>
      </c>
      <c r="T62" s="11">
        <f t="shared" si="88"/>
        <v>0</v>
      </c>
      <c r="U62" s="52">
        <f t="shared" si="89"/>
        <v>816</v>
      </c>
    </row>
    <row r="63" spans="1:21" x14ac:dyDescent="0.4">
      <c r="A63" s="146" t="s">
        <v>141</v>
      </c>
      <c r="B63" s="176">
        <v>90100</v>
      </c>
      <c r="C63" s="146" t="s">
        <v>119</v>
      </c>
      <c r="D63" s="146" t="s">
        <v>95</v>
      </c>
      <c r="E63" s="20">
        <v>1</v>
      </c>
      <c r="F63" s="7" t="s">
        <v>46</v>
      </c>
      <c r="G63" s="138">
        <v>1</v>
      </c>
      <c r="H63" s="17">
        <v>1</v>
      </c>
      <c r="I63" s="11">
        <v>250</v>
      </c>
      <c r="J63" s="11">
        <f t="shared" si="62"/>
        <v>250</v>
      </c>
      <c r="K63" s="11">
        <f t="shared" si="63"/>
        <v>250</v>
      </c>
      <c r="L63" s="52">
        <f t="shared" si="64"/>
        <v>0</v>
      </c>
      <c r="M63" s="20">
        <v>1</v>
      </c>
      <c r="N63" s="7">
        <v>1</v>
      </c>
      <c r="O63" s="11">
        <f t="shared" si="70"/>
        <v>260</v>
      </c>
      <c r="P63" s="11">
        <f t="shared" si="71"/>
        <v>260</v>
      </c>
      <c r="Q63" s="11">
        <f t="shared" si="65"/>
        <v>260</v>
      </c>
      <c r="R63" s="52">
        <f t="shared" si="66"/>
        <v>0</v>
      </c>
      <c r="S63" s="72">
        <f t="shared" si="67"/>
        <v>510</v>
      </c>
      <c r="T63" s="11">
        <f t="shared" si="68"/>
        <v>0</v>
      </c>
      <c r="U63" s="52">
        <f t="shared" si="69"/>
        <v>510</v>
      </c>
    </row>
    <row r="64" spans="1:21" x14ac:dyDescent="0.4">
      <c r="A64" s="146" t="s">
        <v>142</v>
      </c>
      <c r="B64" s="176">
        <v>82100</v>
      </c>
      <c r="C64" s="146" t="s">
        <v>119</v>
      </c>
      <c r="D64" s="146" t="s">
        <v>96</v>
      </c>
      <c r="E64" s="20">
        <v>1</v>
      </c>
      <c r="F64" s="7" t="s">
        <v>46</v>
      </c>
      <c r="G64" s="138">
        <v>1</v>
      </c>
      <c r="H64" s="17">
        <v>1</v>
      </c>
      <c r="I64" s="11">
        <v>100</v>
      </c>
      <c r="J64" s="11">
        <f t="shared" ref="J64" si="100">E64*I64*G64*H64</f>
        <v>100</v>
      </c>
      <c r="K64" s="11">
        <f t="shared" ref="K64" si="101">J64</f>
        <v>100</v>
      </c>
      <c r="L64" s="52">
        <f t="shared" ref="L64" si="102">J64-K64</f>
        <v>0</v>
      </c>
      <c r="M64" s="20">
        <v>1</v>
      </c>
      <c r="N64" s="7">
        <v>1</v>
      </c>
      <c r="O64" s="11">
        <f t="shared" si="70"/>
        <v>104</v>
      </c>
      <c r="P64" s="11">
        <f t="shared" ref="P64" si="103">M64*O64*N64*H64</f>
        <v>104</v>
      </c>
      <c r="Q64" s="11">
        <f t="shared" ref="Q64" si="104">P64</f>
        <v>104</v>
      </c>
      <c r="R64" s="52">
        <f t="shared" ref="R64" si="105">P64-Q64</f>
        <v>0</v>
      </c>
      <c r="S64" s="72">
        <f t="shared" ref="S64" si="106">K64+Q64</f>
        <v>204</v>
      </c>
      <c r="T64" s="11">
        <f t="shared" ref="T64" si="107">L64+R64</f>
        <v>0</v>
      </c>
      <c r="U64" s="52">
        <f t="shared" ref="U64" si="108">S64+T64</f>
        <v>204</v>
      </c>
    </row>
    <row r="65" spans="1:21" x14ac:dyDescent="0.4">
      <c r="A65" s="153"/>
      <c r="B65" s="183"/>
      <c r="C65" s="153"/>
      <c r="D65" s="153" t="s">
        <v>82</v>
      </c>
      <c r="E65" s="29"/>
      <c r="F65" s="76"/>
      <c r="G65" s="76"/>
      <c r="H65" s="89"/>
      <c r="I65" s="12"/>
      <c r="J65" s="12"/>
      <c r="K65" s="77"/>
      <c r="L65" s="101"/>
      <c r="M65" s="29"/>
      <c r="N65" s="76"/>
      <c r="O65" s="12"/>
      <c r="P65" s="12"/>
      <c r="Q65" s="77"/>
      <c r="R65" s="101"/>
      <c r="S65" s="102"/>
      <c r="T65" s="12"/>
      <c r="U65" s="101"/>
    </row>
    <row r="66" spans="1:21" x14ac:dyDescent="0.4">
      <c r="A66" s="152" t="s">
        <v>148</v>
      </c>
      <c r="B66" s="184">
        <v>81021</v>
      </c>
      <c r="C66" s="152" t="s">
        <v>119</v>
      </c>
      <c r="D66" s="152" t="s">
        <v>88</v>
      </c>
      <c r="E66" s="20">
        <v>1</v>
      </c>
      <c r="F66" s="7" t="s">
        <v>46</v>
      </c>
      <c r="G66" s="7">
        <v>1</v>
      </c>
      <c r="H66" s="17">
        <v>1</v>
      </c>
      <c r="I66" s="11">
        <v>15000</v>
      </c>
      <c r="J66" s="11">
        <f>E66*G66*H66*I66</f>
        <v>15000</v>
      </c>
      <c r="K66" s="53">
        <f>J66</f>
        <v>15000</v>
      </c>
      <c r="L66" s="103">
        <f>J66-K66</f>
        <v>0</v>
      </c>
      <c r="M66" s="20">
        <f>E66</f>
        <v>1</v>
      </c>
      <c r="N66" s="7">
        <f>G66</f>
        <v>1</v>
      </c>
      <c r="O66" s="11">
        <f>I66*$E$3</f>
        <v>15600</v>
      </c>
      <c r="P66" s="11">
        <f>H66*M66*N66*O66</f>
        <v>15600</v>
      </c>
      <c r="Q66" s="53">
        <f>P66</f>
        <v>15600</v>
      </c>
      <c r="R66" s="103">
        <f>P66-Q66</f>
        <v>0</v>
      </c>
      <c r="S66" s="72">
        <f t="shared" ref="S66" si="109">K66+Q66</f>
        <v>30600</v>
      </c>
      <c r="T66" s="11">
        <f t="shared" ref="T66" si="110">L66+R66</f>
        <v>0</v>
      </c>
      <c r="U66" s="52">
        <f t="shared" ref="U66" si="111">S66+T66</f>
        <v>30600</v>
      </c>
    </row>
    <row r="67" spans="1:21" x14ac:dyDescent="0.4">
      <c r="A67" s="152" t="s">
        <v>161</v>
      </c>
      <c r="B67" s="184">
        <v>90450</v>
      </c>
      <c r="C67" s="152" t="s">
        <v>119</v>
      </c>
      <c r="D67" s="152" t="s">
        <v>89</v>
      </c>
      <c r="E67" s="20">
        <v>1</v>
      </c>
      <c r="F67" s="7" t="s">
        <v>90</v>
      </c>
      <c r="G67" s="7">
        <v>24</v>
      </c>
      <c r="H67" s="17">
        <v>1</v>
      </c>
      <c r="I67" s="11">
        <v>250</v>
      </c>
      <c r="J67" s="11">
        <f>E67*G67*H67*I67</f>
        <v>6000</v>
      </c>
      <c r="K67" s="53">
        <f>J67</f>
        <v>6000</v>
      </c>
      <c r="L67" s="103">
        <f>J67-K67</f>
        <v>0</v>
      </c>
      <c r="M67" s="20">
        <f t="shared" ref="M67:M69" si="112">E67</f>
        <v>1</v>
      </c>
      <c r="N67" s="7">
        <f t="shared" ref="N67:N69" si="113">G67</f>
        <v>24</v>
      </c>
      <c r="O67" s="11">
        <f t="shared" ref="O67:O69" si="114">I67*$E$3</f>
        <v>260</v>
      </c>
      <c r="P67" s="11">
        <f>H67*M67*N67*O67</f>
        <v>6240</v>
      </c>
      <c r="Q67" s="53">
        <f>P67</f>
        <v>6240</v>
      </c>
      <c r="R67" s="103">
        <f>P67-Q67</f>
        <v>0</v>
      </c>
      <c r="S67" s="72">
        <f t="shared" ref="S67:S69" si="115">K67+Q67</f>
        <v>12240</v>
      </c>
      <c r="T67" s="11">
        <f t="shared" ref="T67:T69" si="116">L67+R67</f>
        <v>0</v>
      </c>
      <c r="U67" s="52">
        <f t="shared" ref="U67:U69" si="117">S67+T67</f>
        <v>12240</v>
      </c>
    </row>
    <row r="68" spans="1:21" x14ac:dyDescent="0.4">
      <c r="A68" s="8" t="s">
        <v>160</v>
      </c>
      <c r="B68" s="185">
        <v>81035</v>
      </c>
      <c r="C68" s="8" t="s">
        <v>119</v>
      </c>
      <c r="D68" s="8" t="s">
        <v>91</v>
      </c>
      <c r="E68" s="20">
        <v>1</v>
      </c>
      <c r="F68" s="7" t="s">
        <v>51</v>
      </c>
      <c r="G68" s="7">
        <v>1</v>
      </c>
      <c r="H68" s="17">
        <v>1</v>
      </c>
      <c r="I68" s="11">
        <v>7000</v>
      </c>
      <c r="J68" s="11">
        <f>E68*G68*H68*I68</f>
        <v>7000</v>
      </c>
      <c r="K68" s="53">
        <f>J68</f>
        <v>7000</v>
      </c>
      <c r="L68" s="103">
        <f>J68-K68</f>
        <v>0</v>
      </c>
      <c r="M68" s="20">
        <v>0</v>
      </c>
      <c r="N68" s="7">
        <v>0</v>
      </c>
      <c r="O68" s="11">
        <f t="shared" si="114"/>
        <v>7280</v>
      </c>
      <c r="P68" s="11">
        <f>H68*M68*N68*O68</f>
        <v>0</v>
      </c>
      <c r="Q68" s="53">
        <f>P68</f>
        <v>0</v>
      </c>
      <c r="R68" s="103">
        <f>P68-Q68</f>
        <v>0</v>
      </c>
      <c r="S68" s="72">
        <f t="shared" si="115"/>
        <v>7000</v>
      </c>
      <c r="T68" s="11">
        <f t="shared" si="116"/>
        <v>0</v>
      </c>
      <c r="U68" s="52">
        <f t="shared" si="117"/>
        <v>7000</v>
      </c>
    </row>
    <row r="69" spans="1:21" x14ac:dyDescent="0.4">
      <c r="A69" s="146" t="s">
        <v>159</v>
      </c>
      <c r="B69" s="180">
        <v>81035</v>
      </c>
      <c r="C69" s="146" t="s">
        <v>119</v>
      </c>
      <c r="D69" s="146" t="s">
        <v>93</v>
      </c>
      <c r="E69" s="20">
        <v>1</v>
      </c>
      <c r="F69" s="7" t="s">
        <v>46</v>
      </c>
      <c r="G69" s="7">
        <v>1</v>
      </c>
      <c r="H69" s="17">
        <v>1</v>
      </c>
      <c r="I69" s="11">
        <v>800</v>
      </c>
      <c r="J69" s="11">
        <f>E69*G69*I69*H69</f>
        <v>800</v>
      </c>
      <c r="K69" s="53">
        <f>J69</f>
        <v>800</v>
      </c>
      <c r="L69" s="103">
        <f>J69-K69</f>
        <v>0</v>
      </c>
      <c r="M69" s="20">
        <f t="shared" si="112"/>
        <v>1</v>
      </c>
      <c r="N69" s="7">
        <f t="shared" si="113"/>
        <v>1</v>
      </c>
      <c r="O69" s="11">
        <f t="shared" si="114"/>
        <v>832</v>
      </c>
      <c r="P69" s="11">
        <f>M69*N69*O69*H69</f>
        <v>832</v>
      </c>
      <c r="Q69" s="53">
        <f>P69</f>
        <v>832</v>
      </c>
      <c r="R69" s="103">
        <f>P69-Q69</f>
        <v>0</v>
      </c>
      <c r="S69" s="72">
        <f t="shared" si="115"/>
        <v>1632</v>
      </c>
      <c r="T69" s="11">
        <f t="shared" si="116"/>
        <v>0</v>
      </c>
      <c r="U69" s="52">
        <f t="shared" si="117"/>
        <v>1632</v>
      </c>
    </row>
    <row r="70" spans="1:21" x14ac:dyDescent="0.4">
      <c r="A70" s="153"/>
      <c r="B70" s="183"/>
      <c r="C70" s="153"/>
      <c r="D70" s="153" t="s">
        <v>83</v>
      </c>
      <c r="E70" s="29"/>
      <c r="F70" s="76"/>
      <c r="G70" s="76"/>
      <c r="H70" s="89"/>
      <c r="I70" s="12"/>
      <c r="J70" s="12"/>
      <c r="K70" s="77"/>
      <c r="L70" s="101"/>
      <c r="M70" s="29"/>
      <c r="N70" s="76"/>
      <c r="O70" s="12"/>
      <c r="P70" s="12"/>
      <c r="Q70" s="77"/>
      <c r="R70" s="101"/>
      <c r="S70" s="102"/>
      <c r="T70" s="12"/>
      <c r="U70" s="101"/>
    </row>
    <row r="71" spans="1:21" x14ac:dyDescent="0.4">
      <c r="A71" s="154" t="s">
        <v>156</v>
      </c>
      <c r="B71" s="177">
        <v>82420</v>
      </c>
      <c r="C71" s="176" t="s">
        <v>119</v>
      </c>
      <c r="D71" s="154" t="s">
        <v>84</v>
      </c>
      <c r="E71" s="20">
        <v>1</v>
      </c>
      <c r="F71" s="7" t="s">
        <v>46</v>
      </c>
      <c r="G71" s="7">
        <v>1</v>
      </c>
      <c r="H71" s="17">
        <v>1</v>
      </c>
      <c r="I71" s="11">
        <v>300</v>
      </c>
      <c r="J71" s="104">
        <f>E71*G71*I71</f>
        <v>300</v>
      </c>
      <c r="K71" s="104">
        <f>J71</f>
        <v>300</v>
      </c>
      <c r="L71" s="103">
        <f>J71-K71</f>
        <v>0</v>
      </c>
      <c r="M71" s="20">
        <v>1</v>
      </c>
      <c r="N71" s="7">
        <v>1</v>
      </c>
      <c r="O71" s="11">
        <f t="shared" si="70"/>
        <v>312</v>
      </c>
      <c r="P71" s="104">
        <f>M71*N71*O71</f>
        <v>312</v>
      </c>
      <c r="Q71" s="104">
        <f>P71</f>
        <v>312</v>
      </c>
      <c r="R71" s="103">
        <f>P71-Q71</f>
        <v>0</v>
      </c>
      <c r="S71" s="72">
        <f t="shared" ref="S71:S73" si="118">K71+Q71</f>
        <v>612</v>
      </c>
      <c r="T71" s="11">
        <f t="shared" ref="T71:T73" si="119">L71+R71</f>
        <v>0</v>
      </c>
      <c r="U71" s="52">
        <f t="shared" ref="U71:U73" si="120">S71+T71</f>
        <v>612</v>
      </c>
    </row>
    <row r="72" spans="1:21" x14ac:dyDescent="0.4">
      <c r="A72" s="154" t="s">
        <v>157</v>
      </c>
      <c r="B72" s="177">
        <v>87010</v>
      </c>
      <c r="C72" s="176" t="s">
        <v>119</v>
      </c>
      <c r="D72" s="154" t="s">
        <v>85</v>
      </c>
      <c r="E72" s="20">
        <v>1</v>
      </c>
      <c r="F72" s="7" t="s">
        <v>53</v>
      </c>
      <c r="G72" s="7">
        <v>1</v>
      </c>
      <c r="H72" s="17">
        <v>1</v>
      </c>
      <c r="I72" s="11">
        <v>121</v>
      </c>
      <c r="J72" s="104">
        <f>E72*G72*I72</f>
        <v>121</v>
      </c>
      <c r="K72" s="104">
        <f>J72</f>
        <v>121</v>
      </c>
      <c r="L72" s="103">
        <f>J72-K72</f>
        <v>0</v>
      </c>
      <c r="M72" s="20">
        <v>1</v>
      </c>
      <c r="N72" s="7">
        <v>1</v>
      </c>
      <c r="O72" s="11">
        <f t="shared" si="70"/>
        <v>125.84</v>
      </c>
      <c r="P72" s="104">
        <f>M72*N72*O72</f>
        <v>125.84</v>
      </c>
      <c r="Q72" s="104">
        <f>P72</f>
        <v>125.84</v>
      </c>
      <c r="R72" s="103">
        <f>P72-Q72</f>
        <v>0</v>
      </c>
      <c r="S72" s="72">
        <f t="shared" si="118"/>
        <v>246.84</v>
      </c>
      <c r="T72" s="11">
        <f t="shared" si="119"/>
        <v>0</v>
      </c>
      <c r="U72" s="52">
        <f t="shared" si="120"/>
        <v>246.84</v>
      </c>
    </row>
    <row r="73" spans="1:21" s="5" customFormat="1" x14ac:dyDescent="0.4">
      <c r="A73" s="146" t="s">
        <v>158</v>
      </c>
      <c r="B73" s="176">
        <v>81010</v>
      </c>
      <c r="C73" s="176" t="s">
        <v>119</v>
      </c>
      <c r="D73" s="146" t="s">
        <v>86</v>
      </c>
      <c r="E73" s="20">
        <v>1</v>
      </c>
      <c r="F73" s="7" t="s">
        <v>51</v>
      </c>
      <c r="G73" s="7">
        <v>0</v>
      </c>
      <c r="H73" s="17">
        <v>1</v>
      </c>
      <c r="I73" s="11">
        <v>1000</v>
      </c>
      <c r="J73" s="11">
        <f>E73*G73*I73</f>
        <v>0</v>
      </c>
      <c r="K73" s="11">
        <f>J73</f>
        <v>0</v>
      </c>
      <c r="L73" s="103">
        <f>J73-K73</f>
        <v>0</v>
      </c>
      <c r="M73" s="20">
        <v>1</v>
      </c>
      <c r="N73" s="7">
        <v>1</v>
      </c>
      <c r="O73" s="11">
        <f t="shared" si="70"/>
        <v>1040</v>
      </c>
      <c r="P73" s="11">
        <f>M73*N73*O73</f>
        <v>1040</v>
      </c>
      <c r="Q73" s="11">
        <f>P73</f>
        <v>1040</v>
      </c>
      <c r="R73" s="103">
        <f>P73-Q73</f>
        <v>0</v>
      </c>
      <c r="S73" s="72">
        <f t="shared" si="118"/>
        <v>1040</v>
      </c>
      <c r="T73" s="11">
        <f t="shared" si="119"/>
        <v>0</v>
      </c>
      <c r="U73" s="52">
        <f t="shared" si="120"/>
        <v>1040</v>
      </c>
    </row>
    <row r="74" spans="1:21" s="3" customFormat="1" x14ac:dyDescent="0.4">
      <c r="A74" s="150"/>
      <c r="B74" s="181"/>
      <c r="C74" s="150"/>
      <c r="D74" s="150" t="s">
        <v>54</v>
      </c>
      <c r="E74" s="25"/>
      <c r="F74" s="28"/>
      <c r="G74" s="26"/>
      <c r="H74" s="58"/>
      <c r="I74" s="59"/>
      <c r="J74" s="59">
        <f>SUM(J55:J73)</f>
        <v>39031</v>
      </c>
      <c r="K74" s="59">
        <f>SUM(K55:K73)</f>
        <v>39031</v>
      </c>
      <c r="L74" s="59">
        <f>SUM(L55:L73)</f>
        <v>0</v>
      </c>
      <c r="M74" s="84"/>
      <c r="N74" s="85"/>
      <c r="O74" s="59"/>
      <c r="P74" s="59">
        <f t="shared" ref="P74:U74" si="121">SUM(P55:P73)</f>
        <v>34352.239999999998</v>
      </c>
      <c r="Q74" s="59">
        <f t="shared" si="121"/>
        <v>34352.239999999998</v>
      </c>
      <c r="R74" s="59">
        <f t="shared" si="121"/>
        <v>0</v>
      </c>
      <c r="S74" s="59">
        <f t="shared" si="121"/>
        <v>73383.239999999991</v>
      </c>
      <c r="T74" s="59">
        <f t="shared" si="121"/>
        <v>0</v>
      </c>
      <c r="U74" s="59">
        <f t="shared" si="121"/>
        <v>73383.239999999991</v>
      </c>
    </row>
    <row r="75" spans="1:21" s="3" customFormat="1" x14ac:dyDescent="0.4">
      <c r="A75" s="151"/>
      <c r="B75" s="182"/>
      <c r="C75" s="151"/>
      <c r="D75" s="151" t="s">
        <v>16</v>
      </c>
      <c r="E75" s="22"/>
      <c r="F75" s="27"/>
      <c r="G75" s="27"/>
      <c r="H75" s="63"/>
      <c r="I75" s="64"/>
      <c r="J75" s="64">
        <f>J19+J25+J37+J42+J52+J74</f>
        <v>273864.69099999999</v>
      </c>
      <c r="K75" s="64">
        <f>K19+K25+K37+K42+K52+K74</f>
        <v>273864.69099999999</v>
      </c>
      <c r="L75" s="105">
        <f>L19+L25+L37+L42+L52+L74</f>
        <v>0</v>
      </c>
      <c r="M75" s="22"/>
      <c r="N75" s="67"/>
      <c r="O75" s="64"/>
      <c r="P75" s="64">
        <f t="shared" ref="P75:U75" si="122">P19+P25+P37+P42+P52+P74</f>
        <v>225823.27864</v>
      </c>
      <c r="Q75" s="64">
        <f t="shared" si="122"/>
        <v>225823.27864</v>
      </c>
      <c r="R75" s="105">
        <f t="shared" si="122"/>
        <v>0</v>
      </c>
      <c r="S75" s="106">
        <f t="shared" si="122"/>
        <v>499687.96963999997</v>
      </c>
      <c r="T75" s="64">
        <f t="shared" si="122"/>
        <v>0</v>
      </c>
      <c r="U75" s="105">
        <f t="shared" si="122"/>
        <v>499687.96963999997</v>
      </c>
    </row>
    <row r="76" spans="1:21" s="3" customFormat="1" x14ac:dyDescent="0.4">
      <c r="A76" s="151"/>
      <c r="B76" s="182"/>
      <c r="C76" s="151"/>
      <c r="D76" s="151" t="s">
        <v>55</v>
      </c>
      <c r="E76" s="22"/>
      <c r="F76" s="27"/>
      <c r="G76" s="27"/>
      <c r="H76" s="63"/>
      <c r="I76" s="64"/>
      <c r="J76" s="64"/>
      <c r="K76" s="64"/>
      <c r="L76" s="105"/>
      <c r="M76" s="22"/>
      <c r="N76" s="67"/>
      <c r="O76" s="64"/>
      <c r="P76" s="64"/>
      <c r="Q76" s="64"/>
      <c r="R76" s="105"/>
      <c r="S76" s="106"/>
      <c r="T76" s="64"/>
      <c r="U76" s="105"/>
    </row>
    <row r="77" spans="1:21" s="3" customFormat="1" x14ac:dyDescent="0.4">
      <c r="A77" s="176" t="s">
        <v>117</v>
      </c>
      <c r="B77" s="176">
        <v>94050</v>
      </c>
      <c r="C77" s="176" t="s">
        <v>118</v>
      </c>
      <c r="D77" s="147" t="s">
        <v>87</v>
      </c>
      <c r="E77" s="142"/>
      <c r="F77" s="143">
        <v>0.2828</v>
      </c>
      <c r="G77" s="2"/>
      <c r="H77" s="36"/>
      <c r="I77" s="81"/>
      <c r="J77" s="81">
        <f>J75*F77</f>
        <v>77448.93461479999</v>
      </c>
      <c r="K77" s="81">
        <f>J77</f>
        <v>77448.93461479999</v>
      </c>
      <c r="L77" s="144">
        <f>J77-K77</f>
        <v>0</v>
      </c>
      <c r="M77" s="142"/>
      <c r="N77" s="10"/>
      <c r="O77" s="81"/>
      <c r="P77" s="81">
        <f>P75*F77</f>
        <v>63862.823199391998</v>
      </c>
      <c r="Q77" s="81">
        <f>P77</f>
        <v>63862.823199391998</v>
      </c>
      <c r="R77" s="144">
        <f>P77-Q77</f>
        <v>0</v>
      </c>
      <c r="S77" s="145">
        <f t="shared" ref="S77" si="123">K77+Q77</f>
        <v>141311.75781419198</v>
      </c>
      <c r="T77" s="81">
        <f t="shared" ref="T77" si="124">L77+R77</f>
        <v>0</v>
      </c>
      <c r="U77" s="144">
        <f t="shared" ref="U77" si="125">S77+T77</f>
        <v>141311.75781419198</v>
      </c>
    </row>
    <row r="78" spans="1:21" s="3" customFormat="1" x14ac:dyDescent="0.4">
      <c r="A78" s="155"/>
      <c r="B78" s="186"/>
      <c r="C78" s="155"/>
      <c r="D78" s="155" t="s">
        <v>56</v>
      </c>
      <c r="E78" s="32"/>
      <c r="F78" s="107"/>
      <c r="G78" s="33"/>
      <c r="H78" s="108"/>
      <c r="I78" s="109"/>
      <c r="J78" s="109">
        <f>J77</f>
        <v>77448.93461479999</v>
      </c>
      <c r="K78" s="109">
        <f>K77</f>
        <v>77448.93461479999</v>
      </c>
      <c r="L78" s="110">
        <f>L77</f>
        <v>0</v>
      </c>
      <c r="M78" s="32"/>
      <c r="N78" s="111"/>
      <c r="O78" s="109"/>
      <c r="P78" s="109">
        <f>P77</f>
        <v>63862.823199391998</v>
      </c>
      <c r="Q78" s="109">
        <f>Q77</f>
        <v>63862.823199391998</v>
      </c>
      <c r="R78" s="110">
        <f>R77</f>
        <v>0</v>
      </c>
      <c r="S78" s="112">
        <f t="shared" ref="S78:U78" si="126">S77</f>
        <v>141311.75781419198</v>
      </c>
      <c r="T78" s="112">
        <f t="shared" si="126"/>
        <v>0</v>
      </c>
      <c r="U78" s="113">
        <f t="shared" si="126"/>
        <v>141311.75781419198</v>
      </c>
    </row>
    <row r="79" spans="1:21" s="3" customFormat="1" ht="15.6" thickBot="1" x14ac:dyDescent="0.45">
      <c r="A79" s="156"/>
      <c r="B79" s="187"/>
      <c r="C79" s="156"/>
      <c r="D79" s="156" t="s">
        <v>57</v>
      </c>
      <c r="E79" s="34"/>
      <c r="F79" s="21"/>
      <c r="G79" s="21"/>
      <c r="H79" s="114"/>
      <c r="I79" s="115"/>
      <c r="J79" s="115">
        <f>J75+J78</f>
        <v>351313.62561479997</v>
      </c>
      <c r="K79" s="115">
        <f t="shared" ref="K79:U79" si="127">K75+K78</f>
        <v>351313.62561479997</v>
      </c>
      <c r="L79" s="116">
        <f t="shared" si="127"/>
        <v>0</v>
      </c>
      <c r="M79" s="117"/>
      <c r="N79" s="115"/>
      <c r="O79" s="115"/>
      <c r="P79" s="115">
        <f t="shared" si="127"/>
        <v>289686.10183939198</v>
      </c>
      <c r="Q79" s="115">
        <f t="shared" si="127"/>
        <v>289686.10183939198</v>
      </c>
      <c r="R79" s="116">
        <f t="shared" si="127"/>
        <v>0</v>
      </c>
      <c r="S79" s="117">
        <f t="shared" si="127"/>
        <v>640999.72745419201</v>
      </c>
      <c r="T79" s="115">
        <f t="shared" si="127"/>
        <v>0</v>
      </c>
      <c r="U79" s="116">
        <f t="shared" si="127"/>
        <v>640999.72745419201</v>
      </c>
    </row>
  </sheetData>
  <mergeCells count="7">
    <mergeCell ref="S5:U5"/>
    <mergeCell ref="D1:U1"/>
    <mergeCell ref="M5:R5"/>
    <mergeCell ref="E5:L5"/>
    <mergeCell ref="A5:A6"/>
    <mergeCell ref="B5:B6"/>
    <mergeCell ref="C5:C6"/>
  </mergeCells>
  <phoneticPr fontId="2" type="noConversion"/>
  <printOptions horizontalCentered="1"/>
  <pageMargins left="1" right="1" top="1" bottom="1" header="0.5" footer="0.5"/>
  <pageSetup scale="26" fitToHeight="0" orientation="landscape" r:id="rId1"/>
  <headerFooter alignWithMargins="0">
    <oddHeader>&amp;C&amp;"Arial,Bold"&amp;12Partners of the Americas
Ñande Ko’ê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BB8F-F1F1-4210-8A13-0E05F621315F}">
  <sheetPr>
    <pageSetUpPr fitToPage="1"/>
  </sheetPr>
  <dimension ref="A1:AV79"/>
  <sheetViews>
    <sheetView tabSelected="1" zoomScale="85" zoomScaleNormal="85" zoomScaleSheetLayoutView="50" workbookViewId="0">
      <selection activeCell="A17" sqref="A17:C17"/>
    </sheetView>
  </sheetViews>
  <sheetFormatPr defaultColWidth="9.109375" defaultRowHeight="15.3" x14ac:dyDescent="0.4"/>
  <cols>
    <col min="1" max="1" width="20.33203125" style="6" bestFit="1" customWidth="1"/>
    <col min="2" max="2" width="10.6640625" style="176" bestFit="1" customWidth="1"/>
    <col min="3" max="3" width="8.77734375" style="6" customWidth="1"/>
    <col min="4" max="4" width="67.88671875" style="6" customWidth="1"/>
    <col min="5" max="5" width="6" style="6" bestFit="1" customWidth="1"/>
    <col min="6" max="6" width="10.44140625" style="7" bestFit="1" customWidth="1"/>
    <col min="7" max="7" width="5.88671875" style="16" bestFit="1" customWidth="1"/>
    <col min="8" max="8" width="8.33203125" style="17" bestFit="1" customWidth="1"/>
    <col min="9" max="9" width="10.33203125" style="18" bestFit="1" customWidth="1"/>
    <col min="10" max="21" width="10.33203125" style="18" customWidth="1"/>
    <col min="22" max="23" width="11.109375" style="18" bestFit="1" customWidth="1"/>
    <col min="24" max="24" width="13.21875" style="18" customWidth="1"/>
    <col min="25" max="25" width="11.5546875" style="18" bestFit="1" customWidth="1"/>
    <col min="26" max="26" width="5" style="6" customWidth="1"/>
    <col min="27" max="27" width="5.88671875" style="6" bestFit="1" customWidth="1"/>
    <col min="28" max="40" width="12.44140625" style="18" customWidth="1"/>
    <col min="41" max="41" width="18.33203125" style="18" bestFit="1" customWidth="1"/>
    <col min="42" max="42" width="12.109375" style="18" customWidth="1"/>
    <col min="43" max="43" width="12.33203125" style="18" customWidth="1"/>
    <col min="44" max="44" width="11.5546875" style="18" bestFit="1" customWidth="1"/>
    <col min="45" max="45" width="11.5546875" style="18" customWidth="1"/>
    <col min="46" max="46" width="11.33203125" style="18" bestFit="1" customWidth="1"/>
    <col min="47" max="47" width="11.5546875" style="18" bestFit="1" customWidth="1"/>
    <col min="48" max="48" width="13.109375" style="18" bestFit="1" customWidth="1"/>
    <col min="49" max="16384" width="9.109375" style="6"/>
  </cols>
  <sheetData>
    <row r="1" spans="1:48" ht="30.75" customHeight="1" x14ac:dyDescent="0.4">
      <c r="A1" s="3"/>
      <c r="B1" s="178"/>
      <c r="C1" s="3"/>
      <c r="D1" s="203" t="s">
        <v>60</v>
      </c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</row>
    <row r="2" spans="1:48" ht="20.399999999999999" x14ac:dyDescent="0.75">
      <c r="A2" s="170" t="s">
        <v>109</v>
      </c>
      <c r="B2" s="171" t="s">
        <v>110</v>
      </c>
      <c r="C2" s="3"/>
      <c r="D2" s="167" t="s">
        <v>67</v>
      </c>
      <c r="E2" s="168">
        <v>1.04</v>
      </c>
      <c r="F2" s="4"/>
      <c r="G2" s="13"/>
      <c r="H2" s="15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3"/>
      <c r="AA2" s="3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</row>
    <row r="3" spans="1:48" ht="20.399999999999999" x14ac:dyDescent="0.75">
      <c r="A3" s="172" t="s">
        <v>111</v>
      </c>
      <c r="B3" s="173">
        <v>20200</v>
      </c>
      <c r="C3" s="3"/>
      <c r="D3" s="167" t="s">
        <v>68</v>
      </c>
      <c r="E3" s="168">
        <v>1.04</v>
      </c>
      <c r="F3" s="4"/>
      <c r="G3" s="13"/>
      <c r="H3" s="15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3"/>
      <c r="AA3" s="3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</row>
    <row r="4" spans="1:48" ht="20.7" thickBot="1" x14ac:dyDescent="0.8">
      <c r="A4" s="174" t="s">
        <v>112</v>
      </c>
      <c r="B4" s="175" t="s">
        <v>116</v>
      </c>
      <c r="C4" s="3"/>
      <c r="D4" s="3" t="s">
        <v>58</v>
      </c>
      <c r="E4" s="3"/>
      <c r="F4" s="4"/>
      <c r="G4" s="13"/>
      <c r="H4" s="15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3"/>
      <c r="AA4" s="3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</row>
    <row r="5" spans="1:48" ht="18.75" customHeight="1" x14ac:dyDescent="0.4">
      <c r="A5" s="205" t="s">
        <v>113</v>
      </c>
      <c r="B5" s="207" t="s">
        <v>114</v>
      </c>
      <c r="C5" s="209" t="s">
        <v>115</v>
      </c>
      <c r="D5" s="133" t="s">
        <v>19</v>
      </c>
      <c r="E5" s="204" t="s">
        <v>3</v>
      </c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2" t="s">
        <v>4</v>
      </c>
      <c r="AA5" s="202"/>
      <c r="AB5" s="202"/>
      <c r="AC5" s="202"/>
      <c r="AD5" s="202"/>
      <c r="AE5" s="202"/>
      <c r="AF5" s="202"/>
      <c r="AG5" s="202"/>
      <c r="AH5" s="202"/>
      <c r="AI5" s="202"/>
      <c r="AJ5" s="202"/>
      <c r="AK5" s="202"/>
      <c r="AL5" s="202"/>
      <c r="AM5" s="202"/>
      <c r="AN5" s="202"/>
      <c r="AO5" s="202"/>
      <c r="AP5" s="202"/>
      <c r="AQ5" s="202"/>
      <c r="AR5" s="202"/>
      <c r="AS5" s="169"/>
      <c r="AT5" s="202" t="s">
        <v>20</v>
      </c>
      <c r="AU5" s="202"/>
      <c r="AV5" s="202"/>
    </row>
    <row r="6" spans="1:48" s="2" customFormat="1" ht="45.3" thickBot="1" x14ac:dyDescent="0.45">
      <c r="A6" s="206"/>
      <c r="B6" s="208"/>
      <c r="C6" s="210"/>
      <c r="D6" s="134" t="s">
        <v>21</v>
      </c>
      <c r="E6" s="1" t="s">
        <v>22</v>
      </c>
      <c r="F6" s="2" t="s">
        <v>23</v>
      </c>
      <c r="G6" s="2" t="s">
        <v>24</v>
      </c>
      <c r="H6" s="36" t="s">
        <v>25</v>
      </c>
      <c r="I6" s="37" t="s">
        <v>26</v>
      </c>
      <c r="J6" s="37" t="s">
        <v>162</v>
      </c>
      <c r="K6" s="188">
        <v>45323</v>
      </c>
      <c r="L6" s="188">
        <v>45352</v>
      </c>
      <c r="M6" s="188">
        <v>45383</v>
      </c>
      <c r="N6" s="188">
        <v>45413</v>
      </c>
      <c r="O6" s="188">
        <v>45444</v>
      </c>
      <c r="P6" s="188">
        <v>45474</v>
      </c>
      <c r="Q6" s="188">
        <v>45505</v>
      </c>
      <c r="R6" s="188">
        <v>45536</v>
      </c>
      <c r="S6" s="188">
        <v>45566</v>
      </c>
      <c r="T6" s="188">
        <v>45597</v>
      </c>
      <c r="U6" s="188">
        <v>45627</v>
      </c>
      <c r="V6" s="188" t="s">
        <v>1</v>
      </c>
      <c r="W6" s="37" t="s">
        <v>164</v>
      </c>
      <c r="X6" s="37" t="s">
        <v>0</v>
      </c>
      <c r="Y6" s="38" t="s">
        <v>7</v>
      </c>
      <c r="Z6" s="35" t="s">
        <v>22</v>
      </c>
      <c r="AA6" s="2" t="s">
        <v>24</v>
      </c>
      <c r="AB6" s="37" t="s">
        <v>26</v>
      </c>
      <c r="AC6" s="37" t="s">
        <v>163</v>
      </c>
      <c r="AD6" s="188">
        <v>45689</v>
      </c>
      <c r="AE6" s="188">
        <v>45717</v>
      </c>
      <c r="AF6" s="188">
        <v>45748</v>
      </c>
      <c r="AG6" s="188">
        <v>45778</v>
      </c>
      <c r="AH6" s="188">
        <v>45809</v>
      </c>
      <c r="AI6" s="188">
        <v>45839</v>
      </c>
      <c r="AJ6" s="188">
        <v>45870</v>
      </c>
      <c r="AK6" s="188">
        <v>45901</v>
      </c>
      <c r="AL6" s="188">
        <v>45931</v>
      </c>
      <c r="AM6" s="188">
        <v>45962</v>
      </c>
      <c r="AN6" s="188">
        <v>45992</v>
      </c>
      <c r="AO6" s="188" t="s">
        <v>1</v>
      </c>
      <c r="AP6" s="37" t="s">
        <v>1</v>
      </c>
      <c r="AQ6" s="37" t="s">
        <v>0</v>
      </c>
      <c r="AR6" s="38" t="s">
        <v>7</v>
      </c>
      <c r="AS6" s="190" t="s">
        <v>165</v>
      </c>
      <c r="AT6" s="37" t="s">
        <v>0</v>
      </c>
      <c r="AU6" s="37" t="s">
        <v>7</v>
      </c>
      <c r="AV6" s="38" t="s">
        <v>27</v>
      </c>
    </row>
    <row r="7" spans="1:48" s="9" customFormat="1" ht="15" x14ac:dyDescent="0.4">
      <c r="A7" s="148"/>
      <c r="B7" s="179"/>
      <c r="C7" s="148"/>
      <c r="D7" s="148" t="s">
        <v>8</v>
      </c>
      <c r="E7" s="22"/>
      <c r="F7" s="39"/>
      <c r="G7" s="40"/>
      <c r="H7" s="41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3"/>
      <c r="Y7" s="44"/>
      <c r="Z7" s="45"/>
      <c r="AA7" s="46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4"/>
      <c r="AS7" s="191"/>
      <c r="AT7" s="47"/>
      <c r="AU7" s="43"/>
      <c r="AV7" s="48"/>
    </row>
    <row r="8" spans="1:48" x14ac:dyDescent="0.4">
      <c r="A8" s="149"/>
      <c r="B8" s="149"/>
      <c r="C8" s="149"/>
      <c r="D8" s="149" t="s">
        <v>28</v>
      </c>
      <c r="E8" s="30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49"/>
      <c r="Y8" s="50"/>
      <c r="Z8" s="30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49"/>
      <c r="AR8" s="50"/>
      <c r="AS8" s="192"/>
      <c r="AT8" s="51"/>
      <c r="AU8" s="49"/>
      <c r="AV8" s="52"/>
    </row>
    <row r="9" spans="1:48" x14ac:dyDescent="0.4">
      <c r="A9" s="146" t="s">
        <v>121</v>
      </c>
      <c r="B9" s="180">
        <v>70000</v>
      </c>
      <c r="C9" s="146" t="s">
        <v>119</v>
      </c>
      <c r="D9" s="146" t="s">
        <v>62</v>
      </c>
      <c r="E9" s="20">
        <v>1</v>
      </c>
      <c r="F9" s="53" t="s">
        <v>29</v>
      </c>
      <c r="G9" s="7">
        <v>12</v>
      </c>
      <c r="H9" s="54">
        <v>0.05</v>
      </c>
      <c r="I9" s="11">
        <v>13450</v>
      </c>
      <c r="J9" s="11">
        <f>(((3560.09/8)*31)/17.078)*1.0375</f>
        <v>838.07672608765677</v>
      </c>
      <c r="K9" s="11">
        <f t="shared" ref="K9:T9" si="0">(((3560.09/8)*31)/17.078)*1.0375</f>
        <v>838.07672608765677</v>
      </c>
      <c r="L9" s="11">
        <f t="shared" si="0"/>
        <v>838.07672608765677</v>
      </c>
      <c r="M9" s="11">
        <f>(((3560.09/8)*35)/17.078)*1.0375</f>
        <v>946.21565848606417</v>
      </c>
      <c r="N9" s="11">
        <f t="shared" si="0"/>
        <v>838.07672608765677</v>
      </c>
      <c r="O9" s="11">
        <f t="shared" si="0"/>
        <v>838.07672608765677</v>
      </c>
      <c r="P9" s="11">
        <f t="shared" si="0"/>
        <v>838.07672608765677</v>
      </c>
      <c r="Q9" s="11">
        <f t="shared" si="0"/>
        <v>838.07672608765677</v>
      </c>
      <c r="R9" s="11">
        <f t="shared" si="0"/>
        <v>838.07672608765677</v>
      </c>
      <c r="S9" s="11">
        <f t="shared" si="0"/>
        <v>838.07672608765677</v>
      </c>
      <c r="T9" s="11">
        <f t="shared" si="0"/>
        <v>838.07672608765677</v>
      </c>
      <c r="U9" s="11">
        <f>(((3560.09/8)*31)/17.078)*1.0375+T9*0.5</f>
        <v>1257.1150891314851</v>
      </c>
      <c r="V9" s="11">
        <f>SUM(J9:U9)</f>
        <v>10584.098008494115</v>
      </c>
      <c r="W9" s="11">
        <f t="shared" ref="W9:W16" si="1">E9*I9*G9*H9</f>
        <v>8070</v>
      </c>
      <c r="X9" s="11">
        <f t="shared" ref="X9:X16" si="2">W9</f>
        <v>8070</v>
      </c>
      <c r="Y9" s="52">
        <f>W9-X9</f>
        <v>0</v>
      </c>
      <c r="Z9" s="20">
        <f t="shared" ref="Z9:Z16" si="3">E9</f>
        <v>1</v>
      </c>
      <c r="AA9" s="7">
        <v>12</v>
      </c>
      <c r="AB9" s="11">
        <f>I9*$E$2</f>
        <v>13988</v>
      </c>
      <c r="AC9" s="11">
        <f>+T9*1.0375</f>
        <v>869.504603315944</v>
      </c>
      <c r="AD9" s="11">
        <f>+AC9</f>
        <v>869.504603315944</v>
      </c>
      <c r="AE9" s="11">
        <f t="shared" ref="AE9:AM9" si="4">+AD9</f>
        <v>869.504603315944</v>
      </c>
      <c r="AF9" s="11">
        <f>+AE9+AC9/30.4*4.5</f>
        <v>998.21416630679096</v>
      </c>
      <c r="AG9" s="11">
        <f>+AE9</f>
        <v>869.504603315944</v>
      </c>
      <c r="AH9" s="11">
        <f t="shared" si="4"/>
        <v>869.504603315944</v>
      </c>
      <c r="AI9" s="11">
        <f t="shared" si="4"/>
        <v>869.504603315944</v>
      </c>
      <c r="AJ9" s="11">
        <f t="shared" si="4"/>
        <v>869.504603315944</v>
      </c>
      <c r="AK9" s="11">
        <f t="shared" si="4"/>
        <v>869.504603315944</v>
      </c>
      <c r="AL9" s="11">
        <f t="shared" si="4"/>
        <v>869.504603315944</v>
      </c>
      <c r="AM9" s="11">
        <f t="shared" si="4"/>
        <v>869.504603315944</v>
      </c>
      <c r="AN9" s="11">
        <f>+AM9*1.5</f>
        <v>1304.2569049739159</v>
      </c>
      <c r="AO9" s="11">
        <f>SUM(AC9:AN9)</f>
        <v>10997.517104440147</v>
      </c>
      <c r="AP9" s="11">
        <f t="shared" ref="AP9:AP16" si="5">Z9*AB9*AA9*H9</f>
        <v>8392.8000000000011</v>
      </c>
      <c r="AQ9" s="11">
        <f t="shared" ref="AQ9:AQ16" si="6">AP9</f>
        <v>8392.8000000000011</v>
      </c>
      <c r="AR9" s="52">
        <f>AP9-AQ9</f>
        <v>0</v>
      </c>
      <c r="AS9" s="11">
        <f>+AO9+V9</f>
        <v>21581.615112934262</v>
      </c>
      <c r="AT9" s="72">
        <f t="shared" ref="AT9:AU16" si="7">X9+AQ9</f>
        <v>16462.800000000003</v>
      </c>
      <c r="AU9" s="11">
        <f t="shared" si="7"/>
        <v>0</v>
      </c>
      <c r="AV9" s="52">
        <f t="shared" ref="AV9" si="8">AT9+AU9</f>
        <v>16462.800000000003</v>
      </c>
    </row>
    <row r="10" spans="1:48" x14ac:dyDescent="0.4">
      <c r="A10" s="146" t="s">
        <v>123</v>
      </c>
      <c r="B10" s="180">
        <v>70000</v>
      </c>
      <c r="C10" s="146" t="s">
        <v>119</v>
      </c>
      <c r="D10" s="146" t="s">
        <v>63</v>
      </c>
      <c r="E10" s="20">
        <v>1</v>
      </c>
      <c r="F10" s="53" t="s">
        <v>29</v>
      </c>
      <c r="G10" s="7">
        <v>12</v>
      </c>
      <c r="H10" s="54">
        <v>0.1</v>
      </c>
      <c r="I10" s="11">
        <v>8650</v>
      </c>
      <c r="J10" s="11">
        <f>(77351.04/17.078)</f>
        <v>4529.2797751493144</v>
      </c>
      <c r="K10" s="11">
        <f t="shared" ref="K10:T10" si="9">(77351.04/17.078)</f>
        <v>4529.2797751493144</v>
      </c>
      <c r="L10" s="11">
        <f t="shared" si="9"/>
        <v>4529.2797751493144</v>
      </c>
      <c r="M10" s="11">
        <f t="shared" si="9"/>
        <v>4529.2797751493144</v>
      </c>
      <c r="N10" s="11">
        <f t="shared" si="9"/>
        <v>4529.2797751493144</v>
      </c>
      <c r="O10" s="11">
        <f t="shared" si="9"/>
        <v>4529.2797751493144</v>
      </c>
      <c r="P10" s="11">
        <f t="shared" si="9"/>
        <v>4529.2797751493144</v>
      </c>
      <c r="Q10" s="11">
        <f t="shared" si="9"/>
        <v>4529.2797751493144</v>
      </c>
      <c r="R10" s="11">
        <f t="shared" si="9"/>
        <v>4529.2797751493144</v>
      </c>
      <c r="S10" s="11">
        <f t="shared" si="9"/>
        <v>4529.2797751493144</v>
      </c>
      <c r="T10" s="11">
        <f t="shared" si="9"/>
        <v>4529.2797751493144</v>
      </c>
      <c r="U10" s="11">
        <f>(77351.04/17.078)+T10*0.5</f>
        <v>6793.9196627239717</v>
      </c>
      <c r="V10" s="11">
        <f t="shared" ref="V10:V18" si="10">SUM(J10:U10)</f>
        <v>56615.997189366419</v>
      </c>
      <c r="W10" s="11">
        <f t="shared" si="1"/>
        <v>10380</v>
      </c>
      <c r="X10" s="11">
        <f t="shared" si="2"/>
        <v>10380</v>
      </c>
      <c r="Y10" s="52">
        <f t="shared" ref="Y10:Y18" si="11">W10-X10</f>
        <v>0</v>
      </c>
      <c r="Z10" s="20">
        <f t="shared" si="3"/>
        <v>1</v>
      </c>
      <c r="AA10" s="7">
        <v>12</v>
      </c>
      <c r="AB10" s="11">
        <f t="shared" ref="AB10:AB18" si="12">I10*$E$2</f>
        <v>8996</v>
      </c>
      <c r="AC10" s="11">
        <f>+T10*1.0375+T10/30.4*16*0.25</f>
        <v>5295.0856318686401</v>
      </c>
      <c r="AD10" s="18">
        <f>+T10*1.0375</f>
        <v>4699.1277667174145</v>
      </c>
      <c r="AE10" s="11">
        <f>+AD10</f>
        <v>4699.1277667174145</v>
      </c>
      <c r="AF10" s="11">
        <f t="shared" ref="AF10:AM10" si="13">+AE10</f>
        <v>4699.1277667174145</v>
      </c>
      <c r="AG10" s="11">
        <f t="shared" si="13"/>
        <v>4699.1277667174145</v>
      </c>
      <c r="AH10" s="11">
        <f t="shared" si="13"/>
        <v>4699.1277667174145</v>
      </c>
      <c r="AI10" s="11">
        <f t="shared" si="13"/>
        <v>4699.1277667174145</v>
      </c>
      <c r="AJ10" s="11">
        <f t="shared" si="13"/>
        <v>4699.1277667174145</v>
      </c>
      <c r="AK10" s="11">
        <f t="shared" si="13"/>
        <v>4699.1277667174145</v>
      </c>
      <c r="AL10" s="11">
        <f t="shared" si="13"/>
        <v>4699.1277667174145</v>
      </c>
      <c r="AM10" s="11">
        <f t="shared" si="13"/>
        <v>4699.1277667174145</v>
      </c>
      <c r="AN10" s="11">
        <f>+AM10*1.5</f>
        <v>7048.6916500761217</v>
      </c>
      <c r="AO10" s="11">
        <f t="shared" ref="AO10:AO18" si="14">SUM(AC10:AN10)</f>
        <v>59335.054949118909</v>
      </c>
      <c r="AP10" s="11">
        <f t="shared" si="5"/>
        <v>10795.2</v>
      </c>
      <c r="AQ10" s="11">
        <f t="shared" si="6"/>
        <v>10795.2</v>
      </c>
      <c r="AR10" s="52">
        <f t="shared" ref="AR10:AR18" si="15">AP10-AQ10</f>
        <v>0</v>
      </c>
      <c r="AS10" s="11">
        <f t="shared" ref="AS10:AS18" si="16">+AO10+V10</f>
        <v>115951.05213848533</v>
      </c>
      <c r="AT10" s="72">
        <f t="shared" si="7"/>
        <v>21175.200000000001</v>
      </c>
      <c r="AU10" s="11">
        <f t="shared" si="7"/>
        <v>0</v>
      </c>
      <c r="AV10" s="52">
        <f>AT10+AU10</f>
        <v>21175.200000000001</v>
      </c>
    </row>
    <row r="11" spans="1:48" x14ac:dyDescent="0.4">
      <c r="A11" s="146" t="s">
        <v>149</v>
      </c>
      <c r="B11" s="180">
        <v>70000</v>
      </c>
      <c r="C11" s="146" t="s">
        <v>119</v>
      </c>
      <c r="D11" s="146" t="s">
        <v>64</v>
      </c>
      <c r="E11" s="20">
        <v>1</v>
      </c>
      <c r="F11" s="53" t="s">
        <v>29</v>
      </c>
      <c r="G11" s="7">
        <v>12</v>
      </c>
      <c r="H11" s="54">
        <v>0.3</v>
      </c>
      <c r="I11" s="11">
        <v>4100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>
        <f t="shared" si="10"/>
        <v>0</v>
      </c>
      <c r="W11" s="11">
        <f t="shared" si="1"/>
        <v>14760</v>
      </c>
      <c r="X11" s="11">
        <f t="shared" si="2"/>
        <v>14760</v>
      </c>
      <c r="Y11" s="52">
        <f t="shared" si="11"/>
        <v>0</v>
      </c>
      <c r="Z11" s="20">
        <f t="shared" si="3"/>
        <v>1</v>
      </c>
      <c r="AA11" s="7">
        <v>12</v>
      </c>
      <c r="AB11" s="11">
        <f t="shared" si="12"/>
        <v>4264</v>
      </c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>
        <f t="shared" si="14"/>
        <v>0</v>
      </c>
      <c r="AP11" s="11">
        <f t="shared" si="5"/>
        <v>15350.4</v>
      </c>
      <c r="AQ11" s="11">
        <f t="shared" si="6"/>
        <v>15350.4</v>
      </c>
      <c r="AR11" s="52">
        <f t="shared" si="15"/>
        <v>0</v>
      </c>
      <c r="AS11" s="11">
        <f t="shared" si="16"/>
        <v>0</v>
      </c>
      <c r="AT11" s="72">
        <f t="shared" si="7"/>
        <v>30110.400000000001</v>
      </c>
      <c r="AU11" s="11">
        <f t="shared" si="7"/>
        <v>0</v>
      </c>
      <c r="AV11" s="52">
        <f t="shared" ref="AV11:AV18" si="17">AT11+AU11</f>
        <v>30110.400000000001</v>
      </c>
    </row>
    <row r="12" spans="1:48" x14ac:dyDescent="0.4">
      <c r="A12" s="146" t="s">
        <v>140</v>
      </c>
      <c r="B12" s="180">
        <v>70000</v>
      </c>
      <c r="C12" s="146" t="s">
        <v>119</v>
      </c>
      <c r="D12" s="146" t="s">
        <v>65</v>
      </c>
      <c r="E12" s="20">
        <v>1</v>
      </c>
      <c r="F12" s="53" t="s">
        <v>29</v>
      </c>
      <c r="G12" s="7">
        <v>12</v>
      </c>
      <c r="H12" s="54">
        <v>0.3</v>
      </c>
      <c r="I12" s="11">
        <v>3000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>
        <f t="shared" si="10"/>
        <v>0</v>
      </c>
      <c r="W12" s="11">
        <f t="shared" si="1"/>
        <v>10800</v>
      </c>
      <c r="X12" s="11">
        <f t="shared" si="2"/>
        <v>10800</v>
      </c>
      <c r="Y12" s="52">
        <f t="shared" si="11"/>
        <v>0</v>
      </c>
      <c r="Z12" s="20">
        <f t="shared" si="3"/>
        <v>1</v>
      </c>
      <c r="AA12" s="7">
        <v>12</v>
      </c>
      <c r="AB12" s="11">
        <f t="shared" si="12"/>
        <v>3120</v>
      </c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>
        <f t="shared" si="14"/>
        <v>0</v>
      </c>
      <c r="AP12" s="11">
        <f t="shared" si="5"/>
        <v>11232</v>
      </c>
      <c r="AQ12" s="11">
        <f t="shared" si="6"/>
        <v>11232</v>
      </c>
      <c r="AR12" s="52">
        <f t="shared" si="15"/>
        <v>0</v>
      </c>
      <c r="AS12" s="11">
        <f t="shared" si="16"/>
        <v>0</v>
      </c>
      <c r="AT12" s="72">
        <f t="shared" si="7"/>
        <v>22032</v>
      </c>
      <c r="AU12" s="11">
        <f t="shared" si="7"/>
        <v>0</v>
      </c>
      <c r="AV12" s="52">
        <f t="shared" si="17"/>
        <v>22032</v>
      </c>
    </row>
    <row r="13" spans="1:48" x14ac:dyDescent="0.4">
      <c r="A13" s="146" t="s">
        <v>122</v>
      </c>
      <c r="B13" s="180">
        <v>70000</v>
      </c>
      <c r="C13" s="146" t="s">
        <v>119</v>
      </c>
      <c r="D13" s="146" t="s">
        <v>66</v>
      </c>
      <c r="E13" s="20">
        <v>1</v>
      </c>
      <c r="F13" s="53" t="s">
        <v>29</v>
      </c>
      <c r="G13" s="7">
        <v>12</v>
      </c>
      <c r="H13" s="54">
        <v>0.3</v>
      </c>
      <c r="I13" s="11">
        <v>2100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>
        <f t="shared" si="10"/>
        <v>0</v>
      </c>
      <c r="W13" s="11">
        <f t="shared" si="1"/>
        <v>7560</v>
      </c>
      <c r="X13" s="11">
        <f t="shared" si="2"/>
        <v>7560</v>
      </c>
      <c r="Y13" s="52">
        <f t="shared" si="11"/>
        <v>0</v>
      </c>
      <c r="Z13" s="20">
        <f t="shared" si="3"/>
        <v>1</v>
      </c>
      <c r="AA13" s="7">
        <v>12</v>
      </c>
      <c r="AB13" s="11">
        <f t="shared" si="12"/>
        <v>2184</v>
      </c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>
        <f t="shared" si="14"/>
        <v>0</v>
      </c>
      <c r="AP13" s="11">
        <f t="shared" si="5"/>
        <v>7862.4</v>
      </c>
      <c r="AQ13" s="11">
        <f t="shared" si="6"/>
        <v>7862.4</v>
      </c>
      <c r="AR13" s="52">
        <f t="shared" si="15"/>
        <v>0</v>
      </c>
      <c r="AS13" s="11">
        <f t="shared" si="16"/>
        <v>0</v>
      </c>
      <c r="AT13" s="72">
        <f t="shared" si="7"/>
        <v>15422.4</v>
      </c>
      <c r="AU13" s="11">
        <f t="shared" si="7"/>
        <v>0</v>
      </c>
      <c r="AV13" s="52">
        <f>AT13+AU13</f>
        <v>15422.4</v>
      </c>
    </row>
    <row r="14" spans="1:48" x14ac:dyDescent="0.4">
      <c r="A14" s="146" t="s">
        <v>139</v>
      </c>
      <c r="B14" s="180">
        <v>70000</v>
      </c>
      <c r="C14" s="146" t="s">
        <v>119</v>
      </c>
      <c r="D14" s="146" t="s">
        <v>103</v>
      </c>
      <c r="E14" s="20">
        <v>1</v>
      </c>
      <c r="F14" s="53" t="s">
        <v>29</v>
      </c>
      <c r="G14" s="7">
        <v>12</v>
      </c>
      <c r="H14" s="54">
        <v>0.25</v>
      </c>
      <c r="I14" s="11">
        <v>3100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>
        <f t="shared" si="10"/>
        <v>0</v>
      </c>
      <c r="W14" s="11">
        <f t="shared" si="1"/>
        <v>9300</v>
      </c>
      <c r="X14" s="11">
        <f t="shared" si="2"/>
        <v>9300</v>
      </c>
      <c r="Y14" s="52">
        <f t="shared" si="11"/>
        <v>0</v>
      </c>
      <c r="Z14" s="20">
        <f t="shared" si="3"/>
        <v>1</v>
      </c>
      <c r="AA14" s="7">
        <v>12</v>
      </c>
      <c r="AB14" s="11">
        <f t="shared" si="12"/>
        <v>3224</v>
      </c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>
        <f t="shared" si="14"/>
        <v>0</v>
      </c>
      <c r="AP14" s="11">
        <f t="shared" si="5"/>
        <v>9672</v>
      </c>
      <c r="AQ14" s="11">
        <f t="shared" si="6"/>
        <v>9672</v>
      </c>
      <c r="AR14" s="52">
        <f t="shared" si="15"/>
        <v>0</v>
      </c>
      <c r="AS14" s="11">
        <f t="shared" si="16"/>
        <v>0</v>
      </c>
      <c r="AT14" s="72">
        <f t="shared" si="7"/>
        <v>18972</v>
      </c>
      <c r="AU14" s="11">
        <f t="shared" si="7"/>
        <v>0</v>
      </c>
      <c r="AV14" s="52">
        <f t="shared" ref="AV14:AV15" si="18">AT14+AU14</f>
        <v>18972</v>
      </c>
    </row>
    <row r="15" spans="1:48" x14ac:dyDescent="0.4">
      <c r="A15" s="176" t="s">
        <v>124</v>
      </c>
      <c r="B15" s="180">
        <v>70000</v>
      </c>
      <c r="C15" s="146" t="s">
        <v>119</v>
      </c>
      <c r="D15" s="146" t="s">
        <v>104</v>
      </c>
      <c r="E15" s="20">
        <v>1</v>
      </c>
      <c r="F15" s="53" t="s">
        <v>29</v>
      </c>
      <c r="G15" s="7">
        <v>12</v>
      </c>
      <c r="H15" s="54">
        <v>0.05</v>
      </c>
      <c r="I15" s="11">
        <v>5500</v>
      </c>
      <c r="J15" s="189">
        <f>(((2722.16/8)*31)/17.078)*1.0375</f>
        <v>640.8205805714955</v>
      </c>
      <c r="K15" s="189">
        <f>(((2722.16/8)*33)/17.078)*1.0375</f>
        <v>682.16384383417267</v>
      </c>
      <c r="L15" s="189">
        <f t="shared" ref="L15:S15" si="19">(((2722.16/8)*31)/17.078)*1.0375</f>
        <v>640.8205805714955</v>
      </c>
      <c r="M15" s="189">
        <f t="shared" si="19"/>
        <v>640.8205805714955</v>
      </c>
      <c r="N15" s="189">
        <f t="shared" si="19"/>
        <v>640.8205805714955</v>
      </c>
      <c r="O15" s="189">
        <f t="shared" si="19"/>
        <v>640.8205805714955</v>
      </c>
      <c r="P15" s="189">
        <f t="shared" si="19"/>
        <v>640.8205805714955</v>
      </c>
      <c r="Q15" s="189">
        <f t="shared" si="19"/>
        <v>640.8205805714955</v>
      </c>
      <c r="R15" s="189">
        <f t="shared" si="19"/>
        <v>640.8205805714955</v>
      </c>
      <c r="S15" s="189">
        <f t="shared" si="19"/>
        <v>640.8205805714955</v>
      </c>
      <c r="T15" s="189">
        <f>(((2722.16/8)*31)/17.078)*1.0375+((1466.04/8*18/17.078)*1.0375)*0.25</f>
        <v>690.91847149841908</v>
      </c>
      <c r="U15" s="189">
        <f>(((2722.16/8)*31)/17.078)*1.0375+T15*0.5</f>
        <v>986.27981632070509</v>
      </c>
      <c r="V15" s="11">
        <f t="shared" si="10"/>
        <v>8126.7473567967563</v>
      </c>
      <c r="W15" s="11">
        <f t="shared" si="1"/>
        <v>3300</v>
      </c>
      <c r="X15" s="11">
        <f t="shared" si="2"/>
        <v>3300</v>
      </c>
      <c r="Y15" s="52">
        <f t="shared" si="11"/>
        <v>0</v>
      </c>
      <c r="Z15" s="20">
        <f t="shared" si="3"/>
        <v>1</v>
      </c>
      <c r="AA15" s="7">
        <v>12</v>
      </c>
      <c r="AB15" s="11">
        <f t="shared" si="12"/>
        <v>5720</v>
      </c>
      <c r="AC15" s="11">
        <f>+T15*1.0375</f>
        <v>716.82791417960982</v>
      </c>
      <c r="AD15" s="11">
        <f>+AC15/30.4*33</f>
        <v>778.13556473444487</v>
      </c>
      <c r="AE15" s="11">
        <f>+AC15</f>
        <v>716.82791417960982</v>
      </c>
      <c r="AF15" s="11">
        <f t="shared" ref="AF15:AL15" si="20">+AE15</f>
        <v>716.82791417960982</v>
      </c>
      <c r="AG15" s="11">
        <f t="shared" si="20"/>
        <v>716.82791417960982</v>
      </c>
      <c r="AH15" s="11">
        <f t="shared" si="20"/>
        <v>716.82791417960982</v>
      </c>
      <c r="AI15" s="11">
        <f t="shared" si="20"/>
        <v>716.82791417960982</v>
      </c>
      <c r="AJ15" s="11">
        <f t="shared" si="20"/>
        <v>716.82791417960982</v>
      </c>
      <c r="AK15" s="11">
        <f t="shared" si="20"/>
        <v>716.82791417960982</v>
      </c>
      <c r="AL15" s="11">
        <f t="shared" si="20"/>
        <v>716.82791417960982</v>
      </c>
      <c r="AM15" s="11">
        <f>+AL15+((1466.04/8*18/17.078)*1.0375)*0.25*1.0375</f>
        <v>768.80447601629294</v>
      </c>
      <c r="AN15" s="11">
        <f>+AM15*1.5</f>
        <v>1153.2067140244394</v>
      </c>
      <c r="AO15" s="11">
        <f t="shared" si="14"/>
        <v>9151.5979823916659</v>
      </c>
      <c r="AP15" s="11">
        <f t="shared" si="5"/>
        <v>3432</v>
      </c>
      <c r="AQ15" s="11">
        <f t="shared" si="6"/>
        <v>3432</v>
      </c>
      <c r="AR15" s="52">
        <f t="shared" si="15"/>
        <v>0</v>
      </c>
      <c r="AS15" s="11">
        <f t="shared" si="16"/>
        <v>17278.345339188421</v>
      </c>
      <c r="AT15" s="72">
        <f t="shared" si="7"/>
        <v>6732</v>
      </c>
      <c r="AU15" s="11">
        <f t="shared" si="7"/>
        <v>0</v>
      </c>
      <c r="AV15" s="52">
        <f t="shared" si="18"/>
        <v>6732</v>
      </c>
    </row>
    <row r="16" spans="1:48" x14ac:dyDescent="0.4">
      <c r="A16" s="176" t="s">
        <v>166</v>
      </c>
      <c r="B16" s="180">
        <v>70000</v>
      </c>
      <c r="C16" s="146" t="s">
        <v>119</v>
      </c>
      <c r="D16" s="146" t="s">
        <v>105</v>
      </c>
      <c r="E16" s="20">
        <v>1</v>
      </c>
      <c r="F16" s="53" t="s">
        <v>29</v>
      </c>
      <c r="G16" s="7">
        <v>12</v>
      </c>
      <c r="H16" s="54">
        <v>0.2</v>
      </c>
      <c r="I16" s="11">
        <v>2100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>
        <f t="shared" si="10"/>
        <v>0</v>
      </c>
      <c r="W16" s="11">
        <f t="shared" si="1"/>
        <v>5040</v>
      </c>
      <c r="X16" s="11">
        <f t="shared" si="2"/>
        <v>5040</v>
      </c>
      <c r="Y16" s="52">
        <f t="shared" si="11"/>
        <v>0</v>
      </c>
      <c r="Z16" s="20">
        <f t="shared" si="3"/>
        <v>1</v>
      </c>
      <c r="AA16" s="7">
        <v>12</v>
      </c>
      <c r="AB16" s="11">
        <f t="shared" si="12"/>
        <v>2184</v>
      </c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>
        <f t="shared" si="14"/>
        <v>0</v>
      </c>
      <c r="AP16" s="11">
        <f t="shared" si="5"/>
        <v>5241.6000000000004</v>
      </c>
      <c r="AQ16" s="11">
        <f t="shared" si="6"/>
        <v>5241.6000000000004</v>
      </c>
      <c r="AR16" s="52">
        <f t="shared" si="15"/>
        <v>0</v>
      </c>
      <c r="AS16" s="11">
        <f t="shared" si="16"/>
        <v>0</v>
      </c>
      <c r="AT16" s="72">
        <f t="shared" si="7"/>
        <v>10281.6</v>
      </c>
      <c r="AU16" s="11">
        <f t="shared" si="7"/>
        <v>0</v>
      </c>
      <c r="AV16" s="52">
        <f t="shared" si="17"/>
        <v>10281.6</v>
      </c>
    </row>
    <row r="17" spans="1:48" x14ac:dyDescent="0.4">
      <c r="A17" s="149"/>
      <c r="B17" s="180"/>
      <c r="C17" s="146"/>
      <c r="D17" s="149" t="s">
        <v>30</v>
      </c>
      <c r="E17" s="30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>
        <f t="shared" si="10"/>
        <v>0</v>
      </c>
      <c r="W17" s="11"/>
      <c r="X17" s="49"/>
      <c r="Y17" s="52"/>
      <c r="Z17" s="30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>
        <f t="shared" si="14"/>
        <v>0</v>
      </c>
      <c r="AP17" s="11"/>
      <c r="AQ17" s="49"/>
      <c r="AR17" s="52"/>
      <c r="AS17" s="11">
        <f t="shared" ref="AS17" si="21">SUM(AG17:AR17)</f>
        <v>0</v>
      </c>
      <c r="AT17" s="72"/>
      <c r="AU17" s="11"/>
      <c r="AV17" s="52"/>
    </row>
    <row r="18" spans="1:48" x14ac:dyDescent="0.4">
      <c r="A18" s="176" t="s">
        <v>120</v>
      </c>
      <c r="B18" s="180">
        <v>50000</v>
      </c>
      <c r="C18" s="146" t="s">
        <v>118</v>
      </c>
      <c r="D18" s="146" t="s">
        <v>31</v>
      </c>
      <c r="E18" s="20">
        <v>1</v>
      </c>
      <c r="F18" s="53" t="s">
        <v>29</v>
      </c>
      <c r="G18" s="7">
        <v>12</v>
      </c>
      <c r="H18" s="54">
        <v>0.2</v>
      </c>
      <c r="I18" s="11">
        <f>55000/12</f>
        <v>4583.333333333333</v>
      </c>
      <c r="J18" s="11">
        <f>+W18/12</f>
        <v>916.66666666666663</v>
      </c>
      <c r="K18" s="11">
        <f>+J18</f>
        <v>916.66666666666663</v>
      </c>
      <c r="L18" s="11">
        <f t="shared" ref="L18:U18" si="22">+K18</f>
        <v>916.66666666666663</v>
      </c>
      <c r="M18" s="11">
        <f t="shared" si="22"/>
        <v>916.66666666666663</v>
      </c>
      <c r="N18" s="11">
        <f t="shared" si="22"/>
        <v>916.66666666666663</v>
      </c>
      <c r="O18" s="11">
        <f t="shared" si="22"/>
        <v>916.66666666666663</v>
      </c>
      <c r="P18" s="11">
        <f t="shared" si="22"/>
        <v>916.66666666666663</v>
      </c>
      <c r="Q18" s="11">
        <f t="shared" si="22"/>
        <v>916.66666666666663</v>
      </c>
      <c r="R18" s="11">
        <f t="shared" si="22"/>
        <v>916.66666666666663</v>
      </c>
      <c r="S18" s="11">
        <f t="shared" si="22"/>
        <v>916.66666666666663</v>
      </c>
      <c r="T18" s="11">
        <f t="shared" si="22"/>
        <v>916.66666666666663</v>
      </c>
      <c r="U18" s="11">
        <f t="shared" si="22"/>
        <v>916.66666666666663</v>
      </c>
      <c r="V18" s="11">
        <f t="shared" si="10"/>
        <v>10999.999999999998</v>
      </c>
      <c r="W18" s="11">
        <f>E18*I18*G18*H18</f>
        <v>11000</v>
      </c>
      <c r="X18" s="11">
        <f>W18</f>
        <v>11000</v>
      </c>
      <c r="Y18" s="52">
        <f t="shared" si="11"/>
        <v>0</v>
      </c>
      <c r="Z18" s="20">
        <v>1</v>
      </c>
      <c r="AA18" s="7">
        <f>G18</f>
        <v>12</v>
      </c>
      <c r="AB18" s="11">
        <f t="shared" si="12"/>
        <v>4766.6666666666661</v>
      </c>
      <c r="AC18" s="11">
        <f>+AP18/12</f>
        <v>953.33333333333337</v>
      </c>
      <c r="AD18" s="11">
        <f>+AC18</f>
        <v>953.33333333333337</v>
      </c>
      <c r="AE18" s="11">
        <f t="shared" ref="AE18:AN18" si="23">+AD18</f>
        <v>953.33333333333337</v>
      </c>
      <c r="AF18" s="11">
        <f t="shared" si="23"/>
        <v>953.33333333333337</v>
      </c>
      <c r="AG18" s="11">
        <f t="shared" si="23"/>
        <v>953.33333333333337</v>
      </c>
      <c r="AH18" s="11">
        <f t="shared" si="23"/>
        <v>953.33333333333337</v>
      </c>
      <c r="AI18" s="11">
        <f t="shared" si="23"/>
        <v>953.33333333333337</v>
      </c>
      <c r="AJ18" s="11">
        <f t="shared" si="23"/>
        <v>953.33333333333337</v>
      </c>
      <c r="AK18" s="11">
        <f t="shared" si="23"/>
        <v>953.33333333333337</v>
      </c>
      <c r="AL18" s="11">
        <f t="shared" si="23"/>
        <v>953.33333333333337</v>
      </c>
      <c r="AM18" s="11">
        <f t="shared" si="23"/>
        <v>953.33333333333337</v>
      </c>
      <c r="AN18" s="11">
        <f t="shared" si="23"/>
        <v>953.33333333333337</v>
      </c>
      <c r="AO18" s="11">
        <f t="shared" si="14"/>
        <v>11440.000000000002</v>
      </c>
      <c r="AP18" s="11">
        <f>Z18*AB18*AA18*H18</f>
        <v>11440</v>
      </c>
      <c r="AQ18" s="11">
        <f>AP18</f>
        <v>11440</v>
      </c>
      <c r="AR18" s="52">
        <f t="shared" si="15"/>
        <v>0</v>
      </c>
      <c r="AS18" s="11">
        <f t="shared" si="16"/>
        <v>22440</v>
      </c>
      <c r="AT18" s="72">
        <f>X18+AQ18</f>
        <v>22440</v>
      </c>
      <c r="AU18" s="11">
        <f>Y18+AR18</f>
        <v>0</v>
      </c>
      <c r="AV18" s="52">
        <f t="shared" si="17"/>
        <v>22440</v>
      </c>
    </row>
    <row r="19" spans="1:48" s="10" customFormat="1" ht="15" x14ac:dyDescent="0.4">
      <c r="A19" s="150"/>
      <c r="B19" s="181"/>
      <c r="C19" s="150"/>
      <c r="D19" s="150" t="s">
        <v>32</v>
      </c>
      <c r="E19" s="24"/>
      <c r="F19" s="28"/>
      <c r="G19" s="57"/>
      <c r="H19" s="58"/>
      <c r="I19" s="59"/>
      <c r="J19" s="59">
        <f t="shared" ref="J19:V19" si="24">SUM(J9:J18)</f>
        <v>6924.843748475133</v>
      </c>
      <c r="K19" s="59">
        <f t="shared" si="24"/>
        <v>6966.1870117378103</v>
      </c>
      <c r="L19" s="59">
        <f t="shared" si="24"/>
        <v>6924.843748475133</v>
      </c>
      <c r="M19" s="59">
        <f t="shared" si="24"/>
        <v>7032.9826808735406</v>
      </c>
      <c r="N19" s="59">
        <f t="shared" si="24"/>
        <v>6924.843748475133</v>
      </c>
      <c r="O19" s="59">
        <f t="shared" si="24"/>
        <v>6924.843748475133</v>
      </c>
      <c r="P19" s="59">
        <f t="shared" si="24"/>
        <v>6924.843748475133</v>
      </c>
      <c r="Q19" s="59">
        <f t="shared" si="24"/>
        <v>6924.843748475133</v>
      </c>
      <c r="R19" s="59">
        <f t="shared" si="24"/>
        <v>6924.843748475133</v>
      </c>
      <c r="S19" s="59">
        <f t="shared" si="24"/>
        <v>6924.843748475133</v>
      </c>
      <c r="T19" s="59">
        <f t="shared" si="24"/>
        <v>6974.9416394020573</v>
      </c>
      <c r="U19" s="59">
        <f t="shared" si="24"/>
        <v>9953.9812348428277</v>
      </c>
      <c r="V19" s="59">
        <f t="shared" si="24"/>
        <v>86326.842554657283</v>
      </c>
      <c r="W19" s="59">
        <f>SUM(W9:W18)</f>
        <v>80210</v>
      </c>
      <c r="X19" s="59">
        <f>SUM(X9:X18)</f>
        <v>80210</v>
      </c>
      <c r="Y19" s="59">
        <f>SUM(Y9:Y18)</f>
        <v>0</v>
      </c>
      <c r="Z19" s="24"/>
      <c r="AA19" s="9"/>
      <c r="AB19" s="59"/>
      <c r="AC19" s="59">
        <f t="shared" ref="AC19" si="25">SUM(AC9:AC18)</f>
        <v>7834.7514826975275</v>
      </c>
      <c r="AD19" s="59">
        <f>SUM(AD9:AD18)</f>
        <v>7300.1012681011371</v>
      </c>
      <c r="AE19" s="59">
        <f t="shared" ref="AE19" si="26">SUM(AE9:AE18)</f>
        <v>7238.7936175463019</v>
      </c>
      <c r="AF19" s="59">
        <f t="shared" ref="AF19" si="27">SUM(AF9:AF18)</f>
        <v>7367.5031805371482</v>
      </c>
      <c r="AG19" s="59">
        <f t="shared" ref="AG19" si="28">SUM(AG9:AG18)</f>
        <v>7238.7936175463019</v>
      </c>
      <c r="AH19" s="59">
        <f t="shared" ref="AH19" si="29">SUM(AH9:AH18)</f>
        <v>7238.7936175463019</v>
      </c>
      <c r="AI19" s="59">
        <f t="shared" ref="AI19" si="30">SUM(AI9:AI18)</f>
        <v>7238.7936175463019</v>
      </c>
      <c r="AJ19" s="59">
        <f t="shared" ref="AJ19" si="31">SUM(AJ9:AJ18)</f>
        <v>7238.7936175463019</v>
      </c>
      <c r="AK19" s="59">
        <f t="shared" ref="AK19" si="32">SUM(AK9:AK18)</f>
        <v>7238.7936175463019</v>
      </c>
      <c r="AL19" s="59">
        <f t="shared" ref="AL19" si="33">SUM(AL9:AL18)</f>
        <v>7238.7936175463019</v>
      </c>
      <c r="AM19" s="59">
        <f t="shared" ref="AM19" si="34">SUM(AM9:AM18)</f>
        <v>7290.7701793829847</v>
      </c>
      <c r="AN19" s="59">
        <f t="shared" ref="AN19:AO19" si="35">SUM(AN9:AN18)</f>
        <v>10459.488602407811</v>
      </c>
      <c r="AO19" s="59">
        <f t="shared" si="35"/>
        <v>90924.170035950723</v>
      </c>
      <c r="AP19" s="59">
        <f t="shared" ref="AP19:AV19" si="36">SUM(AP9:AP18)</f>
        <v>83418.400000000009</v>
      </c>
      <c r="AQ19" s="59">
        <f t="shared" si="36"/>
        <v>83418.400000000009</v>
      </c>
      <c r="AR19" s="59">
        <f t="shared" si="36"/>
        <v>0</v>
      </c>
      <c r="AS19" s="59">
        <f t="shared" ref="AS19" si="37">SUM(AS9:AS18)</f>
        <v>177251.01259060801</v>
      </c>
      <c r="AT19" s="59">
        <f t="shared" si="36"/>
        <v>163628.4</v>
      </c>
      <c r="AU19" s="59">
        <f t="shared" si="36"/>
        <v>0</v>
      </c>
      <c r="AV19" s="59">
        <f t="shared" si="36"/>
        <v>163628.4</v>
      </c>
    </row>
    <row r="20" spans="1:48" x14ac:dyDescent="0.4">
      <c r="A20" s="151"/>
      <c r="B20" s="182"/>
      <c r="C20" s="151"/>
      <c r="D20" s="151" t="s">
        <v>9</v>
      </c>
      <c r="E20" s="22"/>
      <c r="F20" s="27"/>
      <c r="G20" s="62"/>
      <c r="H20" s="63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5"/>
      <c r="Y20" s="66"/>
      <c r="Z20" s="22"/>
      <c r="AA20" s="67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5"/>
      <c r="AR20" s="66"/>
      <c r="AS20" s="64"/>
      <c r="AT20" s="68"/>
      <c r="AU20" s="65"/>
      <c r="AV20" s="69"/>
    </row>
    <row r="21" spans="1:48" x14ac:dyDescent="0.4">
      <c r="A21" s="147"/>
      <c r="B21" s="149"/>
      <c r="C21" s="147"/>
      <c r="D21" s="147" t="s">
        <v>33</v>
      </c>
      <c r="E21" s="70"/>
      <c r="F21" s="71"/>
      <c r="G21" s="7"/>
      <c r="Y21" s="55"/>
      <c r="Z21" s="20"/>
      <c r="AA21" s="7"/>
      <c r="AR21" s="55"/>
      <c r="AT21" s="56"/>
      <c r="AV21" s="55"/>
    </row>
    <row r="22" spans="1:48" x14ac:dyDescent="0.4">
      <c r="A22" s="146" t="s">
        <v>126</v>
      </c>
      <c r="B22" s="176">
        <v>50900</v>
      </c>
      <c r="C22" s="146" t="s">
        <v>118</v>
      </c>
      <c r="D22" s="146" t="s">
        <v>34</v>
      </c>
      <c r="E22" s="139"/>
      <c r="F22" s="7" t="s">
        <v>25</v>
      </c>
      <c r="G22" s="7"/>
      <c r="H22" s="140">
        <v>0.23469999999999999</v>
      </c>
      <c r="I22" s="11"/>
      <c r="J22" s="11">
        <f>+W22/12</f>
        <v>215.14166666666665</v>
      </c>
      <c r="K22" s="11">
        <f>+J22</f>
        <v>215.14166666666665</v>
      </c>
      <c r="L22" s="11">
        <f t="shared" ref="L22:U22" si="38">+K22</f>
        <v>215.14166666666665</v>
      </c>
      <c r="M22" s="11">
        <f t="shared" si="38"/>
        <v>215.14166666666665</v>
      </c>
      <c r="N22" s="11">
        <f t="shared" si="38"/>
        <v>215.14166666666665</v>
      </c>
      <c r="O22" s="11">
        <f t="shared" si="38"/>
        <v>215.14166666666665</v>
      </c>
      <c r="P22" s="11">
        <f t="shared" si="38"/>
        <v>215.14166666666665</v>
      </c>
      <c r="Q22" s="11">
        <f t="shared" si="38"/>
        <v>215.14166666666665</v>
      </c>
      <c r="R22" s="11">
        <f t="shared" si="38"/>
        <v>215.14166666666665</v>
      </c>
      <c r="S22" s="11">
        <f t="shared" si="38"/>
        <v>215.14166666666665</v>
      </c>
      <c r="T22" s="11">
        <f t="shared" si="38"/>
        <v>215.14166666666665</v>
      </c>
      <c r="U22" s="11">
        <f t="shared" si="38"/>
        <v>215.14166666666665</v>
      </c>
      <c r="V22" s="11">
        <f t="shared" ref="V22:V24" si="39">SUM(J22:U22)</f>
        <v>2581.6999999999998</v>
      </c>
      <c r="W22" s="11">
        <f>W18*H22</f>
        <v>2581.6999999999998</v>
      </c>
      <c r="X22" s="11">
        <f>W22</f>
        <v>2581.6999999999998</v>
      </c>
      <c r="Y22" s="52">
        <v>0</v>
      </c>
      <c r="Z22" s="139"/>
      <c r="AA22" s="7"/>
      <c r="AB22" s="11">
        <f>AB18</f>
        <v>4766.6666666666661</v>
      </c>
      <c r="AC22" s="11">
        <f>+AP22/12</f>
        <v>223.74733333333333</v>
      </c>
      <c r="AD22" s="11">
        <f>+AC22</f>
        <v>223.74733333333333</v>
      </c>
      <c r="AE22" s="11">
        <f t="shared" ref="AE22:AN22" si="40">+AD22</f>
        <v>223.74733333333333</v>
      </c>
      <c r="AF22" s="11">
        <f t="shared" si="40"/>
        <v>223.74733333333333</v>
      </c>
      <c r="AG22" s="11">
        <f t="shared" si="40"/>
        <v>223.74733333333333</v>
      </c>
      <c r="AH22" s="11">
        <f t="shared" si="40"/>
        <v>223.74733333333333</v>
      </c>
      <c r="AI22" s="11">
        <f t="shared" si="40"/>
        <v>223.74733333333333</v>
      </c>
      <c r="AJ22" s="11">
        <f t="shared" si="40"/>
        <v>223.74733333333333</v>
      </c>
      <c r="AK22" s="11">
        <f t="shared" si="40"/>
        <v>223.74733333333333</v>
      </c>
      <c r="AL22" s="11">
        <f t="shared" si="40"/>
        <v>223.74733333333333</v>
      </c>
      <c r="AM22" s="11">
        <f t="shared" si="40"/>
        <v>223.74733333333333</v>
      </c>
      <c r="AN22" s="11">
        <f t="shared" si="40"/>
        <v>223.74733333333333</v>
      </c>
      <c r="AO22" s="11">
        <f t="shared" ref="AO22:AO24" si="41">SUM(AC22:AN22)</f>
        <v>2684.9679999999994</v>
      </c>
      <c r="AP22" s="11">
        <f>AP18*H22</f>
        <v>2684.9679999999998</v>
      </c>
      <c r="AQ22" s="11">
        <f>AP22</f>
        <v>2684.9679999999998</v>
      </c>
      <c r="AR22" s="52">
        <f>AP22-AQ22</f>
        <v>0</v>
      </c>
      <c r="AS22" s="11">
        <f t="shared" ref="AS22:AS24" si="42">+AO22+V22</f>
        <v>5266.6679999999997</v>
      </c>
      <c r="AT22" s="72">
        <f>X22+AQ22</f>
        <v>5266.6679999999997</v>
      </c>
      <c r="AU22" s="11">
        <f>Y22+AR22</f>
        <v>0</v>
      </c>
      <c r="AV22" s="52">
        <f>AT22+AU22</f>
        <v>5266.6679999999997</v>
      </c>
    </row>
    <row r="23" spans="1:48" x14ac:dyDescent="0.4">
      <c r="A23" s="147"/>
      <c r="B23" s="149"/>
      <c r="C23" s="147"/>
      <c r="D23" s="147" t="s">
        <v>35</v>
      </c>
      <c r="E23" s="70"/>
      <c r="G23" s="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52"/>
      <c r="Z23" s="20"/>
      <c r="AA23" s="7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52"/>
      <c r="AS23" s="11"/>
      <c r="AT23" s="72"/>
      <c r="AU23" s="11"/>
      <c r="AV23" s="52"/>
    </row>
    <row r="24" spans="1:48" x14ac:dyDescent="0.4">
      <c r="A24" s="176" t="s">
        <v>125</v>
      </c>
      <c r="B24" s="176">
        <v>70015</v>
      </c>
      <c r="C24" s="146" t="s">
        <v>119</v>
      </c>
      <c r="D24" s="146" t="s">
        <v>69</v>
      </c>
      <c r="E24" s="139"/>
      <c r="F24" s="7" t="s">
        <v>25</v>
      </c>
      <c r="G24" s="7"/>
      <c r="H24" s="140">
        <v>0.36709999999999998</v>
      </c>
      <c r="I24" s="11"/>
      <c r="J24" s="11">
        <f>(+J19-J18)*0.03+((7699.09+900)/12)*1.15</f>
        <v>1004.3247707875872</v>
      </c>
      <c r="K24" s="11">
        <f t="shared" ref="K24:U24" si="43">(+K19-K18)*0.03+((7699.09+900)/12)*1.15</f>
        <v>1005.5650686854676</v>
      </c>
      <c r="L24" s="11">
        <f t="shared" si="43"/>
        <v>1004.3247707875872</v>
      </c>
      <c r="M24" s="11">
        <f t="shared" si="43"/>
        <v>1007.5689387595395</v>
      </c>
      <c r="N24" s="11">
        <f t="shared" si="43"/>
        <v>1004.3247707875872</v>
      </c>
      <c r="O24" s="11">
        <f t="shared" si="43"/>
        <v>1004.3247707875872</v>
      </c>
      <c r="P24" s="11">
        <f t="shared" si="43"/>
        <v>1004.3247707875872</v>
      </c>
      <c r="Q24" s="11">
        <f t="shared" si="43"/>
        <v>1004.3247707875872</v>
      </c>
      <c r="R24" s="11">
        <f t="shared" si="43"/>
        <v>1004.3247707875872</v>
      </c>
      <c r="S24" s="11">
        <f t="shared" si="43"/>
        <v>1004.3247707875872</v>
      </c>
      <c r="T24" s="11">
        <f t="shared" si="43"/>
        <v>1005.827707515395</v>
      </c>
      <c r="U24" s="11">
        <f t="shared" si="43"/>
        <v>1095.1988953786181</v>
      </c>
      <c r="V24" s="11">
        <f t="shared" si="39"/>
        <v>12148.758776639717</v>
      </c>
      <c r="W24" s="11">
        <f>(SUM(W9:W16))*$H$24</f>
        <v>25406.990999999998</v>
      </c>
      <c r="X24" s="11">
        <f>W24</f>
        <v>25406.990999999998</v>
      </c>
      <c r="Y24" s="52">
        <v>0</v>
      </c>
      <c r="Z24" s="139"/>
      <c r="AA24" s="7"/>
      <c r="AB24" s="11">
        <f>AB10</f>
        <v>8996</v>
      </c>
      <c r="AC24" s="11">
        <f t="shared" ref="AC24:AM24" si="44">(+AC19-AC18)*0.03+((7699.09+900)/12)*1.15</f>
        <v>1030.5220028142592</v>
      </c>
      <c r="AD24" s="11">
        <f t="shared" si="44"/>
        <v>1014.4824963763674</v>
      </c>
      <c r="AE24" s="11">
        <f t="shared" si="44"/>
        <v>1012.6432668597223</v>
      </c>
      <c r="AF24" s="11">
        <f t="shared" si="44"/>
        <v>1016.5045537494477</v>
      </c>
      <c r="AG24" s="11">
        <f t="shared" si="44"/>
        <v>1012.6432668597223</v>
      </c>
      <c r="AH24" s="11">
        <f t="shared" si="44"/>
        <v>1012.6432668597223</v>
      </c>
      <c r="AI24" s="11">
        <f t="shared" si="44"/>
        <v>1012.6432668597223</v>
      </c>
      <c r="AJ24" s="11">
        <f t="shared" si="44"/>
        <v>1012.6432668597223</v>
      </c>
      <c r="AK24" s="11">
        <f t="shared" si="44"/>
        <v>1012.6432668597223</v>
      </c>
      <c r="AL24" s="11">
        <f t="shared" si="44"/>
        <v>1012.6432668597223</v>
      </c>
      <c r="AM24" s="11">
        <f t="shared" si="44"/>
        <v>1014.2025637148229</v>
      </c>
      <c r="AN24" s="11">
        <f>(+AN19-AN18)*0.03+((7699.09+900)/12)*1.15+(7291/30.4*130)</f>
        <v>32287.882537458201</v>
      </c>
      <c r="AO24" s="11">
        <f t="shared" si="41"/>
        <v>43452.097022131158</v>
      </c>
      <c r="AP24" s="11">
        <f>(SUM(AP9:AP16))*$H$24</f>
        <v>26423.270640000002</v>
      </c>
      <c r="AQ24" s="11">
        <f>AP24</f>
        <v>26423.270640000002</v>
      </c>
      <c r="AR24" s="52">
        <f>AP24-AQ24</f>
        <v>0</v>
      </c>
      <c r="AS24" s="11">
        <f t="shared" si="42"/>
        <v>55600.855798770877</v>
      </c>
      <c r="AT24" s="72">
        <f>X24+AQ24</f>
        <v>51830.261639999997</v>
      </c>
      <c r="AU24" s="11">
        <f>Y24+AR24</f>
        <v>0</v>
      </c>
      <c r="AV24" s="52">
        <f>AT24+AU24</f>
        <v>51830.261639999997</v>
      </c>
    </row>
    <row r="25" spans="1:48" x14ac:dyDescent="0.4">
      <c r="A25" s="150"/>
      <c r="B25" s="181"/>
      <c r="C25" s="150"/>
      <c r="D25" s="150" t="s">
        <v>36</v>
      </c>
      <c r="E25" s="73"/>
      <c r="F25" s="74"/>
      <c r="G25" s="75"/>
      <c r="H25" s="76"/>
      <c r="I25" s="77"/>
      <c r="J25" s="59">
        <f t="shared" ref="J25:U25" si="45">SUM(J22:J24)</f>
        <v>1219.466437454254</v>
      </c>
      <c r="K25" s="59">
        <f t="shared" si="45"/>
        <v>1220.7067353521343</v>
      </c>
      <c r="L25" s="59">
        <f t="shared" si="45"/>
        <v>1219.466437454254</v>
      </c>
      <c r="M25" s="59">
        <f t="shared" si="45"/>
        <v>1222.7106054262063</v>
      </c>
      <c r="N25" s="59">
        <f t="shared" si="45"/>
        <v>1219.466437454254</v>
      </c>
      <c r="O25" s="59">
        <f t="shared" si="45"/>
        <v>1219.466437454254</v>
      </c>
      <c r="P25" s="59">
        <f t="shared" si="45"/>
        <v>1219.466437454254</v>
      </c>
      <c r="Q25" s="59">
        <f t="shared" si="45"/>
        <v>1219.466437454254</v>
      </c>
      <c r="R25" s="59">
        <f t="shared" si="45"/>
        <v>1219.466437454254</v>
      </c>
      <c r="S25" s="59">
        <f t="shared" si="45"/>
        <v>1219.466437454254</v>
      </c>
      <c r="T25" s="59">
        <f t="shared" si="45"/>
        <v>1220.9693741820615</v>
      </c>
      <c r="U25" s="59">
        <f t="shared" si="45"/>
        <v>1310.3405620452847</v>
      </c>
      <c r="V25" s="59">
        <f>SUM(V22:V24)</f>
        <v>14730.458776639716</v>
      </c>
      <c r="W25" s="59">
        <f>SUM(W22:W24)</f>
        <v>27988.690999999999</v>
      </c>
      <c r="X25" s="59">
        <f>SUM(X22:X24)</f>
        <v>27988.690999999999</v>
      </c>
      <c r="Y25" s="60">
        <f>SUM(Y22:Y24)</f>
        <v>0</v>
      </c>
      <c r="Z25" s="29"/>
      <c r="AA25" s="76"/>
      <c r="AB25" s="77"/>
      <c r="AC25" s="59">
        <f t="shared" ref="AC25" si="46">SUM(AC22:AC24)</f>
        <v>1254.2693361475924</v>
      </c>
      <c r="AD25" s="59">
        <f t="shared" ref="AD25" si="47">SUM(AD22:AD24)</f>
        <v>1238.2298297097007</v>
      </c>
      <c r="AE25" s="59">
        <f t="shared" ref="AE25" si="48">SUM(AE22:AE24)</f>
        <v>1236.3906001930557</v>
      </c>
      <c r="AF25" s="59">
        <f t="shared" ref="AF25" si="49">SUM(AF22:AF24)</f>
        <v>1240.251887082781</v>
      </c>
      <c r="AG25" s="59">
        <f t="shared" ref="AG25" si="50">SUM(AG22:AG24)</f>
        <v>1236.3906001930557</v>
      </c>
      <c r="AH25" s="59">
        <f t="shared" ref="AH25" si="51">SUM(AH22:AH24)</f>
        <v>1236.3906001930557</v>
      </c>
      <c r="AI25" s="59">
        <f t="shared" ref="AI25" si="52">SUM(AI22:AI24)</f>
        <v>1236.3906001930557</v>
      </c>
      <c r="AJ25" s="59">
        <f t="shared" ref="AJ25" si="53">SUM(AJ22:AJ24)</f>
        <v>1236.3906001930557</v>
      </c>
      <c r="AK25" s="59">
        <f t="shared" ref="AK25" si="54">SUM(AK22:AK24)</f>
        <v>1236.3906001930557</v>
      </c>
      <c r="AL25" s="59">
        <f t="shared" ref="AL25" si="55">SUM(AL22:AL24)</f>
        <v>1236.3906001930557</v>
      </c>
      <c r="AM25" s="59">
        <f t="shared" ref="AM25" si="56">SUM(AM22:AM24)</f>
        <v>1237.9498970481561</v>
      </c>
      <c r="AN25" s="59">
        <f t="shared" ref="AN25" si="57">SUM(AN22:AN24)</f>
        <v>32511.629870791534</v>
      </c>
      <c r="AO25" s="59">
        <f>SUM(AO22:AO24)</f>
        <v>46137.065022131159</v>
      </c>
      <c r="AP25" s="59">
        <f t="shared" ref="AP25:AV25" si="58">SUM(AP22:AP24)</f>
        <v>29108.238640000003</v>
      </c>
      <c r="AQ25" s="59">
        <f t="shared" si="58"/>
        <v>29108.238640000003</v>
      </c>
      <c r="AR25" s="60">
        <f t="shared" si="58"/>
        <v>0</v>
      </c>
      <c r="AS25" s="59">
        <f>SUM(AS22:AS24)</f>
        <v>60867.523798770875</v>
      </c>
      <c r="AT25" s="61">
        <f t="shared" si="58"/>
        <v>57096.929639999995</v>
      </c>
      <c r="AU25" s="59">
        <f t="shared" si="58"/>
        <v>0</v>
      </c>
      <c r="AV25" s="60">
        <f t="shared" si="58"/>
        <v>57096.929639999995</v>
      </c>
    </row>
    <row r="26" spans="1:48" x14ac:dyDescent="0.4">
      <c r="A26" s="151"/>
      <c r="B26" s="182"/>
      <c r="C26" s="151"/>
      <c r="D26" s="151" t="s">
        <v>10</v>
      </c>
      <c r="E26" s="78"/>
      <c r="F26" s="27"/>
      <c r="G26" s="62"/>
      <c r="H26" s="63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5"/>
      <c r="Y26" s="66"/>
      <c r="Z26" s="23"/>
      <c r="AA26" s="27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5"/>
      <c r="AR26" s="66"/>
      <c r="AS26" s="64"/>
      <c r="AT26" s="68"/>
      <c r="AU26" s="65"/>
      <c r="AV26" s="69"/>
    </row>
    <row r="27" spans="1:48" x14ac:dyDescent="0.4">
      <c r="A27" s="147"/>
      <c r="B27" s="149"/>
      <c r="C27" s="147"/>
      <c r="D27" s="147" t="s">
        <v>37</v>
      </c>
      <c r="E27" s="79"/>
      <c r="G27" s="80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49"/>
      <c r="Y27" s="50"/>
      <c r="Z27" s="35"/>
      <c r="AA27" s="2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49"/>
      <c r="AR27" s="50"/>
      <c r="AS27" s="81"/>
      <c r="AT27" s="51"/>
      <c r="AU27" s="49"/>
      <c r="AV27" s="52"/>
    </row>
    <row r="28" spans="1:48" x14ac:dyDescent="0.4">
      <c r="A28" s="176" t="s">
        <v>127</v>
      </c>
      <c r="B28" s="176">
        <v>86040</v>
      </c>
      <c r="C28" s="146" t="s">
        <v>118</v>
      </c>
      <c r="D28" s="146" t="s">
        <v>38</v>
      </c>
      <c r="E28" s="20">
        <v>1</v>
      </c>
      <c r="F28" s="7" t="s">
        <v>39</v>
      </c>
      <c r="G28" s="137">
        <v>1</v>
      </c>
      <c r="H28" s="17">
        <v>1</v>
      </c>
      <c r="I28" s="11">
        <v>700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>
        <f t="shared" ref="V28:V31" si="59">SUM(J28:U28)</f>
        <v>0</v>
      </c>
      <c r="W28" s="11">
        <f>E28*I28*G28</f>
        <v>700</v>
      </c>
      <c r="X28" s="11">
        <f>W28</f>
        <v>700</v>
      </c>
      <c r="Y28" s="52">
        <f>W28-X28</f>
        <v>0</v>
      </c>
      <c r="Z28" s="20">
        <v>1</v>
      </c>
      <c r="AA28" s="7">
        <v>1</v>
      </c>
      <c r="AB28" s="11">
        <f>I28*$E$3</f>
        <v>728</v>
      </c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>
        <f t="shared" ref="AO28:AO31" si="60">SUM(AC28:AN28)</f>
        <v>0</v>
      </c>
      <c r="AP28" s="11">
        <f>Z28*AB28*AA28*H28</f>
        <v>728</v>
      </c>
      <c r="AQ28" s="82">
        <f>AP28</f>
        <v>728</v>
      </c>
      <c r="AR28" s="52">
        <f>AP28-AQ28</f>
        <v>0</v>
      </c>
      <c r="AS28" s="11">
        <f t="shared" ref="AS28:AS31" si="61">+AO28+V28</f>
        <v>0</v>
      </c>
      <c r="AT28" s="72">
        <f t="shared" ref="AT28:AU31" si="62">X28+AQ28</f>
        <v>1428</v>
      </c>
      <c r="AU28" s="11">
        <f t="shared" si="62"/>
        <v>0</v>
      </c>
      <c r="AV28" s="52">
        <f>AT28+AU28</f>
        <v>1428</v>
      </c>
    </row>
    <row r="29" spans="1:48" x14ac:dyDescent="0.4">
      <c r="A29" s="176" t="s">
        <v>128</v>
      </c>
      <c r="B29" s="176">
        <v>86000</v>
      </c>
      <c r="C29" s="146" t="s">
        <v>118</v>
      </c>
      <c r="D29" s="146" t="s">
        <v>40</v>
      </c>
      <c r="E29" s="20">
        <v>1</v>
      </c>
      <c r="F29" s="7" t="s">
        <v>41</v>
      </c>
      <c r="G29" s="137">
        <v>1</v>
      </c>
      <c r="H29" s="17">
        <v>1</v>
      </c>
      <c r="I29" s="11">
        <v>100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>
        <f t="shared" si="59"/>
        <v>0</v>
      </c>
      <c r="W29" s="11">
        <f>E29*I29*G29</f>
        <v>100</v>
      </c>
      <c r="X29" s="11">
        <f>W29</f>
        <v>100</v>
      </c>
      <c r="Y29" s="52">
        <f>W29-X29</f>
        <v>0</v>
      </c>
      <c r="Z29" s="20">
        <v>1</v>
      </c>
      <c r="AA29" s="7">
        <v>1</v>
      </c>
      <c r="AB29" s="11">
        <f t="shared" ref="AB29:AB36" si="63">I29*$E$3</f>
        <v>104</v>
      </c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>
        <f t="shared" si="60"/>
        <v>0</v>
      </c>
      <c r="AP29" s="11">
        <f t="shared" ref="AP29:AP36" si="64">Z29*AB29*AA29*H29</f>
        <v>104</v>
      </c>
      <c r="AQ29" s="82">
        <f>AP29</f>
        <v>104</v>
      </c>
      <c r="AR29" s="52">
        <f>AP29-AQ29</f>
        <v>0</v>
      </c>
      <c r="AS29" s="11">
        <f t="shared" si="61"/>
        <v>0</v>
      </c>
      <c r="AT29" s="72">
        <f t="shared" si="62"/>
        <v>204</v>
      </c>
      <c r="AU29" s="11">
        <f t="shared" si="62"/>
        <v>0</v>
      </c>
      <c r="AV29" s="52">
        <f t="shared" ref="AV29:AV31" si="65">AT29+AU29</f>
        <v>204</v>
      </c>
    </row>
    <row r="30" spans="1:48" x14ac:dyDescent="0.4">
      <c r="A30" s="176" t="s">
        <v>129</v>
      </c>
      <c r="B30" s="176">
        <v>86030</v>
      </c>
      <c r="C30" s="146" t="s">
        <v>118</v>
      </c>
      <c r="D30" s="146" t="s">
        <v>42</v>
      </c>
      <c r="E30" s="20">
        <v>1</v>
      </c>
      <c r="F30" s="7" t="s">
        <v>43</v>
      </c>
      <c r="G30" s="137">
        <v>4</v>
      </c>
      <c r="H30" s="17">
        <v>1</v>
      </c>
      <c r="I30" s="11">
        <v>120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>
        <f t="shared" si="59"/>
        <v>0</v>
      </c>
      <c r="W30" s="11">
        <f>E30*I30*G30</f>
        <v>480</v>
      </c>
      <c r="X30" s="11">
        <f>W30</f>
        <v>480</v>
      </c>
      <c r="Y30" s="52">
        <f>W30-X30</f>
        <v>0</v>
      </c>
      <c r="Z30" s="20">
        <v>1</v>
      </c>
      <c r="AA30" s="7">
        <v>4</v>
      </c>
      <c r="AB30" s="11">
        <f t="shared" si="63"/>
        <v>124.80000000000001</v>
      </c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>
        <f t="shared" si="60"/>
        <v>0</v>
      </c>
      <c r="AP30" s="11">
        <f t="shared" si="64"/>
        <v>499.20000000000005</v>
      </c>
      <c r="AQ30" s="82">
        <f>AP30</f>
        <v>499.20000000000005</v>
      </c>
      <c r="AR30" s="52">
        <f>AP30-AQ30</f>
        <v>0</v>
      </c>
      <c r="AS30" s="11">
        <f t="shared" si="61"/>
        <v>0</v>
      </c>
      <c r="AT30" s="72">
        <f t="shared" si="62"/>
        <v>979.2</v>
      </c>
      <c r="AU30" s="11">
        <f t="shared" si="62"/>
        <v>0</v>
      </c>
      <c r="AV30" s="52">
        <f t="shared" si="65"/>
        <v>979.2</v>
      </c>
    </row>
    <row r="31" spans="1:48" x14ac:dyDescent="0.4">
      <c r="A31" s="176" t="s">
        <v>130</v>
      </c>
      <c r="B31" s="176">
        <v>86050</v>
      </c>
      <c r="C31" s="146" t="s">
        <v>118</v>
      </c>
      <c r="D31" s="146" t="s">
        <v>44</v>
      </c>
      <c r="E31" s="20">
        <v>1</v>
      </c>
      <c r="F31" s="7" t="s">
        <v>45</v>
      </c>
      <c r="G31" s="137">
        <v>5</v>
      </c>
      <c r="H31" s="17">
        <v>1</v>
      </c>
      <c r="I31" s="11">
        <v>95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>
        <f t="shared" si="59"/>
        <v>0</v>
      </c>
      <c r="W31" s="11">
        <f>E31*I31*G31</f>
        <v>475</v>
      </c>
      <c r="X31" s="11">
        <f>W31</f>
        <v>475</v>
      </c>
      <c r="Y31" s="52">
        <f>W31-X31</f>
        <v>0</v>
      </c>
      <c r="Z31" s="20">
        <v>1</v>
      </c>
      <c r="AA31" s="7">
        <v>5</v>
      </c>
      <c r="AB31" s="11">
        <f t="shared" si="63"/>
        <v>98.8</v>
      </c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>
        <f t="shared" si="60"/>
        <v>0</v>
      </c>
      <c r="AP31" s="11">
        <f t="shared" si="64"/>
        <v>494</v>
      </c>
      <c r="AQ31" s="82">
        <f>AP31</f>
        <v>494</v>
      </c>
      <c r="AR31" s="52">
        <f>AP31-AQ31</f>
        <v>0</v>
      </c>
      <c r="AS31" s="11">
        <f t="shared" si="61"/>
        <v>0</v>
      </c>
      <c r="AT31" s="72">
        <f t="shared" si="62"/>
        <v>969</v>
      </c>
      <c r="AU31" s="11">
        <f t="shared" si="62"/>
        <v>0</v>
      </c>
      <c r="AV31" s="52">
        <f t="shared" si="65"/>
        <v>969</v>
      </c>
    </row>
    <row r="32" spans="1:48" x14ac:dyDescent="0.4">
      <c r="A32" s="147"/>
      <c r="B32" s="149"/>
      <c r="C32" s="147"/>
      <c r="D32" s="147" t="s">
        <v>70</v>
      </c>
      <c r="E32" s="20"/>
      <c r="G32" s="13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52"/>
      <c r="Z32" s="20"/>
      <c r="AA32" s="7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82"/>
      <c r="AR32" s="52"/>
      <c r="AS32" s="11"/>
      <c r="AT32" s="56"/>
      <c r="AV32" s="55"/>
    </row>
    <row r="33" spans="1:48" x14ac:dyDescent="0.4">
      <c r="A33" s="176" t="s">
        <v>131</v>
      </c>
      <c r="B33" s="176">
        <v>86030</v>
      </c>
      <c r="C33" s="146" t="s">
        <v>119</v>
      </c>
      <c r="D33" s="146" t="s">
        <v>71</v>
      </c>
      <c r="E33" s="20">
        <v>2</v>
      </c>
      <c r="F33" s="7" t="s">
        <v>39</v>
      </c>
      <c r="G33" s="137">
        <v>1</v>
      </c>
      <c r="H33" s="17">
        <v>1</v>
      </c>
      <c r="I33" s="11">
        <v>200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>
        <f t="shared" ref="V33:V36" si="66">SUM(J33:U33)</f>
        <v>0</v>
      </c>
      <c r="W33" s="11">
        <f>E33*I33*G33</f>
        <v>400</v>
      </c>
      <c r="X33" s="11">
        <f>W33</f>
        <v>400</v>
      </c>
      <c r="Y33" s="52">
        <f>W33-X33</f>
        <v>0</v>
      </c>
      <c r="Z33" s="20">
        <v>2</v>
      </c>
      <c r="AA33" s="7">
        <v>1</v>
      </c>
      <c r="AB33" s="11">
        <f t="shared" si="63"/>
        <v>208</v>
      </c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>
        <f t="shared" ref="AO33:AO36" si="67">SUM(AC33:AN33)</f>
        <v>0</v>
      </c>
      <c r="AP33" s="11">
        <f t="shared" ref="AP33" si="68">Z33*AB33*AA33*H33</f>
        <v>416</v>
      </c>
      <c r="AQ33" s="82">
        <f>AP33</f>
        <v>416</v>
      </c>
      <c r="AR33" s="52">
        <f>AP33-AQ33</f>
        <v>0</v>
      </c>
      <c r="AS33" s="11">
        <f t="shared" ref="AS33:AS36" si="69">+AO33+V33</f>
        <v>0</v>
      </c>
      <c r="AT33" s="72">
        <f t="shared" ref="AT33:AU36" si="70">X33+AQ33</f>
        <v>816</v>
      </c>
      <c r="AU33" s="11">
        <f t="shared" si="70"/>
        <v>0</v>
      </c>
      <c r="AV33" s="52">
        <f t="shared" ref="AV33" si="71">AT33+AU33</f>
        <v>816</v>
      </c>
    </row>
    <row r="34" spans="1:48" x14ac:dyDescent="0.4">
      <c r="A34" s="176" t="s">
        <v>132</v>
      </c>
      <c r="B34" s="176">
        <v>86050</v>
      </c>
      <c r="C34" s="146" t="s">
        <v>119</v>
      </c>
      <c r="D34" s="146" t="s">
        <v>72</v>
      </c>
      <c r="E34" s="20">
        <v>6</v>
      </c>
      <c r="F34" s="7" t="s">
        <v>43</v>
      </c>
      <c r="G34" s="137">
        <v>3</v>
      </c>
      <c r="H34" s="17">
        <v>1</v>
      </c>
      <c r="I34" s="11">
        <v>100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>
        <f t="shared" si="66"/>
        <v>0</v>
      </c>
      <c r="W34" s="11">
        <f>E34*I34*G34</f>
        <v>1800</v>
      </c>
      <c r="X34" s="11">
        <f>W34</f>
        <v>1800</v>
      </c>
      <c r="Y34" s="52">
        <f>W34-X34</f>
        <v>0</v>
      </c>
      <c r="Z34" s="20">
        <v>6</v>
      </c>
      <c r="AA34" s="7">
        <v>3</v>
      </c>
      <c r="AB34" s="11">
        <f t="shared" si="63"/>
        <v>104</v>
      </c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>
        <f t="shared" si="67"/>
        <v>0</v>
      </c>
      <c r="AP34" s="11">
        <f t="shared" si="64"/>
        <v>1872</v>
      </c>
      <c r="AQ34" s="82">
        <f>AP34</f>
        <v>1872</v>
      </c>
      <c r="AR34" s="52">
        <f>AP34-AQ34</f>
        <v>0</v>
      </c>
      <c r="AS34" s="11">
        <f t="shared" si="69"/>
        <v>0</v>
      </c>
      <c r="AT34" s="72">
        <f t="shared" si="70"/>
        <v>3672</v>
      </c>
      <c r="AU34" s="11">
        <f t="shared" si="70"/>
        <v>0</v>
      </c>
      <c r="AV34" s="52">
        <f>AT34+AU34</f>
        <v>3672</v>
      </c>
    </row>
    <row r="35" spans="1:48" x14ac:dyDescent="0.4">
      <c r="A35" s="176" t="s">
        <v>133</v>
      </c>
      <c r="B35" s="176">
        <v>86000</v>
      </c>
      <c r="C35" s="146" t="s">
        <v>119</v>
      </c>
      <c r="D35" s="146" t="s">
        <v>73</v>
      </c>
      <c r="E35" s="20">
        <v>6</v>
      </c>
      <c r="F35" s="7" t="s">
        <v>45</v>
      </c>
      <c r="G35" s="137">
        <v>4</v>
      </c>
      <c r="H35" s="17">
        <v>1</v>
      </c>
      <c r="I35" s="11">
        <v>70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>
        <f t="shared" si="66"/>
        <v>0</v>
      </c>
      <c r="W35" s="11">
        <f>E35*I35*G35</f>
        <v>1680</v>
      </c>
      <c r="X35" s="11">
        <f>W35</f>
        <v>1680</v>
      </c>
      <c r="Y35" s="52">
        <f>W35-X35</f>
        <v>0</v>
      </c>
      <c r="Z35" s="20">
        <v>6</v>
      </c>
      <c r="AA35" s="7">
        <v>4</v>
      </c>
      <c r="AB35" s="11">
        <f t="shared" si="63"/>
        <v>72.8</v>
      </c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>
        <f t="shared" si="67"/>
        <v>0</v>
      </c>
      <c r="AP35" s="11">
        <f t="shared" si="64"/>
        <v>1747.1999999999998</v>
      </c>
      <c r="AQ35" s="82">
        <f>AP35</f>
        <v>1747.1999999999998</v>
      </c>
      <c r="AR35" s="52">
        <f>AP35-AQ35</f>
        <v>0</v>
      </c>
      <c r="AS35" s="11">
        <f t="shared" si="69"/>
        <v>0</v>
      </c>
      <c r="AT35" s="72">
        <f t="shared" si="70"/>
        <v>3427.2</v>
      </c>
      <c r="AU35" s="11">
        <f t="shared" si="70"/>
        <v>0</v>
      </c>
      <c r="AV35" s="52">
        <f t="shared" ref="AV35:AV36" si="72">AT35+AU35</f>
        <v>3427.2</v>
      </c>
    </row>
    <row r="36" spans="1:48" x14ac:dyDescent="0.4">
      <c r="A36" s="176" t="s">
        <v>134</v>
      </c>
      <c r="B36" s="176">
        <v>86040</v>
      </c>
      <c r="C36" s="146" t="s">
        <v>119</v>
      </c>
      <c r="D36" s="146" t="s">
        <v>74</v>
      </c>
      <c r="E36" s="20">
        <v>1</v>
      </c>
      <c r="F36" s="7" t="s">
        <v>29</v>
      </c>
      <c r="G36" s="137">
        <v>10</v>
      </c>
      <c r="H36" s="17">
        <v>1</v>
      </c>
      <c r="I36" s="11">
        <v>150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>
        <f t="shared" si="66"/>
        <v>0</v>
      </c>
      <c r="W36" s="11">
        <f>E36*I36*G36</f>
        <v>1500</v>
      </c>
      <c r="X36" s="11">
        <f>W36</f>
        <v>1500</v>
      </c>
      <c r="Y36" s="52">
        <f>W36-X36</f>
        <v>0</v>
      </c>
      <c r="Z36" s="20">
        <v>1</v>
      </c>
      <c r="AA36" s="7">
        <v>10</v>
      </c>
      <c r="AB36" s="11">
        <f t="shared" si="63"/>
        <v>156</v>
      </c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>
        <f t="shared" si="67"/>
        <v>0</v>
      </c>
      <c r="AP36" s="11">
        <f t="shared" si="64"/>
        <v>1560</v>
      </c>
      <c r="AQ36" s="82">
        <f>AP36</f>
        <v>1560</v>
      </c>
      <c r="AR36" s="52">
        <f>AP36-AQ36</f>
        <v>0</v>
      </c>
      <c r="AS36" s="11">
        <f t="shared" si="69"/>
        <v>0</v>
      </c>
      <c r="AT36" s="72">
        <f t="shared" si="70"/>
        <v>3060</v>
      </c>
      <c r="AU36" s="11">
        <f t="shared" si="70"/>
        <v>0</v>
      </c>
      <c r="AV36" s="52">
        <f t="shared" si="72"/>
        <v>3060</v>
      </c>
    </row>
    <row r="37" spans="1:48" x14ac:dyDescent="0.4">
      <c r="A37" s="150"/>
      <c r="B37" s="181"/>
      <c r="C37" s="150"/>
      <c r="D37" s="150" t="s">
        <v>47</v>
      </c>
      <c r="E37" s="83"/>
      <c r="F37" s="28"/>
      <c r="G37" s="135"/>
      <c r="H37" s="58"/>
      <c r="I37" s="59"/>
      <c r="J37" s="59">
        <f t="shared" ref="J37:U37" si="73">SUM(J28:J36)</f>
        <v>0</v>
      </c>
      <c r="K37" s="59">
        <f t="shared" si="73"/>
        <v>0</v>
      </c>
      <c r="L37" s="59">
        <f t="shared" si="73"/>
        <v>0</v>
      </c>
      <c r="M37" s="59">
        <f t="shared" si="73"/>
        <v>0</v>
      </c>
      <c r="N37" s="59">
        <f t="shared" si="73"/>
        <v>0</v>
      </c>
      <c r="O37" s="59">
        <f t="shared" si="73"/>
        <v>0</v>
      </c>
      <c r="P37" s="59">
        <f t="shared" si="73"/>
        <v>0</v>
      </c>
      <c r="Q37" s="59">
        <f t="shared" si="73"/>
        <v>0</v>
      </c>
      <c r="R37" s="59">
        <f t="shared" si="73"/>
        <v>0</v>
      </c>
      <c r="S37" s="59">
        <f t="shared" si="73"/>
        <v>0</v>
      </c>
      <c r="T37" s="59">
        <f t="shared" si="73"/>
        <v>0</v>
      </c>
      <c r="U37" s="59">
        <f t="shared" si="73"/>
        <v>0</v>
      </c>
      <c r="V37" s="59">
        <f>SUM(V28:V36)</f>
        <v>0</v>
      </c>
      <c r="W37" s="59">
        <f>SUM(W28:W36)</f>
        <v>7135</v>
      </c>
      <c r="X37" s="59">
        <f>SUM(X28:X36)</f>
        <v>7135</v>
      </c>
      <c r="Y37" s="60">
        <f>SUM(Y28:Y36)</f>
        <v>0</v>
      </c>
      <c r="Z37" s="84"/>
      <c r="AA37" s="85"/>
      <c r="AB37" s="59"/>
      <c r="AC37" s="59">
        <f t="shared" ref="AC37" si="74">SUM(AC28:AC36)</f>
        <v>0</v>
      </c>
      <c r="AD37" s="59">
        <f t="shared" ref="AD37" si="75">SUM(AD28:AD36)</f>
        <v>0</v>
      </c>
      <c r="AE37" s="59">
        <f t="shared" ref="AE37" si="76">SUM(AE28:AE36)</f>
        <v>0</v>
      </c>
      <c r="AF37" s="59">
        <f t="shared" ref="AF37" si="77">SUM(AF28:AF36)</f>
        <v>0</v>
      </c>
      <c r="AG37" s="59">
        <f t="shared" ref="AG37" si="78">SUM(AG28:AG36)</f>
        <v>0</v>
      </c>
      <c r="AH37" s="59">
        <f t="shared" ref="AH37" si="79">SUM(AH28:AH36)</f>
        <v>0</v>
      </c>
      <c r="AI37" s="59">
        <f t="shared" ref="AI37" si="80">SUM(AI28:AI36)</f>
        <v>0</v>
      </c>
      <c r="AJ37" s="59">
        <f t="shared" ref="AJ37" si="81">SUM(AJ28:AJ36)</f>
        <v>0</v>
      </c>
      <c r="AK37" s="59">
        <f t="shared" ref="AK37" si="82">SUM(AK28:AK36)</f>
        <v>0</v>
      </c>
      <c r="AL37" s="59">
        <f t="shared" ref="AL37" si="83">SUM(AL28:AL36)</f>
        <v>0</v>
      </c>
      <c r="AM37" s="59">
        <f t="shared" ref="AM37" si="84">SUM(AM28:AM36)</f>
        <v>0</v>
      </c>
      <c r="AN37" s="59">
        <f t="shared" ref="AN37" si="85">SUM(AN28:AN36)</f>
        <v>0</v>
      </c>
      <c r="AO37" s="59">
        <f>SUM(AO28:AO36)</f>
        <v>0</v>
      </c>
      <c r="AP37" s="59">
        <f t="shared" ref="AP37:AV37" si="86">SUM(AP28:AP36)</f>
        <v>7420.4</v>
      </c>
      <c r="AQ37" s="59">
        <f t="shared" si="86"/>
        <v>7420.4</v>
      </c>
      <c r="AR37" s="60">
        <f t="shared" si="86"/>
        <v>0</v>
      </c>
      <c r="AS37" s="59">
        <f>SUM(AS28:AS36)</f>
        <v>0</v>
      </c>
      <c r="AT37" s="61">
        <f t="shared" si="86"/>
        <v>14555.4</v>
      </c>
      <c r="AU37" s="59">
        <f t="shared" si="86"/>
        <v>0</v>
      </c>
      <c r="AV37" s="60">
        <f t="shared" si="86"/>
        <v>14555.4</v>
      </c>
    </row>
    <row r="38" spans="1:48" x14ac:dyDescent="0.4">
      <c r="A38" s="151"/>
      <c r="B38" s="182"/>
      <c r="C38" s="151"/>
      <c r="D38" s="151" t="s">
        <v>11</v>
      </c>
      <c r="E38" s="23"/>
      <c r="F38" s="27"/>
      <c r="G38" s="136"/>
      <c r="H38" s="63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86"/>
      <c r="Y38" s="87"/>
      <c r="Z38" s="23"/>
      <c r="AA38" s="27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86"/>
      <c r="AR38" s="87"/>
      <c r="AS38" s="64"/>
      <c r="AT38" s="88"/>
      <c r="AU38" s="86"/>
      <c r="AV38" s="69"/>
    </row>
    <row r="39" spans="1:48" x14ac:dyDescent="0.4">
      <c r="A39" s="151"/>
      <c r="B39" s="182"/>
      <c r="C39" s="151"/>
      <c r="D39" s="151" t="s">
        <v>12</v>
      </c>
      <c r="E39" s="23"/>
      <c r="F39" s="27"/>
      <c r="G39" s="136"/>
      <c r="H39" s="63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86"/>
      <c r="Y39" s="87"/>
      <c r="Z39" s="23"/>
      <c r="AA39" s="27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86"/>
      <c r="AR39" s="87"/>
      <c r="AS39" s="64"/>
      <c r="AT39" s="88"/>
      <c r="AU39" s="86"/>
      <c r="AV39" s="69"/>
    </row>
    <row r="40" spans="1:48" x14ac:dyDescent="0.4">
      <c r="A40" s="176" t="s">
        <v>135</v>
      </c>
      <c r="B40" s="176">
        <v>82401</v>
      </c>
      <c r="C40" s="176" t="s">
        <v>119</v>
      </c>
      <c r="D40" s="146" t="s">
        <v>75</v>
      </c>
      <c r="E40" s="20">
        <v>1</v>
      </c>
      <c r="F40" s="7" t="s">
        <v>29</v>
      </c>
      <c r="G40" s="138">
        <v>12</v>
      </c>
      <c r="H40" s="17">
        <v>1</v>
      </c>
      <c r="I40" s="11">
        <v>50</v>
      </c>
      <c r="J40" s="11">
        <f>+W40/12</f>
        <v>50</v>
      </c>
      <c r="K40" s="11">
        <f>+J40</f>
        <v>50</v>
      </c>
      <c r="L40" s="11">
        <f t="shared" ref="L40:U41" si="87">+K40</f>
        <v>50</v>
      </c>
      <c r="M40" s="11">
        <f t="shared" si="87"/>
        <v>50</v>
      </c>
      <c r="N40" s="11">
        <f t="shared" si="87"/>
        <v>50</v>
      </c>
      <c r="O40" s="11">
        <f t="shared" si="87"/>
        <v>50</v>
      </c>
      <c r="P40" s="11">
        <f t="shared" si="87"/>
        <v>50</v>
      </c>
      <c r="Q40" s="11">
        <f t="shared" si="87"/>
        <v>50</v>
      </c>
      <c r="R40" s="11">
        <f t="shared" si="87"/>
        <v>50</v>
      </c>
      <c r="S40" s="11">
        <f t="shared" si="87"/>
        <v>50</v>
      </c>
      <c r="T40" s="11">
        <f t="shared" si="87"/>
        <v>50</v>
      </c>
      <c r="U40" s="11">
        <f t="shared" si="87"/>
        <v>50</v>
      </c>
      <c r="V40" s="11">
        <f t="shared" ref="V40:V41" si="88">SUM(J40:U40)</f>
        <v>600</v>
      </c>
      <c r="W40" s="11">
        <f t="shared" ref="W40:W41" si="89">E40*I40*G40*H40</f>
        <v>600</v>
      </c>
      <c r="X40" s="11">
        <f t="shared" ref="X40:X41" si="90">W40</f>
        <v>600</v>
      </c>
      <c r="Y40" s="52">
        <f t="shared" ref="Y40:Y41" si="91">W40-X40</f>
        <v>0</v>
      </c>
      <c r="Z40" s="20">
        <v>1</v>
      </c>
      <c r="AA40" s="7">
        <v>12</v>
      </c>
      <c r="AB40" s="11">
        <f>I40*$E$3</f>
        <v>52</v>
      </c>
      <c r="AC40" s="11">
        <f>+AP40/12</f>
        <v>52</v>
      </c>
      <c r="AD40" s="11">
        <f>+AC40</f>
        <v>52</v>
      </c>
      <c r="AE40" s="11">
        <f t="shared" ref="AE40:AN40" si="92">+AD40</f>
        <v>52</v>
      </c>
      <c r="AF40" s="11">
        <f t="shared" si="92"/>
        <v>52</v>
      </c>
      <c r="AG40" s="11">
        <f t="shared" si="92"/>
        <v>52</v>
      </c>
      <c r="AH40" s="11">
        <f t="shared" si="92"/>
        <v>52</v>
      </c>
      <c r="AI40" s="11">
        <f t="shared" si="92"/>
        <v>52</v>
      </c>
      <c r="AJ40" s="11">
        <f t="shared" si="92"/>
        <v>52</v>
      </c>
      <c r="AK40" s="11">
        <f t="shared" si="92"/>
        <v>52</v>
      </c>
      <c r="AL40" s="11">
        <f t="shared" si="92"/>
        <v>52</v>
      </c>
      <c r="AM40" s="11">
        <f t="shared" si="92"/>
        <v>52</v>
      </c>
      <c r="AN40" s="11">
        <f t="shared" si="92"/>
        <v>52</v>
      </c>
      <c r="AO40" s="11">
        <f t="shared" ref="AO40:AO41" si="93">SUM(AC40:AN40)</f>
        <v>624</v>
      </c>
      <c r="AP40" s="11">
        <f t="shared" ref="AP40:AP41" si="94">Z40*AB40*AA40*H40</f>
        <v>624</v>
      </c>
      <c r="AQ40" s="11">
        <f t="shared" ref="AQ40:AQ41" si="95">AP40</f>
        <v>624</v>
      </c>
      <c r="AR40" s="52">
        <f t="shared" ref="AR40:AR41" si="96">AP40-AQ40</f>
        <v>0</v>
      </c>
      <c r="AS40" s="11">
        <f t="shared" ref="AS40:AS41" si="97">+AO40+V40</f>
        <v>1224</v>
      </c>
      <c r="AT40" s="72">
        <f>X40+AQ40</f>
        <v>1224</v>
      </c>
      <c r="AU40" s="11">
        <f>Y40+AR40</f>
        <v>0</v>
      </c>
      <c r="AV40" s="52">
        <f t="shared" ref="AV40:AV41" si="98">AT40+AU40</f>
        <v>1224</v>
      </c>
    </row>
    <row r="41" spans="1:48" x14ac:dyDescent="0.4">
      <c r="A41" s="176" t="s">
        <v>136</v>
      </c>
      <c r="B41" s="176">
        <v>82401</v>
      </c>
      <c r="C41" s="176" t="s">
        <v>119</v>
      </c>
      <c r="D41" s="146" t="s">
        <v>76</v>
      </c>
      <c r="E41" s="20">
        <v>1</v>
      </c>
      <c r="F41" s="7" t="s">
        <v>48</v>
      </c>
      <c r="G41" s="138">
        <v>3</v>
      </c>
      <c r="H41" s="17">
        <v>1</v>
      </c>
      <c r="I41" s="11">
        <v>1000</v>
      </c>
      <c r="J41" s="11">
        <f>+W41/12+1789</f>
        <v>2039</v>
      </c>
      <c r="K41" s="11">
        <f>+X41/12</f>
        <v>250</v>
      </c>
      <c r="L41" s="11">
        <f t="shared" si="87"/>
        <v>250</v>
      </c>
      <c r="M41" s="11">
        <f t="shared" si="87"/>
        <v>250</v>
      </c>
      <c r="N41" s="11">
        <f t="shared" si="87"/>
        <v>250</v>
      </c>
      <c r="O41" s="11">
        <f t="shared" si="87"/>
        <v>250</v>
      </c>
      <c r="P41" s="11">
        <f t="shared" si="87"/>
        <v>250</v>
      </c>
      <c r="Q41" s="11">
        <f t="shared" si="87"/>
        <v>250</v>
      </c>
      <c r="R41" s="11">
        <f t="shared" si="87"/>
        <v>250</v>
      </c>
      <c r="S41" s="11">
        <f t="shared" si="87"/>
        <v>250</v>
      </c>
      <c r="T41" s="11">
        <f t="shared" si="87"/>
        <v>250</v>
      </c>
      <c r="U41" s="11">
        <f t="shared" si="87"/>
        <v>250</v>
      </c>
      <c r="V41" s="11">
        <f t="shared" si="88"/>
        <v>4789</v>
      </c>
      <c r="W41" s="11">
        <f t="shared" si="89"/>
        <v>3000</v>
      </c>
      <c r="X41" s="11">
        <f t="shared" si="90"/>
        <v>3000</v>
      </c>
      <c r="Y41" s="52">
        <f t="shared" si="91"/>
        <v>0</v>
      </c>
      <c r="Z41" s="20">
        <v>1</v>
      </c>
      <c r="AA41" s="7">
        <v>0</v>
      </c>
      <c r="AB41" s="11">
        <f t="shared" ref="AB41" si="99">I41*$E$3</f>
        <v>1040</v>
      </c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>
        <f t="shared" si="93"/>
        <v>0</v>
      </c>
      <c r="AP41" s="11">
        <f t="shared" si="94"/>
        <v>0</v>
      </c>
      <c r="AQ41" s="11">
        <f t="shared" si="95"/>
        <v>0</v>
      </c>
      <c r="AR41" s="52">
        <f t="shared" si="96"/>
        <v>0</v>
      </c>
      <c r="AS41" s="11">
        <f t="shared" si="97"/>
        <v>4789</v>
      </c>
      <c r="AT41" s="72">
        <f>X41+AQ41</f>
        <v>3000</v>
      </c>
      <c r="AU41" s="11">
        <f>Y41+AR41</f>
        <v>0</v>
      </c>
      <c r="AV41" s="52">
        <f t="shared" si="98"/>
        <v>3000</v>
      </c>
    </row>
    <row r="42" spans="1:48" s="10" customFormat="1" x14ac:dyDescent="0.4">
      <c r="A42" s="150"/>
      <c r="B42" s="181"/>
      <c r="C42" s="150"/>
      <c r="D42" s="150" t="s">
        <v>49</v>
      </c>
      <c r="E42" s="29"/>
      <c r="F42" s="76"/>
      <c r="G42" s="75"/>
      <c r="H42" s="89"/>
      <c r="I42" s="12"/>
      <c r="J42" s="59">
        <f t="shared" ref="J42:U42" si="100">SUM(J40:J41)</f>
        <v>2089</v>
      </c>
      <c r="K42" s="59">
        <f t="shared" si="100"/>
        <v>300</v>
      </c>
      <c r="L42" s="59">
        <f t="shared" si="100"/>
        <v>300</v>
      </c>
      <c r="M42" s="59">
        <f t="shared" si="100"/>
        <v>300</v>
      </c>
      <c r="N42" s="59">
        <f t="shared" si="100"/>
        <v>300</v>
      </c>
      <c r="O42" s="59">
        <f t="shared" si="100"/>
        <v>300</v>
      </c>
      <c r="P42" s="59">
        <f t="shared" si="100"/>
        <v>300</v>
      </c>
      <c r="Q42" s="59">
        <f t="shared" si="100"/>
        <v>300</v>
      </c>
      <c r="R42" s="59">
        <f t="shared" si="100"/>
        <v>300</v>
      </c>
      <c r="S42" s="59">
        <f t="shared" si="100"/>
        <v>300</v>
      </c>
      <c r="T42" s="59">
        <f t="shared" si="100"/>
        <v>300</v>
      </c>
      <c r="U42" s="59">
        <f t="shared" si="100"/>
        <v>300</v>
      </c>
      <c r="V42" s="59">
        <f>SUM(V40:V41)</f>
        <v>5389</v>
      </c>
      <c r="W42" s="59">
        <f>SUM(W40:W41)</f>
        <v>3600</v>
      </c>
      <c r="X42" s="59">
        <f>SUM(X40:X41)</f>
        <v>3600</v>
      </c>
      <c r="Y42" s="60">
        <f>SUM(Y40:Y41)</f>
        <v>0</v>
      </c>
      <c r="Z42" s="84"/>
      <c r="AA42" s="85"/>
      <c r="AB42" s="59"/>
      <c r="AC42" s="59">
        <f t="shared" ref="AC42" si="101">SUM(AC40:AC41)</f>
        <v>52</v>
      </c>
      <c r="AD42" s="59">
        <f t="shared" ref="AD42" si="102">SUM(AD40:AD41)</f>
        <v>52</v>
      </c>
      <c r="AE42" s="59">
        <f t="shared" ref="AE42" si="103">SUM(AE40:AE41)</f>
        <v>52</v>
      </c>
      <c r="AF42" s="59">
        <f t="shared" ref="AF42" si="104">SUM(AF40:AF41)</f>
        <v>52</v>
      </c>
      <c r="AG42" s="59">
        <f t="shared" ref="AG42" si="105">SUM(AG40:AG41)</f>
        <v>52</v>
      </c>
      <c r="AH42" s="59">
        <f t="shared" ref="AH42" si="106">SUM(AH40:AH41)</f>
        <v>52</v>
      </c>
      <c r="AI42" s="59">
        <f t="shared" ref="AI42" si="107">SUM(AI40:AI41)</f>
        <v>52</v>
      </c>
      <c r="AJ42" s="59">
        <f t="shared" ref="AJ42" si="108">SUM(AJ40:AJ41)</f>
        <v>52</v>
      </c>
      <c r="AK42" s="59">
        <f t="shared" ref="AK42" si="109">SUM(AK40:AK41)</f>
        <v>52</v>
      </c>
      <c r="AL42" s="59">
        <f t="shared" ref="AL42" si="110">SUM(AL40:AL41)</f>
        <v>52</v>
      </c>
      <c r="AM42" s="59">
        <f t="shared" ref="AM42" si="111">SUM(AM40:AM41)</f>
        <v>52</v>
      </c>
      <c r="AN42" s="59">
        <f t="shared" ref="AN42" si="112">SUM(AN40:AN41)</f>
        <v>52</v>
      </c>
      <c r="AO42" s="59">
        <f>SUM(AO40:AO41)</f>
        <v>624</v>
      </c>
      <c r="AP42" s="59">
        <f t="shared" ref="AP42:AV42" si="113">SUM(AP40:AP41)</f>
        <v>624</v>
      </c>
      <c r="AQ42" s="59">
        <f t="shared" si="113"/>
        <v>624</v>
      </c>
      <c r="AR42" s="60">
        <f t="shared" si="113"/>
        <v>0</v>
      </c>
      <c r="AS42" s="59">
        <f>SUM(AS40:AS41)</f>
        <v>6013</v>
      </c>
      <c r="AT42" s="61">
        <f t="shared" si="113"/>
        <v>4224</v>
      </c>
      <c r="AU42" s="59">
        <f t="shared" si="113"/>
        <v>0</v>
      </c>
      <c r="AV42" s="60">
        <f t="shared" si="113"/>
        <v>4224</v>
      </c>
    </row>
    <row r="43" spans="1:48" x14ac:dyDescent="0.4">
      <c r="A43" s="151"/>
      <c r="B43" s="182"/>
      <c r="C43" s="151"/>
      <c r="D43" s="151" t="s">
        <v>50</v>
      </c>
      <c r="E43" s="23"/>
      <c r="F43" s="27"/>
      <c r="G43" s="27"/>
      <c r="H43" s="63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90"/>
      <c r="Z43" s="19"/>
      <c r="AA43" s="91"/>
      <c r="AB43" s="92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92"/>
      <c r="AQ43" s="93"/>
      <c r="AR43" s="94"/>
      <c r="AS43" s="64"/>
      <c r="AT43" s="95"/>
      <c r="AU43" s="93"/>
      <c r="AV43" s="96"/>
    </row>
    <row r="44" spans="1:48" x14ac:dyDescent="0.4">
      <c r="A44" s="149"/>
      <c r="B44" s="149"/>
      <c r="C44" s="149"/>
      <c r="D44" s="149" t="s">
        <v>59</v>
      </c>
      <c r="E44" s="30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49"/>
      <c r="Y44" s="50"/>
      <c r="Z44" s="30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49"/>
      <c r="AR44" s="50"/>
      <c r="AS44" s="11"/>
      <c r="AT44" s="72"/>
      <c r="AU44" s="11"/>
      <c r="AV44" s="52"/>
    </row>
    <row r="45" spans="1:48" x14ac:dyDescent="0.4">
      <c r="A45" s="146" t="s">
        <v>150</v>
      </c>
      <c r="B45" s="176">
        <v>81000</v>
      </c>
      <c r="C45" s="146" t="s">
        <v>119</v>
      </c>
      <c r="D45" s="146" t="s">
        <v>98</v>
      </c>
      <c r="E45" s="20">
        <v>4</v>
      </c>
      <c r="F45" s="141" t="s">
        <v>29</v>
      </c>
      <c r="G45" s="7">
        <v>6</v>
      </c>
      <c r="H45" s="17">
        <v>1</v>
      </c>
      <c r="I45" s="11">
        <v>1825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>
        <f t="shared" ref="V45:V47" si="114">SUM(J45:U45)</f>
        <v>0</v>
      </c>
      <c r="W45" s="11">
        <f>E45*G45*H45*I45</f>
        <v>43800</v>
      </c>
      <c r="X45" s="11">
        <f>W45</f>
        <v>43800</v>
      </c>
      <c r="Y45" s="52">
        <f>W45-X45</f>
        <v>0</v>
      </c>
      <c r="Z45" s="20">
        <f>E45</f>
        <v>4</v>
      </c>
      <c r="AA45" s="7">
        <f>G45</f>
        <v>6</v>
      </c>
      <c r="AB45" s="11">
        <f>I45</f>
        <v>1825</v>
      </c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>
        <f t="shared" ref="AO45:AO47" si="115">SUM(AC45:AN45)</f>
        <v>0</v>
      </c>
      <c r="AP45" s="11">
        <f>Z45*AA45*AB45*H45</f>
        <v>43800</v>
      </c>
      <c r="AQ45" s="11">
        <f>AP45</f>
        <v>43800</v>
      </c>
      <c r="AR45" s="52">
        <f>AP45-AQ45</f>
        <v>0</v>
      </c>
      <c r="AS45" s="11">
        <f t="shared" ref="AS45:AS47" si="116">+AO45+V45</f>
        <v>0</v>
      </c>
      <c r="AT45" s="72">
        <f t="shared" ref="AT45:AU47" si="117">X45+AQ45</f>
        <v>87600</v>
      </c>
      <c r="AU45" s="11">
        <f t="shared" si="117"/>
        <v>0</v>
      </c>
      <c r="AV45" s="52">
        <f t="shared" ref="AV45:AV47" si="118">AT45+AU45</f>
        <v>87600</v>
      </c>
    </row>
    <row r="46" spans="1:48" x14ac:dyDescent="0.4">
      <c r="A46" s="146" t="s">
        <v>151</v>
      </c>
      <c r="B46" s="176">
        <v>81000</v>
      </c>
      <c r="C46" s="146" t="s">
        <v>119</v>
      </c>
      <c r="D46" s="146" t="s">
        <v>99</v>
      </c>
      <c r="E46" s="20">
        <v>1</v>
      </c>
      <c r="F46" s="141" t="s">
        <v>29</v>
      </c>
      <c r="G46" s="7">
        <v>5</v>
      </c>
      <c r="H46" s="17">
        <v>1</v>
      </c>
      <c r="I46" s="11">
        <v>3500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>
        <f t="shared" si="114"/>
        <v>0</v>
      </c>
      <c r="W46" s="11">
        <f>E46*G46*H46*I46</f>
        <v>17500</v>
      </c>
      <c r="X46" s="11">
        <f>W46</f>
        <v>17500</v>
      </c>
      <c r="Y46" s="52">
        <f>W46-X46</f>
        <v>0</v>
      </c>
      <c r="Z46" s="20">
        <f>E46</f>
        <v>1</v>
      </c>
      <c r="AA46" s="7">
        <f>G46</f>
        <v>5</v>
      </c>
      <c r="AB46" s="11">
        <f>I46</f>
        <v>3500</v>
      </c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>
        <f t="shared" si="115"/>
        <v>0</v>
      </c>
      <c r="AP46" s="11">
        <f>Z46*AA46*AB46*H46</f>
        <v>17500</v>
      </c>
      <c r="AQ46" s="11">
        <f>AP46</f>
        <v>17500</v>
      </c>
      <c r="AR46" s="52">
        <f>AP46-AQ46</f>
        <v>0</v>
      </c>
      <c r="AS46" s="11">
        <f t="shared" si="116"/>
        <v>0</v>
      </c>
      <c r="AT46" s="72">
        <f t="shared" si="117"/>
        <v>35000</v>
      </c>
      <c r="AU46" s="11">
        <f t="shared" si="117"/>
        <v>0</v>
      </c>
      <c r="AV46" s="52">
        <f t="shared" si="118"/>
        <v>35000</v>
      </c>
    </row>
    <row r="47" spans="1:48" x14ac:dyDescent="0.4">
      <c r="A47" s="146" t="s">
        <v>152</v>
      </c>
      <c r="B47" s="176">
        <v>81000</v>
      </c>
      <c r="C47" s="146" t="s">
        <v>119</v>
      </c>
      <c r="D47" s="146" t="s">
        <v>100</v>
      </c>
      <c r="E47" s="20">
        <v>1</v>
      </c>
      <c r="F47" s="141" t="s">
        <v>29</v>
      </c>
      <c r="G47" s="7">
        <v>2</v>
      </c>
      <c r="H47" s="17">
        <v>1</v>
      </c>
      <c r="I47" s="11">
        <v>3000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>
        <f t="shared" si="114"/>
        <v>0</v>
      </c>
      <c r="W47" s="11">
        <f>E47*G47*H47*I47</f>
        <v>6000</v>
      </c>
      <c r="X47" s="11">
        <f>W47</f>
        <v>6000</v>
      </c>
      <c r="Y47" s="52">
        <f>W47-X47</f>
        <v>0</v>
      </c>
      <c r="Z47" s="20">
        <f>E47</f>
        <v>1</v>
      </c>
      <c r="AA47" s="7">
        <f>G47</f>
        <v>2</v>
      </c>
      <c r="AB47" s="11">
        <f>I47</f>
        <v>3000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>
        <f t="shared" si="115"/>
        <v>0</v>
      </c>
      <c r="AP47" s="11">
        <f>Z47*AA47*AB47*H47</f>
        <v>6000</v>
      </c>
      <c r="AQ47" s="11">
        <f>AP47</f>
        <v>6000</v>
      </c>
      <c r="AR47" s="52">
        <f>AP47-AQ47</f>
        <v>0</v>
      </c>
      <c r="AS47" s="11">
        <f t="shared" si="116"/>
        <v>0</v>
      </c>
      <c r="AT47" s="72">
        <f t="shared" si="117"/>
        <v>12000</v>
      </c>
      <c r="AU47" s="11">
        <f t="shared" si="117"/>
        <v>0</v>
      </c>
      <c r="AV47" s="52">
        <f t="shared" si="118"/>
        <v>12000</v>
      </c>
    </row>
    <row r="48" spans="1:48" x14ac:dyDescent="0.4">
      <c r="A48" s="149"/>
      <c r="C48" s="149"/>
      <c r="D48" s="149" t="s">
        <v>97</v>
      </c>
      <c r="E48" s="20"/>
      <c r="F48" s="141"/>
      <c r="G48" s="7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52"/>
      <c r="Z48" s="20"/>
      <c r="AA48" s="7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52"/>
      <c r="AS48" s="11"/>
      <c r="AT48" s="72"/>
      <c r="AU48" s="11"/>
      <c r="AV48" s="52"/>
    </row>
    <row r="49" spans="1:48" x14ac:dyDescent="0.4">
      <c r="A49" s="146" t="s">
        <v>153</v>
      </c>
      <c r="B49" s="176">
        <v>81010</v>
      </c>
      <c r="C49" s="146" t="s">
        <v>119</v>
      </c>
      <c r="D49" s="146" t="s">
        <v>101</v>
      </c>
      <c r="E49" s="20">
        <v>1</v>
      </c>
      <c r="F49" s="141" t="s">
        <v>92</v>
      </c>
      <c r="G49" s="7">
        <v>1</v>
      </c>
      <c r="H49" s="17">
        <v>1</v>
      </c>
      <c r="I49" s="11">
        <v>25000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>
        <f t="shared" ref="V49:V51" si="119">SUM(J49:U49)</f>
        <v>0</v>
      </c>
      <c r="W49" s="11">
        <f>E49*G49*H49*I49</f>
        <v>25000</v>
      </c>
      <c r="X49" s="11">
        <f>W49</f>
        <v>25000</v>
      </c>
      <c r="Y49" s="52">
        <f>W49-X49</f>
        <v>0</v>
      </c>
      <c r="Z49" s="20">
        <v>0</v>
      </c>
      <c r="AA49" s="7">
        <v>0</v>
      </c>
      <c r="AB49" s="11">
        <f>I49</f>
        <v>25000</v>
      </c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>
        <f t="shared" ref="AO49:AO51" si="120">SUM(AC49:AN49)</f>
        <v>0</v>
      </c>
      <c r="AP49" s="11">
        <f>Z49*AA49*AB49*H49</f>
        <v>0</v>
      </c>
      <c r="AQ49" s="11">
        <f>AP49</f>
        <v>0</v>
      </c>
      <c r="AR49" s="52">
        <f>AP49-AQ49</f>
        <v>0</v>
      </c>
      <c r="AS49" s="11">
        <f t="shared" ref="AS49:AS51" si="121">+AO49+V49</f>
        <v>0</v>
      </c>
      <c r="AT49" s="72">
        <f t="shared" ref="AT49:AU51" si="122">X49+AQ49</f>
        <v>25000</v>
      </c>
      <c r="AU49" s="11">
        <f t="shared" si="122"/>
        <v>0</v>
      </c>
      <c r="AV49" s="52">
        <f t="shared" ref="AV49:AV51" si="123">AT49+AU49</f>
        <v>25000</v>
      </c>
    </row>
    <row r="50" spans="1:48" x14ac:dyDescent="0.4">
      <c r="A50" s="146" t="s">
        <v>155</v>
      </c>
      <c r="B50" s="176">
        <v>81010</v>
      </c>
      <c r="C50" s="146" t="s">
        <v>119</v>
      </c>
      <c r="D50" s="146" t="s">
        <v>102</v>
      </c>
      <c r="E50" s="20">
        <v>1</v>
      </c>
      <c r="F50" s="141" t="s">
        <v>92</v>
      </c>
      <c r="G50" s="7">
        <v>1</v>
      </c>
      <c r="H50" s="17">
        <v>1</v>
      </c>
      <c r="I50" s="11">
        <v>20000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>
        <f t="shared" si="119"/>
        <v>0</v>
      </c>
      <c r="W50" s="11">
        <f>E50*G50*H50*I50</f>
        <v>20000</v>
      </c>
      <c r="X50" s="11">
        <f>W50</f>
        <v>20000</v>
      </c>
      <c r="Y50" s="52">
        <f>W50-X50</f>
        <v>0</v>
      </c>
      <c r="Z50" s="20">
        <v>0</v>
      </c>
      <c r="AA50" s="7">
        <v>0</v>
      </c>
      <c r="AB50" s="11">
        <f>I50</f>
        <v>20000</v>
      </c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>
        <f t="shared" si="120"/>
        <v>0</v>
      </c>
      <c r="AP50" s="11">
        <f>Z50*AA50*AB50*H50</f>
        <v>0</v>
      </c>
      <c r="AQ50" s="11">
        <f>AP50</f>
        <v>0</v>
      </c>
      <c r="AR50" s="52">
        <f>AP50-AQ50</f>
        <v>0</v>
      </c>
      <c r="AS50" s="11">
        <f t="shared" si="121"/>
        <v>0</v>
      </c>
      <c r="AT50" s="72">
        <f t="shared" si="122"/>
        <v>20000</v>
      </c>
      <c r="AU50" s="11">
        <f t="shared" si="122"/>
        <v>0</v>
      </c>
      <c r="AV50" s="52">
        <f t="shared" si="123"/>
        <v>20000</v>
      </c>
    </row>
    <row r="51" spans="1:48" x14ac:dyDescent="0.4">
      <c r="A51" s="146" t="s">
        <v>154</v>
      </c>
      <c r="B51" s="176">
        <v>86110</v>
      </c>
      <c r="C51" s="146" t="s">
        <v>119</v>
      </c>
      <c r="D51" s="146" t="s">
        <v>106</v>
      </c>
      <c r="E51" s="20">
        <v>1</v>
      </c>
      <c r="F51" s="141" t="s">
        <v>29</v>
      </c>
      <c r="G51" s="7">
        <v>12</v>
      </c>
      <c r="H51" s="17">
        <v>1</v>
      </c>
      <c r="I51" s="11">
        <v>300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>
        <f t="shared" si="119"/>
        <v>0</v>
      </c>
      <c r="W51" s="11">
        <f>E51*G51*H51*I51</f>
        <v>3600</v>
      </c>
      <c r="X51" s="11">
        <f>W51</f>
        <v>3600</v>
      </c>
      <c r="Y51" s="52">
        <f>W51-X51</f>
        <v>0</v>
      </c>
      <c r="Z51" s="20">
        <f>E51</f>
        <v>1</v>
      </c>
      <c r="AA51" s="7">
        <f>G51</f>
        <v>12</v>
      </c>
      <c r="AB51" s="11">
        <f>I51</f>
        <v>300</v>
      </c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>
        <f t="shared" si="120"/>
        <v>0</v>
      </c>
      <c r="AP51" s="11">
        <f>Z51*AA51*AB51*H51</f>
        <v>3600</v>
      </c>
      <c r="AQ51" s="11">
        <f>AP51</f>
        <v>3600</v>
      </c>
      <c r="AR51" s="52">
        <f>AP51-AQ51</f>
        <v>0</v>
      </c>
      <c r="AS51" s="11">
        <f t="shared" si="121"/>
        <v>0</v>
      </c>
      <c r="AT51" s="72">
        <f t="shared" si="122"/>
        <v>7200</v>
      </c>
      <c r="AU51" s="11">
        <f t="shared" si="122"/>
        <v>0</v>
      </c>
      <c r="AV51" s="52">
        <f t="shared" si="123"/>
        <v>7200</v>
      </c>
    </row>
    <row r="52" spans="1:48" x14ac:dyDescent="0.4">
      <c r="A52" s="150"/>
      <c r="B52" s="181"/>
      <c r="C52" s="150"/>
      <c r="D52" s="150" t="s">
        <v>52</v>
      </c>
      <c r="E52" s="25"/>
      <c r="F52" s="28"/>
      <c r="G52" s="26"/>
      <c r="H52" s="58"/>
      <c r="I52" s="59"/>
      <c r="J52" s="59">
        <f t="shared" ref="J52:U52" si="124">SUM(J45:J51)</f>
        <v>0</v>
      </c>
      <c r="K52" s="59">
        <f t="shared" si="124"/>
        <v>0</v>
      </c>
      <c r="L52" s="59">
        <f t="shared" si="124"/>
        <v>0</v>
      </c>
      <c r="M52" s="59">
        <f t="shared" si="124"/>
        <v>0</v>
      </c>
      <c r="N52" s="59">
        <f t="shared" si="124"/>
        <v>0</v>
      </c>
      <c r="O52" s="59">
        <f t="shared" si="124"/>
        <v>0</v>
      </c>
      <c r="P52" s="59">
        <f t="shared" si="124"/>
        <v>0</v>
      </c>
      <c r="Q52" s="59">
        <f t="shared" si="124"/>
        <v>0</v>
      </c>
      <c r="R52" s="59">
        <f t="shared" si="124"/>
        <v>0</v>
      </c>
      <c r="S52" s="59">
        <f t="shared" si="124"/>
        <v>0</v>
      </c>
      <c r="T52" s="59">
        <f t="shared" si="124"/>
        <v>0</v>
      </c>
      <c r="U52" s="59">
        <f t="shared" si="124"/>
        <v>0</v>
      </c>
      <c r="V52" s="59">
        <f>SUM(V45:V51)</f>
        <v>0</v>
      </c>
      <c r="W52" s="59">
        <f>SUM(W45:W51)</f>
        <v>115900</v>
      </c>
      <c r="X52" s="59">
        <f>SUM(X45:X51)</f>
        <v>115900</v>
      </c>
      <c r="Y52" s="60">
        <f>SUM(Y45:Y51)</f>
        <v>0</v>
      </c>
      <c r="Z52" s="84"/>
      <c r="AA52" s="85"/>
      <c r="AB52" s="59"/>
      <c r="AC52" s="59">
        <f t="shared" ref="AC52" si="125">SUM(AC45:AC51)</f>
        <v>0</v>
      </c>
      <c r="AD52" s="59">
        <f t="shared" ref="AD52" si="126">SUM(AD45:AD51)</f>
        <v>0</v>
      </c>
      <c r="AE52" s="59">
        <f t="shared" ref="AE52" si="127">SUM(AE45:AE51)</f>
        <v>0</v>
      </c>
      <c r="AF52" s="59">
        <f t="shared" ref="AF52" si="128">SUM(AF45:AF51)</f>
        <v>0</v>
      </c>
      <c r="AG52" s="59">
        <f t="shared" ref="AG52" si="129">SUM(AG45:AG51)</f>
        <v>0</v>
      </c>
      <c r="AH52" s="59">
        <f t="shared" ref="AH52" si="130">SUM(AH45:AH51)</f>
        <v>0</v>
      </c>
      <c r="AI52" s="59">
        <f t="shared" ref="AI52" si="131">SUM(AI45:AI51)</f>
        <v>0</v>
      </c>
      <c r="AJ52" s="59">
        <f t="shared" ref="AJ52" si="132">SUM(AJ45:AJ51)</f>
        <v>0</v>
      </c>
      <c r="AK52" s="59">
        <f t="shared" ref="AK52" si="133">SUM(AK45:AK51)</f>
        <v>0</v>
      </c>
      <c r="AL52" s="59">
        <f t="shared" ref="AL52" si="134">SUM(AL45:AL51)</f>
        <v>0</v>
      </c>
      <c r="AM52" s="59">
        <f t="shared" ref="AM52" si="135">SUM(AM45:AM51)</f>
        <v>0</v>
      </c>
      <c r="AN52" s="59">
        <f t="shared" ref="AN52" si="136">SUM(AN45:AN51)</f>
        <v>0</v>
      </c>
      <c r="AO52" s="59">
        <f>SUM(AO45:AO51)</f>
        <v>0</v>
      </c>
      <c r="AP52" s="59">
        <f>SUM(AP45:AP51)</f>
        <v>70900</v>
      </c>
      <c r="AQ52" s="59">
        <f t="shared" ref="AQ52:AV52" si="137">SUM(AQ45:AQ51)</f>
        <v>70900</v>
      </c>
      <c r="AR52" s="60">
        <f t="shared" si="137"/>
        <v>0</v>
      </c>
      <c r="AS52" s="59">
        <f>SUM(AS45:AS51)</f>
        <v>0</v>
      </c>
      <c r="AT52" s="61">
        <f t="shared" si="137"/>
        <v>186800</v>
      </c>
      <c r="AU52" s="61">
        <f t="shared" si="137"/>
        <v>0</v>
      </c>
      <c r="AV52" s="97">
        <f t="shared" si="137"/>
        <v>186800</v>
      </c>
    </row>
    <row r="53" spans="1:48" x14ac:dyDescent="0.4">
      <c r="A53" s="151"/>
      <c r="B53" s="182"/>
      <c r="C53" s="151"/>
      <c r="D53" s="151" t="s">
        <v>14</v>
      </c>
      <c r="E53" s="23"/>
      <c r="F53" s="27"/>
      <c r="G53" s="136"/>
      <c r="H53" s="63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86"/>
      <c r="Y53" s="87"/>
      <c r="Z53" s="23"/>
      <c r="AA53" s="27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86"/>
      <c r="AR53" s="87"/>
      <c r="AS53" s="64"/>
      <c r="AT53" s="88"/>
      <c r="AU53" s="86"/>
      <c r="AV53" s="69"/>
    </row>
    <row r="54" spans="1:48" x14ac:dyDescent="0.4">
      <c r="A54" s="151"/>
      <c r="B54" s="182"/>
      <c r="C54" s="151"/>
      <c r="D54" s="151" t="s">
        <v>15</v>
      </c>
      <c r="E54" s="98"/>
      <c r="F54" s="31"/>
      <c r="G54" s="31"/>
      <c r="H54" s="99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86"/>
      <c r="Y54" s="87"/>
      <c r="Z54" s="98"/>
      <c r="AA54" s="31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86"/>
      <c r="AR54" s="87"/>
      <c r="AS54" s="100"/>
      <c r="AT54" s="88"/>
      <c r="AU54" s="86"/>
      <c r="AV54" s="69"/>
    </row>
    <row r="55" spans="1:48" x14ac:dyDescent="0.4">
      <c r="A55" s="153"/>
      <c r="B55" s="183"/>
      <c r="C55" s="153"/>
      <c r="D55" s="153" t="s">
        <v>77</v>
      </c>
      <c r="E55" s="29"/>
      <c r="F55" s="76"/>
      <c r="G55" s="76"/>
      <c r="H55" s="89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77"/>
      <c r="Y55" s="101"/>
      <c r="Z55" s="29"/>
      <c r="AA55" s="76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77"/>
      <c r="AR55" s="101"/>
      <c r="AS55" s="12"/>
      <c r="AT55" s="102"/>
      <c r="AU55" s="12"/>
      <c r="AV55" s="101"/>
    </row>
    <row r="56" spans="1:48" x14ac:dyDescent="0.4">
      <c r="A56" s="176" t="s">
        <v>137</v>
      </c>
      <c r="B56" s="176">
        <v>85180</v>
      </c>
      <c r="C56" s="176" t="s">
        <v>119</v>
      </c>
      <c r="D56" s="146" t="s">
        <v>78</v>
      </c>
      <c r="E56" s="20">
        <v>1</v>
      </c>
      <c r="F56" s="7" t="s">
        <v>29</v>
      </c>
      <c r="G56" s="138">
        <v>12</v>
      </c>
      <c r="H56" s="17">
        <v>1</v>
      </c>
      <c r="I56" s="11">
        <v>350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>
        <f t="shared" ref="V56:V64" si="138">SUM(J56:U56)</f>
        <v>0</v>
      </c>
      <c r="W56" s="11">
        <f t="shared" ref="W56:W64" si="139">E56*I56*G56*H56</f>
        <v>4200</v>
      </c>
      <c r="X56" s="11">
        <f t="shared" ref="X56:X64" si="140">W56</f>
        <v>4200</v>
      </c>
      <c r="Y56" s="52">
        <f t="shared" ref="Y56:Y64" si="141">W56-X56</f>
        <v>0</v>
      </c>
      <c r="Z56" s="20">
        <v>1</v>
      </c>
      <c r="AA56" s="7">
        <v>12</v>
      </c>
      <c r="AB56" s="11">
        <f>I56*$E$3</f>
        <v>364</v>
      </c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>
        <f t="shared" ref="AO56:AO64" si="142">SUM(AC56:AN56)</f>
        <v>0</v>
      </c>
      <c r="AP56" s="11">
        <f>Z56*AB56*AA56*H56</f>
        <v>4368</v>
      </c>
      <c r="AQ56" s="11">
        <f t="shared" ref="AQ56:AQ64" si="143">AP56</f>
        <v>4368</v>
      </c>
      <c r="AR56" s="52">
        <f t="shared" ref="AR56:AR64" si="144">AP56-AQ56</f>
        <v>0</v>
      </c>
      <c r="AS56" s="11">
        <f t="shared" ref="AS56:AS64" si="145">+AO56+V56</f>
        <v>0</v>
      </c>
      <c r="AT56" s="72">
        <f t="shared" ref="AT56:AT64" si="146">X56+AQ56</f>
        <v>8568</v>
      </c>
      <c r="AU56" s="11">
        <f t="shared" ref="AU56:AU64" si="147">Y56+AR56</f>
        <v>0</v>
      </c>
      <c r="AV56" s="52">
        <f t="shared" ref="AV56:AV64" si="148">AT56+AU56</f>
        <v>8568</v>
      </c>
    </row>
    <row r="57" spans="1:48" x14ac:dyDescent="0.4">
      <c r="A57" s="176" t="s">
        <v>138</v>
      </c>
      <c r="B57" s="176">
        <v>90900</v>
      </c>
      <c r="C57" s="176" t="s">
        <v>119</v>
      </c>
      <c r="D57" s="146" t="s">
        <v>79</v>
      </c>
      <c r="E57" s="20">
        <v>1</v>
      </c>
      <c r="F57" s="7" t="s">
        <v>29</v>
      </c>
      <c r="G57" s="138">
        <v>12</v>
      </c>
      <c r="H57" s="17">
        <v>1</v>
      </c>
      <c r="I57" s="11">
        <v>35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>
        <f t="shared" si="138"/>
        <v>0</v>
      </c>
      <c r="W57" s="11">
        <f t="shared" si="139"/>
        <v>420</v>
      </c>
      <c r="X57" s="11">
        <f t="shared" si="140"/>
        <v>420</v>
      </c>
      <c r="Y57" s="52">
        <f t="shared" si="141"/>
        <v>0</v>
      </c>
      <c r="Z57" s="20">
        <v>1</v>
      </c>
      <c r="AA57" s="7">
        <v>12</v>
      </c>
      <c r="AB57" s="11">
        <f t="shared" ref="AB57:AB73" si="149">I57*$E$3</f>
        <v>36.4</v>
      </c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>
        <f t="shared" si="142"/>
        <v>0</v>
      </c>
      <c r="AP57" s="11">
        <f t="shared" ref="AP57:AP64" si="150">Z57*AB57*AA57*H57</f>
        <v>436.79999999999995</v>
      </c>
      <c r="AQ57" s="11">
        <f t="shared" si="143"/>
        <v>436.79999999999995</v>
      </c>
      <c r="AR57" s="52">
        <f t="shared" si="144"/>
        <v>0</v>
      </c>
      <c r="AS57" s="11">
        <f t="shared" si="145"/>
        <v>0</v>
      </c>
      <c r="AT57" s="72">
        <f t="shared" si="146"/>
        <v>856.8</v>
      </c>
      <c r="AU57" s="11">
        <f t="shared" si="147"/>
        <v>0</v>
      </c>
      <c r="AV57" s="52">
        <f t="shared" si="148"/>
        <v>856.8</v>
      </c>
    </row>
    <row r="58" spans="1:48" x14ac:dyDescent="0.4">
      <c r="A58" s="146" t="s">
        <v>147</v>
      </c>
      <c r="B58" s="176">
        <v>81030</v>
      </c>
      <c r="C58" s="146" t="s">
        <v>119</v>
      </c>
      <c r="D58" s="146" t="s">
        <v>80</v>
      </c>
      <c r="E58" s="20">
        <v>1</v>
      </c>
      <c r="F58" s="7" t="s">
        <v>29</v>
      </c>
      <c r="G58" s="138">
        <v>12</v>
      </c>
      <c r="H58" s="17">
        <v>1</v>
      </c>
      <c r="I58" s="11">
        <v>50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>
        <f t="shared" si="138"/>
        <v>0</v>
      </c>
      <c r="W58" s="11">
        <f t="shared" si="139"/>
        <v>600</v>
      </c>
      <c r="X58" s="11">
        <f t="shared" si="140"/>
        <v>600</v>
      </c>
      <c r="Y58" s="52">
        <f t="shared" si="141"/>
        <v>0</v>
      </c>
      <c r="Z58" s="20">
        <v>1</v>
      </c>
      <c r="AA58" s="7">
        <v>12</v>
      </c>
      <c r="AB58" s="11">
        <f t="shared" si="149"/>
        <v>52</v>
      </c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>
        <f t="shared" si="142"/>
        <v>0</v>
      </c>
      <c r="AP58" s="11">
        <f t="shared" si="150"/>
        <v>624</v>
      </c>
      <c r="AQ58" s="11">
        <f t="shared" si="143"/>
        <v>624</v>
      </c>
      <c r="AR58" s="52">
        <f t="shared" si="144"/>
        <v>0</v>
      </c>
      <c r="AS58" s="11">
        <f t="shared" si="145"/>
        <v>0</v>
      </c>
      <c r="AT58" s="72">
        <f t="shared" si="146"/>
        <v>1224</v>
      </c>
      <c r="AU58" s="11">
        <f t="shared" si="147"/>
        <v>0</v>
      </c>
      <c r="AV58" s="52">
        <f t="shared" si="148"/>
        <v>1224</v>
      </c>
    </row>
    <row r="59" spans="1:48" x14ac:dyDescent="0.4">
      <c r="A59" s="146" t="s">
        <v>146</v>
      </c>
      <c r="B59" s="176">
        <v>82030</v>
      </c>
      <c r="C59" s="146" t="s">
        <v>119</v>
      </c>
      <c r="D59" s="146" t="s">
        <v>81</v>
      </c>
      <c r="E59" s="20">
        <v>1</v>
      </c>
      <c r="F59" s="7" t="s">
        <v>29</v>
      </c>
      <c r="G59" s="138">
        <v>12</v>
      </c>
      <c r="H59" s="17">
        <v>1</v>
      </c>
      <c r="I59" s="11">
        <v>150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>
        <f t="shared" si="138"/>
        <v>0</v>
      </c>
      <c r="W59" s="11">
        <f t="shared" si="139"/>
        <v>1800</v>
      </c>
      <c r="X59" s="11">
        <f t="shared" si="140"/>
        <v>1800</v>
      </c>
      <c r="Y59" s="52">
        <f t="shared" si="141"/>
        <v>0</v>
      </c>
      <c r="Z59" s="20">
        <v>1</v>
      </c>
      <c r="AA59" s="7">
        <v>12</v>
      </c>
      <c r="AB59" s="11">
        <f t="shared" si="149"/>
        <v>156</v>
      </c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>
        <f t="shared" si="142"/>
        <v>0</v>
      </c>
      <c r="AP59" s="11">
        <f t="shared" si="150"/>
        <v>1872</v>
      </c>
      <c r="AQ59" s="11">
        <f t="shared" si="143"/>
        <v>1872</v>
      </c>
      <c r="AR59" s="52">
        <f t="shared" si="144"/>
        <v>0</v>
      </c>
      <c r="AS59" s="11">
        <f t="shared" si="145"/>
        <v>0</v>
      </c>
      <c r="AT59" s="72">
        <f t="shared" si="146"/>
        <v>3672</v>
      </c>
      <c r="AU59" s="11">
        <f t="shared" si="147"/>
        <v>0</v>
      </c>
      <c r="AV59" s="52">
        <f t="shared" si="148"/>
        <v>3672</v>
      </c>
    </row>
    <row r="60" spans="1:48" x14ac:dyDescent="0.4">
      <c r="A60" s="146" t="s">
        <v>144</v>
      </c>
      <c r="B60" s="176">
        <v>89400</v>
      </c>
      <c r="C60" s="146" t="s">
        <v>119</v>
      </c>
      <c r="D60" s="146" t="s">
        <v>107</v>
      </c>
      <c r="E60" s="20">
        <v>1</v>
      </c>
      <c r="F60" s="7" t="s">
        <v>29</v>
      </c>
      <c r="G60" s="138">
        <v>12</v>
      </c>
      <c r="H60" s="17">
        <v>1</v>
      </c>
      <c r="I60" s="11">
        <f>10*12</f>
        <v>120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>
        <f t="shared" si="138"/>
        <v>0</v>
      </c>
      <c r="W60" s="11">
        <f t="shared" si="139"/>
        <v>1440</v>
      </c>
      <c r="X60" s="11">
        <f t="shared" si="140"/>
        <v>1440</v>
      </c>
      <c r="Y60" s="52">
        <f t="shared" si="141"/>
        <v>0</v>
      </c>
      <c r="Z60" s="20">
        <v>1</v>
      </c>
      <c r="AA60" s="7">
        <v>12</v>
      </c>
      <c r="AB60" s="11">
        <f t="shared" si="149"/>
        <v>124.80000000000001</v>
      </c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>
        <f t="shared" si="142"/>
        <v>0</v>
      </c>
      <c r="AP60" s="11">
        <f t="shared" si="150"/>
        <v>1497.6000000000001</v>
      </c>
      <c r="AQ60" s="11">
        <f t="shared" si="143"/>
        <v>1497.6000000000001</v>
      </c>
      <c r="AR60" s="52">
        <f t="shared" si="144"/>
        <v>0</v>
      </c>
      <c r="AS60" s="11">
        <f t="shared" si="145"/>
        <v>0</v>
      </c>
      <c r="AT60" s="72">
        <f t="shared" si="146"/>
        <v>2937.6000000000004</v>
      </c>
      <c r="AU60" s="11">
        <f t="shared" si="147"/>
        <v>0</v>
      </c>
      <c r="AV60" s="52">
        <f t="shared" si="148"/>
        <v>2937.6000000000004</v>
      </c>
    </row>
    <row r="61" spans="1:48" x14ac:dyDescent="0.4">
      <c r="A61" s="146" t="s">
        <v>145</v>
      </c>
      <c r="B61" s="176">
        <v>87010</v>
      </c>
      <c r="C61" s="146" t="s">
        <v>119</v>
      </c>
      <c r="D61" s="146" t="s">
        <v>94</v>
      </c>
      <c r="E61" s="20">
        <v>1</v>
      </c>
      <c r="F61" s="7" t="s">
        <v>29</v>
      </c>
      <c r="G61" s="138">
        <v>12</v>
      </c>
      <c r="H61" s="17">
        <v>1</v>
      </c>
      <c r="I61" s="11">
        <v>50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>
        <f t="shared" si="138"/>
        <v>0</v>
      </c>
      <c r="W61" s="11">
        <f t="shared" si="139"/>
        <v>600</v>
      </c>
      <c r="X61" s="11">
        <f t="shared" si="140"/>
        <v>600</v>
      </c>
      <c r="Y61" s="52">
        <f t="shared" si="141"/>
        <v>0</v>
      </c>
      <c r="Z61" s="20">
        <v>1</v>
      </c>
      <c r="AA61" s="7">
        <v>12</v>
      </c>
      <c r="AB61" s="11">
        <f t="shared" si="149"/>
        <v>52</v>
      </c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>
        <f t="shared" si="142"/>
        <v>0</v>
      </c>
      <c r="AP61" s="11">
        <f t="shared" si="150"/>
        <v>624</v>
      </c>
      <c r="AQ61" s="11">
        <f t="shared" si="143"/>
        <v>624</v>
      </c>
      <c r="AR61" s="52">
        <f t="shared" si="144"/>
        <v>0</v>
      </c>
      <c r="AS61" s="11">
        <f t="shared" si="145"/>
        <v>0</v>
      </c>
      <c r="AT61" s="72">
        <f t="shared" si="146"/>
        <v>1224</v>
      </c>
      <c r="AU61" s="11">
        <f t="shared" si="147"/>
        <v>0</v>
      </c>
      <c r="AV61" s="52">
        <f t="shared" si="148"/>
        <v>1224</v>
      </c>
    </row>
    <row r="62" spans="1:48" x14ac:dyDescent="0.4">
      <c r="A62" s="146" t="s">
        <v>143</v>
      </c>
      <c r="B62" s="176">
        <v>90450</v>
      </c>
      <c r="C62" s="146" t="s">
        <v>119</v>
      </c>
      <c r="D62" s="146" t="s">
        <v>108</v>
      </c>
      <c r="E62" s="20">
        <v>1</v>
      </c>
      <c r="F62" s="7" t="s">
        <v>46</v>
      </c>
      <c r="G62" s="138">
        <v>1</v>
      </c>
      <c r="H62" s="17">
        <v>1</v>
      </c>
      <c r="I62" s="11">
        <v>400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>
        <f t="shared" si="138"/>
        <v>0</v>
      </c>
      <c r="W62" s="11">
        <f t="shared" si="139"/>
        <v>400</v>
      </c>
      <c r="X62" s="11">
        <f t="shared" si="140"/>
        <v>400</v>
      </c>
      <c r="Y62" s="52">
        <f t="shared" si="141"/>
        <v>0</v>
      </c>
      <c r="Z62" s="20">
        <v>1</v>
      </c>
      <c r="AA62" s="7">
        <v>1</v>
      </c>
      <c r="AB62" s="11">
        <f t="shared" si="149"/>
        <v>416</v>
      </c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>
        <f t="shared" si="142"/>
        <v>0</v>
      </c>
      <c r="AP62" s="11">
        <f t="shared" si="150"/>
        <v>416</v>
      </c>
      <c r="AQ62" s="11">
        <f t="shared" si="143"/>
        <v>416</v>
      </c>
      <c r="AR62" s="52">
        <f t="shared" si="144"/>
        <v>0</v>
      </c>
      <c r="AS62" s="11">
        <f t="shared" si="145"/>
        <v>0</v>
      </c>
      <c r="AT62" s="72">
        <f t="shared" si="146"/>
        <v>816</v>
      </c>
      <c r="AU62" s="11">
        <f t="shared" si="147"/>
        <v>0</v>
      </c>
      <c r="AV62" s="52">
        <f t="shared" si="148"/>
        <v>816</v>
      </c>
    </row>
    <row r="63" spans="1:48" x14ac:dyDescent="0.4">
      <c r="A63" s="146" t="s">
        <v>141</v>
      </c>
      <c r="B63" s="176">
        <v>90100</v>
      </c>
      <c r="C63" s="146" t="s">
        <v>119</v>
      </c>
      <c r="D63" s="146" t="s">
        <v>95</v>
      </c>
      <c r="E63" s="20">
        <v>1</v>
      </c>
      <c r="F63" s="7" t="s">
        <v>46</v>
      </c>
      <c r="G63" s="138">
        <v>1</v>
      </c>
      <c r="H63" s="17">
        <v>1</v>
      </c>
      <c r="I63" s="11">
        <v>250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>
        <f t="shared" si="138"/>
        <v>0</v>
      </c>
      <c r="W63" s="11">
        <f t="shared" si="139"/>
        <v>250</v>
      </c>
      <c r="X63" s="11">
        <f t="shared" si="140"/>
        <v>250</v>
      </c>
      <c r="Y63" s="52">
        <f t="shared" si="141"/>
        <v>0</v>
      </c>
      <c r="Z63" s="20">
        <v>1</v>
      </c>
      <c r="AA63" s="7">
        <v>1</v>
      </c>
      <c r="AB63" s="11">
        <f t="shared" si="149"/>
        <v>260</v>
      </c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>
        <f t="shared" si="142"/>
        <v>0</v>
      </c>
      <c r="AP63" s="11">
        <f t="shared" si="150"/>
        <v>260</v>
      </c>
      <c r="AQ63" s="11">
        <f t="shared" si="143"/>
        <v>260</v>
      </c>
      <c r="AR63" s="52">
        <f t="shared" si="144"/>
        <v>0</v>
      </c>
      <c r="AS63" s="11">
        <f t="shared" si="145"/>
        <v>0</v>
      </c>
      <c r="AT63" s="72">
        <f t="shared" si="146"/>
        <v>510</v>
      </c>
      <c r="AU63" s="11">
        <f t="shared" si="147"/>
        <v>0</v>
      </c>
      <c r="AV63" s="52">
        <f t="shared" si="148"/>
        <v>510</v>
      </c>
    </row>
    <row r="64" spans="1:48" x14ac:dyDescent="0.4">
      <c r="A64" s="146" t="s">
        <v>142</v>
      </c>
      <c r="B64" s="176">
        <v>82100</v>
      </c>
      <c r="C64" s="146" t="s">
        <v>119</v>
      </c>
      <c r="D64" s="146" t="s">
        <v>96</v>
      </c>
      <c r="E64" s="20">
        <v>1</v>
      </c>
      <c r="F64" s="7" t="s">
        <v>46</v>
      </c>
      <c r="G64" s="138">
        <v>1</v>
      </c>
      <c r="H64" s="17">
        <v>1</v>
      </c>
      <c r="I64" s="11">
        <v>100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>
        <f t="shared" si="138"/>
        <v>0</v>
      </c>
      <c r="W64" s="11">
        <f t="shared" si="139"/>
        <v>100</v>
      </c>
      <c r="X64" s="11">
        <f t="shared" si="140"/>
        <v>100</v>
      </c>
      <c r="Y64" s="52">
        <f t="shared" si="141"/>
        <v>0</v>
      </c>
      <c r="Z64" s="20">
        <v>1</v>
      </c>
      <c r="AA64" s="7">
        <v>1</v>
      </c>
      <c r="AB64" s="11">
        <f t="shared" si="149"/>
        <v>104</v>
      </c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>
        <f t="shared" si="142"/>
        <v>0</v>
      </c>
      <c r="AP64" s="11">
        <f t="shared" si="150"/>
        <v>104</v>
      </c>
      <c r="AQ64" s="11">
        <f t="shared" si="143"/>
        <v>104</v>
      </c>
      <c r="AR64" s="52">
        <f t="shared" si="144"/>
        <v>0</v>
      </c>
      <c r="AS64" s="11">
        <f t="shared" si="145"/>
        <v>0</v>
      </c>
      <c r="AT64" s="72">
        <f t="shared" si="146"/>
        <v>204</v>
      </c>
      <c r="AU64" s="11">
        <f t="shared" si="147"/>
        <v>0</v>
      </c>
      <c r="AV64" s="52">
        <f t="shared" si="148"/>
        <v>204</v>
      </c>
    </row>
    <row r="65" spans="1:48" x14ac:dyDescent="0.4">
      <c r="A65" s="153"/>
      <c r="B65" s="183"/>
      <c r="C65" s="153"/>
      <c r="D65" s="153" t="s">
        <v>82</v>
      </c>
      <c r="E65" s="29"/>
      <c r="F65" s="76"/>
      <c r="G65" s="76"/>
      <c r="H65" s="89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77"/>
      <c r="Y65" s="101"/>
      <c r="Z65" s="29"/>
      <c r="AA65" s="76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77"/>
      <c r="AR65" s="101"/>
      <c r="AS65" s="12"/>
      <c r="AT65" s="102"/>
      <c r="AU65" s="12"/>
      <c r="AV65" s="101"/>
    </row>
    <row r="66" spans="1:48" x14ac:dyDescent="0.4">
      <c r="A66" s="152" t="s">
        <v>148</v>
      </c>
      <c r="B66" s="184">
        <v>81021</v>
      </c>
      <c r="C66" s="152" t="s">
        <v>119</v>
      </c>
      <c r="D66" s="152" t="s">
        <v>88</v>
      </c>
      <c r="E66" s="20">
        <v>1</v>
      </c>
      <c r="F66" s="7" t="s">
        <v>46</v>
      </c>
      <c r="G66" s="7">
        <v>1</v>
      </c>
      <c r="H66" s="17">
        <v>1</v>
      </c>
      <c r="I66" s="11">
        <v>15000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>
        <f t="shared" ref="V66:V69" si="151">SUM(J66:U66)</f>
        <v>0</v>
      </c>
      <c r="W66" s="11">
        <f>E66*G66*H66*I66</f>
        <v>15000</v>
      </c>
      <c r="X66" s="53">
        <f>W66</f>
        <v>15000</v>
      </c>
      <c r="Y66" s="103">
        <f>W66-X66</f>
        <v>0</v>
      </c>
      <c r="Z66" s="20">
        <f>E66</f>
        <v>1</v>
      </c>
      <c r="AA66" s="7">
        <f>G66</f>
        <v>1</v>
      </c>
      <c r="AB66" s="11">
        <f>I66*$E$3</f>
        <v>15600</v>
      </c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>
        <f t="shared" ref="AO66:AO69" si="152">SUM(AC66:AN66)</f>
        <v>0</v>
      </c>
      <c r="AP66" s="11">
        <f>H66*Z66*AA66*AB66</f>
        <v>15600</v>
      </c>
      <c r="AQ66" s="53">
        <f>AP66</f>
        <v>15600</v>
      </c>
      <c r="AR66" s="103">
        <f>AP66-AQ66</f>
        <v>0</v>
      </c>
      <c r="AS66" s="11">
        <f t="shared" ref="AS66:AS69" si="153">+AO66+V66</f>
        <v>0</v>
      </c>
      <c r="AT66" s="72">
        <f t="shared" ref="AT66:AU69" si="154">X66+AQ66</f>
        <v>30600</v>
      </c>
      <c r="AU66" s="11">
        <f t="shared" si="154"/>
        <v>0</v>
      </c>
      <c r="AV66" s="52">
        <f t="shared" ref="AV66:AV69" si="155">AT66+AU66</f>
        <v>30600</v>
      </c>
    </row>
    <row r="67" spans="1:48" x14ac:dyDescent="0.4">
      <c r="A67" s="152" t="s">
        <v>161</v>
      </c>
      <c r="B67" s="184">
        <v>90450</v>
      </c>
      <c r="C67" s="152" t="s">
        <v>119</v>
      </c>
      <c r="D67" s="152" t="s">
        <v>89</v>
      </c>
      <c r="E67" s="20">
        <v>1</v>
      </c>
      <c r="F67" s="7" t="s">
        <v>90</v>
      </c>
      <c r="G67" s="7">
        <v>24</v>
      </c>
      <c r="H67" s="17">
        <v>1</v>
      </c>
      <c r="I67" s="11">
        <v>250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>
        <f t="shared" si="151"/>
        <v>0</v>
      </c>
      <c r="W67" s="11">
        <f>E67*G67*H67*I67</f>
        <v>6000</v>
      </c>
      <c r="X67" s="53">
        <f>W67</f>
        <v>6000</v>
      </c>
      <c r="Y67" s="103">
        <f>W67-X67</f>
        <v>0</v>
      </c>
      <c r="Z67" s="20">
        <f t="shared" ref="Z67:Z69" si="156">E67</f>
        <v>1</v>
      </c>
      <c r="AA67" s="7">
        <f t="shared" ref="AA67:AA69" si="157">G67</f>
        <v>24</v>
      </c>
      <c r="AB67" s="11">
        <f t="shared" ref="AB67:AB69" si="158">I67*$E$3</f>
        <v>260</v>
      </c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>
        <f t="shared" si="152"/>
        <v>0</v>
      </c>
      <c r="AP67" s="11">
        <f>H67*Z67*AA67*AB67</f>
        <v>6240</v>
      </c>
      <c r="AQ67" s="53">
        <f>AP67</f>
        <v>6240</v>
      </c>
      <c r="AR67" s="103">
        <f>AP67-AQ67</f>
        <v>0</v>
      </c>
      <c r="AS67" s="11">
        <f t="shared" si="153"/>
        <v>0</v>
      </c>
      <c r="AT67" s="72">
        <f t="shared" si="154"/>
        <v>12240</v>
      </c>
      <c r="AU67" s="11">
        <f t="shared" si="154"/>
        <v>0</v>
      </c>
      <c r="AV67" s="52">
        <f t="shared" si="155"/>
        <v>12240</v>
      </c>
    </row>
    <row r="68" spans="1:48" x14ac:dyDescent="0.4">
      <c r="A68" s="8" t="s">
        <v>160</v>
      </c>
      <c r="B68" s="185">
        <v>81035</v>
      </c>
      <c r="C68" s="8" t="s">
        <v>119</v>
      </c>
      <c r="D68" s="8" t="s">
        <v>91</v>
      </c>
      <c r="E68" s="20">
        <v>1</v>
      </c>
      <c r="F68" s="7" t="s">
        <v>51</v>
      </c>
      <c r="G68" s="7">
        <v>1</v>
      </c>
      <c r="H68" s="17">
        <v>1</v>
      </c>
      <c r="I68" s="11">
        <v>7000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>
        <f t="shared" si="151"/>
        <v>0</v>
      </c>
      <c r="W68" s="11">
        <f>E68*G68*H68*I68</f>
        <v>7000</v>
      </c>
      <c r="X68" s="53">
        <f>W68</f>
        <v>7000</v>
      </c>
      <c r="Y68" s="103">
        <f>W68-X68</f>
        <v>0</v>
      </c>
      <c r="Z68" s="20">
        <v>0</v>
      </c>
      <c r="AA68" s="7">
        <v>0</v>
      </c>
      <c r="AB68" s="11">
        <f t="shared" si="158"/>
        <v>7280</v>
      </c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>
        <f t="shared" si="152"/>
        <v>0</v>
      </c>
      <c r="AP68" s="11">
        <f>H68*Z68*AA68*AB68</f>
        <v>0</v>
      </c>
      <c r="AQ68" s="53">
        <f>AP68</f>
        <v>0</v>
      </c>
      <c r="AR68" s="103">
        <f>AP68-AQ68</f>
        <v>0</v>
      </c>
      <c r="AS68" s="11">
        <f t="shared" si="153"/>
        <v>0</v>
      </c>
      <c r="AT68" s="72">
        <f t="shared" si="154"/>
        <v>7000</v>
      </c>
      <c r="AU68" s="11">
        <f t="shared" si="154"/>
        <v>0</v>
      </c>
      <c r="AV68" s="52">
        <f t="shared" si="155"/>
        <v>7000</v>
      </c>
    </row>
    <row r="69" spans="1:48" x14ac:dyDescent="0.4">
      <c r="A69" s="146" t="s">
        <v>159</v>
      </c>
      <c r="B69" s="180">
        <v>81035</v>
      </c>
      <c r="C69" s="146" t="s">
        <v>119</v>
      </c>
      <c r="D69" s="146" t="s">
        <v>93</v>
      </c>
      <c r="E69" s="20">
        <v>1</v>
      </c>
      <c r="F69" s="7" t="s">
        <v>46</v>
      </c>
      <c r="G69" s="7">
        <v>1</v>
      </c>
      <c r="H69" s="17">
        <v>1</v>
      </c>
      <c r="I69" s="11">
        <v>800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>
        <f t="shared" si="151"/>
        <v>0</v>
      </c>
      <c r="W69" s="11">
        <f>E69*G69*I69*H69</f>
        <v>800</v>
      </c>
      <c r="X69" s="53">
        <f>W69</f>
        <v>800</v>
      </c>
      <c r="Y69" s="103">
        <f>W69-X69</f>
        <v>0</v>
      </c>
      <c r="Z69" s="20">
        <f t="shared" si="156"/>
        <v>1</v>
      </c>
      <c r="AA69" s="7">
        <f t="shared" si="157"/>
        <v>1</v>
      </c>
      <c r="AB69" s="11">
        <f t="shared" si="158"/>
        <v>832</v>
      </c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>
        <f t="shared" si="152"/>
        <v>0</v>
      </c>
      <c r="AP69" s="11">
        <f>Z69*AA69*AB69*H69</f>
        <v>832</v>
      </c>
      <c r="AQ69" s="53">
        <f>AP69</f>
        <v>832</v>
      </c>
      <c r="AR69" s="103">
        <f>AP69-AQ69</f>
        <v>0</v>
      </c>
      <c r="AS69" s="11">
        <f t="shared" si="153"/>
        <v>0</v>
      </c>
      <c r="AT69" s="72">
        <f t="shared" si="154"/>
        <v>1632</v>
      </c>
      <c r="AU69" s="11">
        <f t="shared" si="154"/>
        <v>0</v>
      </c>
      <c r="AV69" s="52">
        <f t="shared" si="155"/>
        <v>1632</v>
      </c>
    </row>
    <row r="70" spans="1:48" x14ac:dyDescent="0.4">
      <c r="A70" s="153"/>
      <c r="B70" s="183"/>
      <c r="C70" s="153"/>
      <c r="D70" s="153" t="s">
        <v>83</v>
      </c>
      <c r="E70" s="29"/>
      <c r="F70" s="76"/>
      <c r="G70" s="76"/>
      <c r="H70" s="89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77"/>
      <c r="Y70" s="101"/>
      <c r="Z70" s="29"/>
      <c r="AA70" s="76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77"/>
      <c r="AR70" s="101"/>
      <c r="AS70" s="12"/>
      <c r="AT70" s="102"/>
      <c r="AU70" s="12"/>
      <c r="AV70" s="101"/>
    </row>
    <row r="71" spans="1:48" x14ac:dyDescent="0.4">
      <c r="A71" s="154" t="s">
        <v>156</v>
      </c>
      <c r="B71" s="177">
        <v>82420</v>
      </c>
      <c r="C71" s="176" t="s">
        <v>119</v>
      </c>
      <c r="D71" s="154" t="s">
        <v>84</v>
      </c>
      <c r="E71" s="20">
        <v>1</v>
      </c>
      <c r="F71" s="7" t="s">
        <v>46</v>
      </c>
      <c r="G71" s="7">
        <v>1</v>
      </c>
      <c r="H71" s="17">
        <v>1</v>
      </c>
      <c r="I71" s="11">
        <v>300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>
        <f t="shared" ref="V71:V73" si="159">SUM(J71:U71)</f>
        <v>0</v>
      </c>
      <c r="W71" s="104">
        <f>E71*G71*I71</f>
        <v>300</v>
      </c>
      <c r="X71" s="104">
        <f>W71</f>
        <v>300</v>
      </c>
      <c r="Y71" s="103">
        <f>W71-X71</f>
        <v>0</v>
      </c>
      <c r="Z71" s="20">
        <v>1</v>
      </c>
      <c r="AA71" s="7">
        <v>1</v>
      </c>
      <c r="AB71" s="11">
        <f t="shared" si="149"/>
        <v>312</v>
      </c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>
        <f t="shared" ref="AO71:AO73" si="160">SUM(AC71:AN71)</f>
        <v>0</v>
      </c>
      <c r="AP71" s="104">
        <f>Z71*AA71*AB71</f>
        <v>312</v>
      </c>
      <c r="AQ71" s="104">
        <f>AP71</f>
        <v>312</v>
      </c>
      <c r="AR71" s="103">
        <f>AP71-AQ71</f>
        <v>0</v>
      </c>
      <c r="AS71" s="11">
        <f t="shared" ref="AS71:AS73" si="161">+AO71+V71</f>
        <v>0</v>
      </c>
      <c r="AT71" s="72">
        <f t="shared" ref="AT71:AU73" si="162">X71+AQ71</f>
        <v>612</v>
      </c>
      <c r="AU71" s="11">
        <f t="shared" si="162"/>
        <v>0</v>
      </c>
      <c r="AV71" s="52">
        <f t="shared" ref="AV71:AV73" si="163">AT71+AU71</f>
        <v>612</v>
      </c>
    </row>
    <row r="72" spans="1:48" x14ac:dyDescent="0.4">
      <c r="A72" s="154" t="s">
        <v>157</v>
      </c>
      <c r="B72" s="177">
        <v>87010</v>
      </c>
      <c r="C72" s="176" t="s">
        <v>119</v>
      </c>
      <c r="D72" s="154" t="s">
        <v>85</v>
      </c>
      <c r="E72" s="20">
        <v>1</v>
      </c>
      <c r="F72" s="7" t="s">
        <v>53</v>
      </c>
      <c r="G72" s="7">
        <v>1</v>
      </c>
      <c r="H72" s="17">
        <v>1</v>
      </c>
      <c r="I72" s="11">
        <v>121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>
        <f t="shared" si="159"/>
        <v>0</v>
      </c>
      <c r="W72" s="104">
        <f>E72*G72*I72</f>
        <v>121</v>
      </c>
      <c r="X72" s="104">
        <f>W72</f>
        <v>121</v>
      </c>
      <c r="Y72" s="103">
        <f>W72-X72</f>
        <v>0</v>
      </c>
      <c r="Z72" s="20">
        <v>1</v>
      </c>
      <c r="AA72" s="7">
        <v>1</v>
      </c>
      <c r="AB72" s="11">
        <f t="shared" si="149"/>
        <v>125.84</v>
      </c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>
        <f t="shared" si="160"/>
        <v>0</v>
      </c>
      <c r="AP72" s="104">
        <f>Z72*AA72*AB72</f>
        <v>125.84</v>
      </c>
      <c r="AQ72" s="104">
        <f>AP72</f>
        <v>125.84</v>
      </c>
      <c r="AR72" s="103">
        <f>AP72-AQ72</f>
        <v>0</v>
      </c>
      <c r="AS72" s="11">
        <f t="shared" si="161"/>
        <v>0</v>
      </c>
      <c r="AT72" s="72">
        <f t="shared" si="162"/>
        <v>246.84</v>
      </c>
      <c r="AU72" s="11">
        <f t="shared" si="162"/>
        <v>0</v>
      </c>
      <c r="AV72" s="52">
        <f t="shared" si="163"/>
        <v>246.84</v>
      </c>
    </row>
    <row r="73" spans="1:48" s="5" customFormat="1" x14ac:dyDescent="0.4">
      <c r="A73" s="146" t="s">
        <v>158</v>
      </c>
      <c r="B73" s="176">
        <v>81010</v>
      </c>
      <c r="C73" s="176" t="s">
        <v>119</v>
      </c>
      <c r="D73" s="146" t="s">
        <v>86</v>
      </c>
      <c r="E73" s="20">
        <v>1</v>
      </c>
      <c r="F73" s="7" t="s">
        <v>51</v>
      </c>
      <c r="G73" s="7">
        <v>0</v>
      </c>
      <c r="H73" s="17">
        <v>1</v>
      </c>
      <c r="I73" s="11">
        <v>1000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>
        <f t="shared" si="159"/>
        <v>0</v>
      </c>
      <c r="W73" s="11">
        <f>E73*G73*I73</f>
        <v>0</v>
      </c>
      <c r="X73" s="11">
        <f>W73</f>
        <v>0</v>
      </c>
      <c r="Y73" s="103">
        <f>W73-X73</f>
        <v>0</v>
      </c>
      <c r="Z73" s="20">
        <v>1</v>
      </c>
      <c r="AA73" s="7">
        <v>1</v>
      </c>
      <c r="AB73" s="11">
        <f t="shared" si="149"/>
        <v>1040</v>
      </c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>
        <f t="shared" si="160"/>
        <v>0</v>
      </c>
      <c r="AP73" s="11">
        <f>Z73*AA73*AB73</f>
        <v>1040</v>
      </c>
      <c r="AQ73" s="11">
        <f>AP73</f>
        <v>1040</v>
      </c>
      <c r="AR73" s="103">
        <f>AP73-AQ73</f>
        <v>0</v>
      </c>
      <c r="AS73" s="11">
        <f t="shared" si="161"/>
        <v>0</v>
      </c>
      <c r="AT73" s="72">
        <f t="shared" si="162"/>
        <v>1040</v>
      </c>
      <c r="AU73" s="11">
        <f t="shared" si="162"/>
        <v>0</v>
      </c>
      <c r="AV73" s="52">
        <f t="shared" si="163"/>
        <v>1040</v>
      </c>
    </row>
    <row r="74" spans="1:48" s="3" customFormat="1" x14ac:dyDescent="0.4">
      <c r="A74" s="150"/>
      <c r="B74" s="181"/>
      <c r="C74" s="150"/>
      <c r="D74" s="150" t="s">
        <v>54</v>
      </c>
      <c r="E74" s="25"/>
      <c r="F74" s="28"/>
      <c r="G74" s="26"/>
      <c r="H74" s="58"/>
      <c r="I74" s="59"/>
      <c r="J74" s="59">
        <f t="shared" ref="J74:U74" si="164">SUM(J55:J73)</f>
        <v>0</v>
      </c>
      <c r="K74" s="59">
        <f t="shared" si="164"/>
        <v>0</v>
      </c>
      <c r="L74" s="59">
        <f t="shared" si="164"/>
        <v>0</v>
      </c>
      <c r="M74" s="59">
        <f t="shared" si="164"/>
        <v>0</v>
      </c>
      <c r="N74" s="59">
        <f t="shared" si="164"/>
        <v>0</v>
      </c>
      <c r="O74" s="59">
        <f t="shared" si="164"/>
        <v>0</v>
      </c>
      <c r="P74" s="59">
        <f t="shared" si="164"/>
        <v>0</v>
      </c>
      <c r="Q74" s="59">
        <f t="shared" si="164"/>
        <v>0</v>
      </c>
      <c r="R74" s="59">
        <f t="shared" si="164"/>
        <v>0</v>
      </c>
      <c r="S74" s="59">
        <f t="shared" si="164"/>
        <v>0</v>
      </c>
      <c r="T74" s="59">
        <f t="shared" si="164"/>
        <v>0</v>
      </c>
      <c r="U74" s="59">
        <f t="shared" si="164"/>
        <v>0</v>
      </c>
      <c r="V74" s="59">
        <f>SUM(V55:V73)</f>
        <v>0</v>
      </c>
      <c r="W74" s="59">
        <f>SUM(W55:W73)</f>
        <v>39031</v>
      </c>
      <c r="X74" s="59">
        <f>SUM(X55:X73)</f>
        <v>39031</v>
      </c>
      <c r="Y74" s="59">
        <f>SUM(Y55:Y73)</f>
        <v>0</v>
      </c>
      <c r="Z74" s="84"/>
      <c r="AA74" s="85"/>
      <c r="AB74" s="59"/>
      <c r="AC74" s="59">
        <f t="shared" ref="AC74" si="165">SUM(AC55:AC73)</f>
        <v>0</v>
      </c>
      <c r="AD74" s="59">
        <f t="shared" ref="AD74" si="166">SUM(AD55:AD73)</f>
        <v>0</v>
      </c>
      <c r="AE74" s="59">
        <f t="shared" ref="AE74" si="167">SUM(AE55:AE73)</f>
        <v>0</v>
      </c>
      <c r="AF74" s="59">
        <f t="shared" ref="AF74" si="168">SUM(AF55:AF73)</f>
        <v>0</v>
      </c>
      <c r="AG74" s="59">
        <f t="shared" ref="AG74" si="169">SUM(AG55:AG73)</f>
        <v>0</v>
      </c>
      <c r="AH74" s="59">
        <f t="shared" ref="AH74" si="170">SUM(AH55:AH73)</f>
        <v>0</v>
      </c>
      <c r="AI74" s="59">
        <f t="shared" ref="AI74" si="171">SUM(AI55:AI73)</f>
        <v>0</v>
      </c>
      <c r="AJ74" s="59">
        <f t="shared" ref="AJ74" si="172">SUM(AJ55:AJ73)</f>
        <v>0</v>
      </c>
      <c r="AK74" s="59">
        <f t="shared" ref="AK74" si="173">SUM(AK55:AK73)</f>
        <v>0</v>
      </c>
      <c r="AL74" s="59">
        <f t="shared" ref="AL74" si="174">SUM(AL55:AL73)</f>
        <v>0</v>
      </c>
      <c r="AM74" s="59">
        <f t="shared" ref="AM74" si="175">SUM(AM55:AM73)</f>
        <v>0</v>
      </c>
      <c r="AN74" s="59">
        <f t="shared" ref="AN74" si="176">SUM(AN55:AN73)</f>
        <v>0</v>
      </c>
      <c r="AO74" s="59">
        <f>SUM(AO55:AO73)</f>
        <v>0</v>
      </c>
      <c r="AP74" s="59">
        <f t="shared" ref="AP74:AV74" si="177">SUM(AP55:AP73)</f>
        <v>34352.239999999998</v>
      </c>
      <c r="AQ74" s="59">
        <f t="shared" si="177"/>
        <v>34352.239999999998</v>
      </c>
      <c r="AR74" s="59">
        <f t="shared" si="177"/>
        <v>0</v>
      </c>
      <c r="AS74" s="59">
        <f>SUM(AS55:AS73)</f>
        <v>0</v>
      </c>
      <c r="AT74" s="59">
        <f t="shared" si="177"/>
        <v>73383.239999999991</v>
      </c>
      <c r="AU74" s="59">
        <f t="shared" si="177"/>
        <v>0</v>
      </c>
      <c r="AV74" s="59">
        <f t="shared" si="177"/>
        <v>73383.239999999991</v>
      </c>
    </row>
    <row r="75" spans="1:48" s="3" customFormat="1" x14ac:dyDescent="0.4">
      <c r="A75" s="151"/>
      <c r="B75" s="182"/>
      <c r="C75" s="151"/>
      <c r="D75" s="151" t="s">
        <v>16</v>
      </c>
      <c r="E75" s="22"/>
      <c r="F75" s="27"/>
      <c r="G75" s="27"/>
      <c r="H75" s="63"/>
      <c r="I75" s="64"/>
      <c r="J75" s="64">
        <f t="shared" ref="J75:U75" si="178">J19+J25+J37+J42+J52+J74</f>
        <v>10233.310185929387</v>
      </c>
      <c r="K75" s="64">
        <f t="shared" si="178"/>
        <v>8486.8937470899436</v>
      </c>
      <c r="L75" s="64">
        <f t="shared" si="178"/>
        <v>8444.3101859293874</v>
      </c>
      <c r="M75" s="64">
        <f t="shared" si="178"/>
        <v>8555.6932862997473</v>
      </c>
      <c r="N75" s="64">
        <f t="shared" si="178"/>
        <v>8444.3101859293874</v>
      </c>
      <c r="O75" s="64">
        <f t="shared" si="178"/>
        <v>8444.3101859293874</v>
      </c>
      <c r="P75" s="64">
        <f t="shared" si="178"/>
        <v>8444.3101859293874</v>
      </c>
      <c r="Q75" s="64">
        <f t="shared" si="178"/>
        <v>8444.3101859293874</v>
      </c>
      <c r="R75" s="64">
        <f t="shared" si="178"/>
        <v>8444.3101859293874</v>
      </c>
      <c r="S75" s="64">
        <f t="shared" si="178"/>
        <v>8444.3101859293874</v>
      </c>
      <c r="T75" s="64">
        <f t="shared" si="178"/>
        <v>8495.9110135841183</v>
      </c>
      <c r="U75" s="64">
        <f t="shared" si="178"/>
        <v>11564.321796888113</v>
      </c>
      <c r="V75" s="64">
        <f>V19+V25+V37+V42+V52+V74</f>
        <v>106446.301331297</v>
      </c>
      <c r="W75" s="64">
        <f>W19+W25+W37+W42+W52+W74</f>
        <v>273864.69099999999</v>
      </c>
      <c r="X75" s="64">
        <f>X19+X25+X37+X42+X52+X74</f>
        <v>273864.69099999999</v>
      </c>
      <c r="Y75" s="105">
        <f>Y19+Y25+Y37+Y42+Y52+Y74</f>
        <v>0</v>
      </c>
      <c r="Z75" s="22"/>
      <c r="AA75" s="67"/>
      <c r="AB75" s="64"/>
      <c r="AC75" s="64">
        <f t="shared" ref="AC75" si="179">AC19+AC25+AC37+AC42+AC52+AC74</f>
        <v>9141.0208188451197</v>
      </c>
      <c r="AD75" s="64">
        <f t="shared" ref="AD75" si="180">AD19+AD25+AD37+AD42+AD52+AD74</f>
        <v>8590.3310978108384</v>
      </c>
      <c r="AE75" s="64">
        <f t="shared" ref="AE75" si="181">AE19+AE25+AE37+AE42+AE52+AE74</f>
        <v>8527.1842177393573</v>
      </c>
      <c r="AF75" s="64">
        <f t="shared" ref="AF75" si="182">AF19+AF25+AF37+AF42+AF52+AF74</f>
        <v>8659.7550676199298</v>
      </c>
      <c r="AG75" s="64">
        <f t="shared" ref="AG75" si="183">AG19+AG25+AG37+AG42+AG52+AG74</f>
        <v>8527.1842177393573</v>
      </c>
      <c r="AH75" s="64">
        <f t="shared" ref="AH75" si="184">AH19+AH25+AH37+AH42+AH52+AH74</f>
        <v>8527.1842177393573</v>
      </c>
      <c r="AI75" s="64">
        <f t="shared" ref="AI75" si="185">AI19+AI25+AI37+AI42+AI52+AI74</f>
        <v>8527.1842177393573</v>
      </c>
      <c r="AJ75" s="64">
        <f t="shared" ref="AJ75" si="186">AJ19+AJ25+AJ37+AJ42+AJ52+AJ74</f>
        <v>8527.1842177393573</v>
      </c>
      <c r="AK75" s="64">
        <f t="shared" ref="AK75" si="187">AK19+AK25+AK37+AK42+AK52+AK74</f>
        <v>8527.1842177393573</v>
      </c>
      <c r="AL75" s="64">
        <f t="shared" ref="AL75" si="188">AL19+AL25+AL37+AL42+AL52+AL74</f>
        <v>8527.1842177393573</v>
      </c>
      <c r="AM75" s="64">
        <f t="shared" ref="AM75" si="189">AM19+AM25+AM37+AM42+AM52+AM74</f>
        <v>8580.7200764311401</v>
      </c>
      <c r="AN75" s="64">
        <f t="shared" ref="AN75" si="190">AN19+AN25+AN37+AN42+AN52+AN74</f>
        <v>43023.118473199342</v>
      </c>
      <c r="AO75" s="64">
        <f>AO19+AO25+AO37+AO42+AO52+AO74</f>
        <v>137685.23505808189</v>
      </c>
      <c r="AP75" s="64">
        <f t="shared" ref="AP75:AV75" si="191">AP19+AP25+AP37+AP42+AP52+AP74</f>
        <v>225823.27864</v>
      </c>
      <c r="AQ75" s="64">
        <f t="shared" si="191"/>
        <v>225823.27864</v>
      </c>
      <c r="AR75" s="105">
        <f t="shared" si="191"/>
        <v>0</v>
      </c>
      <c r="AS75" s="64">
        <f>AS19+AS25+AS37+AS42+AS52+AS74</f>
        <v>244131.53638937889</v>
      </c>
      <c r="AT75" s="106">
        <f t="shared" si="191"/>
        <v>499687.96963999997</v>
      </c>
      <c r="AU75" s="64">
        <f t="shared" si="191"/>
        <v>0</v>
      </c>
      <c r="AV75" s="105">
        <f t="shared" si="191"/>
        <v>499687.96963999997</v>
      </c>
    </row>
    <row r="76" spans="1:48" s="3" customFormat="1" x14ac:dyDescent="0.4">
      <c r="A76" s="151"/>
      <c r="B76" s="182"/>
      <c r="C76" s="151"/>
      <c r="D76" s="151" t="s">
        <v>55</v>
      </c>
      <c r="E76" s="22"/>
      <c r="F76" s="27"/>
      <c r="G76" s="27"/>
      <c r="H76" s="63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105"/>
      <c r="Z76" s="22"/>
      <c r="AA76" s="67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105"/>
      <c r="AS76" s="64"/>
      <c r="AT76" s="106"/>
      <c r="AU76" s="64"/>
      <c r="AV76" s="105"/>
    </row>
    <row r="77" spans="1:48" s="3" customFormat="1" x14ac:dyDescent="0.4">
      <c r="A77" s="176" t="s">
        <v>117</v>
      </c>
      <c r="B77" s="176">
        <v>94050</v>
      </c>
      <c r="C77" s="176" t="s">
        <v>118</v>
      </c>
      <c r="D77" s="147" t="s">
        <v>87</v>
      </c>
      <c r="E77" s="142"/>
      <c r="F77" s="143">
        <v>0.2828</v>
      </c>
      <c r="G77" s="2"/>
      <c r="H77" s="36"/>
      <c r="I77" s="81"/>
      <c r="J77" s="81">
        <f>J75*$F$77</f>
        <v>2893.9801205808308</v>
      </c>
      <c r="K77" s="81">
        <f t="shared" ref="K77:U77" si="192">K75*$F$77</f>
        <v>2400.093551677036</v>
      </c>
      <c r="L77" s="81">
        <f t="shared" si="192"/>
        <v>2388.0509205808307</v>
      </c>
      <c r="M77" s="81">
        <f t="shared" si="192"/>
        <v>2419.5500613655686</v>
      </c>
      <c r="N77" s="81">
        <f t="shared" si="192"/>
        <v>2388.0509205808307</v>
      </c>
      <c r="O77" s="81">
        <f t="shared" si="192"/>
        <v>2388.0509205808307</v>
      </c>
      <c r="P77" s="81">
        <f t="shared" si="192"/>
        <v>2388.0509205808307</v>
      </c>
      <c r="Q77" s="81">
        <f t="shared" si="192"/>
        <v>2388.0509205808307</v>
      </c>
      <c r="R77" s="81">
        <f t="shared" si="192"/>
        <v>2388.0509205808307</v>
      </c>
      <c r="S77" s="81">
        <f t="shared" si="192"/>
        <v>2388.0509205808307</v>
      </c>
      <c r="T77" s="81">
        <f t="shared" si="192"/>
        <v>2402.6436346415885</v>
      </c>
      <c r="U77" s="81">
        <f t="shared" si="192"/>
        <v>3270.3902041599581</v>
      </c>
      <c r="V77" s="81">
        <f>V75*E77</f>
        <v>0</v>
      </c>
      <c r="W77" s="81">
        <f>W75*F77</f>
        <v>77448.93461479999</v>
      </c>
      <c r="X77" s="81">
        <f>W77</f>
        <v>77448.93461479999</v>
      </c>
      <c r="Y77" s="144">
        <f>W77-X77</f>
        <v>0</v>
      </c>
      <c r="Z77" s="142"/>
      <c r="AA77" s="10"/>
      <c r="AB77" s="81"/>
      <c r="AC77" s="81">
        <f>AC75*$F$77</f>
        <v>2585.0806875693997</v>
      </c>
      <c r="AD77" s="81">
        <f t="shared" ref="AD77:AN77" si="193">AD75*$F$77</f>
        <v>2429.3456344609049</v>
      </c>
      <c r="AE77" s="81">
        <f t="shared" si="193"/>
        <v>2411.4876967766904</v>
      </c>
      <c r="AF77" s="81">
        <f t="shared" si="193"/>
        <v>2448.9787331229163</v>
      </c>
      <c r="AG77" s="81">
        <f t="shared" si="193"/>
        <v>2411.4876967766904</v>
      </c>
      <c r="AH77" s="81">
        <f t="shared" si="193"/>
        <v>2411.4876967766904</v>
      </c>
      <c r="AI77" s="81">
        <f t="shared" si="193"/>
        <v>2411.4876967766904</v>
      </c>
      <c r="AJ77" s="81">
        <f t="shared" si="193"/>
        <v>2411.4876967766904</v>
      </c>
      <c r="AK77" s="81">
        <f t="shared" si="193"/>
        <v>2411.4876967766904</v>
      </c>
      <c r="AL77" s="81">
        <f t="shared" si="193"/>
        <v>2411.4876967766904</v>
      </c>
      <c r="AM77" s="81">
        <f t="shared" si="193"/>
        <v>2426.6276376147266</v>
      </c>
      <c r="AN77" s="81">
        <f t="shared" si="193"/>
        <v>12166.937904220773</v>
      </c>
      <c r="AO77" s="81">
        <f>SUM(AC77:AN77)</f>
        <v>38937.384474425548</v>
      </c>
      <c r="AP77" s="81">
        <f>AP75*F77</f>
        <v>63862.823199391998</v>
      </c>
      <c r="AQ77" s="81">
        <f>AP77</f>
        <v>63862.823199391998</v>
      </c>
      <c r="AR77" s="144">
        <f>AP77-AQ77</f>
        <v>0</v>
      </c>
      <c r="AS77" s="81">
        <f>AS75*AB77</f>
        <v>0</v>
      </c>
      <c r="AT77" s="145">
        <f>X77+AQ77</f>
        <v>141311.75781419198</v>
      </c>
      <c r="AU77" s="81">
        <f>Y77+AR77</f>
        <v>0</v>
      </c>
      <c r="AV77" s="144">
        <f t="shared" ref="AV77" si="194">AT77+AU77</f>
        <v>141311.75781419198</v>
      </c>
    </row>
    <row r="78" spans="1:48" s="3" customFormat="1" x14ac:dyDescent="0.4">
      <c r="A78" s="155"/>
      <c r="B78" s="186"/>
      <c r="C78" s="155"/>
      <c r="D78" s="155" t="s">
        <v>56</v>
      </c>
      <c r="E78" s="32"/>
      <c r="F78" s="107"/>
      <c r="G78" s="33"/>
      <c r="H78" s="108"/>
      <c r="I78" s="109"/>
      <c r="J78" s="109">
        <f>J77</f>
        <v>2893.9801205808308</v>
      </c>
      <c r="K78" s="109">
        <f t="shared" ref="K78:U78" si="195">K77</f>
        <v>2400.093551677036</v>
      </c>
      <c r="L78" s="109">
        <f t="shared" si="195"/>
        <v>2388.0509205808307</v>
      </c>
      <c r="M78" s="109">
        <f t="shared" si="195"/>
        <v>2419.5500613655686</v>
      </c>
      <c r="N78" s="109">
        <f t="shared" si="195"/>
        <v>2388.0509205808307</v>
      </c>
      <c r="O78" s="109">
        <f t="shared" si="195"/>
        <v>2388.0509205808307</v>
      </c>
      <c r="P78" s="109">
        <f t="shared" si="195"/>
        <v>2388.0509205808307</v>
      </c>
      <c r="Q78" s="109">
        <f t="shared" si="195"/>
        <v>2388.0509205808307</v>
      </c>
      <c r="R78" s="109">
        <f t="shared" si="195"/>
        <v>2388.0509205808307</v>
      </c>
      <c r="S78" s="109">
        <f t="shared" si="195"/>
        <v>2388.0509205808307</v>
      </c>
      <c r="T78" s="109">
        <f t="shared" si="195"/>
        <v>2402.6436346415885</v>
      </c>
      <c r="U78" s="109">
        <f t="shared" si="195"/>
        <v>3270.3902041599581</v>
      </c>
      <c r="V78" s="109">
        <f>V77</f>
        <v>0</v>
      </c>
      <c r="W78" s="109">
        <f>W77</f>
        <v>77448.93461479999</v>
      </c>
      <c r="X78" s="109">
        <f>X77</f>
        <v>77448.93461479999</v>
      </c>
      <c r="Y78" s="110">
        <f>Y77</f>
        <v>0</v>
      </c>
      <c r="Z78" s="32"/>
      <c r="AA78" s="111"/>
      <c r="AB78" s="109"/>
      <c r="AC78" s="109">
        <f>AC77</f>
        <v>2585.0806875693997</v>
      </c>
      <c r="AD78" s="109">
        <f t="shared" ref="AD78" si="196">AD77</f>
        <v>2429.3456344609049</v>
      </c>
      <c r="AE78" s="109">
        <f t="shared" ref="AE78" si="197">AE77</f>
        <v>2411.4876967766904</v>
      </c>
      <c r="AF78" s="109">
        <f t="shared" ref="AF78" si="198">AF77</f>
        <v>2448.9787331229163</v>
      </c>
      <c r="AG78" s="109">
        <f t="shared" ref="AG78" si="199">AG77</f>
        <v>2411.4876967766904</v>
      </c>
      <c r="AH78" s="109">
        <f t="shared" ref="AH78" si="200">AH77</f>
        <v>2411.4876967766904</v>
      </c>
      <c r="AI78" s="109">
        <f t="shared" ref="AI78" si="201">AI77</f>
        <v>2411.4876967766904</v>
      </c>
      <c r="AJ78" s="109">
        <f t="shared" ref="AJ78" si="202">AJ77</f>
        <v>2411.4876967766904</v>
      </c>
      <c r="AK78" s="109">
        <f t="shared" ref="AK78" si="203">AK77</f>
        <v>2411.4876967766904</v>
      </c>
      <c r="AL78" s="109">
        <f t="shared" ref="AL78" si="204">AL77</f>
        <v>2411.4876967766904</v>
      </c>
      <c r="AM78" s="109">
        <f t="shared" ref="AM78" si="205">AM77</f>
        <v>2426.6276376147266</v>
      </c>
      <c r="AN78" s="109">
        <f t="shared" ref="AN78" si="206">AN77</f>
        <v>12166.937904220773</v>
      </c>
      <c r="AO78" s="109">
        <f>AO77</f>
        <v>38937.384474425548</v>
      </c>
      <c r="AP78" s="109">
        <f>AP77</f>
        <v>63862.823199391998</v>
      </c>
      <c r="AQ78" s="109">
        <f>AQ77</f>
        <v>63862.823199391998</v>
      </c>
      <c r="AR78" s="110">
        <f>AR77</f>
        <v>0</v>
      </c>
      <c r="AS78" s="109">
        <f>AS77</f>
        <v>0</v>
      </c>
      <c r="AT78" s="112">
        <f t="shared" ref="AT78:AV78" si="207">AT77</f>
        <v>141311.75781419198</v>
      </c>
      <c r="AU78" s="112">
        <f t="shared" si="207"/>
        <v>0</v>
      </c>
      <c r="AV78" s="113">
        <f t="shared" si="207"/>
        <v>141311.75781419198</v>
      </c>
    </row>
    <row r="79" spans="1:48" s="3" customFormat="1" ht="15.6" thickBot="1" x14ac:dyDescent="0.45">
      <c r="A79" s="156"/>
      <c r="B79" s="187"/>
      <c r="C79" s="156"/>
      <c r="D79" s="156" t="s">
        <v>57</v>
      </c>
      <c r="E79" s="34"/>
      <c r="F79" s="21"/>
      <c r="G79" s="21"/>
      <c r="H79" s="114"/>
      <c r="I79" s="115"/>
      <c r="J79" s="115">
        <f>J75+J78</f>
        <v>13127.290306510218</v>
      </c>
      <c r="K79" s="115">
        <f t="shared" ref="K79:U79" si="208">K75+K78</f>
        <v>10886.987298766981</v>
      </c>
      <c r="L79" s="115">
        <f t="shared" si="208"/>
        <v>10832.361106510218</v>
      </c>
      <c r="M79" s="115">
        <f t="shared" si="208"/>
        <v>10975.243347665317</v>
      </c>
      <c r="N79" s="115">
        <f t="shared" si="208"/>
        <v>10832.361106510218</v>
      </c>
      <c r="O79" s="115">
        <f t="shared" si="208"/>
        <v>10832.361106510218</v>
      </c>
      <c r="P79" s="115">
        <f t="shared" si="208"/>
        <v>10832.361106510218</v>
      </c>
      <c r="Q79" s="115">
        <f t="shared" si="208"/>
        <v>10832.361106510218</v>
      </c>
      <c r="R79" s="115">
        <f t="shared" si="208"/>
        <v>10832.361106510218</v>
      </c>
      <c r="S79" s="115">
        <f t="shared" si="208"/>
        <v>10832.361106510218</v>
      </c>
      <c r="T79" s="115">
        <f t="shared" si="208"/>
        <v>10898.554648225707</v>
      </c>
      <c r="U79" s="115">
        <f t="shared" si="208"/>
        <v>14834.71200104807</v>
      </c>
      <c r="V79" s="115">
        <f>V75+V78</f>
        <v>106446.301331297</v>
      </c>
      <c r="W79" s="115">
        <f>W75+W78</f>
        <v>351313.62561479997</v>
      </c>
      <c r="X79" s="115">
        <f t="shared" ref="X79:AV79" si="209">X75+X78</f>
        <v>351313.62561479997</v>
      </c>
      <c r="Y79" s="116">
        <f t="shared" si="209"/>
        <v>0</v>
      </c>
      <c r="Z79" s="117"/>
      <c r="AA79" s="115"/>
      <c r="AB79" s="115"/>
      <c r="AC79" s="115">
        <f>AC75+AC78</f>
        <v>11726.101506414519</v>
      </c>
      <c r="AD79" s="115">
        <f t="shared" ref="AD79" si="210">AD75+AD78</f>
        <v>11019.676732271742</v>
      </c>
      <c r="AE79" s="115">
        <f t="shared" ref="AE79" si="211">AE75+AE78</f>
        <v>10938.671914516048</v>
      </c>
      <c r="AF79" s="115">
        <f t="shared" ref="AF79" si="212">AF75+AF78</f>
        <v>11108.733800742846</v>
      </c>
      <c r="AG79" s="115">
        <f t="shared" ref="AG79" si="213">AG75+AG78</f>
        <v>10938.671914516048</v>
      </c>
      <c r="AH79" s="115">
        <f t="shared" ref="AH79" si="214">AH75+AH78</f>
        <v>10938.671914516048</v>
      </c>
      <c r="AI79" s="115">
        <f t="shared" ref="AI79" si="215">AI75+AI78</f>
        <v>10938.671914516048</v>
      </c>
      <c r="AJ79" s="115">
        <f t="shared" ref="AJ79" si="216">AJ75+AJ78</f>
        <v>10938.671914516048</v>
      </c>
      <c r="AK79" s="115">
        <f t="shared" ref="AK79" si="217">AK75+AK78</f>
        <v>10938.671914516048</v>
      </c>
      <c r="AL79" s="115">
        <f t="shared" ref="AL79" si="218">AL75+AL78</f>
        <v>10938.671914516048</v>
      </c>
      <c r="AM79" s="115">
        <f t="shared" ref="AM79" si="219">AM75+AM78</f>
        <v>11007.347714045867</v>
      </c>
      <c r="AN79" s="115">
        <f t="shared" ref="AN79" si="220">AN75+AN78</f>
        <v>55190.056377420115</v>
      </c>
      <c r="AO79" s="115">
        <f>AO75+AO78</f>
        <v>176622.61953250744</v>
      </c>
      <c r="AP79" s="115">
        <f t="shared" si="209"/>
        <v>289686.10183939198</v>
      </c>
      <c r="AQ79" s="115">
        <f t="shared" si="209"/>
        <v>289686.10183939198</v>
      </c>
      <c r="AR79" s="116">
        <f t="shared" si="209"/>
        <v>0</v>
      </c>
      <c r="AS79" s="115">
        <f>AS75+AS78</f>
        <v>244131.53638937889</v>
      </c>
      <c r="AT79" s="117">
        <f t="shared" si="209"/>
        <v>640999.72745419201</v>
      </c>
      <c r="AU79" s="115">
        <f t="shared" si="209"/>
        <v>0</v>
      </c>
      <c r="AV79" s="116">
        <f t="shared" si="209"/>
        <v>640999.72745419201</v>
      </c>
    </row>
  </sheetData>
  <mergeCells count="7">
    <mergeCell ref="D1:AV1"/>
    <mergeCell ref="A5:A6"/>
    <mergeCell ref="B5:B6"/>
    <mergeCell ref="C5:C6"/>
    <mergeCell ref="E5:Y5"/>
    <mergeCell ref="Z5:AR5"/>
    <mergeCell ref="AT5:AV5"/>
  </mergeCells>
  <phoneticPr fontId="2" type="noConversion"/>
  <printOptions horizontalCentered="1"/>
  <pageMargins left="1" right="1" top="1" bottom="1" header="0.5" footer="0.5"/>
  <pageSetup scale="26" fitToHeight="0" orientation="landscape" r:id="rId1"/>
  <headerFooter alignWithMargins="0">
    <oddHeader>&amp;C&amp;"Arial,Bold"&amp;12Partners of the Americas
Ñande Ko’ê</oddHeader>
    <oddFooter>&amp;R&amp;P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c808d36-874f-4b27-aec2-2fd649817929">
      <UserInfo>
        <DisplayName/>
        <AccountId xsi:nil="true"/>
        <AccountType/>
      </UserInfo>
    </SharedWithUsers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8B2A3C-D706-4BD2-B0D9-B2504331F9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2EBD2F-39BF-4AE9-8CC4-37A479A0DDDE}">
  <ds:schemaRefs>
    <ds:schemaRef ds:uri="74bf2029-46c7-4918-9caa-efc5e521933e"/>
    <ds:schemaRef ds:uri="http://www.w3.org/XML/1998/namespace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bf99d93c-0c70-4937-b232-7abd4c05cedd"/>
    <ds:schemaRef ds:uri="http://schemas.microsoft.com/office/2006/metadata/properties"/>
    <ds:schemaRef ds:uri="http://purl.org/dc/dcmitype/"/>
    <ds:schemaRef ds:uri="dc808d36-874f-4b27-aec2-2fd649817929"/>
    <ds:schemaRef ds:uri="f8135ccf-0908-4d8c-8b6a-2ec449ff78ed"/>
    <ds:schemaRef ds:uri="f2466082-b6bf-4153-98c3-3c41e85fda18"/>
  </ds:schemaRefs>
</ds:datastoreItem>
</file>

<file path=customXml/itemProps3.xml><?xml version="1.0" encoding="utf-8"?>
<ds:datastoreItem xmlns:ds="http://schemas.openxmlformats.org/officeDocument/2006/customXml" ds:itemID="{E41C6B1C-6ED9-419C-94F8-8B4C68FD81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Budget Summary</vt:lpstr>
      <vt:lpstr>Line Item Budget</vt:lpstr>
      <vt:lpstr>Line Item Budget Monthly</vt:lpstr>
      <vt:lpstr>'Budget Summary'!Print_Area</vt:lpstr>
      <vt:lpstr>'Line Item Budget'!Print_Area</vt:lpstr>
      <vt:lpstr>'Line Item Budget Monthly'!Print_Area</vt:lpstr>
      <vt:lpstr>'Line Item Budget'!Print_Titles</vt:lpstr>
      <vt:lpstr>'Line Item Budget Monthly'!Print_Titles</vt:lpstr>
    </vt:vector>
  </TitlesOfParts>
  <Manager/>
  <Company>Catholic Relief Services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Sauvik Sengupta</dc:creator>
  <cp:keywords/>
  <dc:description/>
  <cp:lastModifiedBy>Danielle Martin</cp:lastModifiedBy>
  <cp:revision/>
  <dcterms:created xsi:type="dcterms:W3CDTF">2009-09-07T09:33:11Z</dcterms:created>
  <dcterms:modified xsi:type="dcterms:W3CDTF">2024-10-08T14:12:47Z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9708800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MediaServiceImageTags">
    <vt:lpwstr/>
  </property>
</Properties>
</file>